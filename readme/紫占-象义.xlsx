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git\5shu\readme\"/>
    </mc:Choice>
  </mc:AlternateContent>
  <xr:revisionPtr revIDLastSave="0" documentId="13_ncr:1_{C044AB01-1CA5-46A8-B436-C756A5B5300D}" xr6:coauthVersionLast="47" xr6:coauthVersionMax="47" xr10:uidLastSave="{00000000-0000-0000-0000-000000000000}"/>
  <bookViews>
    <workbookView xWindow="-120" yWindow="-120" windowWidth="29040" windowHeight="15720" firstSheet="16" activeTab="22" xr2:uid="{34576F0D-9301-42B9-8121-B3CEA579FF28}"/>
  </bookViews>
  <sheets>
    <sheet name="紫微" sheetId="4" r:id="rId1"/>
    <sheet name="天府" sheetId="2" r:id="rId2"/>
    <sheet name="天梁" sheetId="7" r:id="rId3"/>
    <sheet name="天相" sheetId="11" r:id="rId4"/>
    <sheet name="太阳" sheetId="10" r:id="rId5"/>
    <sheet name="太阴" sheetId="9" r:id="rId6"/>
    <sheet name="破军" sheetId="16" r:id="rId7"/>
    <sheet name="七杀" sheetId="15" r:id="rId8"/>
    <sheet name="巨门" sheetId="5" r:id="rId9"/>
    <sheet name="天机" sheetId="6" r:id="rId10"/>
    <sheet name="天同" sheetId="14" r:id="rId11"/>
    <sheet name="廉贞" sheetId="8" r:id="rId12"/>
    <sheet name="贪狼" sheetId="13" r:id="rId13"/>
    <sheet name="武曲" sheetId="12" r:id="rId14"/>
    <sheet name="文昌" sheetId="17" r:id="rId15"/>
    <sheet name="文曲" sheetId="3" r:id="rId16"/>
    <sheet name="左辅" sheetId="18" r:id="rId17"/>
    <sheet name="右弼" sheetId="19" r:id="rId18"/>
    <sheet name="天魁" sheetId="20" r:id="rId19"/>
    <sheet name="天钺" sheetId="21" r:id="rId20"/>
    <sheet name="禄存" sheetId="22" r:id="rId21"/>
    <sheet name="天马" sheetId="23" r:id="rId22"/>
    <sheet name="擎羊" sheetId="24" r:id="rId23"/>
    <sheet name="陀罗" sheetId="25" r:id="rId24"/>
    <sheet name="地空" sheetId="26" r:id="rId25"/>
    <sheet name="地劫" sheetId="27" r:id="rId26"/>
    <sheet name="火星" sheetId="28" r:id="rId27"/>
    <sheet name="铃星" sheetId="29" r:id="rId28"/>
    <sheet name="天刑" sheetId="30" r:id="rId29"/>
    <sheet name="天寿" sheetId="31" r:id="rId30"/>
    <sheet name="天巫" sheetId="33" r:id="rId31"/>
    <sheet name="阴煞" sheetId="34" r:id="rId32"/>
    <sheet name="天使" sheetId="53" r:id="rId33"/>
    <sheet name="天伤" sheetId="35" r:id="rId34"/>
    <sheet name="天月" sheetId="36" r:id="rId35"/>
    <sheet name="华盖" sheetId="37" r:id="rId36"/>
    <sheet name="大耗" sheetId="38" r:id="rId37"/>
    <sheet name="蜚蠊" sheetId="39" r:id="rId38"/>
    <sheet name="天哭" sheetId="40" r:id="rId39"/>
    <sheet name="天厨" sheetId="41" r:id="rId40"/>
    <sheet name="恩光" sheetId="42" r:id="rId41"/>
    <sheet name="天贵" sheetId="52" r:id="rId42"/>
    <sheet name="红鸾" sheetId="43" r:id="rId43"/>
    <sheet name="天喜" sheetId="44" r:id="rId44"/>
    <sheet name="天虚" sheetId="45" r:id="rId45"/>
    <sheet name="天姚" sheetId="46" r:id="rId46"/>
    <sheet name="咸池" sheetId="47" r:id="rId47"/>
    <sheet name="台辅" sheetId="48" r:id="rId48"/>
    <sheet name="封诰" sheetId="49" r:id="rId49"/>
    <sheet name="三台" sheetId="50" r:id="rId50"/>
    <sheet name="八座" sheetId="51" r:id="rId51"/>
    <sheet name="天才" sheetId="54" r:id="rId52"/>
    <sheet name="天官" sheetId="55" r:id="rId53"/>
    <sheet name="天福" sheetId="56" r:id="rId54"/>
    <sheet name="龙池" sheetId="57" r:id="rId55"/>
    <sheet name="凤阁" sheetId="58" r:id="rId56"/>
    <sheet name="孤辰" sheetId="59" r:id="rId57"/>
    <sheet name="寡宿" sheetId="60" r:id="rId58"/>
    <sheet name="破碎" sheetId="61" r:id="rId59"/>
    <sheet name="天德" sheetId="63" r:id="rId60"/>
    <sheet name="龙德" sheetId="62" r:id="rId61"/>
    <sheet name="月德" sheetId="64" r:id="rId62"/>
    <sheet name="天空" sheetId="65" r:id="rId63"/>
    <sheet name="XX (64)" sheetId="66" r:id="rId64"/>
    <sheet name="XX (65)" sheetId="67" r:id="rId65"/>
    <sheet name="XX (66)" sheetId="68" r:id="rId66"/>
    <sheet name="XX (67)" sheetId="69" r:id="rId67"/>
    <sheet name="XX (68)" sheetId="70" r:id="rId6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52" i="70" l="1"/>
  <c r="G51" i="70"/>
  <c r="G50" i="70"/>
  <c r="G49" i="70"/>
  <c r="G43" i="70"/>
  <c r="G42" i="70"/>
  <c r="G41" i="70"/>
  <c r="G40" i="70"/>
  <c r="G39" i="70"/>
  <c r="G38" i="70"/>
  <c r="G37" i="70"/>
  <c r="G36" i="70"/>
  <c r="G35" i="70"/>
  <c r="G29" i="70"/>
  <c r="G28" i="70"/>
  <c r="G27" i="70"/>
  <c r="G26" i="70"/>
  <c r="G25" i="70"/>
  <c r="G24" i="70"/>
  <c r="G1" i="70"/>
  <c r="G52" i="69"/>
  <c r="G51" i="69"/>
  <c r="G50" i="69"/>
  <c r="G49" i="69"/>
  <c r="G43" i="69"/>
  <c r="G42" i="69"/>
  <c r="G41" i="69"/>
  <c r="G40" i="69"/>
  <c r="G39" i="69"/>
  <c r="G38" i="69"/>
  <c r="G37" i="69"/>
  <c r="G36" i="69"/>
  <c r="G35" i="69"/>
  <c r="G29" i="69"/>
  <c r="G28" i="69"/>
  <c r="G27" i="69"/>
  <c r="G26" i="69"/>
  <c r="G25" i="69"/>
  <c r="G24" i="69"/>
  <c r="G1" i="69"/>
  <c r="G52" i="68"/>
  <c r="G51" i="68"/>
  <c r="G50" i="68"/>
  <c r="G49" i="68"/>
  <c r="G43" i="68"/>
  <c r="G42" i="68"/>
  <c r="G41" i="68"/>
  <c r="G40" i="68"/>
  <c r="G39" i="68"/>
  <c r="G38" i="68"/>
  <c r="G37" i="68"/>
  <c r="G36" i="68"/>
  <c r="G35" i="68"/>
  <c r="G29" i="68"/>
  <c r="G28" i="68"/>
  <c r="G27" i="68"/>
  <c r="G26" i="68"/>
  <c r="G25" i="68"/>
  <c r="G24" i="68"/>
  <c r="G1" i="68"/>
  <c r="G52" i="67"/>
  <c r="G51" i="67"/>
  <c r="G50" i="67"/>
  <c r="G49" i="67"/>
  <c r="G43" i="67"/>
  <c r="G42" i="67"/>
  <c r="G41" i="67"/>
  <c r="G40" i="67"/>
  <c r="G39" i="67"/>
  <c r="G38" i="67"/>
  <c r="G37" i="67"/>
  <c r="G36" i="67"/>
  <c r="G35" i="67"/>
  <c r="G29" i="67"/>
  <c r="G28" i="67"/>
  <c r="G27" i="67"/>
  <c r="G26" i="67"/>
  <c r="G25" i="67"/>
  <c r="G24" i="67"/>
  <c r="G1" i="67"/>
  <c r="G52" i="66"/>
  <c r="G51" i="66"/>
  <c r="G50" i="66"/>
  <c r="G49" i="66"/>
  <c r="G43" i="66"/>
  <c r="G42" i="66"/>
  <c r="G41" i="66"/>
  <c r="G40" i="66"/>
  <c r="G39" i="66"/>
  <c r="G38" i="66"/>
  <c r="G37" i="66"/>
  <c r="G36" i="66"/>
  <c r="G35" i="66"/>
  <c r="G29" i="66"/>
  <c r="G28" i="66"/>
  <c r="G27" i="66"/>
  <c r="G26" i="66"/>
  <c r="G25" i="66"/>
  <c r="G24" i="66"/>
  <c r="G1" i="66"/>
  <c r="G52" i="65"/>
  <c r="G51" i="65"/>
  <c r="G50" i="65"/>
  <c r="G49" i="65"/>
  <c r="G43" i="65"/>
  <c r="G42" i="65"/>
  <c r="G41" i="65"/>
  <c r="G40" i="65"/>
  <c r="G39" i="65"/>
  <c r="G38" i="65"/>
  <c r="G37" i="65"/>
  <c r="G36" i="65"/>
  <c r="G35" i="65"/>
  <c r="G29" i="65"/>
  <c r="G28" i="65"/>
  <c r="G27" i="65"/>
  <c r="G26" i="65"/>
  <c r="G25" i="65"/>
  <c r="G24" i="65"/>
  <c r="G1" i="65"/>
  <c r="G52" i="64"/>
  <c r="G51" i="64"/>
  <c r="G50" i="64"/>
  <c r="G49" i="64"/>
  <c r="G43" i="64"/>
  <c r="G42" i="64"/>
  <c r="G41" i="64"/>
  <c r="G40" i="64"/>
  <c r="G39" i="64"/>
  <c r="G38" i="64"/>
  <c r="G37" i="64"/>
  <c r="G36" i="64"/>
  <c r="G35" i="64"/>
  <c r="G29" i="64"/>
  <c r="G28" i="64"/>
  <c r="G27" i="64"/>
  <c r="G26" i="64"/>
  <c r="G25" i="64"/>
  <c r="G24" i="64"/>
  <c r="G1" i="64"/>
  <c r="G52" i="63"/>
  <c r="G51" i="63"/>
  <c r="G50" i="63"/>
  <c r="G49" i="63"/>
  <c r="G43" i="63"/>
  <c r="G42" i="63"/>
  <c r="G41" i="63"/>
  <c r="G40" i="63"/>
  <c r="G39" i="63"/>
  <c r="G38" i="63"/>
  <c r="G37" i="63"/>
  <c r="G36" i="63"/>
  <c r="G35" i="63"/>
  <c r="G29" i="63"/>
  <c r="G28" i="63"/>
  <c r="G27" i="63"/>
  <c r="G26" i="63"/>
  <c r="G25" i="63"/>
  <c r="G24" i="63"/>
  <c r="G1" i="63"/>
  <c r="G52" i="62"/>
  <c r="G51" i="62"/>
  <c r="G50" i="62"/>
  <c r="G49" i="62"/>
  <c r="G43" i="62"/>
  <c r="G42" i="62"/>
  <c r="G41" i="62"/>
  <c r="G40" i="62"/>
  <c r="G39" i="62"/>
  <c r="G38" i="62"/>
  <c r="G37" i="62"/>
  <c r="G36" i="62"/>
  <c r="G35" i="62"/>
  <c r="G29" i="62"/>
  <c r="G28" i="62"/>
  <c r="G27" i="62"/>
  <c r="G26" i="62"/>
  <c r="G25" i="62"/>
  <c r="G24" i="62"/>
  <c r="G1" i="62"/>
  <c r="G52" i="61"/>
  <c r="G51" i="61"/>
  <c r="G50" i="61"/>
  <c r="G49" i="61"/>
  <c r="G43" i="61"/>
  <c r="G42" i="61"/>
  <c r="G41" i="61"/>
  <c r="G40" i="61"/>
  <c r="G39" i="61"/>
  <c r="G38" i="61"/>
  <c r="G37" i="61"/>
  <c r="G36" i="61"/>
  <c r="G35" i="61"/>
  <c r="G29" i="61"/>
  <c r="G28" i="61"/>
  <c r="G27" i="61"/>
  <c r="G26" i="61"/>
  <c r="G25" i="61"/>
  <c r="G24" i="61"/>
  <c r="G1" i="61"/>
  <c r="G52" i="60"/>
  <c r="G51" i="60"/>
  <c r="G50" i="60"/>
  <c r="G49" i="60"/>
  <c r="G43" i="60"/>
  <c r="G42" i="60"/>
  <c r="G41" i="60"/>
  <c r="G40" i="60"/>
  <c r="G39" i="60"/>
  <c r="G38" i="60"/>
  <c r="G37" i="60"/>
  <c r="G36" i="60"/>
  <c r="G35" i="60"/>
  <c r="G29" i="60"/>
  <c r="G28" i="60"/>
  <c r="G27" i="60"/>
  <c r="G26" i="60"/>
  <c r="G25" i="60"/>
  <c r="G24" i="60"/>
  <c r="G1" i="60"/>
  <c r="G52" i="59"/>
  <c r="G51" i="59"/>
  <c r="G50" i="59"/>
  <c r="G49" i="59"/>
  <c r="G43" i="59"/>
  <c r="G42" i="59"/>
  <c r="G41" i="59"/>
  <c r="G40" i="59"/>
  <c r="G39" i="59"/>
  <c r="G38" i="59"/>
  <c r="G37" i="59"/>
  <c r="G36" i="59"/>
  <c r="G35" i="59"/>
  <c r="G29" i="59"/>
  <c r="G28" i="59"/>
  <c r="G27" i="59"/>
  <c r="G26" i="59"/>
  <c r="G25" i="59"/>
  <c r="G24" i="59"/>
  <c r="G1" i="59"/>
  <c r="G52" i="58"/>
  <c r="G51" i="58"/>
  <c r="G50" i="58"/>
  <c r="G49" i="58"/>
  <c r="G43" i="58"/>
  <c r="G42" i="58"/>
  <c r="G41" i="58"/>
  <c r="G40" i="58"/>
  <c r="G39" i="58"/>
  <c r="G38" i="58"/>
  <c r="G37" i="58"/>
  <c r="G36" i="58"/>
  <c r="G35" i="58"/>
  <c r="G29" i="58"/>
  <c r="G28" i="58"/>
  <c r="G27" i="58"/>
  <c r="G26" i="58"/>
  <c r="G25" i="58"/>
  <c r="G24" i="58"/>
  <c r="G1" i="58"/>
  <c r="G52" i="57"/>
  <c r="G51" i="57"/>
  <c r="G50" i="57"/>
  <c r="G49" i="57"/>
  <c r="G43" i="57"/>
  <c r="G42" i="57"/>
  <c r="G41" i="57"/>
  <c r="G40" i="57"/>
  <c r="G39" i="57"/>
  <c r="G38" i="57"/>
  <c r="G37" i="57"/>
  <c r="G36" i="57"/>
  <c r="G35" i="57"/>
  <c r="G29" i="57"/>
  <c r="G28" i="57"/>
  <c r="G27" i="57"/>
  <c r="G26" i="57"/>
  <c r="G25" i="57"/>
  <c r="G24" i="57"/>
  <c r="G1" i="57"/>
  <c r="G52" i="56"/>
  <c r="G51" i="56"/>
  <c r="G50" i="56"/>
  <c r="G49" i="56"/>
  <c r="G43" i="56"/>
  <c r="G42" i="56"/>
  <c r="G41" i="56"/>
  <c r="G40" i="56"/>
  <c r="G39" i="56"/>
  <c r="G38" i="56"/>
  <c r="G37" i="56"/>
  <c r="G36" i="56"/>
  <c r="G35" i="56"/>
  <c r="G29" i="56"/>
  <c r="G28" i="56"/>
  <c r="G27" i="56"/>
  <c r="G26" i="56"/>
  <c r="G25" i="56"/>
  <c r="G24" i="56"/>
  <c r="G1" i="56"/>
  <c r="G52" i="55"/>
  <c r="G51" i="55"/>
  <c r="G50" i="55"/>
  <c r="G49" i="55"/>
  <c r="G43" i="55"/>
  <c r="G42" i="55"/>
  <c r="G41" i="55"/>
  <c r="G40" i="55"/>
  <c r="G39" i="55"/>
  <c r="G38" i="55"/>
  <c r="G37" i="55"/>
  <c r="G36" i="55"/>
  <c r="G35" i="55"/>
  <c r="G29" i="55"/>
  <c r="G28" i="55"/>
  <c r="G27" i="55"/>
  <c r="G26" i="55"/>
  <c r="G25" i="55"/>
  <c r="G24" i="55"/>
  <c r="G1" i="55"/>
  <c r="G52" i="54"/>
  <c r="G51" i="54"/>
  <c r="G50" i="54"/>
  <c r="G49" i="54"/>
  <c r="G43" i="54"/>
  <c r="G42" i="54"/>
  <c r="G41" i="54"/>
  <c r="G40" i="54"/>
  <c r="G39" i="54"/>
  <c r="G38" i="54"/>
  <c r="G37" i="54"/>
  <c r="G36" i="54"/>
  <c r="G35" i="54"/>
  <c r="G29" i="54"/>
  <c r="G28" i="54"/>
  <c r="G27" i="54"/>
  <c r="G26" i="54"/>
  <c r="G25" i="54"/>
  <c r="G24" i="54"/>
  <c r="G1" i="54"/>
  <c r="G52" i="53"/>
  <c r="G51" i="53"/>
  <c r="G50" i="53"/>
  <c r="G49" i="53"/>
  <c r="G43" i="53"/>
  <c r="G42" i="53"/>
  <c r="G41" i="53"/>
  <c r="G40" i="53"/>
  <c r="G39" i="53"/>
  <c r="G38" i="53"/>
  <c r="G37" i="53"/>
  <c r="G36" i="53"/>
  <c r="G35" i="53"/>
  <c r="G29" i="53"/>
  <c r="G28" i="53"/>
  <c r="G27" i="53"/>
  <c r="G26" i="53"/>
  <c r="G25" i="53"/>
  <c r="G24" i="53"/>
  <c r="G1" i="53"/>
  <c r="G52" i="52"/>
  <c r="G51" i="52"/>
  <c r="G50" i="52"/>
  <c r="G49" i="52"/>
  <c r="G43" i="52"/>
  <c r="G42" i="52"/>
  <c r="G41" i="52"/>
  <c r="G40" i="52"/>
  <c r="G39" i="52"/>
  <c r="G38" i="52"/>
  <c r="G37" i="52"/>
  <c r="G36" i="52"/>
  <c r="G35" i="52"/>
  <c r="G29" i="52"/>
  <c r="G28" i="52"/>
  <c r="G27" i="52"/>
  <c r="G26" i="52"/>
  <c r="G25" i="52"/>
  <c r="G24" i="52"/>
  <c r="G1" i="52"/>
  <c r="G52" i="51"/>
  <c r="G51" i="51"/>
  <c r="G50" i="51"/>
  <c r="G49" i="51"/>
  <c r="G43" i="51"/>
  <c r="G42" i="51"/>
  <c r="G41" i="51"/>
  <c r="G40" i="51"/>
  <c r="G39" i="51"/>
  <c r="G38" i="51"/>
  <c r="G37" i="51"/>
  <c r="G36" i="51"/>
  <c r="G35" i="51"/>
  <c r="G29" i="51"/>
  <c r="G28" i="51"/>
  <c r="G27" i="51"/>
  <c r="G26" i="51"/>
  <c r="G25" i="51"/>
  <c r="G24" i="51"/>
  <c r="G1" i="51"/>
  <c r="G52" i="50"/>
  <c r="G51" i="50"/>
  <c r="G50" i="50"/>
  <c r="G49" i="50"/>
  <c r="G43" i="50"/>
  <c r="G42" i="50"/>
  <c r="G41" i="50"/>
  <c r="G40" i="50"/>
  <c r="G39" i="50"/>
  <c r="G38" i="50"/>
  <c r="G37" i="50"/>
  <c r="G36" i="50"/>
  <c r="G35" i="50"/>
  <c r="G29" i="50"/>
  <c r="G28" i="50"/>
  <c r="G27" i="50"/>
  <c r="G26" i="50"/>
  <c r="G25" i="50"/>
  <c r="G24" i="50"/>
  <c r="G1" i="50"/>
  <c r="G52" i="49"/>
  <c r="G51" i="49"/>
  <c r="G50" i="49"/>
  <c r="G49" i="49"/>
  <c r="G43" i="49"/>
  <c r="G42" i="49"/>
  <c r="G41" i="49"/>
  <c r="G40" i="49"/>
  <c r="G39" i="49"/>
  <c r="G38" i="49"/>
  <c r="G37" i="49"/>
  <c r="G36" i="49"/>
  <c r="G35" i="49"/>
  <c r="G29" i="49"/>
  <c r="G28" i="49"/>
  <c r="G27" i="49"/>
  <c r="G26" i="49"/>
  <c r="G25" i="49"/>
  <c r="G24" i="49"/>
  <c r="G1" i="49"/>
  <c r="G52" i="48"/>
  <c r="G51" i="48"/>
  <c r="G50" i="48"/>
  <c r="G49" i="48"/>
  <c r="G43" i="48"/>
  <c r="G42" i="48"/>
  <c r="G41" i="48"/>
  <c r="G40" i="48"/>
  <c r="G39" i="48"/>
  <c r="G38" i="48"/>
  <c r="G37" i="48"/>
  <c r="G36" i="48"/>
  <c r="G35" i="48"/>
  <c r="G29" i="48"/>
  <c r="G28" i="48"/>
  <c r="G27" i="48"/>
  <c r="G26" i="48"/>
  <c r="G25" i="48"/>
  <c r="G24" i="48"/>
  <c r="G1" i="48"/>
  <c r="G52" i="47"/>
  <c r="G51" i="47"/>
  <c r="G50" i="47"/>
  <c r="G49" i="47"/>
  <c r="G43" i="47"/>
  <c r="G42" i="47"/>
  <c r="G41" i="47"/>
  <c r="G40" i="47"/>
  <c r="G39" i="47"/>
  <c r="G38" i="47"/>
  <c r="G37" i="47"/>
  <c r="G36" i="47"/>
  <c r="G35" i="47"/>
  <c r="G29" i="47"/>
  <c r="G28" i="47"/>
  <c r="G27" i="47"/>
  <c r="G26" i="47"/>
  <c r="G25" i="47"/>
  <c r="G24" i="47"/>
  <c r="G1" i="47"/>
  <c r="G52" i="46"/>
  <c r="G51" i="46"/>
  <c r="G50" i="46"/>
  <c r="G49" i="46"/>
  <c r="G43" i="46"/>
  <c r="G42" i="46"/>
  <c r="G41" i="46"/>
  <c r="G40" i="46"/>
  <c r="G39" i="46"/>
  <c r="G38" i="46"/>
  <c r="G37" i="46"/>
  <c r="G36" i="46"/>
  <c r="G35" i="46"/>
  <c r="G29" i="46"/>
  <c r="G28" i="46"/>
  <c r="G27" i="46"/>
  <c r="G26" i="46"/>
  <c r="G25" i="46"/>
  <c r="G24" i="46"/>
  <c r="G1" i="46"/>
  <c r="G52" i="45"/>
  <c r="G51" i="45"/>
  <c r="G50" i="45"/>
  <c r="G49" i="45"/>
  <c r="G43" i="45"/>
  <c r="G42" i="45"/>
  <c r="G41" i="45"/>
  <c r="G40" i="45"/>
  <c r="G39" i="45"/>
  <c r="G38" i="45"/>
  <c r="G37" i="45"/>
  <c r="G36" i="45"/>
  <c r="G35" i="45"/>
  <c r="G29" i="45"/>
  <c r="G28" i="45"/>
  <c r="G27" i="45"/>
  <c r="G26" i="45"/>
  <c r="G25" i="45"/>
  <c r="G24" i="45"/>
  <c r="G1" i="45"/>
  <c r="G52" i="44"/>
  <c r="G51" i="44"/>
  <c r="G50" i="44"/>
  <c r="G49" i="44"/>
  <c r="G43" i="44"/>
  <c r="G42" i="44"/>
  <c r="G41" i="44"/>
  <c r="G40" i="44"/>
  <c r="G39" i="44"/>
  <c r="G38" i="44"/>
  <c r="G37" i="44"/>
  <c r="G36" i="44"/>
  <c r="G35" i="44"/>
  <c r="G29" i="44"/>
  <c r="G28" i="44"/>
  <c r="G27" i="44"/>
  <c r="G26" i="44"/>
  <c r="G25" i="44"/>
  <c r="G24" i="44"/>
  <c r="G1" i="44"/>
  <c r="G52" i="43"/>
  <c r="G51" i="43"/>
  <c r="G50" i="43"/>
  <c r="G49" i="43"/>
  <c r="G43" i="43"/>
  <c r="G42" i="43"/>
  <c r="G41" i="43"/>
  <c r="G40" i="43"/>
  <c r="G39" i="43"/>
  <c r="G38" i="43"/>
  <c r="G37" i="43"/>
  <c r="G36" i="43"/>
  <c r="G35" i="43"/>
  <c r="G29" i="43"/>
  <c r="G28" i="43"/>
  <c r="G27" i="43"/>
  <c r="G26" i="43"/>
  <c r="G25" i="43"/>
  <c r="G24" i="43"/>
  <c r="G1" i="43"/>
  <c r="G52" i="42"/>
  <c r="G51" i="42"/>
  <c r="G50" i="42"/>
  <c r="G49" i="42"/>
  <c r="G43" i="42"/>
  <c r="G42" i="42"/>
  <c r="G41" i="42"/>
  <c r="G40" i="42"/>
  <c r="G39" i="42"/>
  <c r="G38" i="42"/>
  <c r="G37" i="42"/>
  <c r="G36" i="42"/>
  <c r="G35" i="42"/>
  <c r="G29" i="42"/>
  <c r="G28" i="42"/>
  <c r="G27" i="42"/>
  <c r="G26" i="42"/>
  <c r="G25" i="42"/>
  <c r="G24" i="42"/>
  <c r="G1" i="42"/>
  <c r="G52" i="41"/>
  <c r="G51" i="41"/>
  <c r="G50" i="41"/>
  <c r="G49" i="41"/>
  <c r="G43" i="41"/>
  <c r="G42" i="41"/>
  <c r="G41" i="41"/>
  <c r="G40" i="41"/>
  <c r="G39" i="41"/>
  <c r="G38" i="41"/>
  <c r="G37" i="41"/>
  <c r="G36" i="41"/>
  <c r="G35" i="41"/>
  <c r="G29" i="41"/>
  <c r="G28" i="41"/>
  <c r="G27" i="41"/>
  <c r="G26" i="41"/>
  <c r="G25" i="41"/>
  <c r="G24" i="41"/>
  <c r="G1" i="41"/>
  <c r="G52" i="40"/>
  <c r="G51" i="40"/>
  <c r="G50" i="40"/>
  <c r="G49" i="40"/>
  <c r="G43" i="40"/>
  <c r="G42" i="40"/>
  <c r="G41" i="40"/>
  <c r="G40" i="40"/>
  <c r="G39" i="40"/>
  <c r="G38" i="40"/>
  <c r="G37" i="40"/>
  <c r="G36" i="40"/>
  <c r="G35" i="40"/>
  <c r="G29" i="40"/>
  <c r="G28" i="40"/>
  <c r="G27" i="40"/>
  <c r="G26" i="40"/>
  <c r="G25" i="40"/>
  <c r="G24" i="40"/>
  <c r="G1" i="40"/>
  <c r="G52" i="39"/>
  <c r="G51" i="39"/>
  <c r="G50" i="39"/>
  <c r="G49" i="39"/>
  <c r="G43" i="39"/>
  <c r="G42" i="39"/>
  <c r="G41" i="39"/>
  <c r="G40" i="39"/>
  <c r="G39" i="39"/>
  <c r="G38" i="39"/>
  <c r="G37" i="39"/>
  <c r="G36" i="39"/>
  <c r="G35" i="39"/>
  <c r="G29" i="39"/>
  <c r="G28" i="39"/>
  <c r="G27" i="39"/>
  <c r="G26" i="39"/>
  <c r="G25" i="39"/>
  <c r="G24" i="39"/>
  <c r="G1" i="39"/>
  <c r="G52" i="38"/>
  <c r="G51" i="38"/>
  <c r="G50" i="38"/>
  <c r="G49" i="38"/>
  <c r="G43" i="38"/>
  <c r="G42" i="38"/>
  <c r="G41" i="38"/>
  <c r="G40" i="38"/>
  <c r="G39" i="38"/>
  <c r="G38" i="38"/>
  <c r="G37" i="38"/>
  <c r="G36" i="38"/>
  <c r="G35" i="38"/>
  <c r="G29" i="38"/>
  <c r="G28" i="38"/>
  <c r="G27" i="38"/>
  <c r="G26" i="38"/>
  <c r="G25" i="38"/>
  <c r="G24" i="38"/>
  <c r="G1" i="38"/>
  <c r="G52" i="37"/>
  <c r="G51" i="37"/>
  <c r="G50" i="37"/>
  <c r="G49" i="37"/>
  <c r="G43" i="37"/>
  <c r="G42" i="37"/>
  <c r="G41" i="37"/>
  <c r="G40" i="37"/>
  <c r="G39" i="37"/>
  <c r="G38" i="37"/>
  <c r="G37" i="37"/>
  <c r="G36" i="37"/>
  <c r="G35" i="37"/>
  <c r="G29" i="37"/>
  <c r="G28" i="37"/>
  <c r="G27" i="37"/>
  <c r="G26" i="37"/>
  <c r="G25" i="37"/>
  <c r="G24" i="37"/>
  <c r="G1" i="37"/>
  <c r="G52" i="36"/>
  <c r="G51" i="36"/>
  <c r="G50" i="36"/>
  <c r="G49" i="36"/>
  <c r="G43" i="36"/>
  <c r="G42" i="36"/>
  <c r="G41" i="36"/>
  <c r="G40" i="36"/>
  <c r="G39" i="36"/>
  <c r="G38" i="36"/>
  <c r="G37" i="36"/>
  <c r="G36" i="36"/>
  <c r="G35" i="36"/>
  <c r="G29" i="36"/>
  <c r="G28" i="36"/>
  <c r="G27" i="36"/>
  <c r="G26" i="36"/>
  <c r="G25" i="36"/>
  <c r="G24" i="36"/>
  <c r="G1" i="36"/>
  <c r="G52" i="35"/>
  <c r="G51" i="35"/>
  <c r="G50" i="35"/>
  <c r="G49" i="35"/>
  <c r="G43" i="35"/>
  <c r="G42" i="35"/>
  <c r="G41" i="35"/>
  <c r="G40" i="35"/>
  <c r="G39" i="35"/>
  <c r="G38" i="35"/>
  <c r="G37" i="35"/>
  <c r="G36" i="35"/>
  <c r="G35" i="35"/>
  <c r="G29" i="35"/>
  <c r="G28" i="35"/>
  <c r="G27" i="35"/>
  <c r="G26" i="35"/>
  <c r="G25" i="35"/>
  <c r="G24" i="35"/>
  <c r="G1" i="35"/>
  <c r="G52" i="34"/>
  <c r="G51" i="34"/>
  <c r="G50" i="34"/>
  <c r="G49" i="34"/>
  <c r="G43" i="34"/>
  <c r="G42" i="34"/>
  <c r="G41" i="34"/>
  <c r="G40" i="34"/>
  <c r="G39" i="34"/>
  <c r="G38" i="34"/>
  <c r="G37" i="34"/>
  <c r="G36" i="34"/>
  <c r="G35" i="34"/>
  <c r="G29" i="34"/>
  <c r="G28" i="34"/>
  <c r="G27" i="34"/>
  <c r="G26" i="34"/>
  <c r="G25" i="34"/>
  <c r="G24" i="34"/>
  <c r="G1" i="34"/>
  <c r="G52" i="33"/>
  <c r="G51" i="33"/>
  <c r="G50" i="33"/>
  <c r="G49" i="33"/>
  <c r="G43" i="33"/>
  <c r="G42" i="33"/>
  <c r="G41" i="33"/>
  <c r="G40" i="33"/>
  <c r="G39" i="33"/>
  <c r="G38" i="33"/>
  <c r="G37" i="33"/>
  <c r="G36" i="33"/>
  <c r="G35" i="33"/>
  <c r="G29" i="33"/>
  <c r="G28" i="33"/>
  <c r="G27" i="33"/>
  <c r="G26" i="33"/>
  <c r="G25" i="33"/>
  <c r="G24" i="33"/>
  <c r="G1" i="33"/>
  <c r="G52" i="31"/>
  <c r="G51" i="31"/>
  <c r="G50" i="31"/>
  <c r="G49" i="31"/>
  <c r="G43" i="31"/>
  <c r="G42" i="31"/>
  <c r="G41" i="31"/>
  <c r="G40" i="31"/>
  <c r="G39" i="31"/>
  <c r="G38" i="31"/>
  <c r="G37" i="31"/>
  <c r="G36" i="31"/>
  <c r="G35" i="31"/>
  <c r="G29" i="31"/>
  <c r="G28" i="31"/>
  <c r="G27" i="31"/>
  <c r="G26" i="31"/>
  <c r="G25" i="31"/>
  <c r="G24" i="31"/>
  <c r="G1" i="31"/>
  <c r="G52" i="30"/>
  <c r="G51" i="30"/>
  <c r="G50" i="30"/>
  <c r="G49" i="30"/>
  <c r="G43" i="30"/>
  <c r="G42" i="30"/>
  <c r="G41" i="30"/>
  <c r="G40" i="30"/>
  <c r="G39" i="30"/>
  <c r="G38" i="30"/>
  <c r="G37" i="30"/>
  <c r="G36" i="30"/>
  <c r="G35" i="30"/>
  <c r="G29" i="30"/>
  <c r="G28" i="30"/>
  <c r="G27" i="30"/>
  <c r="G26" i="30"/>
  <c r="G25" i="30"/>
  <c r="G24" i="30"/>
  <c r="G1" i="30"/>
  <c r="G52" i="29"/>
  <c r="G51" i="29"/>
  <c r="G50" i="29"/>
  <c r="G49" i="29"/>
  <c r="G43" i="29"/>
  <c r="G42" i="29"/>
  <c r="G41" i="29"/>
  <c r="G40" i="29"/>
  <c r="G39" i="29"/>
  <c r="G38" i="29"/>
  <c r="G37" i="29"/>
  <c r="G36" i="29"/>
  <c r="G35" i="29"/>
  <c r="G29" i="29"/>
  <c r="G28" i="29"/>
  <c r="G27" i="29"/>
  <c r="G26" i="29"/>
  <c r="G25" i="29"/>
  <c r="G24" i="29"/>
  <c r="G1" i="29"/>
  <c r="G52" i="28"/>
  <c r="G51" i="28"/>
  <c r="G50" i="28"/>
  <c r="G49" i="28"/>
  <c r="G43" i="28"/>
  <c r="G42" i="28"/>
  <c r="G41" i="28"/>
  <c r="G40" i="28"/>
  <c r="G39" i="28"/>
  <c r="G38" i="28"/>
  <c r="G37" i="28"/>
  <c r="G36" i="28"/>
  <c r="G35" i="28"/>
  <c r="G29" i="28"/>
  <c r="G28" i="28"/>
  <c r="G27" i="28"/>
  <c r="G26" i="28"/>
  <c r="G25" i="28"/>
  <c r="G24" i="28"/>
  <c r="G1" i="28"/>
  <c r="G49" i="27"/>
  <c r="G48" i="27"/>
  <c r="G47" i="27"/>
  <c r="G46" i="27"/>
  <c r="G40" i="27"/>
  <c r="G39" i="27"/>
  <c r="G38" i="27"/>
  <c r="G37" i="27"/>
  <c r="G36" i="27"/>
  <c r="G35" i="27"/>
  <c r="G34" i="27"/>
  <c r="G33" i="27"/>
  <c r="G32" i="27"/>
  <c r="G26" i="27"/>
  <c r="G25" i="27"/>
  <c r="G24" i="27"/>
  <c r="G23" i="27"/>
  <c r="G22" i="27"/>
  <c r="G21" i="27"/>
  <c r="G1" i="27"/>
  <c r="G52" i="26"/>
  <c r="G51" i="26"/>
  <c r="G50" i="26"/>
  <c r="G49" i="26"/>
  <c r="G43" i="26"/>
  <c r="G42" i="26"/>
  <c r="G41" i="26"/>
  <c r="G40" i="26"/>
  <c r="G39" i="26"/>
  <c r="G38" i="26"/>
  <c r="G37" i="26"/>
  <c r="G36" i="26"/>
  <c r="G35" i="26"/>
  <c r="G29" i="26"/>
  <c r="G28" i="26"/>
  <c r="G27" i="26"/>
  <c r="G26" i="26"/>
  <c r="G25" i="26"/>
  <c r="G24" i="26"/>
  <c r="G1" i="26"/>
  <c r="G52" i="25"/>
  <c r="G51" i="25"/>
  <c r="G50" i="25"/>
  <c r="G49" i="25"/>
  <c r="G43" i="25"/>
  <c r="G42" i="25"/>
  <c r="G41" i="25"/>
  <c r="G40" i="25"/>
  <c r="G39" i="25"/>
  <c r="G38" i="25"/>
  <c r="G37" i="25"/>
  <c r="G36" i="25"/>
  <c r="G35" i="25"/>
  <c r="G29" i="25"/>
  <c r="G28" i="25"/>
  <c r="G27" i="25"/>
  <c r="G26" i="25"/>
  <c r="G25" i="25"/>
  <c r="G24" i="25"/>
  <c r="G1" i="25"/>
  <c r="G52" i="24"/>
  <c r="G51" i="24"/>
  <c r="G50" i="24"/>
  <c r="G49" i="24"/>
  <c r="G43" i="24"/>
  <c r="G42" i="24"/>
  <c r="G41" i="24"/>
  <c r="G40" i="24"/>
  <c r="G39" i="24"/>
  <c r="G38" i="24"/>
  <c r="G37" i="24"/>
  <c r="G36" i="24"/>
  <c r="G35" i="24"/>
  <c r="G29" i="24"/>
  <c r="G28" i="24"/>
  <c r="G27" i="24"/>
  <c r="G26" i="24"/>
  <c r="G25" i="24"/>
  <c r="G24" i="24"/>
  <c r="G1" i="24"/>
  <c r="G52" i="23"/>
  <c r="G51" i="23"/>
  <c r="G50" i="23"/>
  <c r="G49" i="23"/>
  <c r="G43" i="23"/>
  <c r="G42" i="23"/>
  <c r="G41" i="23"/>
  <c r="G40" i="23"/>
  <c r="G39" i="23"/>
  <c r="G38" i="23"/>
  <c r="G37" i="23"/>
  <c r="G36" i="23"/>
  <c r="G35" i="23"/>
  <c r="G29" i="23"/>
  <c r="G28" i="23"/>
  <c r="G27" i="23"/>
  <c r="G26" i="23"/>
  <c r="G25" i="23"/>
  <c r="G24" i="23"/>
  <c r="G1" i="23"/>
  <c r="G52" i="22"/>
  <c r="G51" i="22"/>
  <c r="G50" i="22"/>
  <c r="G49" i="22"/>
  <c r="G43" i="22"/>
  <c r="G42" i="22"/>
  <c r="G41" i="22"/>
  <c r="G40" i="22"/>
  <c r="G39" i="22"/>
  <c r="G38" i="22"/>
  <c r="G37" i="22"/>
  <c r="G36" i="22"/>
  <c r="G35" i="22"/>
  <c r="G29" i="22"/>
  <c r="G28" i="22"/>
  <c r="G27" i="22"/>
  <c r="G26" i="22"/>
  <c r="G25" i="22"/>
  <c r="G24" i="22"/>
  <c r="G1" i="22"/>
  <c r="G50" i="21"/>
  <c r="G49" i="21"/>
  <c r="G43" i="21"/>
  <c r="G42" i="21"/>
  <c r="G41" i="21"/>
  <c r="G40" i="21"/>
  <c r="G39" i="21"/>
  <c r="G38" i="21"/>
  <c r="G37" i="21"/>
  <c r="G36" i="21"/>
  <c r="G35" i="21"/>
  <c r="G29" i="21"/>
  <c r="G28" i="21"/>
  <c r="G27" i="21"/>
  <c r="G26" i="21"/>
  <c r="G25" i="21"/>
  <c r="G24" i="21"/>
  <c r="G1" i="21"/>
  <c r="G52" i="20"/>
  <c r="G51" i="20"/>
  <c r="G50" i="20"/>
  <c r="G49" i="20"/>
  <c r="G43" i="20"/>
  <c r="G42" i="20"/>
  <c r="G41" i="20"/>
  <c r="G40" i="20"/>
  <c r="G39" i="20"/>
  <c r="G38" i="20"/>
  <c r="G37" i="20"/>
  <c r="G36" i="20"/>
  <c r="G35" i="20"/>
  <c r="G29" i="20"/>
  <c r="G28" i="20"/>
  <c r="G27" i="20"/>
  <c r="G26" i="20"/>
  <c r="G25" i="20"/>
  <c r="G24" i="20"/>
  <c r="G1" i="20"/>
  <c r="G52" i="19"/>
  <c r="G51" i="19"/>
  <c r="G50" i="19"/>
  <c r="G49" i="19"/>
  <c r="G43" i="19"/>
  <c r="G42" i="19"/>
  <c r="G41" i="19"/>
  <c r="G40" i="19"/>
  <c r="G39" i="19"/>
  <c r="G38" i="19"/>
  <c r="G37" i="19"/>
  <c r="G36" i="19"/>
  <c r="G35" i="19"/>
  <c r="G29" i="19"/>
  <c r="G28" i="19"/>
  <c r="G27" i="19"/>
  <c r="G26" i="19"/>
  <c r="G25" i="19"/>
  <c r="G24" i="19"/>
  <c r="G1" i="19"/>
  <c r="G52" i="18"/>
  <c r="G51" i="18"/>
  <c r="G50" i="18"/>
  <c r="G49" i="18"/>
  <c r="G43" i="18"/>
  <c r="G42" i="18"/>
  <c r="G41" i="18"/>
  <c r="G40" i="18"/>
  <c r="G39" i="18"/>
  <c r="G38" i="18"/>
  <c r="G37" i="18"/>
  <c r="G36" i="18"/>
  <c r="G35" i="18"/>
  <c r="G29" i="18"/>
  <c r="G28" i="18"/>
  <c r="G27" i="18"/>
  <c r="G26" i="18"/>
  <c r="G25" i="18"/>
  <c r="G24" i="18"/>
  <c r="G1" i="18"/>
  <c r="G52" i="16"/>
  <c r="G51" i="16"/>
  <c r="G50" i="16"/>
  <c r="G49" i="16"/>
  <c r="G43" i="16"/>
  <c r="G42" i="16"/>
  <c r="G41" i="16"/>
  <c r="G40" i="16"/>
  <c r="G39" i="16"/>
  <c r="G38" i="16"/>
  <c r="G37" i="16"/>
  <c r="G36" i="16"/>
  <c r="G35" i="16"/>
  <c r="G29" i="16"/>
  <c r="G24" i="16"/>
  <c r="G1" i="16"/>
  <c r="G52" i="14"/>
  <c r="G51" i="14"/>
  <c r="G50" i="14"/>
  <c r="G49" i="14"/>
  <c r="G36" i="14"/>
  <c r="G35" i="14"/>
  <c r="G29" i="14"/>
  <c r="G28" i="14"/>
  <c r="G27" i="14"/>
  <c r="G26" i="14"/>
  <c r="G25" i="14"/>
  <c r="G24" i="14"/>
  <c r="G1" i="14"/>
  <c r="G52" i="13"/>
  <c r="G51" i="13"/>
  <c r="G50" i="13"/>
  <c r="G49" i="13"/>
  <c r="G43" i="13"/>
  <c r="G42" i="13"/>
  <c r="G41" i="13"/>
  <c r="G40" i="13"/>
  <c r="G39" i="13"/>
  <c r="G38" i="13"/>
  <c r="G37" i="13"/>
  <c r="G29" i="13"/>
  <c r="G28" i="13"/>
  <c r="G27" i="13"/>
  <c r="G26" i="13"/>
  <c r="G25" i="13"/>
  <c r="G24" i="13"/>
  <c r="G1" i="13"/>
  <c r="G52" i="12"/>
  <c r="G51" i="12"/>
  <c r="G50" i="12"/>
  <c r="G49" i="12"/>
  <c r="G43" i="12"/>
  <c r="G42" i="12"/>
  <c r="G41" i="12"/>
  <c r="G40" i="12"/>
  <c r="G39" i="12"/>
  <c r="G38" i="12"/>
  <c r="G37" i="12"/>
  <c r="G36" i="12"/>
  <c r="G35" i="12"/>
  <c r="G29" i="12"/>
  <c r="G28" i="12"/>
  <c r="G27" i="12"/>
  <c r="G26" i="12"/>
  <c r="G25" i="12"/>
  <c r="G24" i="12"/>
  <c r="G1" i="12"/>
  <c r="G52" i="11"/>
  <c r="G51" i="11"/>
  <c r="G50" i="11"/>
  <c r="G49" i="11"/>
  <c r="G43" i="11"/>
  <c r="G42" i="11"/>
  <c r="G41" i="11"/>
  <c r="G40" i="11"/>
  <c r="G39" i="11"/>
  <c r="G38" i="11"/>
  <c r="G37" i="11"/>
  <c r="G36" i="11"/>
  <c r="G29" i="11"/>
  <c r="G28" i="11"/>
  <c r="G27" i="11"/>
  <c r="G26" i="11"/>
  <c r="G25" i="11"/>
  <c r="G24" i="11"/>
  <c r="G1" i="11"/>
  <c r="G52" i="10"/>
  <c r="G51" i="10"/>
  <c r="G50" i="10"/>
  <c r="G49" i="10"/>
  <c r="G43" i="10"/>
  <c r="G42" i="10"/>
  <c r="G41" i="10"/>
  <c r="G40" i="10"/>
  <c r="G39" i="10"/>
  <c r="G38" i="10"/>
  <c r="G37" i="10"/>
  <c r="G36" i="10"/>
  <c r="G35" i="10"/>
  <c r="G29" i="10"/>
  <c r="G28" i="10"/>
  <c r="G27" i="10"/>
  <c r="G26" i="10"/>
  <c r="G25" i="10"/>
  <c r="G24" i="10"/>
  <c r="G1" i="10"/>
  <c r="G51" i="9"/>
  <c r="G50" i="9"/>
  <c r="G49" i="9"/>
  <c r="G48" i="9"/>
  <c r="G42" i="9"/>
  <c r="G41" i="9"/>
  <c r="G40" i="9"/>
  <c r="G39" i="9"/>
  <c r="G38" i="9"/>
  <c r="G37" i="9"/>
  <c r="G36" i="9"/>
  <c r="G35" i="9"/>
  <c r="G34" i="9"/>
  <c r="G28" i="9"/>
  <c r="G27" i="9"/>
  <c r="G26" i="9"/>
  <c r="G25" i="9"/>
  <c r="G24" i="9"/>
  <c r="G23" i="9"/>
  <c r="G1" i="9"/>
  <c r="G52" i="8"/>
  <c r="G51" i="8"/>
  <c r="G50" i="8"/>
  <c r="G49" i="8"/>
  <c r="G43" i="8"/>
  <c r="G42" i="8"/>
  <c r="G41" i="8"/>
  <c r="G40" i="8"/>
  <c r="G39" i="8"/>
  <c r="G38" i="8"/>
  <c r="G37" i="8"/>
  <c r="G36" i="8"/>
  <c r="G35" i="8"/>
  <c r="G29" i="8"/>
  <c r="G28" i="8"/>
  <c r="G27" i="8"/>
  <c r="G26" i="8"/>
  <c r="G25" i="8"/>
  <c r="G24" i="8"/>
  <c r="G1" i="8"/>
  <c r="G52" i="7"/>
  <c r="G51" i="7"/>
  <c r="G50" i="7"/>
  <c r="G49" i="7"/>
  <c r="G43" i="7"/>
  <c r="G42" i="7"/>
  <c r="G41" i="7"/>
  <c r="G40" i="7"/>
  <c r="G39" i="7"/>
  <c r="G38" i="7"/>
  <c r="G37" i="7"/>
  <c r="G36" i="7"/>
  <c r="G35" i="7"/>
  <c r="G29" i="7"/>
  <c r="G28" i="7"/>
  <c r="G27" i="7"/>
  <c r="G26" i="7"/>
  <c r="G25" i="7"/>
  <c r="G24" i="7"/>
  <c r="G1" i="7"/>
  <c r="G52" i="6"/>
  <c r="G51" i="6"/>
  <c r="G50" i="6"/>
  <c r="G49" i="6"/>
  <c r="G43" i="6"/>
  <c r="G42" i="6"/>
  <c r="G41" i="6"/>
  <c r="G40" i="6"/>
  <c r="G39" i="6"/>
  <c r="G38" i="6"/>
  <c r="G37" i="6"/>
  <c r="G36" i="6"/>
  <c r="G35" i="6"/>
  <c r="G29" i="6"/>
  <c r="G28" i="6"/>
  <c r="G27" i="6"/>
  <c r="G26" i="6"/>
  <c r="G25" i="6"/>
  <c r="G24" i="6"/>
  <c r="G1" i="6"/>
  <c r="G52" i="5"/>
  <c r="G51" i="5"/>
  <c r="G50" i="5"/>
  <c r="G49" i="5"/>
  <c r="G43" i="5"/>
  <c r="G42" i="5"/>
  <c r="G41" i="5"/>
  <c r="G40" i="5"/>
  <c r="G39" i="5"/>
  <c r="G38" i="5"/>
  <c r="G37" i="5"/>
  <c r="G36" i="5"/>
  <c r="G35" i="5"/>
  <c r="G29" i="5"/>
  <c r="G28" i="5"/>
  <c r="G27" i="5"/>
  <c r="G26" i="5"/>
  <c r="G25" i="5"/>
  <c r="G24" i="5"/>
  <c r="G1" i="5"/>
  <c r="G52" i="4"/>
  <c r="G51" i="4"/>
  <c r="G50" i="4"/>
  <c r="G49" i="4"/>
  <c r="G43" i="4"/>
  <c r="G42" i="4"/>
  <c r="G41" i="4"/>
  <c r="G40" i="4"/>
  <c r="G39" i="4"/>
  <c r="G38" i="4"/>
  <c r="G37" i="4"/>
  <c r="G36" i="4"/>
  <c r="G35" i="4"/>
  <c r="G29" i="4"/>
  <c r="G28" i="4"/>
  <c r="G27" i="4"/>
  <c r="G26" i="4"/>
  <c r="G25" i="4"/>
  <c r="G24" i="4"/>
  <c r="G1" i="4"/>
  <c r="G52" i="3"/>
  <c r="G51" i="3"/>
  <c r="G50" i="3"/>
  <c r="G49" i="3"/>
  <c r="G43" i="3"/>
  <c r="G42" i="3"/>
  <c r="G41" i="3"/>
  <c r="G40" i="3"/>
  <c r="G39" i="3"/>
  <c r="G38" i="3"/>
  <c r="G37" i="3"/>
  <c r="G36" i="3"/>
  <c r="G35" i="3"/>
  <c r="G29" i="3"/>
  <c r="G28" i="3"/>
  <c r="G27" i="3"/>
  <c r="G26" i="3"/>
  <c r="G25" i="3"/>
  <c r="G24" i="3"/>
  <c r="G1" i="3"/>
  <c r="G35" i="2"/>
  <c r="G36" i="2"/>
  <c r="G37" i="2"/>
  <c r="G38" i="2"/>
  <c r="G39" i="2"/>
  <c r="G40" i="2"/>
  <c r="G41" i="2"/>
  <c r="G42" i="2"/>
  <c r="G43" i="2"/>
  <c r="G49" i="2"/>
  <c r="G50" i="2"/>
  <c r="G51" i="2"/>
  <c r="G52" i="2"/>
  <c r="G24" i="2"/>
  <c r="G25" i="2"/>
  <c r="G26" i="2"/>
  <c r="G27" i="2"/>
  <c r="G28" i="2"/>
  <c r="G29" i="2"/>
  <c r="G1" i="2"/>
</calcChain>
</file>

<file path=xl/sharedStrings.xml><?xml version="1.0" encoding="utf-8"?>
<sst xmlns="http://schemas.openxmlformats.org/spreadsheetml/2006/main" count="7852" uniqueCount="5749">
  <si>
    <r>
      <t>田宅宫</t>
    </r>
    <r>
      <rPr>
        <sz val="11"/>
        <color theme="1"/>
        <rFont val="等线"/>
        <family val="2"/>
        <charset val="134"/>
        <scheme val="minor"/>
      </rPr>
      <t>​</t>
    </r>
  </si>
  <si>
    <t>家宅广阔（别墅、地标建筑）</t>
  </si>
  <si>
    <t>家道中落（抵押房产、凶宅）</t>
  </si>
  <si>
    <r>
      <t>财帛宫</t>
    </r>
    <r>
      <rPr>
        <sz val="11"/>
        <color theme="1"/>
        <rFont val="等线"/>
        <family val="2"/>
        <charset val="134"/>
        <scheme val="minor"/>
      </rPr>
      <t>​</t>
    </r>
  </si>
  <si>
    <t>储蓄力强（固定资产、稳定理财）</t>
  </si>
  <si>
    <t>资源虚耗（投资泡沫、账目漏洞）</t>
  </si>
  <si>
    <r>
      <t>疾厄宫</t>
    </r>
    <r>
      <rPr>
        <sz val="11"/>
        <color theme="1"/>
        <rFont val="等线"/>
        <family val="2"/>
        <charset val="134"/>
        <scheme val="minor"/>
      </rPr>
      <t>​</t>
    </r>
  </si>
  <si>
    <t>脾胃健康（土主中焦）</t>
  </si>
  <si>
    <t>胃病（+铃星主胃痛）</t>
  </si>
  <si>
    <r>
      <t>父母宫</t>
    </r>
    <r>
      <rPr>
        <sz val="11"/>
        <color theme="1"/>
        <rFont val="等线"/>
        <family val="2"/>
        <charset val="134"/>
        <scheme val="minor"/>
      </rPr>
      <t>​</t>
    </r>
  </si>
  <si>
    <t>长辈为靠山（政府关系、师承名门）</t>
  </si>
  <si>
    <t>文书问题（+文昌忌：证书造假）</t>
  </si>
  <si>
    <r>
      <t>交友宫</t>
    </r>
    <r>
      <rPr>
        <sz val="11"/>
        <color theme="1"/>
        <rFont val="等线"/>
        <family val="2"/>
        <charset val="134"/>
        <scheme val="minor"/>
      </rPr>
      <t>​</t>
    </r>
  </si>
  <si>
    <t>贵人圈层（高端人脉）</t>
  </si>
  <si>
    <t>孤立无援（小人背叛）</t>
  </si>
  <si>
    <r>
      <t>迁移宫</t>
    </r>
    <r>
      <rPr>
        <sz val="11"/>
        <color theme="1"/>
        <rFont val="等线"/>
        <family val="2"/>
        <charset val="134"/>
        <scheme val="minor"/>
      </rPr>
      <t>​</t>
    </r>
  </si>
  <si>
    <t>异地置产（跨国资产）</t>
  </si>
  <si>
    <t>漂泊无定（+天马：频繁搬家）</t>
  </si>
  <si>
    <t>宫位​</t>
  </si>
  <si>
    <t>庙旺（辰/酉/未）象义​</t>
  </si>
  <si>
    <t>落陷（寅/子）象义​</t>
  </si>
  <si>
    <t>文献依据​</t>
  </si>
  <si>
    <r>
      <t>根据《金刚佛光-紫占课程手册》，</t>
    </r>
    <r>
      <rPr>
        <b/>
        <sz val="11"/>
        <color theme="1"/>
        <rFont val="等线"/>
        <family val="3"/>
        <charset val="134"/>
        <scheme val="minor"/>
      </rPr>
      <t>天府星</t>
    </r>
    <r>
      <rPr>
        <sz val="11"/>
        <color theme="1"/>
        <rFont val="等线"/>
        <family val="2"/>
        <charset val="134"/>
        <scheme val="minor"/>
      </rPr>
      <t>的完整象义解析如下（严格遵循原始资料结构与表述）：</t>
    </r>
  </si>
  <si>
    <t>一、天府定义​</t>
  </si>
  <si>
    <r>
      <t>属土</t>
    </r>
    <r>
      <rPr>
        <sz val="11"/>
        <color theme="1"/>
        <rFont val="等线"/>
        <family val="2"/>
        <charset val="134"/>
        <scheme val="minor"/>
      </rPr>
      <t>，无四化，主房子、空间、区域。</t>
    </r>
  </si>
  <si>
    <r>
      <t>核心特质</t>
    </r>
    <r>
      <rPr>
        <sz val="11"/>
        <color theme="1"/>
        <rFont val="等线"/>
        <family val="2"/>
        <charset val="134"/>
        <scheme val="minor"/>
      </rPr>
      <t>：</t>
    </r>
  </si>
  <si>
    <r>
      <t>1. 空间性</t>
    </r>
    <r>
      <rPr>
        <sz val="11"/>
        <color theme="1"/>
        <rFont val="等线"/>
        <family val="2"/>
        <charset val="134"/>
        <scheme val="minor"/>
      </rPr>
      <t>：象征无限空间（如宇宙、网络社群）与有限空间（如房间、容器）。</t>
    </r>
  </si>
  <si>
    <r>
      <t>2. 包容性</t>
    </r>
    <r>
      <rPr>
        <sz val="11"/>
        <color theme="1"/>
        <rFont val="等线"/>
        <family val="2"/>
        <charset val="134"/>
        <scheme val="minor"/>
      </rPr>
      <t>：城府深广、资源存储（家族势力、金融账户）。</t>
    </r>
  </si>
  <si>
    <r>
      <t>3. 稳定性</t>
    </r>
    <r>
      <rPr>
        <sz val="11"/>
        <color theme="1"/>
        <rFont val="等线"/>
        <family val="2"/>
        <charset val="134"/>
        <scheme val="minor"/>
      </rPr>
      <t>：无四化特性使其象征长期稳固结构（如祖产、老字号）。</t>
    </r>
  </si>
  <si>
    <r>
      <t>4. 特殊方位</t>
    </r>
    <r>
      <rPr>
        <sz val="11"/>
        <color theme="1"/>
        <rFont val="等线"/>
        <family val="2"/>
        <charset val="134"/>
        <scheme val="minor"/>
      </rPr>
      <t>：</t>
    </r>
  </si>
  <si>
    <t>丑位：阴间与人间交界（坟地风水）。</t>
  </si>
  <si>
    <t>亥位：地府象征（水位关联）。</t>
  </si>
  <si>
    <t>二、宫位叠加象义​</t>
  </si>
  <si>
    <r>
      <t>田宅宫</t>
    </r>
    <r>
      <rPr>
        <sz val="12"/>
        <color theme="1"/>
        <rFont val="等线"/>
        <family val="3"/>
        <charset val="134"/>
        <scheme val="minor"/>
      </rPr>
      <t>​</t>
    </r>
  </si>
  <si>
    <r>
      <t>财帛宫</t>
    </r>
    <r>
      <rPr>
        <sz val="12"/>
        <color theme="1"/>
        <rFont val="等线"/>
        <family val="3"/>
        <charset val="134"/>
        <scheme val="minor"/>
      </rPr>
      <t>​</t>
    </r>
  </si>
  <si>
    <r>
      <t>疾厄宫</t>
    </r>
    <r>
      <rPr>
        <sz val="12"/>
        <color theme="1"/>
        <rFont val="等线"/>
        <family val="3"/>
        <charset val="134"/>
        <scheme val="minor"/>
      </rPr>
      <t>​</t>
    </r>
  </si>
  <si>
    <r>
      <t>父母宫</t>
    </r>
    <r>
      <rPr>
        <sz val="12"/>
        <color theme="1"/>
        <rFont val="等线"/>
        <family val="3"/>
        <charset val="134"/>
        <scheme val="minor"/>
      </rPr>
      <t>​</t>
    </r>
  </si>
  <si>
    <r>
      <t>交友宫</t>
    </r>
    <r>
      <rPr>
        <sz val="12"/>
        <color theme="1"/>
        <rFont val="等线"/>
        <family val="3"/>
        <charset val="134"/>
        <scheme val="minor"/>
      </rPr>
      <t>​</t>
    </r>
  </si>
  <si>
    <r>
      <t>迁移宫</t>
    </r>
    <r>
      <rPr>
        <sz val="12"/>
        <color theme="1"/>
        <rFont val="等线"/>
        <family val="3"/>
        <charset val="134"/>
        <scheme val="minor"/>
      </rPr>
      <t>​</t>
    </r>
  </si>
  <si>
    <t>三、辅星组合象义​</t>
  </si>
  <si>
    <t>辅星​</t>
  </si>
  <si>
    <t>庙旺组合效应​</t>
  </si>
  <si>
    <t>落陷组合效应​</t>
  </si>
  <si>
    <r>
      <t>天府+铃星</t>
    </r>
    <r>
      <rPr>
        <sz val="12"/>
        <color theme="1"/>
        <rFont val="等线"/>
        <family val="3"/>
        <charset val="134"/>
        <scheme val="minor"/>
      </rPr>
      <t>​</t>
    </r>
  </si>
  <si>
    <t>空间内热闹（社群活跃）</t>
  </si>
  <si>
    <t>家宅不宁（房屋纠纷）</t>
  </si>
  <si>
    <r>
      <t>天府+地劫</t>
    </r>
    <r>
      <rPr>
        <sz val="12"/>
        <color theme="1"/>
        <rFont val="等线"/>
        <family val="3"/>
        <charset val="134"/>
        <scheme val="minor"/>
      </rPr>
      <t>​</t>
    </r>
  </si>
  <si>
    <t>资源流失（突发破财）</t>
  </si>
  <si>
    <t>家道中空（祖产败尽）</t>
  </si>
  <si>
    <r>
      <t>天府+文昌</t>
    </r>
    <r>
      <rPr>
        <sz val="12"/>
        <color theme="1"/>
        <rFont val="等线"/>
        <family val="3"/>
        <charset val="134"/>
        <scheme val="minor"/>
      </rPr>
      <t>​</t>
    </r>
  </si>
  <si>
    <t>腹有锦绣（学识渊博）</t>
  </si>
  <si>
    <t>虚有其表（证书无效）</t>
  </si>
  <si>
    <r>
      <t>天府+天喜</t>
    </r>
    <r>
      <rPr>
        <sz val="12"/>
        <color theme="1"/>
        <rFont val="等线"/>
        <family val="3"/>
        <charset val="134"/>
        <scheme val="minor"/>
      </rPr>
      <t>​</t>
    </r>
  </si>
  <si>
    <t>家宅喜庆（婚宴场所）</t>
  </si>
  <si>
    <t>虚假欢庆（表面和睦）</t>
  </si>
  <si>
    <r>
      <t>天府+陀罗</t>
    </r>
    <r>
      <rPr>
        <sz val="12"/>
        <color theme="1"/>
        <rFont val="等线"/>
        <family val="3"/>
        <charset val="134"/>
        <scheme val="minor"/>
      </rPr>
      <t>​</t>
    </r>
  </si>
  <si>
    <t>空间稳固（长期持有房产）</t>
  </si>
  <si>
    <t>发展停滞（项目烂尾）</t>
  </si>
  <si>
    <r>
      <t>天府+阴煞</t>
    </r>
    <r>
      <rPr>
        <sz val="12"/>
        <color theme="1"/>
        <rFont val="等线"/>
        <family val="3"/>
        <charset val="134"/>
        <scheme val="minor"/>
      </rPr>
      <t>​</t>
    </r>
  </si>
  <si>
    <t>灵性空间（寺庙、祠堂）</t>
  </si>
  <si>
    <t>阴气积聚（凶宅风水）</t>
  </si>
  <si>
    <r>
      <t>天府+凤阁</t>
    </r>
    <r>
      <rPr>
        <sz val="12"/>
        <color theme="1"/>
        <rFont val="等线"/>
        <family val="3"/>
        <charset val="134"/>
        <scheme val="minor"/>
      </rPr>
      <t>​</t>
    </r>
  </si>
  <si>
    <t>高档房产（豪宅、会所）</t>
  </si>
  <si>
    <t>空间局促（蜗居）</t>
  </si>
  <si>
    <r>
      <t>天府+天刑</t>
    </r>
    <r>
      <rPr>
        <sz val="12"/>
        <color theme="1"/>
        <rFont val="等线"/>
        <family val="3"/>
        <charset val="134"/>
        <scheme val="minor"/>
      </rPr>
      <t>​</t>
    </r>
  </si>
  <si>
    <t>法律空间（法院、监狱）</t>
  </si>
  <si>
    <t>空间禁锢（囚禁感）</t>
  </si>
  <si>
    <r>
      <t>天府+地空</t>
    </r>
    <r>
      <rPr>
        <sz val="12"/>
        <color theme="1"/>
        <rFont val="等线"/>
        <family val="3"/>
        <charset val="134"/>
        <scheme val="minor"/>
      </rPr>
      <t>​</t>
    </r>
  </si>
  <si>
    <t>虚拟空间（网络平台）</t>
  </si>
  <si>
    <t>资源泡沫（虚假投资）</t>
  </si>
  <si>
    <t>四、主星组合象义​</t>
  </si>
  <si>
    <t>组合​</t>
  </si>
  <si>
    <t>核心效应​</t>
  </si>
  <si>
    <t>典型案例​</t>
  </si>
  <si>
    <r>
      <t>天府+紫微</t>
    </r>
    <r>
      <rPr>
        <sz val="12"/>
        <color theme="1"/>
        <rFont val="等线"/>
        <family val="3"/>
        <charset val="134"/>
        <scheme val="minor"/>
      </rPr>
      <t>​</t>
    </r>
  </si>
  <si>
    <t>权威空间（政府大楼、银行）</t>
  </si>
  <si>
    <t>辰/戌宫：入狱象（空间束缚）</t>
  </si>
  <si>
    <r>
      <t>天府+武曲</t>
    </r>
    <r>
      <rPr>
        <sz val="12"/>
        <color theme="1"/>
        <rFont val="等线"/>
        <family val="3"/>
        <charset val="134"/>
        <scheme val="minor"/>
      </rPr>
      <t>​</t>
    </r>
  </si>
  <si>
    <t>金融空间（银行、保险柜）</t>
  </si>
  <si>
    <t>账目混乱（+地劫：财务漏洞）</t>
  </si>
  <si>
    <r>
      <t>天府+廉贞</t>
    </r>
    <r>
      <rPr>
        <sz val="12"/>
        <color theme="1"/>
        <rFont val="等线"/>
        <family val="3"/>
        <charset val="134"/>
        <scheme val="minor"/>
      </rPr>
      <t>​</t>
    </r>
  </si>
  <si>
    <t>掌控空间（公司总部、电子系统）</t>
  </si>
  <si>
    <t>戌宫化忌：失控（服务器崩溃）</t>
  </si>
  <si>
    <r>
      <t>天府+太阳</t>
    </r>
    <r>
      <rPr>
        <sz val="12"/>
        <color theme="1"/>
        <rFont val="等线"/>
        <family val="3"/>
        <charset val="134"/>
        <scheme val="minor"/>
      </rPr>
      <t>​</t>
    </r>
  </si>
  <si>
    <t>公共空间（广场、地标）</t>
  </si>
  <si>
    <t>寅宫落陷：权威崩塌（烂尾工程）</t>
  </si>
  <si>
    <t>五、四化联动​</t>
  </si>
  <si>
    <r>
      <t>无直接四化</t>
    </r>
    <r>
      <rPr>
        <sz val="11"/>
        <color theme="1"/>
        <rFont val="等线"/>
        <family val="2"/>
        <charset val="134"/>
        <scheme val="minor"/>
      </rPr>
      <t>：天府不参与四化，需借对宫或辅星触发。</t>
    </r>
  </si>
  <si>
    <r>
      <t>壬干化科</t>
    </r>
    <r>
      <rPr>
        <sz val="11"/>
        <color theme="1"/>
        <rFont val="等线"/>
        <family val="2"/>
        <charset val="134"/>
        <scheme val="minor"/>
      </rPr>
      <t>：借对宫（紫微化权）强化空间权威（如晋升管理层）。</t>
    </r>
  </si>
  <si>
    <r>
      <t>化忌冲击</t>
    </r>
    <r>
      <rPr>
        <sz val="11"/>
        <color theme="1"/>
        <rFont val="等线"/>
        <family val="2"/>
        <charset val="134"/>
        <scheme val="minor"/>
      </rPr>
      <t>：逢煞星（如地劫）主“库破”（破产、查封）。</t>
    </r>
  </si>
  <si>
    <t>六、矛盾说明​</t>
  </si>
  <si>
    <r>
      <t>1. 四化争议</t>
    </r>
    <r>
      <rPr>
        <sz val="11"/>
        <color theme="1"/>
        <rFont val="等线"/>
        <family val="2"/>
        <charset val="134"/>
        <scheme val="minor"/>
      </rPr>
      <t>：</t>
    </r>
  </si>
  <si>
    <t>文档20明确“天府无四化”，但文档6主星表提及“天府化科”。</t>
  </si>
  <si>
    <t>→ 并存矛盾：部分理论允许借对宫四化，部分否定。</t>
  </si>
  <si>
    <r>
      <t>2. 丑位含义冲突</t>
    </r>
    <r>
      <rPr>
        <sz val="11"/>
        <color theme="1"/>
        <rFont val="等线"/>
        <family val="2"/>
        <charset val="134"/>
        <scheme val="minor"/>
      </rPr>
      <t>：</t>
    </r>
  </si>
  <si>
    <t>文档23称丑位为“阴间与人间交界”（坟地），但星曜表未标注特殊属性。</t>
  </si>
  <si>
    <t>→ 以实际应用（风水占断）为准。</t>
  </si>
  <si>
    <t>七、关键图表​</t>
  </si>
  <si>
    <t>依据：手册179页天府星曜表</t>
  </si>
  <si>
    <t>注：以上内容完全整合自《金刚佛光-紫占课程手册》原始表述，覆盖天府星定义、宫位、组合、四化及矛盾点，未增删改臆。</t>
  </si>
  <si>
    <r>
      <t>在紫微斗数中，</t>
    </r>
    <r>
      <rPr>
        <b/>
        <sz val="11"/>
        <color theme="1"/>
        <rFont val="等线"/>
        <family val="3"/>
        <charset val="134"/>
        <scheme val="minor"/>
      </rPr>
      <t>文曲星</t>
    </r>
    <r>
      <rPr>
        <sz val="11"/>
        <color theme="1"/>
        <rFont val="等线"/>
        <family val="2"/>
        <charset val="134"/>
        <scheme val="minor"/>
      </rPr>
      <t>属水，主掌</t>
    </r>
    <r>
      <rPr>
        <b/>
        <sz val="11"/>
        <color theme="1"/>
        <rFont val="等线"/>
        <family val="3"/>
        <charset val="134"/>
        <scheme val="minor"/>
      </rPr>
      <t>内容、文书、传递信息</t>
    </r>
    <r>
      <rPr>
        <sz val="11"/>
        <color theme="1"/>
        <rFont val="等线"/>
        <family val="2"/>
        <charset val="134"/>
        <scheme val="minor"/>
      </rPr>
      <t>，是决定事物内涵的关键辅星。以下是其核心含义及在不同场景中的应用：</t>
    </r>
  </si>
  <si>
    <t>一、文曲星的核心定义</t>
  </si>
  <si>
    <r>
      <t>1. 象征意义</t>
    </r>
    <r>
      <rPr>
        <sz val="11"/>
        <color theme="1"/>
        <rFont val="等线"/>
        <family val="2"/>
        <charset val="134"/>
        <scheme val="minor"/>
      </rPr>
      <t>：</t>
    </r>
  </si>
  <si>
    <r>
      <t>内容载体</t>
    </r>
    <r>
      <rPr>
        <sz val="11"/>
        <color theme="1"/>
        <rFont val="等线"/>
        <family val="2"/>
        <charset val="134"/>
        <scheme val="minor"/>
      </rPr>
      <t>：文字、语言、图像、数据等传递信息的实质内容。</t>
    </r>
  </si>
  <si>
    <r>
      <t>传递方式</t>
    </r>
    <r>
      <rPr>
        <sz val="11"/>
        <color theme="1"/>
        <rFont val="等线"/>
        <family val="2"/>
        <charset val="134"/>
        <scheme val="minor"/>
      </rPr>
      <t>：沟通、表达、传播（如合同、书籍、消息）。</t>
    </r>
  </si>
  <si>
    <r>
      <t>性质判断</t>
    </r>
    <r>
      <rPr>
        <sz val="11"/>
        <color theme="1"/>
        <rFont val="等线"/>
        <family val="2"/>
        <charset val="134"/>
        <scheme val="minor"/>
      </rPr>
      <t>：</t>
    </r>
  </si>
  <si>
    <r>
      <t>庙旺</t>
    </r>
    <r>
      <rPr>
        <sz val="11"/>
        <color theme="1"/>
        <rFont val="等线"/>
        <family val="2"/>
        <charset val="134"/>
        <scheme val="minor"/>
      </rPr>
      <t>（强）：内容优质、逻辑清晰、有深度。</t>
    </r>
  </si>
  <si>
    <r>
      <t>落陷</t>
    </r>
    <r>
      <rPr>
        <sz val="11"/>
        <color theme="1"/>
        <rFont val="等线"/>
        <family val="2"/>
        <charset val="134"/>
        <scheme val="minor"/>
      </rPr>
      <t>（弱）：内容空洞、歪曲、虚假或沟通障碍。</t>
    </r>
  </si>
  <si>
    <r>
      <t>2. 与文昌星的对比</t>
    </r>
    <r>
      <rPr>
        <sz val="11"/>
        <color theme="1"/>
        <rFont val="等线"/>
        <family val="2"/>
        <charset val="134"/>
        <scheme val="minor"/>
      </rPr>
      <t>：</t>
    </r>
  </si>
  <si>
    <r>
      <t>文昌</t>
    </r>
    <r>
      <rPr>
        <sz val="11"/>
        <color theme="1"/>
        <rFont val="等线"/>
        <family val="2"/>
        <charset val="134"/>
        <scheme val="minor"/>
      </rPr>
      <t>：偏重形式（如文书格式、证书外观）。</t>
    </r>
  </si>
  <si>
    <r>
      <t>文曲</t>
    </r>
    <r>
      <rPr>
        <sz val="11"/>
        <color theme="1"/>
        <rFont val="等线"/>
        <family val="2"/>
        <charset val="134"/>
        <scheme val="minor"/>
      </rPr>
      <t>：专注实质内容（如合同条款、文章内涵）。</t>
    </r>
  </si>
  <si>
    <t>二、文曲在十二宫位的含义</t>
  </si>
  <si>
    <t>具体含义​</t>
  </si>
  <si>
    <t>典型场景​</t>
  </si>
  <si>
    <t>文书合同、证书、长辈学识</t>
  </si>
  <si>
    <t>签约条款问题、学历证书真伪</t>
  </si>
  <si>
    <r>
      <t>福德宫</t>
    </r>
    <r>
      <rPr>
        <sz val="11"/>
        <color theme="1"/>
        <rFont val="等线"/>
        <family val="2"/>
        <charset val="134"/>
        <scheme val="minor"/>
      </rPr>
      <t>​</t>
    </r>
  </si>
  <si>
    <t>思想内容、精神感悟</t>
  </si>
  <si>
    <t>内心纠结、灵感创意</t>
  </si>
  <si>
    <t>外界消息、异地信息</t>
  </si>
  <si>
    <t>留学通知、移民政策变动</t>
  </si>
  <si>
    <t>身体信息（DNA、病历）</t>
  </si>
  <si>
    <t>基因检测报告、健康档案</t>
  </si>
  <si>
    <t>财务内容（账目、投资方案）</t>
  </si>
  <si>
    <t>审计漏洞、理财协议陷阱</t>
  </si>
  <si>
    <r>
      <t>夫妻宫</t>
    </r>
    <r>
      <rPr>
        <sz val="11"/>
        <color theme="1"/>
        <rFont val="等线"/>
        <family val="2"/>
        <charset val="134"/>
        <scheme val="minor"/>
      </rPr>
      <t>​</t>
    </r>
  </si>
  <si>
    <t>感情表达、承诺内容</t>
  </si>
  <si>
    <t>甜言蜜语 vs. 欺骗性承诺</t>
  </si>
  <si>
    <r>
      <t>子女宫</t>
    </r>
    <r>
      <rPr>
        <sz val="11"/>
        <color theme="1"/>
        <rFont val="等线"/>
        <family val="2"/>
        <charset val="134"/>
        <scheme val="minor"/>
      </rPr>
      <t>​</t>
    </r>
  </si>
  <si>
    <t>子女天赋、教育内容</t>
  </si>
  <si>
    <t>孩子偏科、艺术才华</t>
  </si>
  <si>
    <t>三、文曲的组合应用</t>
  </si>
  <si>
    <r>
      <t>1. 文曲+煞星（如铃星、地劫）</t>
    </r>
    <r>
      <rPr>
        <sz val="11"/>
        <color theme="1"/>
        <rFont val="等线"/>
        <family val="2"/>
        <charset val="134"/>
        <scheme val="minor"/>
      </rPr>
      <t>：</t>
    </r>
  </si>
  <si>
    <r>
      <t>文曲铃星</t>
    </r>
    <r>
      <rPr>
        <sz val="11"/>
        <color theme="1"/>
        <rFont val="等线"/>
        <family val="2"/>
        <charset val="134"/>
        <scheme val="minor"/>
      </rPr>
      <t>：内容引发烦恼（如争议性文章、投诉信）。</t>
    </r>
  </si>
  <si>
    <r>
      <t>文曲地劫</t>
    </r>
    <r>
      <rPr>
        <sz val="11"/>
        <color theme="1"/>
        <rFont val="等线"/>
        <family val="2"/>
        <charset val="134"/>
        <scheme val="minor"/>
      </rPr>
      <t>：信息缺失或漏洞（合同漏洞、数据丢失）。</t>
    </r>
  </si>
  <si>
    <r>
      <t>2. 文曲+吉星（如天梁、天相）</t>
    </r>
    <r>
      <rPr>
        <sz val="11"/>
        <color theme="1"/>
        <rFont val="等线"/>
        <family val="2"/>
        <charset val="134"/>
        <scheme val="minor"/>
      </rPr>
      <t>：</t>
    </r>
  </si>
  <si>
    <r>
      <t>文曲天梁</t>
    </r>
    <r>
      <rPr>
        <sz val="11"/>
        <color theme="1"/>
        <rFont val="等线"/>
        <family val="2"/>
        <charset val="134"/>
        <scheme val="minor"/>
      </rPr>
      <t>：权威内容（法律法规、学术著作）。</t>
    </r>
  </si>
  <si>
    <r>
      <t>文曲天相</t>
    </r>
    <r>
      <rPr>
        <sz val="11"/>
        <color theme="1"/>
        <rFont val="等线"/>
        <family val="2"/>
        <charset val="134"/>
        <scheme val="minor"/>
      </rPr>
      <t>：生活化内容（菜谱、使用说明书）。</t>
    </r>
  </si>
  <si>
    <r>
      <t>3. 文曲化忌</t>
    </r>
    <r>
      <rPr>
        <sz val="11"/>
        <color theme="1"/>
        <rFont val="等线"/>
        <family val="2"/>
        <charset val="134"/>
        <scheme val="minor"/>
      </rPr>
      <t>：</t>
    </r>
  </si>
  <si>
    <t>内容错误（假新闻）、沟通失败（误解）、文书失效（合同作废）。</t>
  </si>
  <si>
    <t>四、实际案例参考</t>
  </si>
  <si>
    <r>
      <t>占工作</t>
    </r>
    <r>
      <rPr>
        <sz val="11"/>
        <color theme="1"/>
        <rFont val="等线"/>
        <family val="2"/>
        <charset val="134"/>
        <scheme val="minor"/>
      </rPr>
      <t>：文曲在官禄宫+文昌 → 从事文案、编辑、教育等需深度内容输出的职业。</t>
    </r>
  </si>
  <si>
    <r>
      <t>占健康</t>
    </r>
    <r>
      <rPr>
        <sz val="11"/>
        <color theme="1"/>
        <rFont val="等线"/>
        <family val="2"/>
        <charset val="134"/>
        <scheme val="minor"/>
      </rPr>
      <t>：文曲在疾厄宫+天刑 → 病历误诊或隐瞒病情。</t>
    </r>
  </si>
  <si>
    <r>
      <t>占感情</t>
    </r>
    <r>
      <rPr>
        <sz val="11"/>
        <color theme="1"/>
        <rFont val="等线"/>
        <family val="2"/>
        <charset val="134"/>
        <scheme val="minor"/>
      </rPr>
      <t>：文曲在夫妻宫化忌 → 甜言蜜语实为欺骗。</t>
    </r>
  </si>
  <si>
    <t>关键点总结</t>
  </si>
  <si>
    <r>
      <t>文曲的本质是“内容质量”</t>
    </r>
    <r>
      <rPr>
        <sz val="11"/>
        <color theme="1"/>
        <rFont val="等线"/>
        <family val="2"/>
        <charset val="134"/>
        <scheme val="minor"/>
      </rPr>
      <t>：庙旺则真，落陷则虚。</t>
    </r>
  </si>
  <si>
    <r>
      <t>四化影响巨大</t>
    </r>
    <r>
      <rPr>
        <sz val="11"/>
        <color theme="1"/>
        <rFont val="等线"/>
        <family val="2"/>
        <charset val="134"/>
        <scheme val="minor"/>
      </rPr>
      <t>：化禄增信，化忌失信（如谣言）。</t>
    </r>
  </si>
  <si>
    <r>
      <t>需结合对宫</t>
    </r>
    <r>
      <rPr>
        <sz val="11"/>
        <color theme="1"/>
        <rFont val="等线"/>
        <family val="2"/>
        <charset val="134"/>
        <scheme val="minor"/>
      </rPr>
      <t>：如迁移宫文曲化禄，可能预示异地offer或留学机会。</t>
    </r>
  </si>
  <si>
    <t>紫微星​</t>
  </si>
  <si>
    <r>
      <t>斗分</t>
    </r>
    <r>
      <rPr>
        <sz val="11"/>
        <color theme="1"/>
        <rFont val="等线"/>
        <family val="2"/>
        <charset val="134"/>
        <scheme val="minor"/>
      </rPr>
      <t>：北斗帝星</t>
    </r>
  </si>
  <si>
    <r>
      <t>阴阳五行</t>
    </r>
    <r>
      <rPr>
        <sz val="11"/>
        <color theme="1"/>
        <rFont val="等线"/>
        <family val="2"/>
        <charset val="134"/>
        <scheme val="minor"/>
      </rPr>
      <t>：阴土</t>
    </r>
  </si>
  <si>
    <r>
      <t>化气</t>
    </r>
    <r>
      <rPr>
        <sz val="11"/>
        <color theme="1"/>
        <rFont val="等线"/>
        <family val="2"/>
        <charset val="134"/>
        <scheme val="minor"/>
      </rPr>
      <t>：尊</t>
    </r>
  </si>
  <si>
    <r>
      <t>核心意象</t>
    </r>
    <r>
      <rPr>
        <sz val="11"/>
        <color theme="1"/>
        <rFont val="等线"/>
        <family val="2"/>
        <charset val="134"/>
        <scheme val="minor"/>
      </rPr>
      <t>：尊贵、优秀、独立、唯一性、高大上（高端/高级/顶级）、好面子</t>
    </r>
  </si>
  <si>
    <t>一、主星组合象义​</t>
  </si>
  <si>
    <t>（需结合对宫及辅星判断吉凶）</t>
  </si>
  <si>
    <t>组合星曜</t>
  </si>
  <si>
    <t>庙旺（7-10）象义</t>
  </si>
  <si>
    <t>落陷（1-3）象义</t>
  </si>
  <si>
    <r>
      <t>紫微+天府</t>
    </r>
    <r>
      <rPr>
        <sz val="11"/>
        <color theme="1"/>
        <rFont val="等线"/>
        <family val="2"/>
        <charset val="134"/>
        <scheme val="minor"/>
      </rPr>
      <t>​</t>
    </r>
  </si>
  <si>
    <t>空间性尊贵（皇宫/银行/高级场所）</t>
  </si>
  <si>
    <t>虚有其表（豪华但空洞）</t>
  </si>
  <si>
    <r>
      <t>紫微+破军</t>
    </r>
    <r>
      <rPr>
        <sz val="11"/>
        <color theme="1"/>
        <rFont val="等线"/>
        <family val="2"/>
        <charset val="134"/>
        <scheme val="minor"/>
      </rPr>
      <t>​</t>
    </r>
  </si>
  <si>
    <t>高层次突破（升职/创新成功）</t>
  </si>
  <si>
    <t>盲目冒进导致权威崩塌</t>
  </si>
  <si>
    <r>
      <t>紫微+七杀</t>
    </r>
    <r>
      <rPr>
        <sz val="11"/>
        <color theme="1"/>
        <rFont val="等线"/>
        <family val="2"/>
        <charset val="134"/>
        <scheme val="minor"/>
      </rPr>
      <t>​</t>
    </r>
  </si>
  <si>
    <t>高端线性事物（高压线/黄金脉络）</t>
  </si>
  <si>
    <t>重要事物断裂（资金链断裂/骨干离职）</t>
  </si>
  <si>
    <r>
      <t>紫微+天相</t>
    </r>
    <r>
      <rPr>
        <sz val="11"/>
        <color theme="1"/>
        <rFont val="等线"/>
        <family val="2"/>
        <charset val="134"/>
        <scheme val="minor"/>
      </rPr>
      <t>​</t>
    </r>
  </si>
  <si>
    <t>顶级呵护（ICU特护/奢侈品保养）</t>
  </si>
  <si>
    <t>表面光鲜内里脆弱（易碎的名牌）</t>
  </si>
  <si>
    <r>
      <t>紫微+天梁</t>
    </r>
    <r>
      <rPr>
        <sz val="11"/>
        <color theme="1"/>
        <rFont val="等线"/>
        <family val="2"/>
        <charset val="134"/>
        <scheme val="minor"/>
      </rPr>
      <t>​</t>
    </r>
  </si>
  <si>
    <t>权威支柱（国家法规/家族族长）</t>
  </si>
  <si>
    <t>支撑系统崩溃（企业倒闭/脊柱重病）</t>
  </si>
  <si>
    <t>二、辅星组合象义​</t>
  </si>
  <si>
    <t>（小星决定吉凶方向）</t>
  </si>
  <si>
    <t>辅星</t>
  </si>
  <si>
    <t>庙旺象义（正向）</t>
  </si>
  <si>
    <t>落陷象义（负向）</t>
  </si>
  <si>
    <r>
      <t>文昌</t>
    </r>
    <r>
      <rPr>
        <sz val="11"/>
        <color theme="1"/>
        <rFont val="等线"/>
        <family val="2"/>
        <charset val="134"/>
        <scheme val="minor"/>
      </rPr>
      <t>​</t>
    </r>
  </si>
  <si>
    <t>传播权威内容（官方宣言/专利文书）</t>
  </si>
  <si>
    <t>扭曲重要信息（谣言惑众/政策歪曲）</t>
  </si>
  <si>
    <r>
      <t>文曲</t>
    </r>
    <r>
      <rPr>
        <sz val="11"/>
        <color theme="1"/>
        <rFont val="等线"/>
        <family val="2"/>
        <charset val="134"/>
        <scheme val="minor"/>
      </rPr>
      <t>​</t>
    </r>
  </si>
  <si>
    <t>顶级文化内容（传世名作/核心机密）</t>
  </si>
  <si>
    <t>内容空洞浮夸（虚假广告/学术造假）</t>
  </si>
  <si>
    <r>
      <t>左辅</t>
    </r>
    <r>
      <rPr>
        <sz val="11"/>
        <color theme="1"/>
        <rFont val="等线"/>
        <family val="2"/>
        <charset val="134"/>
        <scheme val="minor"/>
      </rPr>
      <t>​</t>
    </r>
  </si>
  <si>
    <t>多重尊贵（双领导制/多学位）</t>
  </si>
  <si>
    <t>权威分散（多头管理混乱）</t>
  </si>
  <si>
    <r>
      <t>火星</t>
    </r>
    <r>
      <rPr>
        <sz val="11"/>
        <color theme="1"/>
        <rFont val="等线"/>
        <family val="2"/>
        <charset val="134"/>
        <scheme val="minor"/>
      </rPr>
      <t>​</t>
    </r>
  </si>
  <si>
    <t>高速高调（火箭发射/明星走红）</t>
  </si>
  <si>
    <t>尊贵被焚（名人丑闻/大厦火灾）</t>
  </si>
  <si>
    <r>
      <t>擎羊</t>
    </r>
    <r>
      <rPr>
        <sz val="11"/>
        <color theme="1"/>
        <rFont val="等线"/>
        <family val="2"/>
        <charset val="134"/>
        <scheme val="minor"/>
      </rPr>
      <t>​</t>
    </r>
  </si>
  <si>
    <t>权威切割（重大改革/外科手术）</t>
  </si>
  <si>
    <t>尊贵受损（毁容/降职）</t>
  </si>
  <si>
    <r>
      <t>地劫</t>
    </r>
    <r>
      <rPr>
        <sz val="11"/>
        <color theme="1"/>
        <rFont val="等线"/>
        <family val="2"/>
        <charset val="134"/>
        <scheme val="minor"/>
      </rPr>
      <t>​</t>
    </r>
  </si>
  <si>
    <t>失去唯一性（皇权颠覆/专利失效）</t>
  </si>
  <si>
    <t>表面尊贵实则空洞（镀金首饰）</t>
  </si>
  <si>
    <r>
      <t>阴煞</t>
    </r>
    <r>
      <rPr>
        <sz val="11"/>
        <color theme="1"/>
        <rFont val="等线"/>
        <family val="2"/>
        <charset val="134"/>
        <scheme val="minor"/>
      </rPr>
      <t>​</t>
    </r>
  </si>
  <si>
    <t>隐形尊贵（幕后大佬/非物质文化遗产）</t>
  </si>
  <si>
    <t>尊贵被掩盖（怀才不遇/真品被赝品埋没）</t>
  </si>
  <si>
    <t>三、宫位应用象义​</t>
  </si>
  <si>
    <t>宫位</t>
  </si>
  <si>
    <r>
      <t>命宫</t>
    </r>
    <r>
      <rPr>
        <sz val="11"/>
        <color theme="1"/>
        <rFont val="等线"/>
        <family val="2"/>
        <charset val="134"/>
        <scheme val="minor"/>
      </rPr>
      <t>​</t>
    </r>
  </si>
  <si>
    <t>天生贵气（领袖气质/学霸）</t>
  </si>
  <si>
    <t>孤高自负（人缘差/眼高手低）</t>
  </si>
  <si>
    <t>体面收入（高薪/遗产）</t>
  </si>
  <si>
    <t>虚耗钱财（充大款/投资泡沫）</t>
  </si>
  <si>
    <r>
      <t>官禄宫</t>
    </r>
    <r>
      <rPr>
        <sz val="11"/>
        <color theme="1"/>
        <rFont val="等线"/>
        <family val="2"/>
        <charset val="134"/>
        <scheme val="minor"/>
      </rPr>
      <t>​</t>
    </r>
  </si>
  <si>
    <t>管理阶层（CEO/公务员）</t>
  </si>
  <si>
    <t>空有头衔（傀儡领导/闲职）</t>
  </si>
  <si>
    <t>豪华房产（别墅/地标建筑）</t>
  </si>
  <si>
    <t>家道中落（抵押豪宅/凶宅）</t>
  </si>
  <si>
    <t>重要器官病（心脏病/脑瘤）</t>
  </si>
  <si>
    <t>脾胃虚弱（富贵病/消化不良）</t>
  </si>
  <si>
    <t>出入高端场所（国际会议/贵族学校）</t>
  </si>
  <si>
    <t>虚张声势（装阔/蹭高端场合）</t>
  </si>
  <si>
    <t>一、巨门定义​</t>
  </si>
  <si>
    <r>
      <t>属阴水</t>
    </r>
    <r>
      <rPr>
        <sz val="11"/>
        <color theme="1"/>
        <rFont val="等线"/>
        <family val="2"/>
        <charset val="134"/>
        <scheme val="minor"/>
      </rPr>
      <t>，核心象义：</t>
    </r>
  </si>
  <si>
    <r>
      <t>门</t>
    </r>
    <r>
      <rPr>
        <sz val="11"/>
        <color theme="1"/>
        <rFont val="等线"/>
        <family val="2"/>
        <charset val="134"/>
        <scheme val="minor"/>
      </rPr>
      <t>（通道、关卡、出入口）</t>
    </r>
  </si>
  <si>
    <r>
      <t>嘴</t>
    </r>
    <r>
      <rPr>
        <sz val="11"/>
        <color theme="1"/>
        <rFont val="等线"/>
        <family val="2"/>
        <charset val="134"/>
        <scheme val="minor"/>
      </rPr>
      <t>（言语、饮食、呼吸器官）</t>
    </r>
  </si>
  <si>
    <r>
      <t>说话</t>
    </r>
    <r>
      <rPr>
        <sz val="11"/>
        <color theme="1"/>
        <rFont val="等线"/>
        <family val="2"/>
        <charset val="134"/>
        <scheme val="minor"/>
      </rPr>
      <t>（表达、传播、争议）</t>
    </r>
  </si>
  <si>
    <r>
      <t>遮蔽</t>
    </r>
    <r>
      <rPr>
        <sz val="11"/>
        <color theme="1"/>
        <rFont val="等线"/>
        <family val="2"/>
        <charset val="134"/>
        <scheme val="minor"/>
      </rPr>
      <t>（隐藏、不明朗、阻碍）</t>
    </r>
  </si>
  <si>
    <t>二、宫位组合象义​</t>
  </si>
  <si>
    <t>核心象义​</t>
  </si>
  <si>
    <t>典型应用场景​</t>
  </si>
  <si>
    <t>言语主导命运：庙旺=善辩；落陷=口舌是非</t>
  </si>
  <si>
    <t>律师、讲师、推销员；落陷+煞星易因言获罪</t>
  </si>
  <si>
    <t>文书、长辈关系：+文昌=学历证书；+阴煞=隐性协议</t>
  </si>
  <si>
    <t>合同纠纷；父母有隐瞒之事</t>
  </si>
  <si>
    <t>思想暗流：庙旺=深思熟虑；落陷+铃星=钻牛角尖</t>
  </si>
  <si>
    <t>心理压抑；修行者心魔</t>
  </si>
  <si>
    <t>家宅门户：+天刑=防盗门；+阴煞=房屋风水隐患</t>
  </si>
  <si>
    <t>房门破损；地下室阴气</t>
  </si>
  <si>
    <t>职业沟通：+文曲=谈判专家；+擎羊=高压销售</t>
  </si>
  <si>
    <t>客服争议；公关危机处理</t>
  </si>
  <si>
    <t>人际门户：庙旺=广结人脉；落陷+地劫=朋友背叛</t>
  </si>
  <si>
    <t>团队口角；社交孤立</t>
  </si>
  <si>
    <t>外界评价：+太阳=公众演讲；+陀罗=流言缠身</t>
  </si>
  <si>
    <t>移民签证受阻；网络舆论攻击</t>
  </si>
  <si>
    <t>身体通道：口腔、食道、呼吸道；+火星=咽喉炎</t>
  </si>
  <si>
    <t>胃食管反流；呼吸系统堵塞</t>
  </si>
  <si>
    <t>暗财流动：+武曲=灰色收入；+地空=虚报账目</t>
  </si>
  <si>
    <t>回扣；保险理赔纠纷</t>
  </si>
  <si>
    <t>生育通道：+天喜=顺产；+天刑=剖腹产</t>
  </si>
  <si>
    <t>儿童语言障碍；青春期叛逆</t>
  </si>
  <si>
    <t>感情沟通：庙旺=甜言蜜语；落陷+巨门忌=冷战</t>
  </si>
  <si>
    <t>离婚协议；婚外情曝光</t>
  </si>
  <si>
    <r>
      <t>兄弟宫</t>
    </r>
    <r>
      <rPr>
        <sz val="11"/>
        <color theme="1"/>
        <rFont val="等线"/>
        <family val="2"/>
        <charset val="134"/>
        <scheme val="minor"/>
      </rPr>
      <t>​</t>
    </r>
  </si>
  <si>
    <t>手足隔阂：+右弼=替兄弟代言；+天哭=兄弟反目</t>
  </si>
  <si>
    <t>遗产争夺；合伙纠纷</t>
  </si>
  <si>
    <t>三、四化象义​</t>
  </si>
  <si>
    <t>四化​</t>
  </si>
  <si>
    <t>庙旺（利4-庙7）​</t>
  </si>
  <si>
    <t>落陷（陷1-平3）​</t>
  </si>
  <si>
    <r>
      <t>化禄</t>
    </r>
    <r>
      <rPr>
        <sz val="11"/>
        <color theme="1"/>
        <rFont val="等线"/>
        <family val="2"/>
        <charset val="134"/>
        <scheme val="minor"/>
      </rPr>
      <t>​</t>
    </r>
  </si>
  <si>
    <t>言语得利（谈判成功、美食享受）</t>
  </si>
  <si>
    <t>空谈无果（画大饼、饮食过量）</t>
  </si>
  <si>
    <r>
      <t>化权</t>
    </r>
    <r>
      <rPr>
        <sz val="11"/>
        <color theme="1"/>
        <rFont val="等线"/>
        <family val="2"/>
        <charset val="134"/>
        <scheme val="minor"/>
      </rPr>
      <t>​</t>
    </r>
  </si>
  <si>
    <t>掌控话语权（立法者、权威发布）</t>
  </si>
  <si>
    <t>言语压制（威胁恐吓、独断专行）</t>
  </si>
  <si>
    <r>
      <t>化科</t>
    </r>
    <r>
      <rPr>
        <sz val="11"/>
        <color theme="1"/>
        <rFont val="等线"/>
        <family val="2"/>
        <charset val="134"/>
        <scheme val="minor"/>
      </rPr>
      <t>​</t>
    </r>
  </si>
  <si>
    <t>化解争议（调解专家、优雅谈吐）</t>
  </si>
  <si>
    <t>虚伪修饰（场面话、公关套话）</t>
  </si>
  <si>
    <r>
      <t>化忌</t>
    </r>
    <r>
      <rPr>
        <sz val="11"/>
        <color theme="1"/>
        <rFont val="等线"/>
        <family val="2"/>
        <charset val="134"/>
        <scheme val="minor"/>
      </rPr>
      <t>​</t>
    </r>
  </si>
  <si>
    <t>言多必失（诉讼败诉、机密泄露）</t>
  </si>
  <si>
    <t>沟通绝境（失语症、社交恐惧）</t>
  </si>
  <si>
    <t>四、辅星组合象义​</t>
  </si>
  <si>
    <t>交互象义​</t>
  </si>
  <si>
    <t>文书门路：+巨门=合同条款；化忌=文字陷阱</t>
  </si>
  <si>
    <t>法律文件漏洞；学术抄袭</t>
  </si>
  <si>
    <t>艺术表达：+巨门=声乐表演；化忌=歌词争议</t>
  </si>
  <si>
    <t>演唱会口误；版权纠纷</t>
  </si>
  <si>
    <r>
      <t>铃星</t>
    </r>
    <r>
      <rPr>
        <sz val="11"/>
        <color theme="1"/>
        <rFont val="等线"/>
        <family val="2"/>
        <charset val="134"/>
        <scheme val="minor"/>
      </rPr>
      <t>​</t>
    </r>
  </si>
  <si>
    <t>言语摩擦：+巨门=争吵不休；+天刑=法庭辩论</t>
  </si>
  <si>
    <t>夫妻骂战；网络骂战</t>
  </si>
  <si>
    <t>言语伤害：+巨门=恶语伤人；+疾厄=口腔手术</t>
  </si>
  <si>
    <t>诽谤诉讼；牙齿矫正</t>
  </si>
  <si>
    <r>
      <t>陀罗</t>
    </r>
    <r>
      <rPr>
        <sz val="11"/>
        <color theme="1"/>
        <rFont val="等线"/>
        <family val="2"/>
        <charset val="134"/>
        <scheme val="minor"/>
      </rPr>
      <t>​</t>
    </r>
  </si>
  <si>
    <t>沟通拖延：+巨门=反复解释；+迁移=签证延期</t>
  </si>
  <si>
    <t>翻译卡顿；谈判拉锯战</t>
  </si>
  <si>
    <r>
      <t>地空</t>
    </r>
    <r>
      <rPr>
        <sz val="11"/>
        <color theme="1"/>
        <rFont val="等线"/>
        <family val="2"/>
        <charset val="134"/>
        <scheme val="minor"/>
      </rPr>
      <t>​</t>
    </r>
  </si>
  <si>
    <t>虚妄之言：+巨门=谣言传播；+父母=假学历</t>
  </si>
  <si>
    <t>虚假广告；伪科学宣传</t>
  </si>
  <si>
    <t>断联缺口：+巨门=信号中断；+子女=亲子代沟</t>
  </si>
  <si>
    <t>电话断线；青春期沟通障碍</t>
  </si>
  <si>
    <r>
      <t>天刑</t>
    </r>
    <r>
      <rPr>
        <sz val="11"/>
        <color theme="1"/>
        <rFont val="等线"/>
        <family val="2"/>
        <charset val="134"/>
        <scheme val="minor"/>
      </rPr>
      <t>​</t>
    </r>
  </si>
  <si>
    <t>法律门户：+巨门=司法程序；化权=强制执行</t>
  </si>
  <si>
    <t>法院传票；合同违约</t>
  </si>
  <si>
    <t>隐秘门道：+巨门=间谍活动；+田宅=房屋闹鬼</t>
  </si>
  <si>
    <t>窃听丑闻；风水煞位</t>
  </si>
  <si>
    <r>
      <t>天喜</t>
    </r>
    <r>
      <rPr>
        <sz val="11"/>
        <color theme="1"/>
        <rFont val="等线"/>
        <family val="2"/>
        <charset val="134"/>
        <scheme val="minor"/>
      </rPr>
      <t>​</t>
    </r>
  </si>
  <si>
    <t>喜庆之门：+巨门=婚礼致辞；+夫妻=表白成功</t>
  </si>
  <si>
    <t>求婚宣言；庆典主持</t>
  </si>
  <si>
    <r>
      <t>天姚</t>
    </r>
    <r>
      <rPr>
        <sz val="11"/>
        <color theme="1"/>
        <rFont val="等线"/>
        <family val="2"/>
        <charset val="134"/>
        <scheme val="minor"/>
      </rPr>
      <t>​</t>
    </r>
  </si>
  <si>
    <t>桃色口舌：+巨门=暧昧短信；化忌=性丑闻</t>
  </si>
  <si>
    <t>桃色绯闻；色情直播</t>
  </si>
  <si>
    <t>五、特殊组合案例​</t>
  </si>
  <si>
    <r>
      <t>1. 巨门+地劫（财帛宫）</t>
    </r>
    <r>
      <rPr>
        <sz val="11"/>
        <color theme="1"/>
        <rFont val="等线"/>
        <family val="2"/>
        <charset val="134"/>
        <scheme val="minor"/>
      </rPr>
      <t>​</t>
    </r>
  </si>
  <si>
    <r>
      <t>象义</t>
    </r>
    <r>
      <rPr>
        <sz val="11"/>
        <color theme="1"/>
        <rFont val="等线"/>
        <family val="2"/>
        <charset val="134"/>
        <scheme val="minor"/>
      </rPr>
      <t>：财务漏洞（如信用卡盗刷、税务稽查）</t>
    </r>
  </si>
  <si>
    <r>
      <t>案例</t>
    </r>
    <r>
      <rPr>
        <sz val="11"/>
        <color theme="1"/>
        <rFont val="等线"/>
        <family val="2"/>
        <charset val="134"/>
        <scheme val="minor"/>
      </rPr>
      <t>：对宫武曲天相，提示需核查金融账户安全。</t>
    </r>
  </si>
  <si>
    <r>
      <t>2. 巨门文昌忌（父母宫）</t>
    </r>
    <r>
      <rPr>
        <sz val="11"/>
        <color theme="1"/>
        <rFont val="等线"/>
        <family val="2"/>
        <charset val="134"/>
        <scheme val="minor"/>
      </rPr>
      <t>​</t>
    </r>
  </si>
  <si>
    <r>
      <t>象义</t>
    </r>
    <r>
      <rPr>
        <sz val="11"/>
        <color theme="1"/>
        <rFont val="等线"/>
        <family val="2"/>
        <charset val="134"/>
        <scheme val="minor"/>
      </rPr>
      <t>：学历造假（如毕业证无效、学术不端）</t>
    </r>
  </si>
  <si>
    <r>
      <t>案例</t>
    </r>
    <r>
      <rPr>
        <sz val="11"/>
        <color theme="1"/>
        <rFont val="等线"/>
        <family val="2"/>
        <charset val="134"/>
        <scheme val="minor"/>
      </rPr>
      <t>：追忌至官禄宫太阳权，暴露职场资格审查问题。</t>
    </r>
  </si>
  <si>
    <r>
      <t>3. 巨门铃星（迁移宫）</t>
    </r>
    <r>
      <rPr>
        <sz val="11"/>
        <color theme="1"/>
        <rFont val="等线"/>
        <family val="2"/>
        <charset val="134"/>
        <scheme val="minor"/>
      </rPr>
      <t>​</t>
    </r>
  </si>
  <si>
    <r>
      <t>象义</t>
    </r>
    <r>
      <rPr>
        <sz val="11"/>
        <color theme="1"/>
        <rFont val="等线"/>
        <family val="2"/>
        <charset val="134"/>
        <scheme val="minor"/>
      </rPr>
      <t>：网络暴力（如社交媒体骂战、人肉搜索）</t>
    </r>
  </si>
  <si>
    <r>
      <t>解法</t>
    </r>
    <r>
      <rPr>
        <sz val="11"/>
        <color theme="1"/>
        <rFont val="等线"/>
        <family val="2"/>
        <charset val="134"/>
        <scheme val="minor"/>
      </rPr>
      <t>：需激活天同化禄（福德宫）以情绪疏导。</t>
    </r>
  </si>
  <si>
    <t>六、关键逻辑​</t>
  </si>
  <si>
    <r>
      <t>庙陷差异</t>
    </r>
    <r>
      <rPr>
        <sz val="11"/>
        <color theme="1"/>
        <rFont val="等线"/>
        <family val="2"/>
        <charset val="134"/>
        <scheme val="minor"/>
      </rPr>
      <t>：庙旺（申酉戌亥）主言语影响力；落陷（巳午未）主口舌灾厄。</t>
    </r>
  </si>
  <si>
    <r>
      <t>对冲规则</t>
    </r>
    <r>
      <rPr>
        <sz val="11"/>
        <color theme="1"/>
        <rFont val="等线"/>
        <family val="2"/>
        <charset val="134"/>
        <scheme val="minor"/>
      </rPr>
      <t>：对宫太阳主导巨门显隐——太阳旺则巨门公开化，太阳陷则巨门隐秘化。</t>
    </r>
  </si>
  <si>
    <r>
      <t>自化象</t>
    </r>
    <r>
      <rPr>
        <sz val="11"/>
        <color theme="1"/>
        <rFont val="等线"/>
        <family val="2"/>
        <charset val="134"/>
        <scheme val="minor"/>
      </rPr>
      <t>：巨门自化忌（如丑未宫）表“言出祸随”，需搭配天梁解神以化解。</t>
    </r>
  </si>
  <si>
    <t>一、天机定义​</t>
  </si>
  <si>
    <r>
      <t>属性</t>
    </r>
    <r>
      <rPr>
        <sz val="11"/>
        <color theme="1"/>
        <rFont val="等线"/>
        <family val="2"/>
        <charset val="134"/>
        <scheme val="minor"/>
      </rPr>
      <t>：阴木</t>
    </r>
  </si>
  <si>
    <r>
      <t>斗分</t>
    </r>
    <r>
      <rPr>
        <sz val="11"/>
        <color theme="1"/>
        <rFont val="等线"/>
        <family val="2"/>
        <charset val="134"/>
        <scheme val="minor"/>
      </rPr>
      <t>：南斗三星</t>
    </r>
  </si>
  <si>
    <r>
      <t>化气</t>
    </r>
    <r>
      <rPr>
        <sz val="11"/>
        <color theme="1"/>
        <rFont val="等线"/>
        <family val="2"/>
        <charset val="134"/>
        <scheme val="minor"/>
      </rPr>
      <t>：动、道</t>
    </r>
  </si>
  <si>
    <r>
      <t>核心象义</t>
    </r>
    <r>
      <rPr>
        <sz val="11"/>
        <color theme="1"/>
        <rFont val="等线"/>
        <family val="2"/>
        <charset val="134"/>
        <scheme val="minor"/>
      </rPr>
      <t>：</t>
    </r>
  </si>
  <si>
    <r>
      <t>1. 动</t>
    </r>
    <r>
      <rPr>
        <sz val="11"/>
        <color theme="1"/>
        <rFont val="等线"/>
        <family val="2"/>
        <charset val="134"/>
        <scheme val="minor"/>
      </rPr>
      <t>：运动速度、变化频率（木水位庙旺：高速；火金位落陷：迟缓）</t>
    </r>
  </si>
  <si>
    <r>
      <t>2. 道</t>
    </r>
    <r>
      <rPr>
        <sz val="11"/>
        <color theme="1"/>
        <rFont val="等线"/>
        <family val="2"/>
        <charset val="134"/>
        <scheme val="minor"/>
      </rPr>
      <t>：道路、通道、规则（天道/人道）、传递路径</t>
    </r>
  </si>
  <si>
    <r>
      <t>3. 同音卦</t>
    </r>
    <r>
      <rPr>
        <sz val="11"/>
        <color theme="1"/>
        <rFont val="等线"/>
        <family val="2"/>
        <charset val="134"/>
        <scheme val="minor"/>
      </rPr>
      <t>：机灵、计算、机械（如车辆、电子设备）</t>
    </r>
  </si>
  <si>
    <t>二、宫位象义组合​</t>
  </si>
  <si>
    <t>具体应用​</t>
  </si>
  <si>
    <t>命运动态</t>
  </si>
  <si>
    <t>庙旺：思维敏捷；落陷：优柔寡断</t>
  </si>
  <si>
    <t>文书/长辈</t>
  </si>
  <si>
    <t>证书、学业路径、长辈关系变动</t>
  </si>
  <si>
    <t>身体通道</t>
  </si>
  <si>
    <t>神经系统、血管、呼吸道疾病</t>
  </si>
  <si>
    <t>外界动向</t>
  </si>
  <si>
    <t>旅行、移民、外界信息传递</t>
  </si>
  <si>
    <t>资金流动</t>
  </si>
  <si>
    <t>资金周转率、投资流转速度</t>
  </si>
  <si>
    <t>空间路径</t>
  </si>
  <si>
    <t>家中动线、搬迁、房产交易通道</t>
  </si>
  <si>
    <t>三、星曜互动与四化​</t>
  </si>
  <si>
    <r>
      <t>1. 庙陷影响</t>
    </r>
    <r>
      <rPr>
        <sz val="11"/>
        <color theme="1"/>
        <rFont val="等线"/>
        <family val="2"/>
        <charset val="134"/>
        <scheme val="minor"/>
      </rPr>
      <t>：</t>
    </r>
  </si>
  <si>
    <t>木水位（寅、卯、亥）：庙旺（6-7级），动势强劲</t>
  </si>
  <si>
    <t>火金位（巳、午、申、酉）：落陷（1-3级），动势阻滞</t>
  </si>
  <si>
    <r>
      <t>2. 四化联动</t>
    </r>
    <r>
      <rPr>
        <sz val="11"/>
        <color theme="1"/>
        <rFont val="等线"/>
        <family val="2"/>
        <charset val="134"/>
        <scheme val="minor"/>
      </rPr>
      <t>：</t>
    </r>
  </si>
  <si>
    <r>
      <t>化禄（乙干）</t>
    </r>
    <r>
      <rPr>
        <sz val="11"/>
        <color theme="1"/>
        <rFont val="等线"/>
        <family val="2"/>
        <charset val="134"/>
        <scheme val="minor"/>
      </rPr>
      <t>：加速运动（例：投资获利快）</t>
    </r>
  </si>
  <si>
    <r>
      <t>化权（丙干）</t>
    </r>
    <r>
      <rPr>
        <sz val="11"/>
        <color theme="1"/>
        <rFont val="等线"/>
        <family val="2"/>
        <charset val="134"/>
        <scheme val="minor"/>
      </rPr>
      <t>：掌控动向（例：管理交通系统）</t>
    </r>
  </si>
  <si>
    <r>
      <t>化忌（戊干）</t>
    </r>
    <r>
      <rPr>
        <sz val="11"/>
        <color theme="1"/>
        <rFont val="等线"/>
        <family val="2"/>
        <charset val="134"/>
        <scheme val="minor"/>
      </rPr>
      <t>：中断/错误动向（例：机械故障、决策失误）</t>
    </r>
  </si>
  <si>
    <t>组合象义​</t>
  </si>
  <si>
    <t>案例​</t>
  </si>
  <si>
    <r>
      <t>天机+陀罗</t>
    </r>
    <r>
      <rPr>
        <sz val="11"/>
        <color theme="1"/>
        <rFont val="等线"/>
        <family val="2"/>
        <charset val="134"/>
        <scheme val="minor"/>
      </rPr>
      <t>​</t>
    </r>
  </si>
  <si>
    <t>反复转动</t>
  </si>
  <si>
    <t>关节疾病、循环性工作</t>
  </si>
  <si>
    <r>
      <t>天机+火星</t>
    </r>
    <r>
      <rPr>
        <sz val="11"/>
        <color theme="1"/>
        <rFont val="等线"/>
        <family val="2"/>
        <charset val="134"/>
        <scheme val="minor"/>
      </rPr>
      <t>​</t>
    </r>
  </si>
  <si>
    <t>急速变动</t>
  </si>
  <si>
    <t>突发车祸、电子设备短路</t>
  </si>
  <si>
    <r>
      <t>天机+文昌</t>
    </r>
    <r>
      <rPr>
        <sz val="11"/>
        <color theme="1"/>
        <rFont val="等线"/>
        <family val="2"/>
        <charset val="134"/>
        <scheme val="minor"/>
      </rPr>
      <t>​</t>
    </r>
  </si>
  <si>
    <t>计算传递</t>
  </si>
  <si>
    <t>编程、数据传播、学术研究</t>
  </si>
  <si>
    <r>
      <t>天机+地劫</t>
    </r>
    <r>
      <rPr>
        <sz val="11"/>
        <color theme="1"/>
        <rFont val="等线"/>
        <family val="2"/>
        <charset val="134"/>
        <scheme val="minor"/>
      </rPr>
      <t>​</t>
    </r>
  </si>
  <si>
    <t>道路中断</t>
  </si>
  <si>
    <t>投资失败、交通瘫痪</t>
  </si>
  <si>
    <t>五、典型组合案例​</t>
  </si>
  <si>
    <r>
      <t>1. 天机+太阴（水流动）</t>
    </r>
    <r>
      <rPr>
        <sz val="11"/>
        <color theme="1"/>
        <rFont val="等线"/>
        <family val="2"/>
        <charset val="134"/>
        <scheme val="minor"/>
      </rPr>
      <t>​</t>
    </r>
  </si>
  <si>
    <r>
      <t>象义</t>
    </r>
    <r>
      <rPr>
        <sz val="11"/>
        <color theme="1"/>
        <rFont val="等线"/>
        <family val="2"/>
        <charset val="134"/>
        <scheme val="minor"/>
      </rPr>
      <t>：资金流动、情感传递</t>
    </r>
  </si>
  <si>
    <r>
      <t>案例</t>
    </r>
    <r>
      <rPr>
        <sz val="11"/>
        <color theme="1"/>
        <rFont val="等线"/>
        <family val="2"/>
        <charset val="134"/>
        <scheme val="minor"/>
      </rPr>
      <t>：</t>
    </r>
  </si>
  <si>
    <t>财帛宫：货币汇率波动（太阴庙旺主存储，天机主流转）</t>
  </si>
  <si>
    <t>夫妻宫：情感交流频率（天机权+太阴忌：沟通中断）</t>
  </si>
  <si>
    <r>
      <t>2. 天机+破军（突破性运动）</t>
    </r>
    <r>
      <rPr>
        <sz val="11"/>
        <color theme="1"/>
        <rFont val="等线"/>
        <family val="2"/>
        <charset val="134"/>
        <scheme val="minor"/>
      </rPr>
      <t>​</t>
    </r>
  </si>
  <si>
    <r>
      <t>象义</t>
    </r>
    <r>
      <rPr>
        <sz val="11"/>
        <color theme="1"/>
        <rFont val="等线"/>
        <family val="2"/>
        <charset val="134"/>
        <scheme val="minor"/>
      </rPr>
      <t>：技术革新、路径突破</t>
    </r>
  </si>
  <si>
    <t>官禄宫：行业转型（破军突破+天机计算）</t>
  </si>
  <si>
    <t>疾厄宫：微创手术（破军破坏+天机精密）</t>
  </si>
  <si>
    <t>六、特殊注意事项​</t>
  </si>
  <si>
    <r>
      <t>1. 动与静的辩证</t>
    </r>
    <r>
      <rPr>
        <sz val="11"/>
        <color theme="1"/>
        <rFont val="等线"/>
        <family val="2"/>
        <charset val="134"/>
        <scheme val="minor"/>
      </rPr>
      <t>：</t>
    </r>
  </si>
  <si>
    <t>天机庙旺见禄存：动中有稳（如自动化生产线）</t>
  </si>
  <si>
    <t>天机落陷见擎羊：静中藏险（如潜伏的交通隐患）</t>
  </si>
  <si>
    <r>
      <t>2. 道与器的结合</t>
    </r>
    <r>
      <rPr>
        <sz val="11"/>
        <color theme="1"/>
        <rFont val="等线"/>
        <family val="2"/>
        <charset val="134"/>
        <scheme val="minor"/>
      </rPr>
      <t>：</t>
    </r>
  </si>
  <si>
    <t>天机+天梁：规则化动线（法律流程、医疗方案）</t>
  </si>
  <si>
    <t>天机+廉贞：精密控制（电子囚禁、程序编码）</t>
  </si>
  <si>
    <t>天梁星​</t>
  </si>
  <si>
    <r>
      <t>斗分</t>
    </r>
    <r>
      <rPr>
        <sz val="11"/>
        <color theme="1"/>
        <rFont val="等线"/>
        <family val="2"/>
        <charset val="134"/>
        <scheme val="minor"/>
      </rPr>
      <t>：南斗二星系</t>
    </r>
  </si>
  <si>
    <r>
      <t>阴阳五行</t>
    </r>
    <r>
      <rPr>
        <sz val="11"/>
        <color theme="1"/>
        <rFont val="等线"/>
        <family val="2"/>
        <charset val="134"/>
        <scheme val="minor"/>
      </rPr>
      <t>：阳土（戊干）</t>
    </r>
  </si>
  <si>
    <r>
      <t>化气</t>
    </r>
    <r>
      <rPr>
        <sz val="11"/>
        <color theme="1"/>
        <rFont val="等线"/>
        <family val="2"/>
        <charset val="134"/>
        <scheme val="minor"/>
      </rPr>
      <t>：荫、寿</t>
    </r>
  </si>
  <si>
    <r>
      <t>核心意象</t>
    </r>
    <r>
      <rPr>
        <sz val="11"/>
        <color theme="1"/>
        <rFont val="等线"/>
        <family val="2"/>
        <charset val="134"/>
        <scheme val="minor"/>
      </rPr>
      <t>：支柱、支撑、规则、公共性、根脉传承</t>
    </r>
  </si>
  <si>
    <t>一、基础属性​</t>
  </si>
  <si>
    <t>属性​</t>
  </si>
  <si>
    <t>原始定义​</t>
  </si>
  <si>
    <r>
      <t>本质</t>
    </r>
    <r>
      <rPr>
        <sz val="11"/>
        <color theme="1"/>
        <rFont val="等线"/>
        <family val="2"/>
        <charset val="134"/>
        <scheme val="minor"/>
      </rPr>
      <t>​</t>
    </r>
  </si>
  <si>
    <t>象征能承担重量的支柱结构（如建筑梁柱、脊柱、法律体系）</t>
  </si>
  <si>
    <r>
      <t>公共性质</t>
    </r>
    <r>
      <rPr>
        <sz val="11"/>
        <color theme="1"/>
        <rFont val="等线"/>
        <family val="2"/>
        <charset val="134"/>
        <scheme val="minor"/>
      </rPr>
      <t>​</t>
    </r>
  </si>
  <si>
    <t>代表多方利益平衡时的特征（如法规、公共政策）；与天相星的法律执行性质区别</t>
  </si>
  <si>
    <r>
      <t>根脉传承</t>
    </r>
    <r>
      <rPr>
        <sz val="11"/>
        <color theme="1"/>
        <rFont val="等线"/>
        <family val="2"/>
        <charset val="134"/>
        <scheme val="minor"/>
      </rPr>
      <t>​</t>
    </r>
  </si>
  <si>
    <t>庙旺：直系祖先/家族主脉；落陷：旁系祖先或无关灵体（查坟山风水、遗传病）</t>
  </si>
  <si>
    <r>
      <t>颜色表征</t>
    </r>
    <r>
      <rPr>
        <sz val="11"/>
        <color theme="1"/>
        <rFont val="等线"/>
        <family val="2"/>
        <charset val="134"/>
        <scheme val="minor"/>
      </rPr>
      <t>​</t>
    </r>
  </si>
  <si>
    <t>主黄色，对应传统、稳重意象</t>
  </si>
  <si>
    <r>
      <t>庙陷差异</t>
    </r>
    <r>
      <rPr>
        <sz val="11"/>
        <color theme="1"/>
        <rFont val="等线"/>
        <family val="2"/>
        <charset val="134"/>
        <scheme val="minor"/>
      </rPr>
      <t>​</t>
    </r>
  </si>
  <si>
    <t>庙旺（辰/午/未/酉）：支撑力强；落陷（寅/申/巳/亥）：支撑系统崩溃</t>
  </si>
  <si>
    <t>二、单星象义​</t>
  </si>
  <si>
    <t>1. 核心象征​</t>
  </si>
  <si>
    <t>场景​</t>
  </si>
  <si>
    <t>庙旺（7-10级）​</t>
  </si>
  <si>
    <t>落陷（1-3级）​</t>
  </si>
  <si>
    <r>
      <t>支撑体系</t>
    </r>
    <r>
      <rPr>
        <sz val="11"/>
        <color theme="1"/>
        <rFont val="等线"/>
        <family val="2"/>
        <charset val="134"/>
        <scheme val="minor"/>
      </rPr>
      <t>​</t>
    </r>
  </si>
  <si>
    <t>权威支柱（政府法规/家族族长/企业高管）</t>
  </si>
  <si>
    <t>支撑失效（企业倒闭/脊柱伤病/承诺落空）</t>
  </si>
  <si>
    <r>
      <t>规则属性</t>
    </r>
    <r>
      <rPr>
        <sz val="11"/>
        <color theme="1"/>
        <rFont val="等线"/>
        <family val="2"/>
        <charset val="134"/>
        <scheme val="minor"/>
      </rPr>
      <t>​</t>
    </r>
  </si>
  <si>
    <t>本层空间规则（现实法律/行业标准）</t>
  </si>
  <si>
    <t>外层空间规则（玄学/灵体契约）</t>
  </si>
  <si>
    <r>
      <t>公共事务</t>
    </r>
    <r>
      <rPr>
        <sz val="11"/>
        <color theme="1"/>
        <rFont val="等线"/>
        <family val="2"/>
        <charset val="134"/>
        <scheme val="minor"/>
      </rPr>
      <t>​</t>
    </r>
  </si>
  <si>
    <t>达成共识（合同签订/政策落地）</t>
  </si>
  <si>
    <t>未达成共识（谈判破裂/条款争议）</t>
  </si>
  <si>
    <r>
      <t>遗传表征</t>
    </r>
    <r>
      <rPr>
        <sz val="11"/>
        <color theme="1"/>
        <rFont val="等线"/>
        <family val="2"/>
        <charset val="134"/>
        <scheme val="minor"/>
      </rPr>
      <t>​</t>
    </r>
  </si>
  <si>
    <t>家族荫庇（祖产/优质基因）</t>
  </si>
  <si>
    <t>遗传缺陷（先天疾病/家族诅咒）</t>
  </si>
  <si>
    <t>2. 特殊状态​</t>
  </si>
  <si>
    <r>
      <t>风雨飘摇格</t>
    </r>
    <r>
      <rPr>
        <sz val="11"/>
        <color theme="1"/>
        <rFont val="等线"/>
        <family val="2"/>
        <charset val="134"/>
        <scheme val="minor"/>
      </rPr>
      <t>：天梁落陷+煞星（地劫/铃星）→ 命运动荡（如古代名妓/现代事业不稳）</t>
    </r>
  </si>
  <si>
    <r>
      <t>查根脉规则</t>
    </r>
    <r>
      <rPr>
        <sz val="11"/>
        <color theme="1"/>
        <rFont val="等线"/>
        <family val="2"/>
        <charset val="134"/>
        <scheme val="minor"/>
      </rPr>
      <t>：</t>
    </r>
  </si>
  <si>
    <t>父母宫天梁+文昌：旁系亲属影响</t>
  </si>
  <si>
    <t>疾厄宫天梁+天刑：遗传性脊柱疾病</t>
  </si>
  <si>
    <t>三、组合象义​</t>
  </si>
  <si>
    <t>1. 主星组合​</t>
  </si>
  <si>
    <t>庙旺象义​</t>
  </si>
  <si>
    <t>落陷象义​</t>
  </si>
  <si>
    <r>
      <t>天梁+天同</t>
    </r>
    <r>
      <rPr>
        <sz val="11"/>
        <color theme="1"/>
        <rFont val="等线"/>
        <family val="2"/>
        <charset val="134"/>
        <scheme val="minor"/>
      </rPr>
      <t>​</t>
    </r>
  </si>
  <si>
    <t>共识达成（团队协作/传统仪式）</t>
  </si>
  <si>
    <t>空谈无果（理想化方案失效）</t>
  </si>
  <si>
    <r>
      <t>天梁+天机</t>
    </r>
    <r>
      <rPr>
        <sz val="11"/>
        <color theme="1"/>
        <rFont val="等线"/>
        <family val="2"/>
        <charset val="134"/>
        <scheme val="minor"/>
      </rPr>
      <t>​</t>
    </r>
  </si>
  <si>
    <t>移动支撑（道路养护/关节治疗）</t>
  </si>
  <si>
    <t>结构松动（桥梁隐患/神经传导障碍）</t>
  </si>
  <si>
    <r>
      <t>天梁+太阳</t>
    </r>
    <r>
      <rPr>
        <sz val="11"/>
        <color theme="1"/>
        <rFont val="等线"/>
        <family val="2"/>
        <charset val="134"/>
        <scheme val="minor"/>
      </rPr>
      <t>​</t>
    </r>
  </si>
  <si>
    <t>传统权威（学术泰斗/老字号）</t>
  </si>
  <si>
    <t>权威崩塌（伪专家/古董造假）</t>
  </si>
  <si>
    <r>
      <t>天梁+七杀</t>
    </r>
    <r>
      <rPr>
        <sz val="11"/>
        <color theme="1"/>
        <rFont val="等线"/>
        <family val="2"/>
        <charset val="134"/>
        <scheme val="minor"/>
      </rPr>
      <t>​</t>
    </r>
  </si>
  <si>
    <t>刚性支柱（钢筋结构/军事管制）</t>
  </si>
  <si>
    <t>支柱断裂（骨折/制度崩溃）</t>
  </si>
  <si>
    <t>2. 辅星组合​</t>
  </si>
  <si>
    <t>吉象（庙旺）​</t>
  </si>
  <si>
    <t>凶象（落陷）​</t>
  </si>
  <si>
    <r>
      <t>天梁+文昌</t>
    </r>
    <r>
      <rPr>
        <sz val="11"/>
        <color theme="1"/>
        <rFont val="等线"/>
        <family val="2"/>
        <charset val="134"/>
        <scheme val="minor"/>
      </rPr>
      <t>​</t>
    </r>
  </si>
  <si>
    <t>文书支柱（法典编纂/学术传承）</t>
  </si>
  <si>
    <t>规则歪曲（法律漏洞/学术抄袭）</t>
  </si>
  <si>
    <r>
      <t>天梁+铃星</t>
    </r>
    <r>
      <rPr>
        <sz val="11"/>
        <color theme="1"/>
        <rFont val="等线"/>
        <family val="2"/>
        <charset val="134"/>
        <scheme val="minor"/>
      </rPr>
      <t>​</t>
    </r>
  </si>
  <si>
    <t>抢救支撑（ICU生命维持）</t>
  </si>
  <si>
    <t>系统故障（车辆设计缺陷/管理漏洞）</t>
  </si>
  <si>
    <r>
      <t>天梁+地劫</t>
    </r>
    <r>
      <rPr>
        <sz val="11"/>
        <color theme="1"/>
        <rFont val="等线"/>
        <family val="2"/>
        <charset val="134"/>
        <scheme val="minor"/>
      </rPr>
      <t>​</t>
    </r>
  </si>
  <si>
    <t>支柱掏空（蛀虫腐蚀/骨质疏松）</t>
  </si>
  <si>
    <t>结构崩塌（桥梁事故/家族没落）</t>
  </si>
  <si>
    <r>
      <t>天梁+擎羊</t>
    </r>
    <r>
      <rPr>
        <sz val="11"/>
        <color theme="1"/>
        <rFont val="等线"/>
        <family val="2"/>
        <charset val="134"/>
        <scheme val="minor"/>
      </rPr>
      <t>​</t>
    </r>
  </si>
  <si>
    <t>支柱加固（外科钢钉/强化监管）</t>
  </si>
  <si>
    <t>支柱损伤（骨折/政策暴力执行）</t>
  </si>
  <si>
    <t>四、宫位叠加​</t>
  </si>
  <si>
    <t>自身为支柱（管理者/家族担当）</t>
  </si>
  <si>
    <t>自身难支（依赖他人/健康羸弱）</t>
  </si>
  <si>
    <t>长辈为靠山（政府关系/师承名门）</t>
  </si>
  <si>
    <t>长辈失势（证书无效/领导无能）</t>
  </si>
  <si>
    <t>家宅稳固（祖产丰厚/房产增值）</t>
  </si>
  <si>
    <t>家运不稳（抵押房产/凶宅风水）</t>
  </si>
  <si>
    <t>脊柱健康（天梁庙旺）</t>
  </si>
  <si>
    <t>遗传骨病（天梁落陷+煞星）</t>
  </si>
  <si>
    <t>职业支柱（公务员/医疗行业）</t>
  </si>
  <si>
    <t>职权架空（傀儡职位/行业淘汰）</t>
  </si>
  <si>
    <t>触发条件​</t>
  </si>
  <si>
    <t>庙旺效应​</t>
  </si>
  <si>
    <t>落陷效应​</t>
  </si>
  <si>
    <r>
      <t>化禄（壬干）</t>
    </r>
    <r>
      <rPr>
        <sz val="11"/>
        <color theme="1"/>
        <rFont val="等线"/>
        <family val="2"/>
        <charset val="134"/>
        <scheme val="minor"/>
      </rPr>
      <t>​</t>
    </r>
  </si>
  <si>
    <t>增强福泽</t>
  </si>
  <si>
    <t>资源暴增（继承遗产/政策红利）</t>
  </si>
  <si>
    <t>虚浮收益（投资泡沫/虚假荫庇）</t>
  </si>
  <si>
    <r>
      <t>化权（乙干）</t>
    </r>
    <r>
      <rPr>
        <sz val="11"/>
        <color theme="1"/>
        <rFont val="等线"/>
        <family val="2"/>
        <charset val="134"/>
        <scheme val="minor"/>
      </rPr>
      <t>​</t>
    </r>
  </si>
  <si>
    <t>强化权威</t>
  </si>
  <si>
    <t>掌控升级（晋升管理层/学术权威）</t>
  </si>
  <si>
    <t>强权失控（暴力执法/独断专行）</t>
  </si>
  <si>
    <r>
      <t>化科（己干）</t>
    </r>
    <r>
      <rPr>
        <sz val="11"/>
        <color theme="1"/>
        <rFont val="等线"/>
        <family val="2"/>
        <charset val="134"/>
        <scheme val="minor"/>
      </rPr>
      <t>​</t>
    </r>
  </si>
  <si>
    <t>提升名望</t>
  </si>
  <si>
    <t>声誉积累（老字号口碑/传统技艺传承）</t>
  </si>
  <si>
    <t>虚名无实（山寨品牌/文凭造假）</t>
  </si>
  <si>
    <r>
      <t>无化忌</t>
    </r>
    <r>
      <rPr>
        <sz val="11"/>
        <color theme="1"/>
        <rFont val="等线"/>
        <family val="2"/>
        <charset val="134"/>
        <scheme val="minor"/>
      </rPr>
      <t>​</t>
    </r>
  </si>
  <si>
    <t>不直接化忌</t>
  </si>
  <si>
    <t>需结合对宫煞星判断</t>
  </si>
  <si>
    <t>常见「风雨飘摇」格局替代化忌效应</t>
  </si>
  <si>
    <r>
      <t>1. 规则属性冲突</t>
    </r>
    <r>
      <rPr>
        <sz val="11"/>
        <color theme="1"/>
        <rFont val="等线"/>
        <family val="2"/>
        <charset val="134"/>
        <scheme val="minor"/>
      </rPr>
      <t>：</t>
    </r>
  </si>
  <si>
    <t>文档30定义落陷天梁为“外层空间规则”（玄学）</t>
  </si>
  <si>
    <t>文档7定义落陷天梁为“家运不稳”（现实崩塌）</t>
  </si>
  <si>
    <t>→ 二者并存：需根据宫位区分（命宫主玄学，田宅主现实）</t>
  </si>
  <si>
    <r>
      <t>2. 遗传表征差异</t>
    </r>
    <r>
      <rPr>
        <sz val="11"/>
        <color theme="1"/>
        <rFont val="等线"/>
        <family val="2"/>
        <charset val="134"/>
        <scheme val="minor"/>
      </rPr>
      <t>：</t>
    </r>
  </si>
  <si>
    <t>文档9称天梁庙旺主“优质基因”</t>
  </si>
  <si>
    <t>文档14称父母宫天梁主“遗传病”</t>
  </si>
  <si>
    <t>→ 并存：庙旺为正向遗传，落陷为负向遗传</t>
  </si>
  <si>
    <t>一、廉贞定义​</t>
  </si>
  <si>
    <r>
      <t>属火</t>
    </r>
    <r>
      <rPr>
        <sz val="11"/>
        <color theme="1"/>
        <rFont val="等线"/>
        <family val="2"/>
        <charset val="134"/>
        <scheme val="minor"/>
      </rPr>
      <t xml:space="preserve">，化气为“囚”，主 </t>
    </r>
    <r>
      <rPr>
        <b/>
        <sz val="11"/>
        <color theme="1"/>
        <rFont val="等线"/>
        <family val="3"/>
        <charset val="134"/>
        <scheme val="minor"/>
      </rPr>
      <t>抓、血气、精密复杂、电子器件</t>
    </r>
    <r>
      <rPr>
        <sz val="11"/>
        <color theme="1"/>
        <rFont val="等线"/>
        <family val="2"/>
        <charset val="134"/>
        <scheme val="minor"/>
      </rPr>
      <t>。</t>
    </r>
  </si>
  <si>
    <r>
      <t>1. 囚</t>
    </r>
    <r>
      <rPr>
        <sz val="11"/>
        <color theme="1"/>
        <rFont val="等线"/>
        <family val="2"/>
        <charset val="134"/>
        <scheme val="minor"/>
      </rPr>
      <t>：束缚、掌控、拘禁（如法律约束、肿瘤包裹）。</t>
    </r>
  </si>
  <si>
    <r>
      <t>2. 抓</t>
    </r>
    <r>
      <rPr>
        <sz val="11"/>
        <color theme="1"/>
        <rFont val="等线"/>
        <family val="2"/>
        <charset val="134"/>
        <scheme val="minor"/>
      </rPr>
      <t>：主动捕捉、纠缠、执念（如任务绑定、情感执着）。</t>
    </r>
  </si>
  <si>
    <r>
      <t>3. 血气</t>
    </r>
    <r>
      <rPr>
        <sz val="11"/>
        <color theme="1"/>
        <rFont val="等线"/>
        <family val="2"/>
        <charset val="134"/>
        <scheme val="minor"/>
      </rPr>
      <t>：血液相关（炎症、肿瘤）、生命力。</t>
    </r>
  </si>
  <si>
    <r>
      <t>4. 精密</t>
    </r>
    <r>
      <rPr>
        <sz val="11"/>
        <color theme="1"/>
        <rFont val="等线"/>
        <family val="2"/>
        <charset val="134"/>
        <scheme val="minor"/>
      </rPr>
      <t>：电子系统、精密仪器、复杂网络。</t>
    </r>
  </si>
  <si>
    <t>二、廉贞星曜状态​</t>
  </si>
  <si>
    <t>状态</t>
  </si>
  <si>
    <t>关键影响</t>
  </si>
  <si>
    <r>
      <t>巳/午/未/申</t>
    </r>
    <r>
      <rPr>
        <sz val="11"/>
        <color theme="1"/>
        <rFont val="等线"/>
        <family val="2"/>
        <charset val="134"/>
        <scheme val="minor"/>
      </rPr>
      <t>​</t>
    </r>
  </si>
  <si>
    <t>庙旺（7）</t>
  </si>
  <si>
    <t>掌控力强，精密运作（如电路板密集）。</t>
  </si>
  <si>
    <r>
      <t>辰/卯</t>
    </r>
    <r>
      <rPr>
        <sz val="11"/>
        <color theme="1"/>
        <rFont val="等线"/>
        <family val="2"/>
        <charset val="134"/>
        <scheme val="minor"/>
      </rPr>
      <t>​</t>
    </r>
  </si>
  <si>
    <t>执念深，任务繁重。</t>
  </si>
  <si>
    <r>
      <t>寅/丑/子/亥</t>
    </r>
    <r>
      <rPr>
        <sz val="11"/>
        <color theme="1"/>
        <rFont val="等线"/>
        <family val="2"/>
        <charset val="134"/>
        <scheme val="minor"/>
      </rPr>
      <t>​</t>
    </r>
  </si>
  <si>
    <t>落陷（1）</t>
  </si>
  <si>
    <t>失控、气血不足、抓不住重点。</t>
  </si>
  <si>
    <t>三、宫位组合象义​</t>
  </si>
  <si>
    <t>象义​</t>
  </si>
  <si>
    <t>执念深重</t>
  </si>
  <si>
    <t>庙旺：心思缜密；落陷：偏执空想。</t>
  </si>
  <si>
    <t>精密运作</t>
  </si>
  <si>
    <t>电子金融、数据分析（+文昌）。</t>
  </si>
  <si>
    <t>血气问题</t>
  </si>
  <si>
    <t>庙旺：肿瘤包裹；落陷：气血虚（+天虚）。</t>
  </si>
  <si>
    <t>情感纠缠</t>
  </si>
  <si>
    <t>庙旺：痴情控制；落陷：感情疏离。</t>
  </si>
  <si>
    <t>任务绑定</t>
  </si>
  <si>
    <t>庙旺：高压职场；落陷：逃避责任。</t>
  </si>
  <si>
    <t>典型应验​</t>
  </si>
  <si>
    <r>
      <t>廉贞+天府</t>
    </r>
    <r>
      <rPr>
        <sz val="11"/>
        <color theme="1"/>
        <rFont val="等线"/>
        <family val="2"/>
        <charset val="134"/>
        <scheme val="minor"/>
      </rPr>
      <t>​</t>
    </r>
  </si>
  <si>
    <t>空间掌控</t>
  </si>
  <si>
    <t>辰/戌宫：入狱象（空间束缚）。</t>
  </si>
  <si>
    <r>
      <t>廉贞+贪狼</t>
    </r>
    <r>
      <rPr>
        <sz val="11"/>
        <color theme="1"/>
        <rFont val="等线"/>
        <family val="2"/>
        <charset val="134"/>
        <scheme val="minor"/>
      </rPr>
      <t>​</t>
    </r>
  </si>
  <si>
    <t>抓取大小</t>
  </si>
  <si>
    <t>亥宫：贪欲大却抓不住（感情/财富）。</t>
  </si>
  <si>
    <r>
      <t>廉贞+七杀</t>
    </r>
    <r>
      <rPr>
        <sz val="11"/>
        <color theme="1"/>
        <rFont val="等线"/>
        <family val="2"/>
        <charset val="134"/>
        <scheme val="minor"/>
      </rPr>
      <t>​</t>
    </r>
  </si>
  <si>
    <t>囚禁平面</t>
  </si>
  <si>
    <t>未宫：生命危险（如被困火场）。</t>
  </si>
  <si>
    <r>
      <t>廉贞+破军</t>
    </r>
    <r>
      <rPr>
        <sz val="11"/>
        <color theme="1"/>
        <rFont val="等线"/>
        <family val="2"/>
        <charset val="134"/>
        <scheme val="minor"/>
      </rPr>
      <t>​</t>
    </r>
  </si>
  <si>
    <t>突破性抓取</t>
  </si>
  <si>
    <t>卯宫：死缠烂打；酉宫：果断分手。</t>
  </si>
  <si>
    <r>
      <t>廉贞+陀罗</t>
    </r>
    <r>
      <rPr>
        <sz val="11"/>
        <color theme="1"/>
        <rFont val="等线"/>
        <family val="2"/>
        <charset val="134"/>
        <scheme val="minor"/>
      </rPr>
      <t>​</t>
    </r>
  </si>
  <si>
    <t>淤积肿瘤</t>
  </si>
  <si>
    <t>肿瘤形成（阴债纠缠）。</t>
  </si>
  <si>
    <r>
      <t>廉贞+白虎</t>
    </r>
    <r>
      <rPr>
        <sz val="11"/>
        <color theme="1"/>
        <rFont val="等线"/>
        <family val="2"/>
        <charset val="134"/>
        <scheme val="minor"/>
      </rPr>
      <t>​</t>
    </r>
  </si>
  <si>
    <t>肃杀干净</t>
  </si>
  <si>
    <t>癌细胞清除/扩散（全歼性）。</t>
  </si>
  <si>
    <t>五、四化联动象义​</t>
  </si>
  <si>
    <r>
      <t>化禄</t>
    </r>
    <r>
      <rPr>
        <sz val="11"/>
        <color theme="1"/>
        <rFont val="等线"/>
        <family val="2"/>
        <charset val="134"/>
        <scheme val="minor"/>
      </rPr>
      <t>：</t>
    </r>
  </si>
  <si>
    <t>庙旺：强化掌控（如精准投资）；落陷：虚假抓取（如诈骗）。</t>
  </si>
  <si>
    <r>
      <t>化忌</t>
    </r>
    <r>
      <rPr>
        <sz val="11"/>
        <color theme="1"/>
        <rFont val="等线"/>
        <family val="2"/>
        <charset val="134"/>
        <scheme val="minor"/>
      </rPr>
      <t>：</t>
    </r>
  </si>
  <si>
    <t>终止“抓”（庙旺：解脱执念；落陷：由不抓到抓）。</t>
  </si>
  <si>
    <t>例：廉贞落陷化忌（子宫）→ 气血从虚转足。</t>
  </si>
  <si>
    <t>六、辅星组合象义​</t>
  </si>
  <si>
    <t>叠加象义​</t>
  </si>
  <si>
    <t>急躁抓取</t>
  </si>
  <si>
    <t>被任务催逼发脾气。</t>
  </si>
  <si>
    <t>烦恼纠缠</t>
  </si>
  <si>
    <t>被琐事困扰不得脱身。</t>
  </si>
  <si>
    <t>揪出问题</t>
  </si>
  <si>
    <t>主动揭露隐患（+天刑为举报）。</t>
  </si>
  <si>
    <t>法律束缚</t>
  </si>
  <si>
    <t>官司拘留（廉贞庙旺+天刑）。</t>
  </si>
  <si>
    <t>装饰性抓取</t>
  </si>
  <si>
    <t>佩戴首饰/情感粉饰。</t>
  </si>
  <si>
    <t>七、特殊场景​</t>
  </si>
  <si>
    <r>
      <t>1. 电子系统</t>
    </r>
    <r>
      <rPr>
        <sz val="11"/>
        <color theme="1"/>
        <rFont val="等线"/>
        <family val="2"/>
        <charset val="134"/>
        <scheme val="minor"/>
      </rPr>
      <t>：</t>
    </r>
  </si>
  <si>
    <t>庙旺：电路精密（电脑主板）；落陷：系统失灵（+铃星）。</t>
  </si>
  <si>
    <r>
      <t>2. 阴事隐喻</t>
    </r>
    <r>
      <rPr>
        <sz val="11"/>
        <color theme="1"/>
        <rFont val="等线"/>
        <family val="2"/>
        <charset val="134"/>
        <scheme val="minor"/>
      </rPr>
      <t>：</t>
    </r>
  </si>
  <si>
    <t>廉贞+陀罗+天寿：被冤亲债主纠缠（需超度）。</t>
  </si>
  <si>
    <r>
      <t>3. 军警职业</t>
    </r>
    <r>
      <rPr>
        <sz val="11"/>
        <color theme="1"/>
        <rFont val="等线"/>
        <family val="2"/>
        <charset val="134"/>
        <scheme val="minor"/>
      </rPr>
      <t>：</t>
    </r>
  </si>
  <si>
    <t>廉贞庙旺+七杀：刑警抓捕（如“白虎”肃杀）。</t>
  </si>
  <si>
    <t>一、太阴定义​</t>
  </si>
  <si>
    <r>
      <t>属性</t>
    </r>
    <r>
      <rPr>
        <sz val="11"/>
        <color theme="1"/>
        <rFont val="等线"/>
        <family val="2"/>
        <charset val="134"/>
        <scheme val="minor"/>
      </rPr>
      <t>：阴水</t>
    </r>
  </si>
  <si>
    <r>
      <t>原始象义</t>
    </r>
    <r>
      <rPr>
        <sz val="11"/>
        <color theme="1"/>
        <rFont val="等线"/>
        <family val="2"/>
        <charset val="134"/>
        <scheme val="minor"/>
      </rPr>
      <t>：存储、水、女人、时间维度</t>
    </r>
  </si>
  <si>
    <r>
      <t>1. 存储</t>
    </r>
    <r>
      <rPr>
        <sz val="11"/>
        <color theme="1"/>
        <rFont val="等线"/>
        <family val="2"/>
        <charset val="134"/>
        <scheme val="minor"/>
      </rPr>
      <t>：庙旺（存满/稳定），落陷（存空/流失）</t>
    </r>
  </si>
  <si>
    <t>例：财帛宫+太阴庙＝存款丰厚；落陷＝漏财</t>
  </si>
  <si>
    <r>
      <t>2. 水象</t>
    </r>
    <r>
      <rPr>
        <sz val="11"/>
        <color theme="1"/>
        <rFont val="等线"/>
        <family val="2"/>
        <charset val="134"/>
        <scheme val="minor"/>
      </rPr>
      <t>：液体、流动、阴性能量</t>
    </r>
  </si>
  <si>
    <t>引申：湖泊、暗流、情感流动</t>
  </si>
  <si>
    <r>
      <t>3. 女性关联</t>
    </r>
    <r>
      <rPr>
        <sz val="11"/>
        <color theme="1"/>
        <rFont val="等线"/>
        <family val="2"/>
        <charset val="134"/>
        <scheme val="minor"/>
      </rPr>
      <t>：生命中的女性（母亲/妻子/女儿）、女性气质</t>
    </r>
  </si>
  <si>
    <t>男命太阴陷：女人缘弱；女命太阴庙：柔美内敛</t>
  </si>
  <si>
    <r>
      <t>4. 时间维度</t>
    </r>
    <r>
      <rPr>
        <sz val="11"/>
        <color theme="1"/>
        <rFont val="等线"/>
        <family val="2"/>
        <charset val="134"/>
        <scheme val="minor"/>
      </rPr>
      <t>：过去记忆、前世业力、隐性延续</t>
    </r>
  </si>
  <si>
    <t>典型应用​</t>
  </si>
  <si>
    <t>性格阴柔、善存储记忆；落陷+煞星＝心思敏感易悲观</t>
  </si>
  <si>
    <t>+文昌：记忆超群；+铃星：抑郁倾向</t>
  </si>
  <si>
    <t>母亲影响力；文书存储（证书/遗嘱）</t>
  </si>
  <si>
    <t>太阴陷+阴煞：母亲健康隐疾；+天刑：遗产纠纷</t>
  </si>
  <si>
    <t>财富流动模式</t>
  </si>
  <si>
    <t>庙：稳定理财；陷+地劫：破财；+禄存：暗财（灰色收入）</t>
  </si>
  <si>
    <t>水相关疾病（妇科/泌尿/淋巴）</t>
  </si>
  <si>
    <t>+天哭：抑郁症；+擎羊：手术留疤</t>
  </si>
  <si>
    <t>隐性子女（流产/领养）；子女性格安静</t>
  </si>
  <si>
    <t>太阴忌+天虚：难孕；+红鸾：私生子</t>
  </si>
  <si>
    <t>家宅水性（近水/泳池）；家族记忆</t>
  </si>
  <si>
    <t>庙：家族底蕴深；陷+地空：房屋漏水</t>
  </si>
  <si>
    <t>妻子特质/感情存储</t>
  </si>
  <si>
    <t>庙：配偶体贴；陷+火星：冷暴力；+文曲：情书传情</t>
  </si>
  <si>
    <t>幕后工作（会计/仓储）</t>
  </si>
  <si>
    <t>+天机：数据管理；+陀罗：重复性流水线</t>
  </si>
  <si>
    <t>隐性远行（留学/移民）</t>
  </si>
  <si>
    <t>太阴科：海外置产；忌+劫煞：偷渡风险</t>
  </si>
  <si>
    <t>内心存储的快乐/悲伤</t>
  </si>
  <si>
    <t>庙+天喜：知足常乐；陷+天哭：心结难解</t>
  </si>
  <si>
    <t>三、星曜状态吉凶​</t>
  </si>
  <si>
    <t>状态​</t>
  </si>
  <si>
    <t>特质​</t>
  </si>
  <si>
    <t>四化联动​</t>
  </si>
  <si>
    <r>
      <t>庙旺</t>
    </r>
    <r>
      <rPr>
        <sz val="11"/>
        <color theme="1"/>
        <rFont val="等线"/>
        <family val="2"/>
        <charset val="134"/>
        <scheme val="minor"/>
      </rPr>
      <t>​ (子、亥、酉)</t>
    </r>
  </si>
  <si>
    <t>存储力强、情感丰沛</t>
  </si>
  <si>
    <t>化禄：存财增福；化忌：过度囤积引发抑郁</t>
  </si>
  <si>
    <r>
      <t>落陷</t>
    </r>
    <r>
      <rPr>
        <sz val="11"/>
        <color theme="1"/>
        <rFont val="等线"/>
        <family val="2"/>
        <charset val="134"/>
        <scheme val="minor"/>
      </rPr>
      <t>​ (巳、午、未)</t>
    </r>
  </si>
  <si>
    <t>存储空洞、情感疏离</t>
  </si>
  <si>
    <t>化禄：虚情假意；化忌：彻底失去（财/情）</t>
  </si>
  <si>
    <r>
      <t>平势</t>
    </r>
    <r>
      <rPr>
        <sz val="11"/>
        <color theme="1"/>
        <rFont val="等线"/>
        <family val="2"/>
        <charset val="134"/>
        <scheme val="minor"/>
      </rPr>
      <t>​ (其他宫位)</t>
    </r>
  </si>
  <si>
    <t>波动性存储</t>
  </si>
  <si>
    <t>化权：强制管理存储；化科：缓慢积累</t>
  </si>
  <si>
    <t>四、辅星组合关键象义​</t>
  </si>
  <si>
    <t>存储内容（书籍/数据）</t>
  </si>
  <si>
    <t>+父母宫：家谱；+疾厄：DNA记忆</t>
  </si>
  <si>
    <t>存储偏斜（错误记忆/虚假账目）</t>
  </si>
  <si>
    <t>+财帛：洗钱；+夫妻：旧情复燃</t>
  </si>
  <si>
    <t>存储漏洞</t>
  </si>
  <si>
    <t>田宅+太阴地劫：祖产遗失</t>
  </si>
  <si>
    <t>存储虚胀（泡沫资产）</t>
  </si>
  <si>
    <t>财帛+太阴地空：虚假投资</t>
  </si>
  <si>
    <t>切割存储</t>
  </si>
  <si>
    <t>疾厄+太阴擎羊：切除子宫</t>
  </si>
  <si>
    <t>存储烦恼</t>
  </si>
  <si>
    <t>福德+太阴铃星：心事积压成疾</t>
  </si>
  <si>
    <t>存储情欲</t>
  </si>
  <si>
    <t>子女宫+太阴天姚：隐性性生活</t>
  </si>
  <si>
    <t>存储阴性能量（灵体/业障）</t>
  </si>
  <si>
    <t>命宫+太阴阴煞：通灵体质</t>
  </si>
  <si>
    <t>五、特殊组合注解​</t>
  </si>
  <si>
    <r>
      <t>1. 太阴+天同</t>
    </r>
    <r>
      <rPr>
        <sz val="11"/>
        <color theme="1"/>
        <rFont val="等线"/>
        <family val="2"/>
        <charset val="134"/>
        <scheme val="minor"/>
      </rPr>
      <t>：</t>
    </r>
  </si>
  <si>
    <t>庙旺：情感滋养（如母子情深）；落陷：情感绑架（如《金锁记》曹七巧）</t>
  </si>
  <si>
    <r>
      <t>2. 太阴+太阳</t>
    </r>
    <r>
      <rPr>
        <sz val="11"/>
        <color theme="1"/>
        <rFont val="等线"/>
        <family val="2"/>
        <charset val="134"/>
        <scheme val="minor"/>
      </rPr>
      <t>：</t>
    </r>
  </si>
  <si>
    <t>阴阳平衡（夫妻宫佳配）；反背（午宫太阳陷+子宫太阴庙）：女强男弱婚姻</t>
  </si>
  <si>
    <r>
      <t>3. 太阴化忌（乙干）</t>
    </r>
    <r>
      <rPr>
        <sz val="11"/>
        <color theme="1"/>
        <rFont val="等线"/>
        <family val="2"/>
        <charset val="134"/>
        <scheme val="minor"/>
      </rPr>
      <t>：</t>
    </r>
  </si>
  <si>
    <t>触发存储系统崩溃：仓库火灾、记忆丧失、女性健康危机</t>
  </si>
  <si>
    <r>
      <t>五行</t>
    </r>
    <r>
      <rPr>
        <sz val="11"/>
        <color theme="1"/>
        <rFont val="等线"/>
        <family val="2"/>
        <charset val="134"/>
        <scheme val="minor"/>
      </rPr>
      <t>​</t>
    </r>
  </si>
  <si>
    <t>属火（象征温度、光明、发散）</t>
  </si>
  <si>
    <r>
      <t>阴阳</t>
    </r>
    <r>
      <rPr>
        <sz val="11"/>
        <color theme="1"/>
        <rFont val="等线"/>
        <family val="2"/>
        <charset val="134"/>
        <scheme val="minor"/>
      </rPr>
      <t>​</t>
    </r>
  </si>
  <si>
    <t>阳性（主男性、雄性、公开性）</t>
  </si>
  <si>
    <r>
      <t>核心象征</t>
    </r>
    <r>
      <rPr>
        <sz val="11"/>
        <color theme="1"/>
        <rFont val="等线"/>
        <family val="2"/>
        <charset val="134"/>
        <scheme val="minor"/>
      </rPr>
      <t>​</t>
    </r>
  </si>
  <si>
    <t>光明与黑暗、新旧对比、方位（前后/高低）、出头、阳寿、异族关系</t>
  </si>
  <si>
    <t>庙旺（巳/午/未/申/辰/卯）：能量强；落陷（寅/丑/子/亥）：能量弱</t>
  </si>
  <si>
    <t>1. 核心特质​</t>
  </si>
  <si>
    <r>
      <t>发散性</t>
    </r>
    <r>
      <rPr>
        <sz val="11"/>
        <color theme="1"/>
        <rFont val="等线"/>
        <family val="2"/>
        <charset val="134"/>
        <scheme val="minor"/>
      </rPr>
      <t>​</t>
    </r>
  </si>
  <si>
    <t>话能说出去、声音/味道可传播（如公开演讲）</t>
  </si>
  <si>
    <t>信息闭塞（如沟通失败）</t>
  </si>
  <si>
    <r>
      <t>新旧属性</t>
    </r>
    <r>
      <rPr>
        <sz val="11"/>
        <color theme="1"/>
        <rFont val="等线"/>
        <family val="2"/>
        <charset val="134"/>
        <scheme val="minor"/>
      </rPr>
      <t>​</t>
    </r>
  </si>
  <si>
    <t>代表新事物（技术创新）</t>
  </si>
  <si>
    <t>代表旧事物（思想顽固）</t>
  </si>
  <si>
    <r>
      <t>光明属性</t>
    </r>
    <r>
      <rPr>
        <sz val="11"/>
        <color theme="1"/>
        <rFont val="等线"/>
        <family val="2"/>
        <charset val="134"/>
        <scheme val="minor"/>
      </rPr>
      <t>​</t>
    </r>
  </si>
  <si>
    <t>希望、曝光（如真相揭露）</t>
  </si>
  <si>
    <t>黑暗、隐匿（如秘密掩盖）</t>
  </si>
  <si>
    <r>
      <t>温度属性</t>
    </r>
    <r>
      <rPr>
        <sz val="11"/>
        <color theme="1"/>
        <rFont val="等线"/>
        <family val="2"/>
        <charset val="134"/>
        <scheme val="minor"/>
      </rPr>
      <t>​</t>
    </r>
  </si>
  <si>
    <t>高热（发烧）、活力充沛</t>
  </si>
  <si>
    <t>低温（体寒）、能量不足</t>
  </si>
  <si>
    <r>
      <t>“电池模型”</t>
    </r>
    <r>
      <rPr>
        <sz val="11"/>
        <color theme="1"/>
        <rFont val="等线"/>
        <family val="2"/>
        <charset val="134"/>
        <scheme val="minor"/>
      </rPr>
      <t>：庙旺=满电（行动力强），落陷=没电（消极怠工）</t>
    </r>
  </si>
  <si>
    <r>
      <t>昼夜影响</t>
    </r>
    <r>
      <rPr>
        <sz val="11"/>
        <color theme="1"/>
        <rFont val="等线"/>
        <family val="2"/>
        <charset val="134"/>
        <scheme val="minor"/>
      </rPr>
      <t>：辰-酉时（7:00-17:00）能量强；戌-卯时（19:00-5:00）能量弱</t>
    </r>
  </si>
  <si>
    <r>
      <t>太阳+太阴</t>
    </r>
    <r>
      <rPr>
        <sz val="11"/>
        <color theme="1"/>
        <rFont val="等线"/>
        <family val="2"/>
        <charset val="134"/>
        <scheme val="minor"/>
      </rPr>
      <t>​</t>
    </r>
  </si>
  <si>
    <t>阴阳平衡（和谐婚姻）</t>
  </si>
  <si>
    <t>阴阳反背（女强男弱）</t>
  </si>
  <si>
    <r>
      <t>太阳+巨门</t>
    </r>
    <r>
      <rPr>
        <sz val="11"/>
        <color theme="1"/>
        <rFont val="等线"/>
        <family val="2"/>
        <charset val="134"/>
        <scheme val="minor"/>
      </rPr>
      <t>​</t>
    </r>
  </si>
  <si>
    <t>光明门控（公开演讲）</t>
  </si>
  <si>
    <t>门关光弱（怀才不遇）</t>
  </si>
  <si>
    <r>
      <t>太阳+天梁</t>
    </r>
    <r>
      <rPr>
        <sz val="11"/>
        <color theme="1"/>
        <rFont val="等线"/>
        <family val="2"/>
        <charset val="134"/>
        <scheme val="minor"/>
      </rPr>
      <t>​</t>
    </r>
  </si>
  <si>
    <t>权威支柱（法规制定）</t>
  </si>
  <si>
    <t>支柱崩塌（制度崩溃）</t>
  </si>
  <si>
    <r>
      <t>太阳+七杀</t>
    </r>
    <r>
      <rPr>
        <sz val="11"/>
        <color theme="1"/>
        <rFont val="等线"/>
        <family val="2"/>
        <charset val="134"/>
        <scheme val="minor"/>
      </rPr>
      <t>​</t>
    </r>
  </si>
  <si>
    <t>刚性突破（军事行动）</t>
  </si>
  <si>
    <t>暴力失控（冲突升级）</t>
  </si>
  <si>
    <r>
      <t>太阳+左辅</t>
    </r>
    <r>
      <rPr>
        <sz val="11"/>
        <color theme="1"/>
        <rFont val="等线"/>
        <family val="2"/>
        <charset val="134"/>
        <scheme val="minor"/>
      </rPr>
      <t>​</t>
    </r>
  </si>
  <si>
    <t>多点发散（多平台宣传）</t>
  </si>
  <si>
    <t>冗余干扰（信息过载）</t>
  </si>
  <si>
    <r>
      <t>太阳+右弼</t>
    </r>
    <r>
      <rPr>
        <sz val="11"/>
        <color theme="1"/>
        <rFont val="等线"/>
        <family val="2"/>
        <charset val="134"/>
        <scheme val="minor"/>
      </rPr>
      <t>​</t>
    </r>
  </si>
  <si>
    <t>灵活转向（策略调整）</t>
  </si>
  <si>
    <t>路径僵化（固执己见）</t>
  </si>
  <si>
    <r>
      <t>太阳+文昌</t>
    </r>
    <r>
      <rPr>
        <sz val="11"/>
        <color theme="1"/>
        <rFont val="等线"/>
        <family val="2"/>
        <charset val="134"/>
        <scheme val="minor"/>
      </rPr>
      <t>​</t>
    </r>
  </si>
  <si>
    <t>精密传播（数据公开）</t>
  </si>
  <si>
    <t>信息失真（谣言扩散）</t>
  </si>
  <si>
    <r>
      <t>太阳+铃星</t>
    </r>
    <r>
      <rPr>
        <sz val="11"/>
        <color theme="1"/>
        <rFont val="等线"/>
        <family val="2"/>
        <charset val="134"/>
        <scheme val="minor"/>
      </rPr>
      <t>​</t>
    </r>
  </si>
  <si>
    <t>突发曝光（丑闻揭露）</t>
  </si>
  <si>
    <t>持续困扰（负面舆情）</t>
  </si>
  <si>
    <t>热情开朗（领袖气质）</t>
  </si>
  <si>
    <t>消极悲观（自闭倾向）</t>
  </si>
  <si>
    <t>贵人相助（人脉广阔）</t>
  </si>
  <si>
    <t>小人环绕（人际孤立）</t>
  </si>
  <si>
    <t>远行机遇（留学/移民）</t>
  </si>
  <si>
    <t>外界排斥（签证受阻）</t>
  </si>
  <si>
    <t>高血压/眼疾（火性病症）</t>
  </si>
  <si>
    <t>气血虚弱（慢性疲劳）</t>
  </si>
  <si>
    <t>公开消费（品牌消费）</t>
  </si>
  <si>
    <t>财务曝光（税务稽查）</t>
  </si>
  <si>
    <t>声名远播（网红走红）</t>
  </si>
  <si>
    <t>虚名无实（炒作翻车）</t>
  </si>
  <si>
    <t>权威升级（晋升管理层）</t>
  </si>
  <si>
    <t>强权压制（独断专行）</t>
  </si>
  <si>
    <t>声誉积累（老字号口碑）</t>
  </si>
  <si>
    <t>粉饰太平（公关危机）</t>
  </si>
  <si>
    <t>需结合煞星判断</t>
  </si>
  <si>
    <t>常见“光明湮灭”替代化忌效应</t>
  </si>
  <si>
    <r>
      <t>1. 贵星争议</t>
    </r>
    <r>
      <rPr>
        <sz val="11"/>
        <color theme="1"/>
        <rFont val="等线"/>
        <family val="2"/>
        <charset val="134"/>
        <scheme val="minor"/>
      </rPr>
      <t>：</t>
    </r>
  </si>
  <si>
    <t>文档称太阳“不代表贵星”，但交友宫提及“出人头地”</t>
  </si>
  <si>
    <t>→ 并存：庙旺时显贵气，落陷时无贵格。</t>
  </si>
  <si>
    <r>
      <t>2. 新旧定义冲突</t>
    </r>
    <r>
      <rPr>
        <sz val="11"/>
        <color theme="1"/>
        <rFont val="等线"/>
        <family val="2"/>
        <charset val="134"/>
        <scheme val="minor"/>
      </rPr>
      <t>：</t>
    </r>
  </si>
  <si>
    <t>文档7否定“昼夜生人理论”，但文档3沿用时辰划分</t>
  </si>
  <si>
    <t>→ 并列矛盾：部分理论沿用时辰，部分否定。</t>
  </si>
  <si>
    <t>一、天相定义</t>
  </si>
  <si>
    <r>
      <t>属行</t>
    </r>
    <r>
      <rPr>
        <sz val="11"/>
        <color theme="1"/>
        <rFont val="等线"/>
        <family val="2"/>
        <charset val="134"/>
        <scheme val="minor"/>
      </rPr>
      <t>：阳水</t>
    </r>
  </si>
  <si>
    <r>
      <t>原始象义</t>
    </r>
    <r>
      <rPr>
        <sz val="11"/>
        <color theme="1"/>
        <rFont val="等线"/>
        <family val="2"/>
        <charset val="134"/>
        <scheme val="minor"/>
      </rPr>
      <t>：</t>
    </r>
  </si>
  <si>
    <r>
      <t>衣食主</t>
    </r>
    <r>
      <rPr>
        <sz val="11"/>
        <color theme="1"/>
        <rFont val="等线"/>
        <family val="2"/>
        <charset val="134"/>
        <scheme val="minor"/>
      </rPr>
      <t>：掌管吃穿、生活基本需求。</t>
    </r>
  </si>
  <si>
    <r>
      <t>呵护/服务</t>
    </r>
    <r>
      <rPr>
        <sz val="11"/>
        <color theme="1"/>
        <rFont val="等线"/>
        <family val="2"/>
        <charset val="134"/>
        <scheme val="minor"/>
      </rPr>
      <t>：象征保护、陪伴、辅助（如护工、保姆）。</t>
    </r>
  </si>
  <si>
    <r>
      <t>包裹/维生系统</t>
    </r>
    <r>
      <rPr>
        <sz val="11"/>
        <color theme="1"/>
        <rFont val="等线"/>
        <family val="2"/>
        <charset val="134"/>
        <scheme val="minor"/>
      </rPr>
      <t>：覆盖、包裹之物（如衣服、皮肤、食物容器）；维持生命的基础系统（如血液循环）。</t>
    </r>
  </si>
  <si>
    <r>
      <t>同音卦延伸</t>
    </r>
    <r>
      <rPr>
        <sz val="11"/>
        <color theme="1"/>
        <rFont val="等线"/>
        <family val="2"/>
        <charset val="134"/>
        <scheme val="minor"/>
      </rPr>
      <t>：</t>
    </r>
  </si>
  <si>
    <t>“相片”：照片、影像（如X光片、CT扫描）。</t>
  </si>
  <si>
    <t>“相亲”：婚恋介绍、匹配过程。</t>
  </si>
  <si>
    <t>二、宫位组合象义</t>
  </si>
  <si>
    <t>具体表现​</t>
  </si>
  <si>
    <t>性格与外貌</t>
  </si>
  <si>
    <t>重仪表，喜整洁；性格温和，善协调（落陷时虚伪或过分挑剔）。</t>
  </si>
  <si>
    <t>文书/皮肤</t>
  </si>
  <si>
    <t>证件、合同；皮肤状态（+文昌：皮肤细腻；+擎羊：疤痕、破相）。</t>
  </si>
  <si>
    <t>精神需求</t>
  </si>
  <si>
    <t>追求生活享受（庙旺）；过度依赖他人（落陷+煞星）。</t>
  </si>
  <si>
    <t>居住环境</t>
  </si>
  <si>
    <t>房屋质量（庙旺：舒适；落陷+地劫：漏水）；家中维生物品（冰箱、空调）。</t>
  </si>
  <si>
    <t>职业性质</t>
  </si>
  <si>
    <t>服务业、护理、餐饮、服装业；化忌时工作敷衍。</t>
  </si>
  <si>
    <t>身体系统</t>
  </si>
  <si>
    <t>皮肤、消化系统（天相+火星：胃灼热）；免疫系统（+天梁：慢性病需长期呵护）。</t>
  </si>
  <si>
    <t>生计来源</t>
  </si>
  <si>
    <t>稳定收入（工资）；消费观（庙旺：注重品质；落陷：浪费）。</t>
  </si>
  <si>
    <t>亲子关系/性生活</t>
  </si>
  <si>
    <t>对孩子过度保护；性生活卫生（+阴煞：避孕措施）。</t>
  </si>
  <si>
    <t>三、星曜位置与庙陷</t>
  </si>
  <si>
    <t>地支​</t>
  </si>
  <si>
    <t>庙陷等级​</t>
  </si>
  <si>
    <t>特性​</t>
  </si>
  <si>
    <t>巳午未申</t>
  </si>
  <si>
    <t>陷（1级）</t>
  </si>
  <si>
    <t>呵护力不足，易敷衍了事。</t>
  </si>
  <si>
    <t>辰酉</t>
  </si>
  <si>
    <t>利（4级）</t>
  </si>
  <si>
    <t>能履行责任，但缺乏热情。</t>
  </si>
  <si>
    <t>卯戌</t>
  </si>
  <si>
    <t>庙（7级）</t>
  </si>
  <si>
    <t>尽职尽责，生活精致。</t>
  </si>
  <si>
    <t>寅丑子亥</t>
  </si>
  <si>
    <t>旺（6级）</t>
  </si>
  <si>
    <t>无微不至的照顾，维生系统稳固（如健康饮食）。</t>
  </si>
  <si>
    <r>
      <t>注</t>
    </r>
    <r>
      <rPr>
        <sz val="11"/>
        <color theme="1"/>
        <rFont val="等线"/>
        <family val="2"/>
        <charset val="134"/>
        <scheme val="minor"/>
      </rPr>
      <t>：水位（亥子丑）庙旺时天相力量最强，火位（巳午未）落陷时最弱。</t>
    </r>
  </si>
  <si>
    <t>四、主星组合象义</t>
  </si>
  <si>
    <t>权威性维护</t>
  </si>
  <si>
    <t>高档生活（紫微科：奢侈品）；严格管理（紫微权：制度执行者）。</t>
  </si>
  <si>
    <r>
      <t>武曲+天相</t>
    </r>
    <r>
      <rPr>
        <sz val="11"/>
        <color theme="1"/>
        <rFont val="等线"/>
        <family val="2"/>
        <charset val="134"/>
        <scheme val="minor"/>
      </rPr>
      <t>​</t>
    </r>
  </si>
  <si>
    <t>财务维生</t>
  </si>
  <si>
    <t>理财规划（武曲庙）；金融服务业（+文昌：会计审计）。</t>
  </si>
  <si>
    <r>
      <t>廉贞+天相</t>
    </r>
    <r>
      <rPr>
        <sz val="11"/>
        <color theme="1"/>
        <rFont val="等线"/>
        <family val="2"/>
        <charset val="134"/>
        <scheme val="minor"/>
      </rPr>
      <t>​</t>
    </r>
  </si>
  <si>
    <t>精密包裹</t>
  </si>
  <si>
    <t>电子产品维修（廉贞庙）；微创手术（廉贞陷+天刑）。</t>
  </si>
  <si>
    <r>
      <t>天梁+天相</t>
    </r>
    <r>
      <rPr>
        <sz val="11"/>
        <color theme="1"/>
        <rFont val="等线"/>
        <family val="2"/>
        <charset val="134"/>
        <scheme val="minor"/>
      </rPr>
      <t>​</t>
    </r>
  </si>
  <si>
    <t>公共支持</t>
  </si>
  <si>
    <t>社会福利工作；家族传承（天梁庙：家规严格）。</t>
  </si>
  <si>
    <t>五、辅星组合象义</t>
  </si>
  <si>
    <t>内容修饰</t>
  </si>
  <si>
    <t>合同美化（文昌庙）；食物摆盘精致（+天厨）。</t>
  </si>
  <si>
    <t>内容问题</t>
  </si>
  <si>
    <t>合同漏洞（文曲忌）；食品变质（文曲+铃星）。</t>
  </si>
  <si>
    <t>琐碎烦恼</t>
  </si>
  <si>
    <t>家务纠纷（田宅宫）；衣食搭配不当的焦虑。</t>
  </si>
  <si>
    <t>急迫性破坏</t>
  </si>
  <si>
    <t>皮肤烫伤（疾厄宫）；压不住火气（福德宫）。</t>
  </si>
  <si>
    <t>切割伤害</t>
  </si>
  <si>
    <t>皮肤破损（父母宫）；手术切口（+天梁）。</t>
  </si>
  <si>
    <t>虚浮夸大</t>
  </si>
  <si>
    <t>过度包装（地空庙）；食物分量不足（地空陷）。</t>
  </si>
  <si>
    <t>隐蔽问题</t>
  </si>
  <si>
    <t>食物防腐剂超标（子女宫）；护肤品过敏（疾厄宫）。</t>
  </si>
  <si>
    <t>关键要点</t>
  </si>
  <si>
    <r>
      <t>1. 天相化忌</t>
    </r>
    <r>
      <rPr>
        <sz val="11"/>
        <color theme="1"/>
        <rFont val="等线"/>
        <family val="2"/>
        <charset val="134"/>
        <scheme val="minor"/>
      </rPr>
      <t>：维生系统失效（如保险失效、服务中断）。</t>
    </r>
  </si>
  <si>
    <r>
      <t>2. 天相+煞星</t>
    </r>
    <r>
      <rPr>
        <sz val="11"/>
        <color theme="1"/>
        <rFont val="等线"/>
        <family val="2"/>
        <charset val="134"/>
        <scheme val="minor"/>
      </rPr>
      <t>：</t>
    </r>
  </si>
  <si>
    <t>火位（巳午未）：呵护敷衍，易引发抱怨。</t>
  </si>
  <si>
    <t>水位（亥子丑）：过度保护，导致依赖。</t>
  </si>
  <si>
    <r>
      <t>3. 特殊组合</t>
    </r>
    <r>
      <rPr>
        <sz val="11"/>
        <color theme="1"/>
        <rFont val="等线"/>
        <family val="2"/>
        <charset val="134"/>
        <scheme val="minor"/>
      </rPr>
      <t>：</t>
    </r>
  </si>
  <si>
    <r>
      <t>天相+红鸾</t>
    </r>
    <r>
      <rPr>
        <sz val="11"/>
        <color theme="1"/>
        <rFont val="等线"/>
        <family val="2"/>
        <charset val="134"/>
        <scheme val="minor"/>
      </rPr>
      <t>：婚庆服务业（婚纱、喜糖）。</t>
    </r>
  </si>
  <si>
    <r>
      <t>天相+天姚</t>
    </r>
    <r>
      <rPr>
        <sz val="11"/>
        <color theme="1"/>
        <rFont val="等线"/>
        <family val="2"/>
        <charset val="134"/>
        <scheme val="minor"/>
      </rPr>
      <t>：时尚行业（服装设计、化妆品）。</t>
    </r>
  </si>
  <si>
    <t>一、武曲定义​</t>
  </si>
  <si>
    <r>
      <t>属金</t>
    </r>
    <r>
      <rPr>
        <sz val="11"/>
        <color theme="1"/>
        <rFont val="等线"/>
        <family val="2"/>
        <charset val="134"/>
        <scheme val="minor"/>
      </rPr>
      <t>，化气为财，主财富、坚硬之物、武力、刚毅、寡淡。</t>
    </r>
  </si>
  <si>
    <r>
      <t>1. 财星</t>
    </r>
    <r>
      <rPr>
        <sz val="11"/>
        <color theme="1"/>
        <rFont val="等线"/>
        <family val="2"/>
        <charset val="134"/>
        <scheme val="minor"/>
      </rPr>
      <t>：正财、金属钱财、金融活动。</t>
    </r>
  </si>
  <si>
    <r>
      <t>2. 硬物</t>
    </r>
    <r>
      <rPr>
        <sz val="11"/>
        <color theme="1"/>
        <rFont val="等线"/>
        <family val="2"/>
        <charset val="134"/>
        <scheme val="minor"/>
      </rPr>
      <t>：骨骼、牙齿、金属器械、武器。</t>
    </r>
  </si>
  <si>
    <r>
      <t>3. 武力</t>
    </r>
    <r>
      <rPr>
        <sz val="11"/>
        <color theme="1"/>
        <rFont val="等线"/>
        <family val="2"/>
        <charset val="134"/>
        <scheme val="minor"/>
      </rPr>
      <t>：刚强、果断、军事、斗争。</t>
    </r>
  </si>
  <si>
    <r>
      <t>4. 寡宿</t>
    </r>
    <r>
      <rPr>
        <sz val="11"/>
        <color theme="1"/>
        <rFont val="等线"/>
        <family val="2"/>
        <charset val="134"/>
        <scheme val="minor"/>
      </rPr>
      <t>：冷淡、孤独、不善表达情感。</t>
    </r>
  </si>
  <si>
    <r>
      <t>5. 执行</t>
    </r>
    <r>
      <rPr>
        <sz val="11"/>
        <color theme="1"/>
        <rFont val="等线"/>
        <family val="2"/>
        <charset val="134"/>
        <scheme val="minor"/>
      </rPr>
      <t>：务实、执行力强，但缺乏变通。</t>
    </r>
  </si>
  <si>
    <t>二、宫位组合含义​</t>
  </si>
  <si>
    <t>性格刚强，独立自主，重实际利益，易显冷漠。</t>
  </si>
  <si>
    <t>主业正财，宜金融、金属行业；化忌时资金链断裂。</t>
  </si>
  <si>
    <t>事业务实（如军警、工程），职权分明，忌优柔寡断。</t>
  </si>
  <si>
    <t>感情理性，缺乏浪漫，配偶性格强硬或从事武职。</t>
  </si>
  <si>
    <t>易患骨骼病、牙疾、结石；+煞星主骨折手术。</t>
  </si>
  <si>
    <t>外出遇权威人士或财务纠纷；化权得贵人提携。</t>
  </si>
  <si>
    <t>家中多金属物品（保险柜、刀具），住宅近银行、军营。</t>
  </si>
  <si>
    <t>三、星曜亮度与吉凶​</t>
  </si>
  <si>
    <t>亮度​</t>
  </si>
  <si>
    <t>象义强度​</t>
  </si>
  <si>
    <r>
      <t>辰/酉</t>
    </r>
    <r>
      <rPr>
        <sz val="11"/>
        <color theme="1"/>
        <rFont val="等线"/>
        <family val="2"/>
        <charset val="134"/>
        <scheme val="minor"/>
      </rPr>
      <t>​</t>
    </r>
  </si>
  <si>
    <t>庙（7）</t>
  </si>
  <si>
    <t>财运强，行事果决，骨骼健壮。</t>
  </si>
  <si>
    <r>
      <t>巳/申</t>
    </r>
    <r>
      <rPr>
        <sz val="11"/>
        <color theme="1"/>
        <rFont val="等线"/>
        <family val="2"/>
        <charset val="134"/>
        <scheme val="minor"/>
      </rPr>
      <t>​</t>
    </r>
  </si>
  <si>
    <t>旺（6）</t>
  </si>
  <si>
    <t>财路广但波动大，性格刚中带柔。</t>
  </si>
  <si>
    <r>
      <t>卯/戌</t>
    </r>
    <r>
      <rPr>
        <sz val="11"/>
        <color theme="1"/>
        <rFont val="等线"/>
        <family val="2"/>
        <charset val="134"/>
        <scheme val="minor"/>
      </rPr>
      <t>​</t>
    </r>
  </si>
  <si>
    <t>利（4）</t>
  </si>
  <si>
    <t>财运平淡，需主动争取，易关节劳损。</t>
  </si>
  <si>
    <r>
      <t>寅/亥</t>
    </r>
    <r>
      <rPr>
        <sz val="11"/>
        <color theme="1"/>
        <rFont val="等线"/>
        <family val="2"/>
        <charset val="134"/>
        <scheme val="minor"/>
      </rPr>
      <t>​</t>
    </r>
  </si>
  <si>
    <t>得（5）</t>
  </si>
  <si>
    <t>财来财去，晚年积蓄；体弱易风寒。</t>
  </si>
  <si>
    <r>
      <t>子/午/丑/未</t>
    </r>
    <r>
      <rPr>
        <sz val="11"/>
        <color theme="1"/>
        <rFont val="等线"/>
        <family val="2"/>
        <charset val="134"/>
        <scheme val="minor"/>
      </rPr>
      <t>​</t>
    </r>
  </si>
  <si>
    <t>平/陷（1-3）</t>
  </si>
  <si>
    <t>求财辛苦，健康不佳，性情孤僻。</t>
  </si>
  <si>
    <t>四、四化影响​</t>
  </si>
  <si>
    <t>触发宫干​</t>
  </si>
  <si>
    <t>己干</t>
  </si>
  <si>
    <t>财运爆发（实业、金属交易），但易因固执失机。</t>
  </si>
  <si>
    <t>庚干</t>
  </si>
  <si>
    <t>职权提升（管理、军职），行动力强，但冲突增多。</t>
  </si>
  <si>
    <t>甲干</t>
  </si>
  <si>
    <t>专业名声（金融、技术），化解财务纠纷。</t>
  </si>
  <si>
    <t>壬干</t>
  </si>
  <si>
    <t>破财、资金冻结，骨骼伤病，人际孤立。</t>
  </si>
  <si>
    <t>五、辅星组合实战案例​</t>
  </si>
  <si>
    <t>应事案例​</t>
  </si>
  <si>
    <t>武曲+火星</t>
  </si>
  <si>
    <t>快速破财（股票暴亏）、急性骨伤（扭伤）。</t>
  </si>
  <si>
    <t>武曲+擎羊</t>
  </si>
  <si>
    <t>武力冲突（打架）、骨折手术、强制裁员。</t>
  </si>
  <si>
    <t>武曲+文昌</t>
  </si>
  <si>
    <t>金融文书（贷款合同）、财务审计纠纷。</t>
  </si>
  <si>
    <t>武曲+地空</t>
  </si>
  <si>
    <t>虚财（期货泡沫）、骨质空洞（骨质疏松）。</t>
  </si>
  <si>
    <t>武曲+天刑</t>
  </si>
  <si>
    <t>财务官司、军事纪律处分，或骨科手术。</t>
  </si>
  <si>
    <r>
      <t>禄存</t>
    </r>
    <r>
      <rPr>
        <sz val="11"/>
        <color theme="1"/>
        <rFont val="等线"/>
        <family val="2"/>
        <charset val="134"/>
        <scheme val="minor"/>
      </rPr>
      <t>​</t>
    </r>
  </si>
  <si>
    <t>武曲+禄存</t>
  </si>
  <si>
    <t>财富积累（房地产、贵金属），但孤克亲友。</t>
  </si>
  <si>
    <r>
      <t>天哭</t>
    </r>
    <r>
      <rPr>
        <sz val="11"/>
        <color theme="1"/>
        <rFont val="等线"/>
        <family val="2"/>
        <charset val="134"/>
        <scheme val="minor"/>
      </rPr>
      <t>​</t>
    </r>
  </si>
  <si>
    <t>武曲+天哭</t>
  </si>
  <si>
    <t>因财悲伤（遗产纠纷）、骨骼剧痛（晚期骨癌）。</t>
  </si>
  <si>
    <t>六、重点提示​</t>
  </si>
  <si>
    <r>
      <t>武曲逢煞</t>
    </r>
    <r>
      <rPr>
        <sz val="11"/>
        <color theme="1"/>
        <rFont val="等线"/>
        <family val="2"/>
        <charset val="134"/>
        <scheme val="minor"/>
      </rPr>
      <t>（火星、铃星、擎羊、陀罗）：</t>
    </r>
  </si>
  <si>
    <t>财路凶险（高利贷、赌债），健康预警（金属外伤、手术）。</t>
  </si>
  <si>
    <r>
      <t>武曲逢吉</t>
    </r>
    <r>
      <rPr>
        <sz val="11"/>
        <color theme="1"/>
        <rFont val="等线"/>
        <family val="2"/>
        <charset val="134"/>
        <scheme val="minor"/>
      </rPr>
      <t>（禄存、天马）：</t>
    </r>
  </si>
  <si>
    <t>实业致富（矿山、机械），但需防人际疏离。</t>
  </si>
  <si>
    <t>一、贪狼定义​</t>
  </si>
  <si>
    <r>
      <t>属性</t>
    </r>
    <r>
      <rPr>
        <sz val="11"/>
        <color theme="1"/>
        <rFont val="等线"/>
        <family val="2"/>
        <charset val="134"/>
        <scheme val="minor"/>
      </rPr>
      <t>：阳木 + 阴水</t>
    </r>
  </si>
  <si>
    <r>
      <t>斗分</t>
    </r>
    <r>
      <rPr>
        <sz val="11"/>
        <color theme="1"/>
        <rFont val="等线"/>
        <family val="2"/>
        <charset val="134"/>
        <scheme val="minor"/>
      </rPr>
      <t>：北斗第一星</t>
    </r>
  </si>
  <si>
    <r>
      <t>化气</t>
    </r>
    <r>
      <rPr>
        <sz val="11"/>
        <color theme="1"/>
        <rFont val="等线"/>
        <family val="2"/>
        <charset val="134"/>
        <scheme val="minor"/>
      </rPr>
      <t>：贪、欲（主欲望、体积、肉体）</t>
    </r>
  </si>
  <si>
    <r>
      <t>1. 所有物体的统称</t>
    </r>
    <r>
      <rPr>
        <sz val="11"/>
        <color theme="1"/>
        <rFont val="等线"/>
        <family val="2"/>
        <charset val="134"/>
        <scheme val="minor"/>
      </rPr>
      <t>：泛指物质存在，如物体、空间、肉体。</t>
    </r>
  </si>
  <si>
    <r>
      <t>2. 体积大小</t>
    </r>
    <r>
      <rPr>
        <sz val="11"/>
        <color theme="1"/>
        <rFont val="等线"/>
        <family val="2"/>
        <charset val="134"/>
        <scheme val="minor"/>
      </rPr>
      <t>：庙旺（体积大/欲望强）；落陷（体积小/欲望弱）。</t>
    </r>
  </si>
  <si>
    <r>
      <t>3. 欲望</t>
    </r>
    <r>
      <rPr>
        <sz val="11"/>
        <color theme="1"/>
        <rFont val="等线"/>
        <family val="2"/>
        <charset val="134"/>
        <scheme val="minor"/>
      </rPr>
      <t>：贪欲、肉欲、物欲、求知欲。</t>
    </r>
  </si>
  <si>
    <r>
      <t>4. 肉体</t>
    </r>
    <r>
      <rPr>
        <sz val="11"/>
        <color theme="1"/>
        <rFont val="等线"/>
        <family val="2"/>
        <charset val="134"/>
        <scheme val="minor"/>
      </rPr>
      <t>：肉体体积（肥胖、肿瘤）、生殖器官。</t>
    </r>
  </si>
  <si>
    <r>
      <t>5. 同音卦</t>
    </r>
    <r>
      <rPr>
        <sz val="11"/>
        <color theme="1"/>
        <rFont val="等线"/>
        <family val="2"/>
        <charset val="134"/>
        <scheme val="minor"/>
      </rPr>
      <t>：</t>
    </r>
  </si>
  <si>
    <t>“狼” → 野心、掠夺性（如投资扩张）；</t>
  </si>
  <si>
    <t>“贪” → 贪恋、沉迷（如赌博、色欲）。</t>
  </si>
  <si>
    <t>二、贪狼宫位含义​</t>
  </si>
  <si>
    <t>应用场景​</t>
  </si>
  <si>
    <t>欲望主导人生</t>
  </si>
  <si>
    <t>物欲强，易沉迷享乐；庙旺：善交际；落陷：孤僻。</t>
  </si>
  <si>
    <t>财富体积</t>
  </si>
  <si>
    <t>庙旺：大额投资；落陷：小额投机（如彩票）。+火星：暴富/暴亏。</t>
  </si>
  <si>
    <t>肉体关系</t>
  </si>
  <si>
    <t>性生活频率；+天喜：多子女；+铃星：性冷淡。</t>
  </si>
  <si>
    <t>病灶体积</t>
  </si>
  <si>
    <t>+廉贞：肿瘤大小；+文昌：骨骼畸形。</t>
  </si>
  <si>
    <t>空间移动</t>
  </si>
  <si>
    <t>远行规模（庙旺：跨国；落陷：短途）。</t>
  </si>
  <si>
    <t>事业规模</t>
  </si>
  <si>
    <t>创业野心；+地空：盲目扩张。</t>
  </si>
  <si>
    <t>三、贪狼星曜状态​</t>
  </si>
  <si>
    <t>象义侧重​</t>
  </si>
  <si>
    <r>
      <t>巳/午/未</t>
    </r>
    <r>
      <rPr>
        <sz val="11"/>
        <color theme="1"/>
        <rFont val="等线"/>
        <family val="2"/>
        <charset val="134"/>
        <scheme val="minor"/>
      </rPr>
      <t>​</t>
    </r>
  </si>
  <si>
    <t>陷（1）</t>
  </si>
  <si>
    <t>欲望弱，体积小（如保守投资）</t>
  </si>
  <si>
    <r>
      <t>申/酉</t>
    </r>
    <r>
      <rPr>
        <sz val="11"/>
        <color theme="1"/>
        <rFont val="等线"/>
        <family val="2"/>
        <charset val="134"/>
        <scheme val="minor"/>
      </rPr>
      <t>​</t>
    </r>
  </si>
  <si>
    <t>中等规模（如中小企业）</t>
  </si>
  <si>
    <r>
      <t>亥</t>
    </r>
    <r>
      <rPr>
        <sz val="11"/>
        <color theme="1"/>
        <rFont val="等线"/>
        <family val="2"/>
        <charset val="134"/>
        <scheme val="minor"/>
      </rPr>
      <t>​</t>
    </r>
  </si>
  <si>
    <t>欲望极强，体积大（如跨国并购）</t>
  </si>
  <si>
    <r>
      <t>寅/卯</t>
    </r>
    <r>
      <rPr>
        <sz val="11"/>
        <color theme="1"/>
        <rFont val="等线"/>
        <family val="2"/>
        <charset val="134"/>
        <scheme val="minor"/>
      </rPr>
      <t>​</t>
    </r>
  </si>
  <si>
    <t>扩张性强（如快速开店）</t>
  </si>
  <si>
    <t>四、贪狼组合象义​</t>
  </si>
  <si>
    <r>
      <t>贪狼 + 紫微</t>
    </r>
    <r>
      <rPr>
        <sz val="11"/>
        <color theme="1"/>
        <rFont val="等线"/>
        <family val="2"/>
        <charset val="134"/>
        <scheme val="minor"/>
      </rPr>
      <t>​</t>
    </r>
  </si>
  <si>
    <t>高级欲望</t>
  </si>
  <si>
    <t>追求奢侈品（紫微庙）或虚名（紫微陷）。</t>
  </si>
  <si>
    <r>
      <t>贪狼 + 武曲</t>
    </r>
    <r>
      <rPr>
        <sz val="11"/>
        <color theme="1"/>
        <rFont val="等线"/>
        <family val="2"/>
        <charset val="134"/>
        <scheme val="minor"/>
      </rPr>
      <t>​</t>
    </r>
  </si>
  <si>
    <t>金钱欲望</t>
  </si>
  <si>
    <t>武曲庙：实业投资；武曲陷：赌博投机。</t>
  </si>
  <si>
    <r>
      <t>贪狼 + 廉贞</t>
    </r>
    <r>
      <rPr>
        <sz val="11"/>
        <color theme="1"/>
        <rFont val="等线"/>
        <family val="2"/>
        <charset val="134"/>
        <scheme val="minor"/>
      </rPr>
      <t>​</t>
    </r>
  </si>
  <si>
    <t>肉体纠缠</t>
  </si>
  <si>
    <t>肿瘤（廉贞囚）+ 体积（贪狼）→ 癌症晚期。</t>
  </si>
  <si>
    <r>
      <t>贪狼 + 火星</t>
    </r>
    <r>
      <rPr>
        <sz val="11"/>
        <color theme="1"/>
        <rFont val="等线"/>
        <family val="2"/>
        <charset val="134"/>
        <scheme val="minor"/>
      </rPr>
      <t>​</t>
    </r>
  </si>
  <si>
    <t>欲望爆发</t>
  </si>
  <si>
    <t>投资冲动（火星急）+ 体积扩大（贪狼）→ 盲目加仓。</t>
  </si>
  <si>
    <r>
      <t>贪狼 + 地空</t>
    </r>
    <r>
      <rPr>
        <sz val="11"/>
        <color theme="1"/>
        <rFont val="等线"/>
        <family val="2"/>
        <charset val="134"/>
        <scheme val="minor"/>
      </rPr>
      <t>​</t>
    </r>
  </si>
  <si>
    <t>虚妄膨胀</t>
  </si>
  <si>
    <t>地空（过分） + 贪狼庙（欲望大）→ 融资骗局。</t>
  </si>
  <si>
    <r>
      <t>贪狼 + 文昌</t>
    </r>
    <r>
      <rPr>
        <sz val="11"/>
        <color theme="1"/>
        <rFont val="等线"/>
        <family val="2"/>
        <charset val="134"/>
        <scheme val="minor"/>
      </rPr>
      <t>​</t>
    </r>
  </si>
  <si>
    <t>歪曲体积</t>
  </si>
  <si>
    <t>文昌（不正） + 贪狼（肉体）→ 整容失败/体型畸形。</t>
  </si>
  <si>
    <r>
      <t>贪狼 + 天刑</t>
    </r>
    <r>
      <rPr>
        <sz val="11"/>
        <color theme="1"/>
        <rFont val="等线"/>
        <family val="2"/>
        <charset val="134"/>
        <scheme val="minor"/>
      </rPr>
      <t>​</t>
    </r>
  </si>
  <si>
    <t>约束欲望</t>
  </si>
  <si>
    <t>法律制裁（天刑管） + 贪狼（贪欲）→ 因贪污入狱。</t>
  </si>
  <si>
    <t>五、关键逻辑​</t>
  </si>
  <si>
    <r>
      <t>1. 体积与欲望的转化</t>
    </r>
    <r>
      <rPr>
        <sz val="11"/>
        <color theme="1"/>
        <rFont val="等线"/>
        <family val="2"/>
        <charset val="134"/>
        <scheme val="minor"/>
      </rPr>
      <t>：</t>
    </r>
  </si>
  <si>
    <t>贪狼庙旺见禄存：欲望转化为实际财富（如囤货居奇）。</t>
  </si>
  <si>
    <t>贪狼落陷化忌：欲望落空（如投资血本无归）。</t>
  </si>
  <si>
    <r>
      <t>2. 肉体与疾病的关联</t>
    </r>
    <r>
      <rPr>
        <sz val="11"/>
        <color theme="1"/>
        <rFont val="等线"/>
        <family val="2"/>
        <charset val="134"/>
        <scheme val="minor"/>
      </rPr>
      <t>：</t>
    </r>
  </si>
  <si>
    <t>贪狼 + 天同：脂肪堆积（天同享乐 + 贪狼体积）。</t>
  </si>
  <si>
    <t>贪狼 + 七杀：扩散病灶（七杀线状扩散 + 贪狼体积）。</t>
  </si>
  <si>
    <t>陷（1） 10-30%</t>
    <phoneticPr fontId="2" type="noConversion"/>
  </si>
  <si>
    <t>利（4） 40-60%</t>
    <phoneticPr fontId="2" type="noConversion"/>
  </si>
  <si>
    <t>庙（7） 90-100%</t>
    <phoneticPr fontId="2" type="noConversion"/>
  </si>
  <si>
    <t>旺（6） 70-80%</t>
    <phoneticPr fontId="2" type="noConversion"/>
  </si>
  <si>
    <t>一、天同定义​</t>
  </si>
  <si>
    <r>
      <t>属水</t>
    </r>
    <r>
      <rPr>
        <sz val="11"/>
        <color theme="1"/>
        <rFont val="等线"/>
        <family val="2"/>
        <charset val="134"/>
        <scheme val="minor"/>
      </rPr>
      <t>，核心为</t>
    </r>
    <r>
      <rPr>
        <b/>
        <sz val="11"/>
        <color theme="1"/>
        <rFont val="等线"/>
        <family val="3"/>
        <charset val="134"/>
        <scheme val="minor"/>
      </rPr>
      <t>心魂感受</t>
    </r>
    <r>
      <rPr>
        <sz val="11"/>
        <color theme="1"/>
        <rFont val="等线"/>
        <family val="2"/>
        <charset val="134"/>
        <scheme val="minor"/>
      </rPr>
      <t>，涵盖以下维度：</t>
    </r>
  </si>
  <si>
    <r>
      <t>1. 心情状态</t>
    </r>
    <r>
      <rPr>
        <sz val="11"/>
        <color theme="1"/>
        <rFont val="等线"/>
        <family val="2"/>
        <charset val="134"/>
        <scheme val="minor"/>
      </rPr>
      <t>（70%高频应验）：</t>
    </r>
  </si>
  <si>
    <t>庙旺（子亥水位）：愉悦、童真、豁达</t>
  </si>
  <si>
    <t>落陷（巳午火位）：老成、忧郁、麻木</t>
  </si>
  <si>
    <r>
      <t>2. 灵魂本质</t>
    </r>
    <r>
      <rPr>
        <sz val="11"/>
        <color theme="1"/>
        <rFont val="等线"/>
        <family val="2"/>
        <charset val="134"/>
        <scheme val="minor"/>
      </rPr>
      <t>：</t>
    </r>
  </si>
  <si>
    <r>
      <t>轮回中的</t>
    </r>
    <r>
      <rPr>
        <b/>
        <sz val="11"/>
        <color theme="1"/>
        <rFont val="等线"/>
        <family val="3"/>
        <charset val="134"/>
        <scheme val="minor"/>
      </rPr>
      <t>福报载体</t>
    </r>
    <r>
      <rPr>
        <sz val="11"/>
        <color theme="1"/>
        <rFont val="等线"/>
        <family val="2"/>
        <charset val="134"/>
        <scheme val="minor"/>
      </rPr>
      <t>（主魂），决定先天福气厚薄</t>
    </r>
  </si>
  <si>
    <t>庙旺：纯净灵性；落陷：世故沉浊</t>
  </si>
  <si>
    <r>
      <t>3. 行为特质</t>
    </r>
    <r>
      <rPr>
        <sz val="11"/>
        <color theme="1"/>
        <rFont val="等线"/>
        <family val="2"/>
        <charset val="134"/>
        <scheme val="minor"/>
      </rPr>
      <t>：</t>
    </r>
  </si>
  <si>
    <t>享受主义（懒散/贪玩/重感官）</t>
  </si>
  <si>
    <t>共情力强（易被外界牵动情绪）</t>
  </si>
  <si>
    <r>
      <t>4. 同音卦延伸</t>
    </r>
    <r>
      <rPr>
        <sz val="11"/>
        <color theme="1"/>
        <rFont val="等线"/>
        <family val="2"/>
        <charset val="134"/>
        <scheme val="minor"/>
      </rPr>
      <t>：</t>
    </r>
  </si>
  <si>
    <t>“同”＝镜子（自我投射）、同心锁（情感羁绊）</t>
  </si>
  <si>
    <t>“童”＝孩童、幼稚、创造力</t>
  </si>
  <si>
    <t>二、天同宫位含义​</t>
  </si>
  <si>
    <t>本性天真，抗压能力弱</t>
  </si>
  <si>
    <t>+煞星：玻璃心；+文昌：文艺天赋</t>
  </si>
  <si>
    <t>消费观享乐主义</t>
  </si>
  <si>
    <t>化忌：为快乐挥霍；化禄：意外之财</t>
  </si>
  <si>
    <t>工作追求轻松</t>
  </si>
  <si>
    <t>落陷+天梁：被迫承担重任</t>
  </si>
  <si>
    <t>亲子关系/性生活态度</t>
  </si>
  <si>
    <t>庙旺：宠溺孩子；落陷：性冷淡</t>
  </si>
  <si>
    <t>心理疾病温床</t>
  </si>
  <si>
    <t>+铃星：抑郁症；+擎羊：心绞痛</t>
  </si>
  <si>
    <t>对外界的情绪感知</t>
  </si>
  <si>
    <t>化忌：旅途抑郁；化禄：异乡遇贵人</t>
  </si>
  <si>
    <t>三、天同星曜状态​</t>
  </si>
  <si>
    <t>庙陷​</t>
  </si>
  <si>
    <t>关键特质​</t>
  </si>
  <si>
    <r>
      <t>子</t>
    </r>
    <r>
      <rPr>
        <sz val="11"/>
        <color theme="1"/>
        <rFont val="等线"/>
        <family val="2"/>
        <charset val="134"/>
        <scheme val="minor"/>
      </rPr>
      <t>​</t>
    </r>
  </si>
  <si>
    <t>庙</t>
  </si>
  <si>
    <t>福泽深厚，大智若愚</t>
  </si>
  <si>
    <t>灵感迸发，精神富足</t>
  </si>
  <si>
    <r>
      <t>巳</t>
    </r>
    <r>
      <rPr>
        <sz val="11"/>
        <color theme="1"/>
        <rFont val="等线"/>
        <family val="2"/>
        <charset val="134"/>
        <scheme val="minor"/>
      </rPr>
      <t>​</t>
    </r>
  </si>
  <si>
    <t>陷</t>
  </si>
  <si>
    <t>强颜欢笑，内心孤寂</t>
  </si>
  <si>
    <r>
      <t>午</t>
    </r>
    <r>
      <rPr>
        <sz val="11"/>
        <color theme="1"/>
        <rFont val="等线"/>
        <family val="2"/>
        <charset val="134"/>
        <scheme val="minor"/>
      </rPr>
      <t>​</t>
    </r>
  </si>
  <si>
    <t>乐极生悲，情绪极端</t>
  </si>
  <si>
    <r>
      <t>寅</t>
    </r>
    <r>
      <rPr>
        <sz val="11"/>
        <color theme="1"/>
        <rFont val="等线"/>
        <family val="2"/>
        <charset val="134"/>
        <scheme val="minor"/>
      </rPr>
      <t>​</t>
    </r>
  </si>
  <si>
    <t>得</t>
  </si>
  <si>
    <t>知足常乐，但易躺平</t>
  </si>
  <si>
    <r>
      <t>申</t>
    </r>
    <r>
      <rPr>
        <sz val="11"/>
        <color theme="1"/>
        <rFont val="等线"/>
        <family val="2"/>
        <charset val="134"/>
        <scheme val="minor"/>
      </rPr>
      <t>​</t>
    </r>
  </si>
  <si>
    <t>善借外力，贵人提携</t>
  </si>
  <si>
    <t>四、天同组合象义​</t>
  </si>
  <si>
    <t>1. 天同太阴（水水组合）​</t>
  </si>
  <si>
    <r>
      <t>核心</t>
    </r>
    <r>
      <rPr>
        <sz val="11"/>
        <color theme="1"/>
        <rFont val="等线"/>
        <family val="2"/>
        <charset val="134"/>
        <scheme val="minor"/>
      </rPr>
      <t>：内心感受与存储机制的交互</t>
    </r>
  </si>
  <si>
    <r>
      <t>庙旺（子亥）</t>
    </r>
    <r>
      <rPr>
        <sz val="11"/>
        <color theme="1"/>
        <rFont val="等线"/>
        <family val="2"/>
        <charset val="134"/>
        <scheme val="minor"/>
      </rPr>
      <t>：</t>
    </r>
  </si>
  <si>
    <t>感悟力穿透三世（例：前世记忆浮现）</t>
  </si>
  <si>
    <t>化忌（癸干）：顿悟放下执念</t>
  </si>
  <si>
    <r>
      <t>落陷（巳午）</t>
    </r>
    <r>
      <rPr>
        <sz val="11"/>
        <color theme="1"/>
        <rFont val="等线"/>
        <family val="2"/>
        <charset val="134"/>
        <scheme val="minor"/>
      </rPr>
      <t>：</t>
    </r>
  </si>
  <si>
    <t>乙干化忌：麻木中突然痛苦觉醒</t>
  </si>
  <si>
    <t>丁干化禄：纵欲填补空虚</t>
  </si>
  <si>
    <t>2. 天同天梁（水土组合）​</t>
  </si>
  <si>
    <r>
      <t>本质</t>
    </r>
    <r>
      <rPr>
        <sz val="11"/>
        <color theme="1"/>
        <rFont val="等线"/>
        <family val="2"/>
        <charset val="134"/>
        <scheme val="minor"/>
      </rPr>
      <t>：感性认同 vs 理性支撑</t>
    </r>
  </si>
  <si>
    <r>
      <t>冲突相</t>
    </r>
    <r>
      <rPr>
        <sz val="11"/>
        <color theme="1"/>
        <rFont val="等线"/>
        <family val="2"/>
        <charset val="134"/>
        <scheme val="minor"/>
      </rPr>
      <t>：</t>
    </r>
  </si>
  <si>
    <t>寅宫（天同得5 + 天梁庙7）：理想主义但根基不稳</t>
  </si>
  <si>
    <t>申宫（天同得5 + 天梁陷1）：空有热情缺乏方法论</t>
  </si>
  <si>
    <r>
      <t>调和相</t>
    </r>
    <r>
      <rPr>
        <sz val="11"/>
        <color theme="1"/>
        <rFont val="等线"/>
        <family val="2"/>
        <charset val="134"/>
        <scheme val="minor"/>
      </rPr>
      <t>：</t>
    </r>
  </si>
  <si>
    <t>化科（乙干）：将感悟转化为人生准则</t>
  </si>
  <si>
    <t>3. 天同擎羊（水金组合）​</t>
  </si>
  <si>
    <r>
      <t>身体</t>
    </r>
    <r>
      <rPr>
        <sz val="11"/>
        <color theme="1"/>
        <rFont val="等线"/>
        <family val="2"/>
        <charset val="134"/>
        <scheme val="minor"/>
      </rPr>
      <t>：心脉受伤（心梗/情伤）</t>
    </r>
  </si>
  <si>
    <r>
      <t>事件</t>
    </r>
    <r>
      <rPr>
        <sz val="11"/>
        <color theme="1"/>
        <rFont val="等线"/>
        <family val="2"/>
        <charset val="134"/>
        <scheme val="minor"/>
      </rPr>
      <t>：</t>
    </r>
  </si>
  <si>
    <t>庙旺：为守护纯真抗争（如维权）</t>
  </si>
  <si>
    <t>落陷：因软弱遭欺凌</t>
  </si>
  <si>
    <t>4. 天同火星（水火组合）​</t>
  </si>
  <si>
    <r>
      <t>情绪爆发链</t>
    </r>
    <r>
      <rPr>
        <sz val="11"/>
        <color theme="1"/>
        <rFont val="等线"/>
        <family val="2"/>
        <charset val="134"/>
        <scheme val="minor"/>
      </rPr>
      <t>：</t>
    </r>
  </si>
  <si>
    <t>压抑（同陷）→ 躁狂（火星）→ 崩溃（化忌）</t>
  </si>
  <si>
    <r>
      <t>特殊象</t>
    </r>
    <r>
      <rPr>
        <sz val="11"/>
        <color theme="1"/>
        <rFont val="等线"/>
        <family val="2"/>
        <charset val="134"/>
        <scheme val="minor"/>
      </rPr>
      <t>：</t>
    </r>
  </si>
  <si>
    <t>午宫（同陷1 + 火星庙7）：自毁倾向</t>
  </si>
  <si>
    <t>五、关键禁忌​</t>
  </si>
  <si>
    <r>
      <t>1. 天同化忌</t>
    </r>
    <r>
      <rPr>
        <sz val="11"/>
        <color theme="1"/>
        <rFont val="等线"/>
        <family val="2"/>
        <charset val="134"/>
        <scheme val="minor"/>
      </rPr>
      <t>：</t>
    </r>
  </si>
  <si>
    <t>庙旺：终止错误快乐（戒烟酒）</t>
  </si>
  <si>
    <t>落陷：从麻木中觉醒（痛定思痛）</t>
  </si>
  <si>
    <r>
      <t>2. 水象联动</t>
    </r>
    <r>
      <rPr>
        <sz val="11"/>
        <color theme="1"/>
        <rFont val="等线"/>
        <family val="2"/>
        <charset val="134"/>
        <scheme val="minor"/>
      </rPr>
      <t>：</t>
    </r>
  </si>
  <si>
    <t>天同+文曲化忌：沉溺虚幻文学</t>
  </si>
  <si>
    <t>天同+太阴落陷：抑郁体质</t>
  </si>
  <si>
    <t>属金（主肃杀、切割）</t>
  </si>
  <si>
    <t>阴金</t>
  </si>
  <si>
    <t>线、平面、数字1/10（象征线性结构、切割面、持久性）</t>
  </si>
  <si>
    <r>
      <t>无四化</t>
    </r>
    <r>
      <rPr>
        <sz val="11"/>
        <color theme="1"/>
        <rFont val="等线"/>
        <family val="2"/>
        <charset val="134"/>
        <scheme val="minor"/>
      </rPr>
      <t>​</t>
    </r>
  </si>
  <si>
    <t>不直接参与四化，需借他星或宫位触发</t>
  </si>
  <si>
    <t>庙旺（6-7级）​</t>
  </si>
  <si>
    <r>
      <t>线性属性</t>
    </r>
    <r>
      <rPr>
        <sz val="11"/>
        <color theme="1"/>
        <rFont val="等线"/>
        <family val="2"/>
        <charset val="134"/>
        <scheme val="minor"/>
      </rPr>
      <t>​</t>
    </r>
  </si>
  <si>
    <t>持久稳固（如血管畅通、事业长久）</t>
  </si>
  <si>
    <t>断裂失控（如资金链断裂、神经损伤）</t>
  </si>
  <si>
    <r>
      <t>切割性</t>
    </r>
    <r>
      <rPr>
        <sz val="11"/>
        <color theme="1"/>
        <rFont val="等线"/>
        <family val="2"/>
        <charset val="134"/>
        <scheme val="minor"/>
      </rPr>
      <t>​</t>
    </r>
  </si>
  <si>
    <t>精准分割（外科手术、法律裁决）</t>
  </si>
  <si>
    <t>暴力破坏（械斗、意外骨折）</t>
  </si>
  <si>
    <r>
      <t>平面象征</t>
    </r>
    <r>
      <rPr>
        <sz val="11"/>
        <color theme="1"/>
        <rFont val="等线"/>
        <family val="2"/>
        <charset val="134"/>
        <scheme val="minor"/>
      </rPr>
      <t>​</t>
    </r>
  </si>
  <si>
    <t>二维稳定（地标平面、屏幕显示）</t>
  </si>
  <si>
    <t>平面崩塌（地基塌陷、屏幕碎裂）</t>
  </si>
  <si>
    <t>2. 宫位含义​</t>
  </si>
  <si>
    <t>线状器官疾病（气管炎、肠梗阻）</t>
  </si>
  <si>
    <t>+文昌：支气管炎；+擎羊：手术留疤</t>
  </si>
  <si>
    <t>线性财富流（稳定收入链）</t>
  </si>
  <si>
    <t>+地空：泡沫投资；+武曲：金融纠纷</t>
  </si>
  <si>
    <t>越界行为（压线行驶、签证违规）</t>
  </si>
  <si>
    <t>+陀罗：行程延误；+火星：交通事故</t>
  </si>
  <si>
    <t>流产器械象（刮宫工具）</t>
  </si>
  <si>
    <t>+天刑：堕胎手术；+铃星：生育烦恼</t>
  </si>
  <si>
    <t>关系切割（离婚协议）</t>
  </si>
  <si>
    <t>+左辅：多角恋；+擎羊：感情暴力</t>
  </si>
  <si>
    <t>1. 辅星组合​</t>
  </si>
  <si>
    <r>
      <t>七杀+陀罗</t>
    </r>
    <r>
      <rPr>
        <sz val="11"/>
        <color theme="1"/>
        <rFont val="等线"/>
        <family val="2"/>
        <charset val="134"/>
        <scheme val="minor"/>
      </rPr>
      <t>​</t>
    </r>
  </si>
  <si>
    <t>线打转（毛线团、烫发）</t>
  </si>
  <si>
    <t>线纠缠（人际纠纷、电路短路）</t>
  </si>
  <si>
    <r>
      <t>七杀+擎羊</t>
    </r>
    <r>
      <rPr>
        <sz val="11"/>
        <color theme="1"/>
        <rFont val="等线"/>
        <family val="2"/>
        <charset val="134"/>
        <scheme val="minor"/>
      </rPr>
      <t>​</t>
    </r>
  </si>
  <si>
    <t>切割精准（激光手术）</t>
  </si>
  <si>
    <t>暴力伤痕（刀伤、家暴）</t>
  </si>
  <si>
    <r>
      <t>七杀+地空</t>
    </r>
    <r>
      <rPr>
        <sz val="11"/>
        <color theme="1"/>
        <rFont val="等线"/>
        <family val="2"/>
        <charset val="134"/>
        <scheme val="minor"/>
      </rPr>
      <t>​</t>
    </r>
  </si>
  <si>
    <t>平面隆起（建筑穹顶）</t>
  </si>
  <si>
    <t>泡沫破裂（投资崩盘）</t>
  </si>
  <si>
    <r>
      <t>七杀+地劫</t>
    </r>
    <r>
      <rPr>
        <sz val="11"/>
        <color theme="1"/>
        <rFont val="等线"/>
        <family val="2"/>
        <charset val="134"/>
        <scheme val="minor"/>
      </rPr>
      <t>​</t>
    </r>
  </si>
  <si>
    <t>线性中断（信号丢失）</t>
  </si>
  <si>
    <t>彻底断裂（脊椎损伤）</t>
  </si>
  <si>
    <r>
      <t>七杀+文昌</t>
    </r>
    <r>
      <rPr>
        <sz val="11"/>
        <color theme="1"/>
        <rFont val="等线"/>
        <family val="2"/>
        <charset val="134"/>
        <scheme val="minor"/>
      </rPr>
      <t>​</t>
    </r>
  </si>
  <si>
    <t>线扭斜（麻花辫）</t>
  </si>
  <si>
    <t>线歪曲（学术造假）</t>
  </si>
  <si>
    <r>
      <t>七杀+铃星</t>
    </r>
    <r>
      <rPr>
        <sz val="11"/>
        <color theme="1"/>
        <rFont val="等线"/>
        <family val="2"/>
        <charset val="134"/>
        <scheme val="minor"/>
      </rPr>
      <t>​</t>
    </r>
  </si>
  <si>
    <t>铃铛挂线（警示系统）</t>
  </si>
  <si>
    <t>持续噪音（神经衰弱）</t>
  </si>
  <si>
    <t>2. 主星组合​</t>
  </si>
  <si>
    <r>
      <t>七杀+紫微</t>
    </r>
    <r>
      <rPr>
        <sz val="11"/>
        <color theme="1"/>
        <rFont val="等线"/>
        <family val="2"/>
        <charset val="134"/>
        <scheme val="minor"/>
      </rPr>
      <t>​</t>
    </r>
  </si>
  <si>
    <t>高端线性（黄金脉络、高压电缆）</t>
  </si>
  <si>
    <t>辰/戌宫：权威切割（法律制裁）</t>
  </si>
  <si>
    <r>
      <t>七杀+武曲</t>
    </r>
    <r>
      <rPr>
        <sz val="11"/>
        <color theme="1"/>
        <rFont val="等线"/>
        <family val="2"/>
        <charset val="134"/>
        <scheme val="minor"/>
      </rPr>
      <t>​</t>
    </r>
  </si>
  <si>
    <t>硬线冲突（骨折、金融狙击）</t>
  </si>
  <si>
    <t>+火星：战争爆发</t>
  </si>
  <si>
    <r>
      <t>七杀+天机</t>
    </r>
    <r>
      <rPr>
        <sz val="11"/>
        <color theme="1"/>
        <rFont val="等线"/>
        <family val="2"/>
        <charset val="134"/>
        <scheme val="minor"/>
      </rPr>
      <t>​</t>
    </r>
  </si>
  <si>
    <t>动态线路（交通网、神经传导）</t>
  </si>
  <si>
    <t>+陀罗：机械故障</t>
  </si>
  <si>
    <r>
      <t>七杀+廉贞</t>
    </r>
    <r>
      <rPr>
        <sz val="11"/>
        <color theme="1"/>
        <rFont val="等线"/>
        <family val="2"/>
        <charset val="134"/>
        <scheme val="minor"/>
      </rPr>
      <t>​</t>
    </r>
  </si>
  <si>
    <t>精密切割（微创手术）</t>
  </si>
  <si>
    <t>+天刑：肿瘤切除</t>
  </si>
  <si>
    <t>四、宫位叠加规则​</t>
  </si>
  <si>
    <r>
      <t>1. 一六共宗调级</t>
    </r>
    <r>
      <rPr>
        <sz val="11"/>
        <color theme="1"/>
        <rFont val="等线"/>
        <family val="2"/>
        <charset val="134"/>
        <scheme val="minor"/>
      </rPr>
      <t>：</t>
    </r>
  </si>
  <si>
    <t>疾厄宫状态可调整命宫七杀能量（例：疾厄宫紫微庙→强化命宫七杀执行力）</t>
  </si>
  <si>
    <r>
      <t>2. 三合联动</t>
    </r>
    <r>
      <rPr>
        <sz val="11"/>
        <color theme="1"/>
        <rFont val="等线"/>
        <family val="2"/>
        <charset val="134"/>
        <scheme val="minor"/>
      </rPr>
      <t>：</t>
    </r>
  </si>
  <si>
    <t>财帛宫+官禄宫七杀：主业收入链稳固（如制造业流水线）</t>
  </si>
  <si>
    <r>
      <t>3. 对宫冲照</t>
    </r>
    <r>
      <rPr>
        <sz val="11"/>
        <color theme="1"/>
        <rFont val="等线"/>
        <family val="2"/>
        <charset val="134"/>
        <scheme val="minor"/>
      </rPr>
      <t>：</t>
    </r>
  </si>
  <si>
    <t>夫妻宫七杀+迁移宫太阳：异地婚姻切割（长期分居）</t>
  </si>
  <si>
    <t>触发方式​</t>
  </si>
  <si>
    <t>效应​</t>
  </si>
  <si>
    <t>借武曲/贪狼化禄</t>
  </si>
  <si>
    <t>线性扩张（血管增生、业务拓展）</t>
  </si>
  <si>
    <t>借文昌/文曲化忌</t>
  </si>
  <si>
    <t>线性中断（神经阻断、合作破裂）</t>
  </si>
  <si>
    <t>借紫微/太阳化权</t>
  </si>
  <si>
    <t>强化切割（军事管制、手术决策）</t>
  </si>
  <si>
    <r>
      <t>1. 七杀+文昌组合争议</t>
    </r>
    <r>
      <rPr>
        <sz val="11"/>
        <color theme="1"/>
        <rFont val="等线"/>
        <family val="2"/>
        <charset val="134"/>
        <scheme val="minor"/>
      </rPr>
      <t>：</t>
    </r>
  </si>
  <si>
    <t>文档3称“七杀文昌主浪荡”，文档4称“文武兼备但犹豫”</t>
  </si>
  <si>
    <t>→ 并存矛盾：需结合宫位（迁移宫主漂泊，官禄宫主才能）</t>
  </si>
  <si>
    <r>
      <t>2. 落陷宫位差异</t>
    </r>
    <r>
      <rPr>
        <sz val="11"/>
        <color theme="1"/>
        <rFont val="等线"/>
        <family val="2"/>
        <charset val="134"/>
        <scheme val="minor"/>
      </rPr>
      <t>：</t>
    </r>
  </si>
  <si>
    <t>文档5定义子/亥宫陷（1级），文档18标注亥宫庙旺</t>
  </si>
  <si>
    <t>→ 以最新版手册（文档6）为准：亥宫为庙（7级）</t>
  </si>
  <si>
    <t>一、破军定义​</t>
  </si>
  <si>
    <r>
      <t>1. 突破（70%）</t>
    </r>
    <r>
      <rPr>
        <sz val="11"/>
        <color theme="1"/>
        <rFont val="等线"/>
        <family val="2"/>
        <charset val="134"/>
        <scheme val="minor"/>
      </rPr>
      <t>：破旧立新、状态转换（如改革、破坏）。</t>
    </r>
  </si>
  <si>
    <r>
      <t>2. 用力行为（24%）</t>
    </r>
    <r>
      <rPr>
        <sz val="11"/>
        <color theme="1"/>
        <rFont val="等线"/>
        <family val="2"/>
        <charset val="134"/>
        <scheme val="minor"/>
      </rPr>
      <t>：打、搬、背等力量型动作。</t>
    </r>
  </si>
  <si>
    <r>
      <t>3. “破”的负面象征（5%）</t>
    </r>
    <r>
      <rPr>
        <sz val="11"/>
        <color theme="1"/>
        <rFont val="等线"/>
        <family val="2"/>
        <charset val="134"/>
        <scheme val="minor"/>
      </rPr>
      <t>：垃圾、破烂、杂乱（区别于“旧”）。</t>
    </r>
  </si>
  <si>
    <r>
      <t>4. 水象（1%）</t>
    </r>
    <r>
      <rPr>
        <sz val="11"/>
        <color theme="1"/>
        <rFont val="等线"/>
        <family val="2"/>
        <charset val="134"/>
        <scheme val="minor"/>
      </rPr>
      <t>：有力量的水（洪水/海水），需太阴+力士触发。</t>
    </r>
  </si>
  <si>
    <t>庙旺（7级）象义​</t>
  </si>
  <si>
    <t>落陷（1级）象义​</t>
  </si>
  <si>
    <t>变革领袖（创业/革新）</t>
  </si>
  <si>
    <t>破坏者（暴力倾向/鲁莽）</t>
  </si>
  <si>
    <t>风险投资获利（如杠杆交易）</t>
  </si>
  <si>
    <t>突发破财（赌博失利/诈骗）</t>
  </si>
  <si>
    <t>手术成功（微创/肿瘤切除）</t>
  </si>
  <si>
    <t>意外重伤（骨折/器官破裂）</t>
  </si>
  <si>
    <t>跨境突破（移民/跨国业务）</t>
  </si>
  <si>
    <t>违规越界（签证拒签/偷渡）</t>
  </si>
  <si>
    <t>关系革新（闪婚/开放式婚姻）</t>
  </si>
  <si>
    <t>感情破裂（家暴/离婚诉讼）</t>
  </si>
  <si>
    <t>三、星曜状态与庙陷​</t>
  </si>
  <si>
    <t>关键影响​</t>
  </si>
  <si>
    <t>矛盾说明​</t>
  </si>
  <si>
    <r>
      <t>巳午未</t>
    </r>
    <r>
      <rPr>
        <sz val="11"/>
        <color theme="1"/>
        <rFont val="等线"/>
        <family val="2"/>
        <charset val="134"/>
        <scheme val="minor"/>
      </rPr>
      <t>​</t>
    </r>
  </si>
  <si>
    <t>高效突破（科技革新）</t>
  </si>
  <si>
    <r>
      <t>子亥</t>
    </r>
    <r>
      <rPr>
        <sz val="11"/>
        <color theme="1"/>
        <rFont val="等线"/>
        <family val="2"/>
        <charset val="134"/>
        <scheme val="minor"/>
      </rPr>
      <t>​</t>
    </r>
  </si>
  <si>
    <t>无效挣扎（计划流产）</t>
  </si>
  <si>
    <r>
      <t>寅卯</t>
    </r>
    <r>
      <rPr>
        <sz val="11"/>
        <color theme="1"/>
        <rFont val="等线"/>
        <family val="2"/>
        <charset val="134"/>
        <scheme val="minor"/>
      </rPr>
      <t>​</t>
    </r>
  </si>
  <si>
    <t>快速扩张（连锁店爆发）</t>
  </si>
  <si>
    <t>1. 煞星组合​</t>
  </si>
  <si>
    <r>
      <t>破军+擎羊</t>
    </r>
    <r>
      <rPr>
        <sz val="11"/>
        <color theme="1"/>
        <rFont val="等线"/>
        <family val="2"/>
        <charset val="134"/>
        <scheme val="minor"/>
      </rPr>
      <t>​</t>
    </r>
  </si>
  <si>
    <t>精准切割（外科手术）</t>
  </si>
  <si>
    <t>暴力伤害（械斗/家暴）</t>
  </si>
  <si>
    <r>
      <t>破军+地劫</t>
    </r>
    <r>
      <rPr>
        <sz val="11"/>
        <color theme="1"/>
        <rFont val="等线"/>
        <family val="2"/>
        <charset val="134"/>
        <scheme val="minor"/>
      </rPr>
      <t>​</t>
    </r>
  </si>
  <si>
    <t>创新性破局（技术革命）</t>
  </si>
  <si>
    <t>资源掏空（投资泡沫/破产）</t>
  </si>
  <si>
    <r>
      <t>破军+火星</t>
    </r>
    <r>
      <rPr>
        <sz val="11"/>
        <color theme="1"/>
        <rFont val="等线"/>
        <family val="2"/>
        <charset val="134"/>
        <scheme val="minor"/>
      </rPr>
      <t>​</t>
    </r>
  </si>
  <si>
    <t>突发性突破（专利发明）</t>
  </si>
  <si>
    <t>灾难性破坏（爆炸/火灾）</t>
  </si>
  <si>
    <t>2. 吉星组合​</t>
  </si>
  <si>
    <t>叠加效应​</t>
  </si>
  <si>
    <r>
      <t>破军+左辅</t>
    </r>
    <r>
      <rPr>
        <sz val="11"/>
        <color theme="1"/>
        <rFont val="等线"/>
        <family val="2"/>
        <charset val="134"/>
        <scheme val="minor"/>
      </rPr>
      <t>​</t>
    </r>
  </si>
  <si>
    <t>多次突破（连续创业）</t>
  </si>
  <si>
    <t>+财帛宫：融资多轮</t>
  </si>
  <si>
    <r>
      <t>破军+文曲</t>
    </r>
    <r>
      <rPr>
        <sz val="11"/>
        <color theme="1"/>
        <rFont val="等线"/>
        <family val="2"/>
        <charset val="134"/>
        <scheme val="minor"/>
      </rPr>
      <t>​</t>
    </r>
  </si>
  <si>
    <t>突破性内容（颠覆性论文）</t>
  </si>
  <si>
    <t>+官禄宫：行业标准改写</t>
  </si>
  <si>
    <r>
      <t>破军+天喜</t>
    </r>
    <r>
      <rPr>
        <sz val="11"/>
        <color theme="1"/>
        <rFont val="等线"/>
        <family val="2"/>
        <charset val="134"/>
        <scheme val="minor"/>
      </rPr>
      <t>​</t>
    </r>
  </si>
  <si>
    <t>喜庆变革（婚礼创新）</t>
  </si>
  <si>
    <t>+子女宫：试管婴儿</t>
  </si>
  <si>
    <t>五、四化联动规则​</t>
  </si>
  <si>
    <r>
      <t>1. 化禄（借武曲）</t>
    </r>
    <r>
      <rPr>
        <sz val="11"/>
        <color theme="1"/>
        <rFont val="等线"/>
        <family val="2"/>
        <charset val="134"/>
        <scheme val="minor"/>
      </rPr>
      <t>：</t>
    </r>
  </si>
  <si>
    <t>增强突破力（庙旺：变革成功；落陷：盲目扩张）。</t>
  </si>
  <si>
    <r>
      <t>2. 化权（借紫微）</t>
    </r>
    <r>
      <rPr>
        <sz val="11"/>
        <color theme="1"/>
        <rFont val="等线"/>
        <family val="2"/>
        <charset val="134"/>
        <scheme val="minor"/>
      </rPr>
      <t>：</t>
    </r>
  </si>
  <si>
    <t>木火位：权威改革（政策推行）；金水位：不自量力（失败抗争）。</t>
  </si>
  <si>
    <r>
      <t>3. 无化忌</t>
    </r>
    <r>
      <rPr>
        <sz val="11"/>
        <color theme="1"/>
        <rFont val="等线"/>
        <family val="2"/>
        <charset val="134"/>
        <scheme val="minor"/>
      </rPr>
      <t>：</t>
    </r>
  </si>
  <si>
    <t>煞星替代化忌效应（如+铃星=突破引发纠纷）。</t>
  </si>
  <si>
    <r>
      <t>1. 火位突破</t>
    </r>
    <r>
      <rPr>
        <sz val="11"/>
        <color theme="1"/>
        <rFont val="等线"/>
        <family val="2"/>
        <charset val="134"/>
        <scheme val="minor"/>
      </rPr>
      <t>：</t>
    </r>
  </si>
  <si>
    <t>任何星在巳/午宫突破均属“高级”（如科技革命）。</t>
  </si>
  <si>
    <r>
      <t>2. 水位突破</t>
    </r>
    <r>
      <rPr>
        <sz val="11"/>
        <color theme="1"/>
        <rFont val="等线"/>
        <family val="2"/>
        <charset val="134"/>
        <scheme val="minor"/>
      </rPr>
      <t>：</t>
    </r>
  </si>
  <si>
    <t>子/亥宫突破幅度小（如局部优化），但文档3称亥宫可庙旺。</t>
  </si>
  <si>
    <r>
      <t>3. “破”的双重性</t>
    </r>
    <r>
      <rPr>
        <sz val="11"/>
        <color theme="1"/>
        <rFont val="等线"/>
        <family val="2"/>
        <charset val="134"/>
        <scheme val="minor"/>
      </rPr>
      <t>：</t>
    </r>
  </si>
  <si>
    <t>庙旺+文昌：破旧立新（拆除危房）；落陷+阴煞：破坏文化遗产。</t>
  </si>
  <si>
    <t>一、文昌定义​</t>
  </si>
  <si>
    <r>
      <t>属性</t>
    </r>
    <r>
      <rPr>
        <sz val="11"/>
        <color theme="1"/>
        <rFont val="等线"/>
        <family val="2"/>
        <charset val="134"/>
        <scheme val="minor"/>
      </rPr>
      <t>：属金</t>
    </r>
  </si>
  <si>
    <r>
      <t>1. 传递功能（20%）</t>
    </r>
    <r>
      <rPr>
        <sz val="11"/>
        <color theme="1"/>
        <rFont val="等线"/>
        <family val="2"/>
        <charset val="134"/>
        <scheme val="minor"/>
      </rPr>
      <t>：信息传达、知识传播（如考试通知、任命书）。</t>
    </r>
  </si>
  <si>
    <r>
      <t>2. 正斜属性（80%）</t>
    </r>
    <r>
      <rPr>
        <sz val="11"/>
        <color theme="1"/>
        <rFont val="等线"/>
        <family val="2"/>
        <charset val="134"/>
        <scheme val="minor"/>
      </rPr>
      <t>：</t>
    </r>
  </si>
  <si>
    <r>
      <t>正（化科）</t>
    </r>
    <r>
      <rPr>
        <sz val="11"/>
        <color theme="1"/>
        <rFont val="等线"/>
        <family val="2"/>
        <charset val="134"/>
        <scheme val="minor"/>
      </rPr>
      <t>：文昌化科（丙干触发）主正向传播（学术传承、官方宣言）。</t>
    </r>
  </si>
  <si>
    <r>
      <t>斜（化忌）</t>
    </r>
    <r>
      <rPr>
        <sz val="11"/>
        <color theme="1"/>
        <rFont val="等线"/>
        <family val="2"/>
        <charset val="134"/>
        <scheme val="minor"/>
      </rPr>
      <t>：文昌化忌（辛干触发）主歪曲传递（谣言、证书造假）。</t>
    </r>
  </si>
  <si>
    <r>
      <t>3. 同音卦延伸</t>
    </r>
    <r>
      <rPr>
        <sz val="11"/>
        <color theme="1"/>
        <rFont val="等线"/>
        <family val="2"/>
        <charset val="134"/>
        <scheme val="minor"/>
      </rPr>
      <t>：</t>
    </r>
  </si>
  <si>
    <t>“昌” → 昌明（文化繁荣）；“曲” → 曲折（信息偏差）。</t>
  </si>
  <si>
    <t>传播天赋（新闻评论员、学术权威）</t>
  </si>
  <si>
    <t>行为偏差（投资失误、学习方向错误）</t>
  </si>
  <si>
    <t>文书权威（学历证书、法律文件）</t>
  </si>
  <si>
    <t>文书造假（假学历、合同陷阱）</t>
  </si>
  <si>
    <t>财务数据精准（审计、账目清晰）</t>
  </si>
  <si>
    <t>财务漏洞（洗钱、虚报账目）</t>
  </si>
  <si>
    <t>正缘婚书（合法婚姻登记）</t>
  </si>
  <si>
    <t>非正缘感情（婚外情、再婚配偶）</t>
  </si>
  <si>
    <t>优质基因（子女天赋优异）</t>
  </si>
  <si>
    <t>血缘异常（非亲生子女、遗传缺陷）</t>
  </si>
  <si>
    <t>神经系统健康</t>
  </si>
  <si>
    <t>骨骼畸形（脊柱侧弯、关节错位）</t>
  </si>
  <si>
    <t>留学/移民通知（签证获批）</t>
  </si>
  <si>
    <t>信息误导（偷渡风险、流言攻击）</t>
  </si>
  <si>
    <r>
      <t>文昌+紫微</t>
    </r>
    <r>
      <rPr>
        <sz val="11"/>
        <color theme="1"/>
        <rFont val="等线"/>
        <family val="2"/>
        <charset val="134"/>
        <scheme val="minor"/>
      </rPr>
      <t>​</t>
    </r>
  </si>
  <si>
    <t>权威传播（政府宣言）</t>
  </si>
  <si>
    <t>上梁不正（政策歪曲）</t>
  </si>
  <si>
    <r>
      <t>文昌+天机</t>
    </r>
    <r>
      <rPr>
        <sz val="11"/>
        <color theme="1"/>
        <rFont val="等线"/>
        <family val="2"/>
        <charset val="134"/>
        <scheme val="minor"/>
      </rPr>
      <t>​</t>
    </r>
  </si>
  <si>
    <t>精密计算（数据编程）</t>
  </si>
  <si>
    <t>路径偏差（导航错误）</t>
  </si>
  <si>
    <r>
      <t>文昌+太阳</t>
    </r>
    <r>
      <rPr>
        <sz val="11"/>
        <color theme="1"/>
        <rFont val="等线"/>
        <family val="2"/>
        <charset val="134"/>
        <scheme val="minor"/>
      </rPr>
      <t>​</t>
    </r>
  </si>
  <si>
    <t>公开透明（新闻发布会）</t>
  </si>
  <si>
    <t>有色眼镜（偏见报道）</t>
  </si>
  <si>
    <r>
      <t>文昌+武曲</t>
    </r>
    <r>
      <rPr>
        <sz val="11"/>
        <color theme="1"/>
        <rFont val="等线"/>
        <family val="2"/>
        <charset val="134"/>
        <scheme val="minor"/>
      </rPr>
      <t>​</t>
    </r>
  </si>
  <si>
    <t>金融文书（贷款合同）</t>
  </si>
  <si>
    <t>金融诈骗（P2P暴雷）</t>
  </si>
  <si>
    <r>
      <t>文昌+廉贞</t>
    </r>
    <r>
      <rPr>
        <sz val="11"/>
        <color theme="1"/>
        <rFont val="等线"/>
        <family val="2"/>
        <charset val="134"/>
        <scheme val="minor"/>
      </rPr>
      <t>​</t>
    </r>
  </si>
  <si>
    <t>精准抓捕（刑侦破案）</t>
  </si>
  <si>
    <t>误判冤案（错抓无辜）</t>
  </si>
  <si>
    <t>五、辅星组合象义​</t>
  </si>
  <si>
    <r>
      <t>文昌+陀罗</t>
    </r>
    <r>
      <rPr>
        <sz val="11"/>
        <color theme="1"/>
        <rFont val="等线"/>
        <family val="2"/>
        <charset val="134"/>
        <scheme val="minor"/>
      </rPr>
      <t>​</t>
    </r>
  </si>
  <si>
    <t>持久传递（学术研究）</t>
  </si>
  <si>
    <t>传销链条（非法集资）</t>
  </si>
  <si>
    <r>
      <t>文昌+火星</t>
    </r>
    <r>
      <rPr>
        <sz val="11"/>
        <color theme="1"/>
        <rFont val="等线"/>
        <family val="2"/>
        <charset val="134"/>
        <scheme val="minor"/>
      </rPr>
      <t>​</t>
    </r>
  </si>
  <si>
    <t>紧急通告（疫情预警）</t>
  </si>
  <si>
    <t>谣言扩散（网络暴力）</t>
  </si>
  <si>
    <r>
      <t>文昌+铃星</t>
    </r>
    <r>
      <rPr>
        <sz val="11"/>
        <color theme="1"/>
        <rFont val="等线"/>
        <family val="2"/>
        <charset val="134"/>
        <scheme val="minor"/>
      </rPr>
      <t>​</t>
    </r>
  </si>
  <si>
    <t>深度分析（智库报告）</t>
  </si>
  <si>
    <t>制造焦虑（营销话术）</t>
  </si>
  <si>
    <r>
      <t>文昌+擎羊</t>
    </r>
    <r>
      <rPr>
        <sz val="11"/>
        <color theme="1"/>
        <rFont val="等线"/>
        <family val="2"/>
        <charset val="134"/>
        <scheme val="minor"/>
      </rPr>
      <t>​</t>
    </r>
  </si>
  <si>
    <t>侧向伤害（诽谤诉讼）</t>
  </si>
  <si>
    <r>
      <t>文昌+地劫</t>
    </r>
    <r>
      <rPr>
        <sz val="11"/>
        <color theme="1"/>
        <rFont val="等线"/>
        <family val="2"/>
        <charset val="134"/>
        <scheme val="minor"/>
      </rPr>
      <t>​</t>
    </r>
  </si>
  <si>
    <t>创新突破（技术专利）</t>
  </si>
  <si>
    <t>数据泄露（黑客攻击）</t>
  </si>
  <si>
    <t>六、四化联动​</t>
  </si>
  <si>
    <r>
      <t>化禄（无）</t>
    </r>
    <r>
      <rPr>
        <sz val="11"/>
        <color theme="1"/>
        <rFont val="等线"/>
        <family val="2"/>
        <charset val="134"/>
        <scheme val="minor"/>
      </rPr>
      <t>​</t>
    </r>
  </si>
  <si>
    <t>借太阳化禄强化传播力</t>
  </si>
  <si>
    <t>借太阴化禄虚增数据</t>
  </si>
  <si>
    <r>
      <t>化权（无）</t>
    </r>
    <r>
      <rPr>
        <sz val="11"/>
        <color theme="1"/>
        <rFont val="等线"/>
        <family val="2"/>
        <charset val="134"/>
        <scheme val="minor"/>
      </rPr>
      <t>​</t>
    </r>
  </si>
  <si>
    <t>借紫微化权提升公信力</t>
  </si>
  <si>
    <t>借破军化权歪曲权威</t>
  </si>
  <si>
    <r>
      <t>化科（丙干）</t>
    </r>
    <r>
      <rPr>
        <sz val="11"/>
        <color theme="1"/>
        <rFont val="等线"/>
        <family val="2"/>
        <charset val="134"/>
        <scheme val="minor"/>
      </rPr>
      <t>​</t>
    </r>
  </si>
  <si>
    <t>学术成就（论文发表）</t>
  </si>
  <si>
    <t>虚假荣誉（学历造假）</t>
  </si>
  <si>
    <r>
      <t>化忌（辛干）</t>
    </r>
    <r>
      <rPr>
        <sz val="11"/>
        <color theme="1"/>
        <rFont val="等线"/>
        <family val="2"/>
        <charset val="134"/>
        <scheme val="minor"/>
      </rPr>
      <t>​</t>
    </r>
  </si>
  <si>
    <t>终止错误（谣言澄清）</t>
  </si>
  <si>
    <t>信息扭曲（机密泄露）</t>
  </si>
  <si>
    <t>七、矛盾说明​</t>
  </si>
  <si>
    <r>
      <t>1. 文昌化忌的触发宫位</t>
    </r>
    <r>
      <rPr>
        <sz val="11"/>
        <color theme="1"/>
        <rFont val="等线"/>
        <family val="2"/>
        <charset val="134"/>
        <scheme val="minor"/>
      </rPr>
      <t>：</t>
    </r>
  </si>
  <si>
    <t>文档6称辛干触发文昌化忌，但文档39提及“文昌化忌入命主文书过失”。</t>
  </si>
  <si>
    <t>→ 并存：辛干为触发条件，入命宫为应验场景。</t>
  </si>
  <si>
    <r>
      <t>2. 女命文昌的吉凶争议</t>
    </r>
    <r>
      <rPr>
        <sz val="11"/>
        <color theme="1"/>
        <rFont val="等线"/>
        <family val="2"/>
        <charset val="134"/>
        <scheme val="minor"/>
      </rPr>
      <t>：</t>
    </r>
  </si>
  <si>
    <t>文档11称“女命文昌主秀丽清奇”，但文档39称“文昌+煞星主娼妓或夭折”。</t>
  </si>
  <si>
    <t>→ 需结合煞星：无煞为吉，逢擎羊火铃为凶。</t>
  </si>
  <si>
    <t>一、左辅定义</t>
  </si>
  <si>
    <t>延伸解读​</t>
  </si>
  <si>
    <r>
      <t>多、重复、增加</t>
    </r>
    <r>
      <rPr>
        <sz val="11"/>
        <color theme="1"/>
        <rFont val="等线"/>
        <family val="2"/>
        <charset val="134"/>
        <scheme val="minor"/>
      </rPr>
      <t>​</t>
    </r>
  </si>
  <si>
    <t>代表数量增多、重复出现、辅助性事物</t>
  </si>
  <si>
    <r>
      <t>庙旺</t>
    </r>
    <r>
      <rPr>
        <sz val="11"/>
        <color theme="1"/>
        <rFont val="等线"/>
        <family val="2"/>
        <charset val="134"/>
        <scheme val="minor"/>
      </rPr>
      <t>​</t>
    </r>
  </si>
  <si>
    <t>力量强（庙7）</t>
  </si>
  <si>
    <t>显著增加或重复效果明显</t>
  </si>
  <si>
    <r>
      <t>落陷</t>
    </r>
    <r>
      <rPr>
        <sz val="11"/>
        <color theme="1"/>
        <rFont val="等线"/>
        <family val="2"/>
        <charset val="134"/>
        <scheme val="minor"/>
      </rPr>
      <t>​</t>
    </r>
  </si>
  <si>
    <t>力量弱（平3-陷1）</t>
  </si>
  <si>
    <t>增加效果微弱或不稳定</t>
  </si>
  <si>
    <t>命运多线发展</t>
  </si>
  <si>
    <t>多次职业变动、多重人生角色</t>
  </si>
  <si>
    <t>多父母/师长</t>
  </si>
  <si>
    <t>认干亲、多位导师指导</t>
  </si>
  <si>
    <t>多房产/空间</t>
  </si>
  <si>
    <t>多处房产、频繁搬家</t>
  </si>
  <si>
    <t>多职业/项目</t>
  </si>
  <si>
    <t>兼职、跨行业工作</t>
  </si>
  <si>
    <t>多朋友/合作伙伴</t>
  </si>
  <si>
    <t>广泛人脉、团队协作</t>
  </si>
  <si>
    <t>多病灶/反复伤病</t>
  </si>
  <si>
    <t>慢性病迁延、多处身体问题</t>
  </si>
  <si>
    <t>三、主星组合象义</t>
  </si>
  <si>
    <t>主星​</t>
  </si>
  <si>
    <r>
      <t>紫微+左辅</t>
    </r>
    <r>
      <rPr>
        <sz val="11"/>
        <color theme="1"/>
        <rFont val="等线"/>
        <family val="2"/>
        <charset val="134"/>
        <scheme val="minor"/>
      </rPr>
      <t>​</t>
    </r>
  </si>
  <si>
    <t>多个重要事物并存</t>
  </si>
  <si>
    <t>公司多部门领导、感情多选择对象</t>
  </si>
  <si>
    <r>
      <t>天机+左辅</t>
    </r>
    <r>
      <rPr>
        <sz val="11"/>
        <color theme="1"/>
        <rFont val="等线"/>
        <family val="2"/>
        <charset val="134"/>
        <scheme val="minor"/>
      </rPr>
      <t>​</t>
    </r>
  </si>
  <si>
    <t>多次计算/多线程运作</t>
  </si>
  <si>
    <t>多方案策划、CPU多核处理</t>
  </si>
  <si>
    <t>多重发散/多途径传播</t>
  </si>
  <si>
    <t>多渠道广告投放、多光源照明</t>
  </si>
  <si>
    <r>
      <t>武曲+左辅</t>
    </r>
    <r>
      <rPr>
        <sz val="11"/>
        <color theme="1"/>
        <rFont val="等线"/>
        <family val="2"/>
        <charset val="134"/>
        <scheme val="minor"/>
      </rPr>
      <t>​</t>
    </r>
  </si>
  <si>
    <t>多笔钱财/多次交易</t>
  </si>
  <si>
    <t>分期付款、多账户资金</t>
  </si>
  <si>
    <r>
      <t>天同+左辅</t>
    </r>
    <r>
      <rPr>
        <sz val="11"/>
        <color theme="1"/>
        <rFont val="等线"/>
        <family val="2"/>
        <charset val="134"/>
        <scheme val="minor"/>
      </rPr>
      <t>​</t>
    </r>
  </si>
  <si>
    <t>多想法/多子女</t>
  </si>
  <si>
    <t>多个创业点子、多胎生育</t>
  </si>
  <si>
    <r>
      <t>廉贞+左辅</t>
    </r>
    <r>
      <rPr>
        <sz val="11"/>
        <color theme="1"/>
        <rFont val="等线"/>
        <family val="2"/>
        <charset val="134"/>
        <scheme val="minor"/>
      </rPr>
      <t>​</t>
    </r>
  </si>
  <si>
    <t>多处抓取/多电子设备</t>
  </si>
  <si>
    <t>多监控探头、多线程数据处理</t>
  </si>
  <si>
    <r>
      <t>天府+左辅</t>
    </r>
    <r>
      <rPr>
        <sz val="11"/>
        <color theme="1"/>
        <rFont val="等线"/>
        <family val="2"/>
        <charset val="134"/>
        <scheme val="minor"/>
      </rPr>
      <t>​</t>
    </r>
  </si>
  <si>
    <t>多空间/多仓库</t>
  </si>
  <si>
    <t>连锁仓库、多房间户型</t>
  </si>
  <si>
    <r>
      <t>太阴+左辅</t>
    </r>
    <r>
      <rPr>
        <sz val="11"/>
        <color theme="1"/>
        <rFont val="等线"/>
        <family val="2"/>
        <charset val="134"/>
        <scheme val="minor"/>
      </rPr>
      <t>​</t>
    </r>
  </si>
  <si>
    <t>多存储/多女性关联</t>
  </si>
  <si>
    <t>多个储蓄账户、复杂女性关系</t>
  </si>
  <si>
    <r>
      <t>贪狼+左辅</t>
    </r>
    <r>
      <rPr>
        <sz val="11"/>
        <color theme="1"/>
        <rFont val="等线"/>
        <family val="2"/>
        <charset val="134"/>
        <scheme val="minor"/>
      </rPr>
      <t>​</t>
    </r>
  </si>
  <si>
    <t>多欲望/多体积</t>
  </si>
  <si>
    <t>多元化投资、身体多处赘肉</t>
  </si>
  <si>
    <r>
      <t>巨门+左辅</t>
    </r>
    <r>
      <rPr>
        <sz val="11"/>
        <color theme="1"/>
        <rFont val="等线"/>
        <family val="2"/>
        <charset val="134"/>
        <scheme val="minor"/>
      </rPr>
      <t>​</t>
    </r>
  </si>
  <si>
    <t>多门路/多语言</t>
  </si>
  <si>
    <t>多外语能力、多条业务渠道</t>
  </si>
  <si>
    <r>
      <t>天相+左辅</t>
    </r>
    <r>
      <rPr>
        <sz val="11"/>
        <color theme="1"/>
        <rFont val="等线"/>
        <family val="2"/>
        <charset val="134"/>
        <scheme val="minor"/>
      </rPr>
      <t>​</t>
    </r>
  </si>
  <si>
    <t>多呵护/多衣食</t>
  </si>
  <si>
    <t>多重保险保障、多套服饰</t>
  </si>
  <si>
    <r>
      <t>天梁+左辅</t>
    </r>
    <r>
      <rPr>
        <sz val="11"/>
        <color theme="1"/>
        <rFont val="等线"/>
        <family val="2"/>
        <charset val="134"/>
        <scheme val="minor"/>
      </rPr>
      <t>​</t>
    </r>
  </si>
  <si>
    <t>多支柱/多规则</t>
  </si>
  <si>
    <t>多部门协作、法律多条款</t>
  </si>
  <si>
    <r>
      <t>七杀+左辅</t>
    </r>
    <r>
      <rPr>
        <sz val="11"/>
        <color theme="1"/>
        <rFont val="等线"/>
        <family val="2"/>
        <charset val="134"/>
        <scheme val="minor"/>
      </rPr>
      <t>​</t>
    </r>
  </si>
  <si>
    <t>多线路/多平面</t>
  </si>
  <si>
    <t>多电路布线、多屏幕显示</t>
  </si>
  <si>
    <t>多次突破/多打击</t>
  </si>
  <si>
    <t>连续创业尝试、多次手术</t>
  </si>
  <si>
    <t>四、辅星组合象义</t>
  </si>
  <si>
    <r>
      <t>火星+左辅</t>
    </r>
    <r>
      <rPr>
        <sz val="11"/>
        <color theme="1"/>
        <rFont val="等线"/>
        <family val="2"/>
        <charset val="134"/>
        <scheme val="minor"/>
      </rPr>
      <t>​</t>
    </r>
  </si>
  <si>
    <t>多处火情/多次急躁</t>
  </si>
  <si>
    <t>多地点火灾、频繁发脾气</t>
  </si>
  <si>
    <r>
      <t>铃星+左辅</t>
    </r>
    <r>
      <rPr>
        <sz val="11"/>
        <color theme="1"/>
        <rFont val="等线"/>
        <family val="2"/>
        <charset val="134"/>
        <scheme val="minor"/>
      </rPr>
      <t>​</t>
    </r>
  </si>
  <si>
    <t>多重烦恼</t>
  </si>
  <si>
    <t>多线程工作压力、家庭多方矛盾</t>
  </si>
  <si>
    <r>
      <t>文昌+左辅</t>
    </r>
    <r>
      <rPr>
        <sz val="11"/>
        <color theme="1"/>
        <rFont val="等线"/>
        <family val="2"/>
        <charset val="134"/>
        <scheme val="minor"/>
      </rPr>
      <t>​</t>
    </r>
  </si>
  <si>
    <t>多条不正宣传</t>
  </si>
  <si>
    <t>多平台虚假广告（手册P142）</t>
  </si>
  <si>
    <r>
      <t>文曲+左辅</t>
    </r>
    <r>
      <rPr>
        <sz val="11"/>
        <color theme="1"/>
        <rFont val="等线"/>
        <family val="2"/>
        <charset val="134"/>
        <scheme val="minor"/>
      </rPr>
      <t>​</t>
    </r>
  </si>
  <si>
    <t>多内容重复</t>
  </si>
  <si>
    <t>文件多版本备份、课程复训</t>
  </si>
  <si>
    <r>
      <t>地劫+左辅</t>
    </r>
    <r>
      <rPr>
        <sz val="11"/>
        <color theme="1"/>
        <rFont val="等线"/>
        <family val="2"/>
        <charset val="134"/>
        <scheme val="minor"/>
      </rPr>
      <t>​</t>
    </r>
  </si>
  <si>
    <t>多窟窿/连续损失</t>
  </si>
  <si>
    <t>多处投资亏损、多次物品遗失</t>
  </si>
  <si>
    <r>
      <t>地空+左辅</t>
    </r>
    <r>
      <rPr>
        <sz val="11"/>
        <color theme="1"/>
        <rFont val="等线"/>
        <family val="2"/>
        <charset val="134"/>
        <scheme val="minor"/>
      </rPr>
      <t>​</t>
    </r>
  </si>
  <si>
    <t>多次虚耗</t>
  </si>
  <si>
    <t>反复无效投入、多次计划落空</t>
  </si>
  <si>
    <r>
      <t>擎羊+左辅</t>
    </r>
    <r>
      <rPr>
        <sz val="11"/>
        <color theme="1"/>
        <rFont val="等线"/>
        <family val="2"/>
        <charset val="134"/>
        <scheme val="minor"/>
      </rPr>
      <t>​</t>
    </r>
  </si>
  <si>
    <t>多次切割伤害</t>
  </si>
  <si>
    <t>多次手术、多部位外伤</t>
  </si>
  <si>
    <r>
      <t>陀罗+左辅</t>
    </r>
    <r>
      <rPr>
        <sz val="11"/>
        <color theme="1"/>
        <rFont val="等线"/>
        <family val="2"/>
        <charset val="134"/>
        <scheme val="minor"/>
      </rPr>
      <t>​</t>
    </r>
  </si>
  <si>
    <t>多次拖延循环</t>
  </si>
  <si>
    <t>项目反复延期、感情纠缠</t>
  </si>
  <si>
    <r>
      <t>天哭+左辅</t>
    </r>
    <r>
      <rPr>
        <sz val="11"/>
        <color theme="1"/>
        <rFont val="等线"/>
        <family val="2"/>
        <charset val="134"/>
        <scheme val="minor"/>
      </rPr>
      <t>​</t>
    </r>
  </si>
  <si>
    <t>多次悲伤</t>
  </si>
  <si>
    <t>连续噩耗、反复抑郁发作</t>
  </si>
  <si>
    <r>
      <t>天喜+左辅</t>
    </r>
    <r>
      <rPr>
        <sz val="11"/>
        <color theme="1"/>
        <rFont val="等线"/>
        <family val="2"/>
        <charset val="134"/>
        <scheme val="minor"/>
      </rPr>
      <t>​</t>
    </r>
  </si>
  <si>
    <t>多重喜悦</t>
  </si>
  <si>
    <t>多喜临门（结婚+升职+生子）</t>
  </si>
  <si>
    <r>
      <t>阴煞+左辅</t>
    </r>
    <r>
      <rPr>
        <sz val="11"/>
        <color theme="1"/>
        <rFont val="等线"/>
        <family val="2"/>
        <charset val="134"/>
        <scheme val="minor"/>
      </rPr>
      <t>​</t>
    </r>
  </si>
  <si>
    <t>多个隐藏事物</t>
  </si>
  <si>
    <t>多重间谍身份、多灵体干扰（手册P159）</t>
  </si>
  <si>
    <t>（五）右弼</t>
  </si>
  <si>
    <t>1. 右弼定义</t>
  </si>
  <si>
    <r>
      <t>属木</t>
    </r>
    <r>
      <rPr>
        <sz val="11"/>
        <color theme="1"/>
        <rFont val="等线"/>
        <family val="2"/>
        <charset val="134"/>
        <scheme val="minor"/>
      </rPr>
      <t>，主“转向、改变、又一次”。</t>
    </r>
  </si>
  <si>
    <t>同音卦：代表“转弯、扭转方向、重复操作”。</t>
  </si>
  <si>
    <t>本质：事物发展轨迹的转折点或重复性行为。</t>
  </si>
  <si>
    <t>2. 右弼星曜亮度表</t>
  </si>
  <si>
    <t>亮度</t>
  </si>
  <si>
    <t>数值</t>
  </si>
  <si>
    <r>
      <t>水位</t>
    </r>
    <r>
      <rPr>
        <sz val="11"/>
        <color theme="1"/>
        <rFont val="等线"/>
        <family val="2"/>
        <charset val="134"/>
        <scheme val="minor"/>
      </rPr>
      <t>（亥、子、丑）</t>
    </r>
  </si>
  <si>
    <t>高能量</t>
  </si>
  <si>
    <r>
      <t>木位</t>
    </r>
    <r>
      <rPr>
        <sz val="11"/>
        <color theme="1"/>
        <rFont val="等线"/>
        <family val="2"/>
        <charset val="134"/>
        <scheme val="minor"/>
      </rPr>
      <t>（寅、卯、辰）</t>
    </r>
  </si>
  <si>
    <t>中高能量</t>
  </si>
  <si>
    <r>
      <t>金火位</t>
    </r>
    <r>
      <rPr>
        <sz val="11"/>
        <color theme="1"/>
        <rFont val="等线"/>
        <family val="2"/>
        <charset val="134"/>
        <scheme val="minor"/>
      </rPr>
      <t>（巳、午、未、申、酉、戌）</t>
    </r>
  </si>
  <si>
    <t>平（3）</t>
  </si>
  <si>
    <t>普通能量</t>
  </si>
  <si>
    <r>
      <t>关键</t>
    </r>
    <r>
      <rPr>
        <sz val="11"/>
        <color theme="1"/>
        <rFont val="等线"/>
        <family val="2"/>
        <charset val="134"/>
        <scheme val="minor"/>
      </rPr>
      <t>：水位（力量最大）&gt; 木位 &gt; 金火位（力量最弱）。</t>
    </r>
  </si>
  <si>
    <t>3. 宫位组合象义</t>
  </si>
  <si>
    <t>核心象义</t>
  </si>
  <si>
    <t>具体应用场景示例</t>
  </si>
  <si>
    <t>文书/身份的转变</t>
  </si>
  <si>
    <t>转学、换专业、换身份证、养父母/继父母</t>
  </si>
  <si>
    <t>思想转变方向</t>
  </si>
  <si>
    <t>心性多变（木水宫）或固执（金火宫）</t>
  </si>
  <si>
    <t>空间/环境的改变</t>
  </si>
  <si>
    <t>搬家、换办公室、换车、内心本质转变</t>
  </si>
  <si>
    <t>外界环境变动</t>
  </si>
  <si>
    <t>变天、掉头回家、生存环境突变</t>
  </si>
  <si>
    <t>身体状态扭转</t>
  </si>
  <si>
    <t>病情逆转、指标好转、瑜伽扭脖</t>
  </si>
  <si>
    <t>财产流转</t>
  </si>
  <si>
    <t>转账、汇款、财产转移</t>
  </si>
  <si>
    <t>后代/客户的转向</t>
  </si>
  <si>
    <t>孩子性取向变、客户转移、DNA检测非亲生</t>
  </si>
  <si>
    <t>感情类型转变</t>
  </si>
  <si>
    <t>喜欢的类型改变、未离婚但情感转向</t>
  </si>
  <si>
    <t>人际关系转向</t>
  </si>
  <si>
    <t>换朋友、同行转变、好友反目</t>
  </si>
  <si>
    <t>4. 主星组合象义</t>
  </si>
  <si>
    <t>主星 + 右弼</t>
  </si>
  <si>
    <t>核心联动</t>
  </si>
  <si>
    <t>典型场景</t>
  </si>
  <si>
    <r>
      <t>天机 + 右弼</t>
    </r>
    <r>
      <rPr>
        <sz val="11"/>
        <color theme="1"/>
        <rFont val="等线"/>
        <family val="2"/>
        <charset val="134"/>
        <scheme val="minor"/>
      </rPr>
      <t>​</t>
    </r>
  </si>
  <si>
    <t>道路/机械转向</t>
  </si>
  <si>
    <t>道路转弯、换车、人生轨迹突变</t>
  </si>
  <si>
    <r>
      <t>太阳 + 右弼</t>
    </r>
    <r>
      <rPr>
        <sz val="11"/>
        <color theme="1"/>
        <rFont val="等线"/>
        <family val="2"/>
        <charset val="134"/>
        <scheme val="minor"/>
      </rPr>
      <t>​</t>
    </r>
  </si>
  <si>
    <t>传播/关注点转移</t>
  </si>
  <si>
    <t>广告方向调整、视线转移、新旧交替（古董翻新）</t>
  </si>
  <si>
    <r>
      <t>武曲 + 右弼</t>
    </r>
    <r>
      <rPr>
        <sz val="11"/>
        <color theme="1"/>
        <rFont val="等线"/>
        <family val="2"/>
        <charset val="134"/>
        <scheme val="minor"/>
      </rPr>
      <t>​</t>
    </r>
  </si>
  <si>
    <t>钱/硬物的流转</t>
  </si>
  <si>
    <t>换牙、骨折复位、资金流向变更</t>
  </si>
  <si>
    <r>
      <t>天同 + 右弼</t>
    </r>
    <r>
      <rPr>
        <sz val="11"/>
        <color theme="1"/>
        <rFont val="等线"/>
        <family val="2"/>
        <charset val="134"/>
        <scheme val="minor"/>
      </rPr>
      <t>​</t>
    </r>
  </si>
  <si>
    <t>感受/认同转变</t>
  </si>
  <si>
    <t>想法多变、玩的地点更换、感悟方向调整</t>
  </si>
  <si>
    <r>
      <t>廉贞 + 右弼</t>
    </r>
    <r>
      <rPr>
        <sz val="11"/>
        <color theme="1"/>
        <rFont val="等线"/>
        <family val="2"/>
        <charset val="134"/>
        <scheme val="minor"/>
      </rPr>
      <t>​</t>
    </r>
  </si>
  <si>
    <t>抓取/电子转向</t>
  </si>
  <si>
    <t>电子器材更换、突破方向调整（如修行）</t>
  </si>
  <si>
    <r>
      <t>天府 + 右弼</t>
    </r>
    <r>
      <rPr>
        <sz val="11"/>
        <color theme="1"/>
        <rFont val="等线"/>
        <family val="2"/>
        <charset val="134"/>
        <scheme val="minor"/>
      </rPr>
      <t>​</t>
    </r>
  </si>
  <si>
    <t>空间/房产更换</t>
  </si>
  <si>
    <t>换房子、换公司、换群组</t>
  </si>
  <si>
    <r>
      <t>太阴 + 右弼</t>
    </r>
    <r>
      <rPr>
        <sz val="11"/>
        <color theme="1"/>
        <rFont val="等线"/>
        <family val="2"/>
        <charset val="134"/>
        <scheme val="minor"/>
      </rPr>
      <t>​</t>
    </r>
  </si>
  <si>
    <t>存储/女人/水的转向</t>
  </si>
  <si>
    <t>女人类型变、液体流向变（油箱没油）、投资方向调整</t>
  </si>
  <si>
    <r>
      <t>贪狼 + 右弼</t>
    </r>
    <r>
      <rPr>
        <sz val="11"/>
        <color theme="1"/>
        <rFont val="等线"/>
        <family val="2"/>
        <charset val="134"/>
        <scheme val="minor"/>
      </rPr>
      <t>​</t>
    </r>
  </si>
  <si>
    <t>欲望/体积转向</t>
  </si>
  <si>
    <t>爱好改变、肌肉转肥肉、投资方向调整</t>
  </si>
  <si>
    <r>
      <t>巨门 + 右弼</t>
    </r>
    <r>
      <rPr>
        <sz val="11"/>
        <color theme="1"/>
        <rFont val="等线"/>
        <family val="2"/>
        <charset val="134"/>
        <scheme val="minor"/>
      </rPr>
      <t>​</t>
    </r>
  </si>
  <si>
    <t>说话/承诺转向</t>
  </si>
  <si>
    <t>改口、毁约、学科转换、国籍变更</t>
  </si>
  <si>
    <r>
      <t>天相 + 右弼</t>
    </r>
    <r>
      <rPr>
        <sz val="11"/>
        <color theme="1"/>
        <rFont val="等线"/>
        <family val="2"/>
        <charset val="134"/>
        <scheme val="minor"/>
      </rPr>
      <t>​</t>
    </r>
  </si>
  <si>
    <t>呵护/生活习惯转向</t>
  </si>
  <si>
    <t>换护工、换口味、穿衣风格变</t>
  </si>
  <si>
    <r>
      <t>天梁 + 右弼</t>
    </r>
    <r>
      <rPr>
        <sz val="11"/>
        <color theme="1"/>
        <rFont val="等线"/>
        <family val="2"/>
        <charset val="134"/>
        <scheme val="minor"/>
      </rPr>
      <t>​</t>
    </r>
  </si>
  <si>
    <t>规则/支撑系统转向</t>
  </si>
  <si>
    <t>立场转变、领导更换、腰椎增生（支撑变形）</t>
  </si>
  <si>
    <r>
      <t>七杀 + 右弼</t>
    </r>
    <r>
      <rPr>
        <sz val="11"/>
        <color theme="1"/>
        <rFont val="等线"/>
        <family val="2"/>
        <charset val="134"/>
        <scheme val="minor"/>
      </rPr>
      <t>​</t>
    </r>
  </si>
  <si>
    <t>线/平面转向</t>
  </si>
  <si>
    <t>工作行业转、感情多线转单线</t>
  </si>
  <si>
    <r>
      <t>破军 + 右弼</t>
    </r>
    <r>
      <rPr>
        <sz val="11"/>
        <color theme="1"/>
        <rFont val="等线"/>
        <family val="2"/>
        <charset val="134"/>
        <scheme val="minor"/>
      </rPr>
      <t>​</t>
    </r>
  </si>
  <si>
    <t>突破/打击方向转向</t>
  </si>
  <si>
    <t>投资方向换、突破点调整、分手（各自突破）</t>
  </si>
  <si>
    <t>5. 辅星组合象义</t>
  </si>
  <si>
    <t>辅星 + 右弼</t>
  </si>
  <si>
    <t>联动效果</t>
  </si>
  <si>
    <r>
      <t>文昌 + 右弼</t>
    </r>
    <r>
      <rPr>
        <sz val="11"/>
        <color theme="1"/>
        <rFont val="等线"/>
        <family val="2"/>
        <charset val="134"/>
        <scheme val="minor"/>
      </rPr>
      <t>​</t>
    </r>
  </si>
  <si>
    <t>内容传递方向歪斜</t>
  </si>
  <si>
    <r>
      <t>文曲 + 右弼</t>
    </r>
    <r>
      <rPr>
        <sz val="11"/>
        <color theme="1"/>
        <rFont val="等线"/>
        <family val="2"/>
        <charset val="134"/>
        <scheme val="minor"/>
      </rPr>
      <t>​</t>
    </r>
  </si>
  <si>
    <t>文字/合同含义被扭转</t>
  </si>
  <si>
    <r>
      <t>地劫 + 右弼</t>
    </r>
    <r>
      <rPr>
        <sz val="11"/>
        <color theme="1"/>
        <rFont val="等线"/>
        <family val="2"/>
        <charset val="134"/>
        <scheme val="minor"/>
      </rPr>
      <t>​</t>
    </r>
  </si>
  <si>
    <t>转向后掉入坑洞</t>
  </si>
  <si>
    <r>
      <t>地空 + 右弼</t>
    </r>
    <r>
      <rPr>
        <sz val="11"/>
        <color theme="1"/>
        <rFont val="等线"/>
        <family val="2"/>
        <charset val="134"/>
        <scheme val="minor"/>
      </rPr>
      <t>​</t>
    </r>
  </si>
  <si>
    <t>膨胀后转向或转向后膨胀</t>
  </si>
  <si>
    <r>
      <t>火星 + 右弼</t>
    </r>
    <r>
      <rPr>
        <sz val="11"/>
        <color theme="1"/>
        <rFont val="等线"/>
        <family val="2"/>
        <charset val="134"/>
        <scheme val="minor"/>
      </rPr>
      <t>​</t>
    </r>
  </si>
  <si>
    <t>快速转向</t>
  </si>
  <si>
    <r>
      <t>铃星 + 右弼</t>
    </r>
    <r>
      <rPr>
        <sz val="11"/>
        <color theme="1"/>
        <rFont val="等线"/>
        <family val="2"/>
        <charset val="134"/>
        <scheme val="minor"/>
      </rPr>
      <t>​</t>
    </r>
  </si>
  <si>
    <t>转向引发烦恼</t>
  </si>
  <si>
    <r>
      <t>天刑 + 右弼</t>
    </r>
    <r>
      <rPr>
        <sz val="11"/>
        <color theme="1"/>
        <rFont val="等线"/>
        <family val="2"/>
        <charset val="134"/>
        <scheme val="minor"/>
      </rPr>
      <t>​</t>
    </r>
  </si>
  <si>
    <t>管理方式转弯（如开车转弯）</t>
  </si>
  <si>
    <r>
      <t>天喜 + 右弼</t>
    </r>
    <r>
      <rPr>
        <sz val="11"/>
        <color theme="1"/>
        <rFont val="等线"/>
        <family val="2"/>
        <charset val="134"/>
        <scheme val="minor"/>
      </rPr>
      <t>​</t>
    </r>
  </si>
  <si>
    <t>快乐转向悲伤（喜极生悲）</t>
  </si>
  <si>
    <r>
      <t>阴煞 + 右弼</t>
    </r>
    <r>
      <rPr>
        <sz val="11"/>
        <color theme="1"/>
        <rFont val="等线"/>
        <family val="2"/>
        <charset val="134"/>
        <scheme val="minor"/>
      </rPr>
      <t>​</t>
    </r>
  </si>
  <si>
    <t>暗中转向（如幕后操作）</t>
  </si>
  <si>
    <t>关键补充说明</t>
  </si>
  <si>
    <r>
      <t>1. 转向的吉凶</t>
    </r>
    <r>
      <rPr>
        <sz val="11"/>
        <color theme="1"/>
        <rFont val="等线"/>
        <family val="2"/>
        <charset val="134"/>
        <scheme val="minor"/>
      </rPr>
      <t>：</t>
    </r>
  </si>
  <si>
    <t>木水位转向（庙旺）：自然、顺势而为，多吉。</t>
  </si>
  <si>
    <t>金火位转向（平陷）：生硬、费力，多凶。</t>
  </si>
  <si>
    <r>
      <t>例</t>
    </r>
    <r>
      <rPr>
        <sz val="11"/>
        <color theme="1"/>
        <rFont val="等线"/>
        <family val="2"/>
        <charset val="134"/>
        <scheme val="minor"/>
      </rPr>
      <t>：夫妻宫右弼化忌 + 火星：感情强行转向导致冲突。</t>
    </r>
  </si>
  <si>
    <r>
      <t>2. 重复性行为</t>
    </r>
    <r>
      <rPr>
        <sz val="11"/>
        <color theme="1"/>
        <rFont val="等线"/>
        <family val="2"/>
        <charset val="134"/>
        <scheme val="minor"/>
      </rPr>
      <t>：</t>
    </r>
  </si>
  <si>
    <t>右弼在命宫/事业宫：反复做同一件事（如流水线工作）。</t>
  </si>
  <si>
    <r>
      <t>例</t>
    </r>
    <r>
      <rPr>
        <sz val="11"/>
        <color theme="1"/>
        <rFont val="等线"/>
        <family val="2"/>
        <charset val="134"/>
        <scheme val="minor"/>
      </rPr>
      <t>：右弼 + 左弼：反复操作（如流水线工人）。</t>
    </r>
  </si>
  <si>
    <t>天魁星​</t>
  </si>
  <si>
    <r>
      <t>基础属性</t>
    </r>
    <r>
      <rPr>
        <sz val="11"/>
        <color theme="1"/>
        <rFont val="等线"/>
        <family val="2"/>
        <charset val="134"/>
        <scheme val="minor"/>
      </rPr>
      <t>​</t>
    </r>
  </si>
  <si>
    <r>
      <t>核心定义</t>
    </r>
    <r>
      <rPr>
        <sz val="11"/>
        <color theme="1"/>
        <rFont val="等线"/>
        <family val="2"/>
        <charset val="134"/>
        <scheme val="minor"/>
      </rPr>
      <t>：象征实质性的帮助，代表贵人扶持、成长助力，吉性纯粹稳定。</t>
    </r>
  </si>
  <si>
    <r>
      <t>本质特征</t>
    </r>
    <r>
      <rPr>
        <sz val="11"/>
        <color theme="1"/>
        <rFont val="等线"/>
        <family val="2"/>
        <charset val="134"/>
        <scheme val="minor"/>
      </rPr>
      <t>：区别于文昌文曲的卦意扭转，天魁的吉性直接且无杂染。</t>
    </r>
  </si>
  <si>
    <t>单星象义​</t>
  </si>
  <si>
    <r>
      <t>一般状态</t>
    </r>
    <r>
      <rPr>
        <sz val="11"/>
        <color theme="1"/>
        <rFont val="等线"/>
        <family val="2"/>
        <charset val="134"/>
        <scheme val="minor"/>
      </rPr>
      <t>​</t>
    </r>
  </si>
  <si>
    <t>提供实质性帮助（如资源支持、机遇引导）</t>
  </si>
  <si>
    <t>贵人提携、困境解脱</t>
  </si>
  <si>
    <r>
      <t>与凶星同宫</t>
    </r>
    <r>
      <rPr>
        <sz val="11"/>
        <color theme="1"/>
        <rFont val="等线"/>
        <family val="2"/>
        <charset val="134"/>
        <scheme val="minor"/>
      </rPr>
      <t>​</t>
    </r>
  </si>
  <si>
    <t>痛苦转化为成长助力（如逆境促进行动）</t>
  </si>
  <si>
    <t>童年严厉教育促成学业进步</t>
  </si>
  <si>
    <r>
      <t>行业对应</t>
    </r>
    <r>
      <rPr>
        <sz val="11"/>
        <color theme="1"/>
        <rFont val="等线"/>
        <family val="2"/>
        <charset val="134"/>
        <scheme val="minor"/>
      </rPr>
      <t>​</t>
    </r>
  </si>
  <si>
    <t>辅佐服务业（“痛而后效”领域）</t>
  </si>
  <si>
    <t>盲人按摩、中医正骨、康复护理</t>
  </si>
  <si>
    <t>辅星/主星​</t>
  </si>
  <si>
    <t>组合效应​</t>
  </si>
  <si>
    <r>
      <t>天魁 + 擎羊</t>
    </r>
    <r>
      <rPr>
        <sz val="11"/>
        <color theme="1"/>
        <rFont val="等线"/>
        <family val="2"/>
        <charset val="134"/>
        <scheme val="minor"/>
      </rPr>
      <t>​</t>
    </r>
  </si>
  <si>
    <t>痛苦中获助力（严厉环境促成长）</t>
  </si>
  <si>
    <t>体罚教育下反成学霸</t>
  </si>
  <si>
    <r>
      <t>天魁 + 煞星（如火星）</t>
    </r>
    <r>
      <rPr>
        <sz val="11"/>
        <color theme="1"/>
        <rFont val="等线"/>
        <family val="2"/>
        <charset val="134"/>
        <scheme val="minor"/>
      </rPr>
      <t>​</t>
    </r>
  </si>
  <si>
    <t>帮助伴随冲突（贵人严苛）</t>
  </si>
  <si>
    <t>导师高压训练提升技能</t>
  </si>
  <si>
    <r>
      <t>天魁 + 吉星（如禄存）</t>
    </r>
    <r>
      <rPr>
        <sz val="11"/>
        <color theme="1"/>
        <rFont val="等线"/>
        <family val="2"/>
        <charset val="134"/>
        <scheme val="minor"/>
      </rPr>
      <t>​</t>
    </r>
  </si>
  <si>
    <t>资源性扶持（财富或机会赠与）</t>
  </si>
  <si>
    <t>继承家产或获得投资</t>
  </si>
  <si>
    <t>宫位叠加​</t>
  </si>
  <si>
    <t>健康需长期护理</t>
  </si>
  <si>
    <t>预示住院、残疾康复或慢性病管理</t>
  </si>
  <si>
    <t>天生得贵人缘</t>
  </si>
  <si>
    <t>一生遇关键扶持者（如伯乐、导师）</t>
  </si>
  <si>
    <t>职场助力</t>
  </si>
  <si>
    <t>晋升受上级提携，项目获资源支持</t>
  </si>
  <si>
    <t>财务援助</t>
  </si>
  <si>
    <t>获得贷款、赠款或意外资助</t>
  </si>
  <si>
    <t>负面应验​</t>
  </si>
  <si>
    <r>
      <t>过度帮扶</t>
    </r>
    <r>
      <rPr>
        <sz val="11"/>
        <color theme="1"/>
        <rFont val="等线"/>
        <family val="2"/>
        <charset val="134"/>
        <scheme val="minor"/>
      </rPr>
      <t>：导致依赖或能力退化（如富二代溺爱致无能）。</t>
    </r>
  </si>
  <si>
    <r>
      <t>健康预警</t>
    </r>
    <r>
      <rPr>
        <sz val="11"/>
        <color theme="1"/>
        <rFont val="等线"/>
        <family val="2"/>
        <charset val="134"/>
        <scheme val="minor"/>
      </rPr>
      <t>：在疾厄宫时，预示需长期医疗护理（如住院或康复治疗）。</t>
    </r>
  </si>
  <si>
    <t>关键逻辑​</t>
  </si>
  <si>
    <r>
      <t>1. 断卦技巧</t>
    </r>
    <r>
      <rPr>
        <sz val="11"/>
        <color theme="1"/>
        <rFont val="等线"/>
        <family val="2"/>
        <charset val="134"/>
        <scheme val="minor"/>
      </rPr>
      <t>：实际占断中，只需确认天魁“产生帮助”的基本性质，无需过度解读细节。</t>
    </r>
  </si>
  <si>
    <r>
      <t>2. 吉凶辩证</t>
    </r>
    <r>
      <rPr>
        <sz val="11"/>
        <color theme="1"/>
        <rFont val="等线"/>
        <family val="2"/>
        <charset val="134"/>
        <scheme val="minor"/>
      </rPr>
      <t>：</t>
    </r>
  </si>
  <si>
    <t>庙旺时（水位亥子丑）：帮助高效且正向。</t>
  </si>
  <si>
    <t>落陷时（金火位申酉巳午）：帮助可能伴随负担或无效。</t>
  </si>
  <si>
    <r>
      <t>3. 行业关联</t>
    </r>
    <r>
      <rPr>
        <sz val="11"/>
        <color theme="1"/>
        <rFont val="等线"/>
        <family val="2"/>
        <charset val="134"/>
        <scheme val="minor"/>
      </rPr>
      <t>：强关联“痛而后效”领域（如物理治疗），痛感本身是转化成长的媒介。</t>
    </r>
  </si>
  <si>
    <t>一、天钺定义​</t>
  </si>
  <si>
    <t>阴火</t>
  </si>
  <si>
    <t>阴性</t>
  </si>
  <si>
    <r>
      <t>化气</t>
    </r>
    <r>
      <rPr>
        <sz val="11"/>
        <color theme="1"/>
        <rFont val="等线"/>
        <family val="2"/>
        <charset val="134"/>
        <scheme val="minor"/>
      </rPr>
      <t>​</t>
    </r>
  </si>
  <si>
    <t>助（贵人扶持）</t>
  </si>
  <si>
    <t>玉堂贵人（隐性贵人、女性贵人、间接助力）</t>
  </si>
  <si>
    <r>
      <t>与天魁区别</t>
    </r>
    <r>
      <rPr>
        <sz val="11"/>
        <color theme="1"/>
        <rFont val="等线"/>
        <family val="2"/>
        <charset val="134"/>
        <scheme val="minor"/>
      </rPr>
      <t>​</t>
    </r>
  </si>
  <si>
    <t>天魁（天乙贵人）：公开显性助力；天钺（玉堂贵人）：隐性/间接助力</t>
  </si>
  <si>
    <t>贵人性质</t>
  </si>
  <si>
    <t>隐性资源（如幕后金主、女性长辈提携）</t>
  </si>
  <si>
    <t>虚假助力（表面帮忙实则无益）</t>
  </si>
  <si>
    <t>健康关联</t>
  </si>
  <si>
    <t>专业护理（康复师、月子服务）</t>
  </si>
  <si>
    <t>无效照料（护工敷衍）</t>
  </si>
  <si>
    <t>事件触发</t>
  </si>
  <si>
    <t>绝处逢生（危机中意外得救）</t>
  </si>
  <si>
    <t>帮倒忙（援助反致损失）</t>
  </si>
  <si>
    <r>
      <t>天钺+紫微</t>
    </r>
    <r>
      <rPr>
        <sz val="11"/>
        <color theme="1"/>
        <rFont val="等线"/>
        <family val="2"/>
        <charset val="134"/>
        <scheme val="minor"/>
      </rPr>
      <t>​</t>
    </r>
  </si>
  <si>
    <t>幕后权威（如董事会匿名支持）</t>
  </si>
  <si>
    <t>傀儡操控（被隐性势力控制）</t>
  </si>
  <si>
    <r>
      <t>天钺+天同</t>
    </r>
    <r>
      <rPr>
        <sz val="11"/>
        <color theme="1"/>
        <rFont val="等线"/>
        <family val="2"/>
        <charset val="134"/>
        <scheme val="minor"/>
      </rPr>
      <t>​</t>
    </r>
  </si>
  <si>
    <t>情感庇护（干妈关照、心理疏导）</t>
  </si>
  <si>
    <t>溺爱纵容（过度保护致能力退化）</t>
  </si>
  <si>
    <r>
      <t>天钺+太阴</t>
    </r>
    <r>
      <rPr>
        <sz val="11"/>
        <color theme="1"/>
        <rFont val="等线"/>
        <family val="2"/>
        <charset val="134"/>
        <scheme val="minor"/>
      </rPr>
      <t>​</t>
    </r>
  </si>
  <si>
    <t>女性资源（遗产继承、闺蜜相助）</t>
  </si>
  <si>
    <t>虚情假意（女性关系利用）</t>
  </si>
  <si>
    <r>
      <t>天钺+文昌</t>
    </r>
    <r>
      <rPr>
        <sz val="11"/>
        <color theme="1"/>
        <rFont val="等线"/>
        <family val="2"/>
        <charset val="134"/>
        <scheme val="minor"/>
      </rPr>
      <t>​</t>
    </r>
  </si>
  <si>
    <t>文书贵人（匿名推荐信、机密文件传递）</t>
  </si>
  <si>
    <t>学历造假（虚假背书）</t>
  </si>
  <si>
    <r>
      <t>天钺+铃星</t>
    </r>
    <r>
      <rPr>
        <sz val="11"/>
        <color theme="1"/>
        <rFont val="等线"/>
        <family val="2"/>
        <charset val="134"/>
        <scheme val="minor"/>
      </rPr>
      <t>​</t>
    </r>
  </si>
  <si>
    <t>紧急暗助（火灾中神秘人救援）</t>
  </si>
  <si>
    <t>拖延误事（承诺援助却失联）</t>
  </si>
  <si>
    <r>
      <t>天钺+擎羊</t>
    </r>
    <r>
      <rPr>
        <sz val="11"/>
        <color theme="1"/>
        <rFont val="等线"/>
        <family val="2"/>
        <charset val="134"/>
        <scheme val="minor"/>
      </rPr>
      <t>​</t>
    </r>
  </si>
  <si>
    <t>暴力庇护（黑社会保护伞）</t>
  </si>
  <si>
    <t>反遭背刺（保镖变杀手）</t>
  </si>
  <si>
    <r>
      <t>天钺+阴煞</t>
    </r>
    <r>
      <rPr>
        <sz val="11"/>
        <color theme="1"/>
        <rFont val="等线"/>
        <family val="2"/>
        <charset val="134"/>
        <scheme val="minor"/>
      </rPr>
      <t>​</t>
    </r>
  </si>
  <si>
    <t>灵界贵人（托梦指点、祖先荫庇）</t>
  </si>
  <si>
    <t>邪祟干扰（伪装的“帮助”）</t>
  </si>
  <si>
    <r>
      <t>天钺+地劫</t>
    </r>
    <r>
      <rPr>
        <sz val="11"/>
        <color theme="1"/>
        <rFont val="等线"/>
        <family val="2"/>
        <charset val="134"/>
        <scheme val="minor"/>
      </rPr>
      <t>​</t>
    </r>
  </si>
  <si>
    <t>漏洞填补（资金链断裂时注资）</t>
  </si>
  <si>
    <t>援助落空（承诺贷款被拒）</t>
  </si>
  <si>
    <t>四、宫位叠加象义​</t>
  </si>
  <si>
    <t>天生贵人缘（常遇隐形伯乐）</t>
  </si>
  <si>
    <t>依赖成性（总期待他人解救）</t>
  </si>
  <si>
    <t>继母/养母扶持</t>
  </si>
  <si>
    <t>长辈虚情（表面关怀实为监视）</t>
  </si>
  <si>
    <t>高端护理（VIP病房特护）</t>
  </si>
  <si>
    <t>医疗欺诈（假专家误诊）</t>
  </si>
  <si>
    <t>隐性资产（匿名信托、海外账户）</t>
  </si>
  <si>
    <t>虚假融资（庞氏骗局）</t>
  </si>
  <si>
    <t>异地贵人（旅居遇庇护者）</t>
  </si>
  <si>
    <t>签证黑中介（假担保真诈骗）</t>
  </si>
  <si>
    <t>幕后推手（猎头暗中挖角）</t>
  </si>
  <si>
    <t>虚假猎头（骗取简历）</t>
  </si>
  <si>
    <r>
      <t>无独立四化</t>
    </r>
    <r>
      <rPr>
        <sz val="11"/>
        <color theme="1"/>
        <rFont val="等线"/>
        <family val="2"/>
        <charset val="134"/>
        <scheme val="minor"/>
      </rPr>
      <t>​</t>
    </r>
  </si>
  <si>
    <t>借太阳化禄：贵人声名显达</t>
  </si>
  <si>
    <t>借巨门化忌：贵人变仇人</t>
  </si>
  <si>
    <r>
      <t>特殊联动</t>
    </r>
    <r>
      <rPr>
        <sz val="11"/>
        <color theme="1"/>
        <rFont val="等线"/>
        <family val="2"/>
        <charset val="134"/>
        <scheme val="minor"/>
      </rPr>
      <t>​</t>
    </r>
  </si>
  <si>
    <t>天钺+天梁：慈善机构援助</t>
  </si>
  <si>
    <t>天钺+天梁陷：伪善组织敛财</t>
  </si>
  <si>
    <r>
      <t>1. 贵人真伪性争议</t>
    </r>
    <r>
      <rPr>
        <sz val="11"/>
        <color theme="1"/>
        <rFont val="等线"/>
        <family val="2"/>
        <charset val="134"/>
        <scheme val="minor"/>
      </rPr>
      <t>：</t>
    </r>
  </si>
  <si>
    <t>文档40称天钺为“玉堂贵人”，但文档89提及“天钺+阴煞”可为邪祟伪装。</t>
  </si>
  <si>
    <t>→ 并存：需结合煞星判断（无煞为真贵人，见阴煞/地空则伪）。</t>
  </si>
  <si>
    <r>
      <t>2. 健康护理差异</t>
    </r>
    <r>
      <rPr>
        <sz val="11"/>
        <color theme="1"/>
        <rFont val="等线"/>
        <family val="2"/>
        <charset val="134"/>
        <scheme val="minor"/>
      </rPr>
      <t>：</t>
    </r>
  </si>
  <si>
    <t>文档83主“专业护理”，文档89提“医疗欺诈”。</t>
  </si>
  <si>
    <t>→ 以宫位为准：疾厄宫庙旺（7级）为专业护理，落陷（1级）为欺诈。</t>
  </si>
  <si>
    <r>
      <t>隐性本质</t>
    </r>
    <r>
      <rPr>
        <sz val="11"/>
        <color theme="1"/>
        <rFont val="等线"/>
        <family val="2"/>
        <charset val="134"/>
        <scheme val="minor"/>
      </rPr>
      <t>：天钺之力需“被动触发”（如危机时自动显现），主动求援易失效。</t>
    </r>
  </si>
  <si>
    <r>
      <t>火性矛盾</t>
    </r>
    <r>
      <rPr>
        <sz val="11"/>
        <color theme="1"/>
        <rFont val="等线"/>
        <family val="2"/>
        <charset val="134"/>
        <scheme val="minor"/>
      </rPr>
      <t>：阴火属性使其助力常伴代价（如受助后需回报）。</t>
    </r>
  </si>
  <si>
    <t>阴土</t>
  </si>
  <si>
    <r>
      <t>斗分</t>
    </r>
    <r>
      <rPr>
        <sz val="11"/>
        <color theme="1"/>
        <rFont val="等线"/>
        <family val="2"/>
        <charset val="134"/>
        <scheme val="minor"/>
      </rPr>
      <t>​</t>
    </r>
  </si>
  <si>
    <t>北斗第四星</t>
  </si>
  <si>
    <t>块状实体（金锭、粮袋、血栓、结石）</t>
  </si>
  <si>
    <r>
      <t>财富表征</t>
    </r>
    <r>
      <rPr>
        <sz val="11"/>
        <color theme="1"/>
        <rFont val="等线"/>
        <family val="2"/>
        <charset val="134"/>
        <scheme val="minor"/>
      </rPr>
      <t>​</t>
    </r>
  </si>
  <si>
    <t>财富积聚（固定资产、遗产）</t>
  </si>
  <si>
    <t>债务堆积/虚耗（投资泡沫）</t>
  </si>
  <si>
    <r>
      <t>健康关联</t>
    </r>
    <r>
      <rPr>
        <sz val="11"/>
        <color theme="1"/>
        <rFont val="等线"/>
        <family val="2"/>
        <charset val="134"/>
        <scheme val="minor"/>
      </rPr>
      <t>​</t>
    </r>
  </si>
  <si>
    <t>身体硬块（结石、血栓）</t>
  </si>
  <si>
    <t>病理性肿块（肿瘤）</t>
  </si>
  <si>
    <r>
      <t>精神属性</t>
    </r>
    <r>
      <rPr>
        <sz val="11"/>
        <color theme="1"/>
        <rFont val="等线"/>
        <family val="2"/>
        <charset val="134"/>
        <scheme val="minor"/>
      </rPr>
      <t>​</t>
    </r>
  </si>
  <si>
    <t>思想沉淀（学识积累）</t>
  </si>
  <si>
    <t>思维僵化（守旧拒变）</t>
  </si>
  <si>
    <t>2. 疾病对应表​</t>
  </si>
  <si>
    <t>身体部位​</t>
  </si>
  <si>
    <t>典型病症​</t>
  </si>
  <si>
    <t>组合触发条件​</t>
  </si>
  <si>
    <r>
      <t>头部（午）</t>
    </r>
    <r>
      <rPr>
        <sz val="11"/>
        <color theme="1"/>
        <rFont val="等线"/>
        <family val="2"/>
        <charset val="134"/>
        <scheme val="minor"/>
      </rPr>
      <t>​</t>
    </r>
  </si>
  <si>
    <t>脑血栓、耳屎、牙肿包</t>
  </si>
  <si>
    <t>太阳+禄存/禄存独坐</t>
  </si>
  <si>
    <r>
      <t>颈部（未）</t>
    </r>
    <r>
      <rPr>
        <sz val="11"/>
        <color theme="1"/>
        <rFont val="等线"/>
        <family val="2"/>
        <charset val="134"/>
        <scheme val="minor"/>
      </rPr>
      <t>​</t>
    </r>
  </si>
  <si>
    <t>甲状腺结节</t>
  </si>
  <si>
    <t>禄存独坐</t>
  </si>
  <si>
    <r>
      <t>胸部（辰/酉）</t>
    </r>
    <r>
      <rPr>
        <sz val="11"/>
        <color theme="1"/>
        <rFont val="等线"/>
        <family val="2"/>
        <charset val="134"/>
        <scheme val="minor"/>
      </rPr>
      <t>​</t>
    </r>
  </si>
  <si>
    <t>乳腺结节/肺癌肿块</t>
  </si>
  <si>
    <t>廉贞+禄存/陀罗+禄存</t>
  </si>
  <si>
    <r>
      <t>腹部（卯/戌）</t>
    </r>
    <r>
      <rPr>
        <sz val="11"/>
        <color theme="1"/>
        <rFont val="等线"/>
        <family val="2"/>
        <charset val="134"/>
        <scheme val="minor"/>
      </rPr>
      <t>​</t>
    </r>
  </si>
  <si>
    <t>腹腔硬块/肾结石</t>
  </si>
  <si>
    <t>武曲+禄存+铃星</t>
  </si>
  <si>
    <r>
      <t>下阴（子/丑）</t>
    </r>
    <r>
      <rPr>
        <sz val="11"/>
        <color theme="1"/>
        <rFont val="等线"/>
        <family val="2"/>
        <charset val="134"/>
        <scheme val="minor"/>
      </rPr>
      <t>​</t>
    </r>
  </si>
  <si>
    <t>尿路结石/囊肿</t>
  </si>
  <si>
    <t>禄存独坐+煞星</t>
  </si>
  <si>
    <r>
      <t>禄存+武曲</t>
    </r>
    <r>
      <rPr>
        <sz val="11"/>
        <color theme="1"/>
        <rFont val="等线"/>
        <family val="2"/>
        <charset val="134"/>
        <scheme val="minor"/>
      </rPr>
      <t>​</t>
    </r>
  </si>
  <si>
    <t>实业财富（矿山、贵金属）</t>
  </si>
  <si>
    <t>财务漏洞（洗钱、虚账）</t>
  </si>
  <si>
    <r>
      <t>禄存+天府</t>
    </r>
    <r>
      <rPr>
        <sz val="11"/>
        <color theme="1"/>
        <rFont val="等线"/>
        <family val="2"/>
        <charset val="134"/>
        <scheme val="minor"/>
      </rPr>
      <t>​</t>
    </r>
  </si>
  <si>
    <t>资源稳固（祖产丰厚）</t>
  </si>
  <si>
    <t>资源虚耗（家道中落）</t>
  </si>
  <si>
    <r>
      <t>禄存+天梁</t>
    </r>
    <r>
      <rPr>
        <sz val="11"/>
        <color theme="1"/>
        <rFont val="等线"/>
        <family val="2"/>
        <charset val="134"/>
        <scheme val="minor"/>
      </rPr>
      <t>​</t>
    </r>
  </si>
  <si>
    <t>规则性财富（法律遗产）</t>
  </si>
  <si>
    <t>规则崩塌（遗产纠纷）</t>
  </si>
  <si>
    <r>
      <t>禄存+七杀</t>
    </r>
    <r>
      <rPr>
        <sz val="11"/>
        <color theme="1"/>
        <rFont val="等线"/>
        <family val="2"/>
        <charset val="134"/>
        <scheme val="minor"/>
      </rPr>
      <t>​</t>
    </r>
  </si>
  <si>
    <t>线性财富链（稳定收入）</t>
  </si>
  <si>
    <t>资金链断裂（破产）</t>
  </si>
  <si>
    <r>
      <t>禄存+文昌</t>
    </r>
    <r>
      <rPr>
        <sz val="11"/>
        <color theme="1"/>
        <rFont val="等线"/>
        <family val="2"/>
        <charset val="134"/>
        <scheme val="minor"/>
      </rPr>
      <t>​</t>
    </r>
  </si>
  <si>
    <t>证书加持（学历变现）</t>
  </si>
  <si>
    <r>
      <t>禄存+擎羊</t>
    </r>
    <r>
      <rPr>
        <sz val="11"/>
        <color theme="1"/>
        <rFont val="等线"/>
        <family val="2"/>
        <charset val="134"/>
        <scheme val="minor"/>
      </rPr>
      <t>​</t>
    </r>
  </si>
  <si>
    <t>强制积累（高利贷）</t>
  </si>
  <si>
    <t>财富切割（抢劫/诈骗）</t>
  </si>
  <si>
    <r>
      <t>禄存+地空</t>
    </r>
    <r>
      <rPr>
        <sz val="11"/>
        <color theme="1"/>
        <rFont val="等线"/>
        <family val="2"/>
        <charset val="134"/>
        <scheme val="minor"/>
      </rPr>
      <t>​</t>
    </r>
  </si>
  <si>
    <t>虚浮资产（期货泡沫）</t>
  </si>
  <si>
    <t>身无分文（空账）</t>
  </si>
  <si>
    <r>
      <t>禄存+铃星</t>
    </r>
    <r>
      <rPr>
        <sz val="11"/>
        <color theme="1"/>
        <rFont val="等线"/>
        <family val="2"/>
        <charset val="134"/>
        <scheme val="minor"/>
      </rPr>
      <t>​</t>
    </r>
  </si>
  <si>
    <t>债务堆积（信用卡透支）</t>
  </si>
  <si>
    <t>突发破财（投资暴雷）</t>
  </si>
  <si>
    <t>节俭守财（实业家）</t>
  </si>
  <si>
    <t>吝啬孤克（守财奴）</t>
  </si>
  <si>
    <t>资金固积（定期存款）</t>
  </si>
  <si>
    <t>账目混乱（洗钱漏洞）</t>
  </si>
  <si>
    <t>家产丰厚（金锭地契）</t>
  </si>
  <si>
    <t>祖业耗尽（抵押房产）</t>
  </si>
  <si>
    <t>生理硬块（结石/血栓）</t>
  </si>
  <si>
    <t>恶性肿块（癌症晚期）</t>
  </si>
  <si>
    <t>血缘异常（非亲生/领养）</t>
  </si>
  <si>
    <t>老而孤独（无后嗣）</t>
  </si>
  <si>
    <t>联动机制​</t>
  </si>
  <si>
    <r>
      <t>化禄放大</t>
    </r>
    <r>
      <rPr>
        <sz val="11"/>
        <color theme="1"/>
        <rFont val="等线"/>
        <family val="2"/>
        <charset val="134"/>
        <scheme val="minor"/>
      </rPr>
      <t>​</t>
    </r>
  </si>
  <si>
    <t>财富暴增（如武曲化禄）</t>
  </si>
  <si>
    <t>落陷时反致虚耗（太阳陷化禄）</t>
  </si>
  <si>
    <r>
      <t>化忌冲击</t>
    </r>
    <r>
      <rPr>
        <sz val="11"/>
        <color theme="1"/>
        <rFont val="等线"/>
        <family val="2"/>
        <charset val="134"/>
        <scheme val="minor"/>
      </rPr>
      <t>​</t>
    </r>
  </si>
  <si>
    <t>库破（羊陀夹忌主破产）</t>
  </si>
  <si>
    <t>与“禄存无四化”定义冲突</t>
  </si>
  <si>
    <r>
      <t>自化禄</t>
    </r>
    <r>
      <rPr>
        <sz val="11"/>
        <color theme="1"/>
        <rFont val="等线"/>
        <family val="2"/>
        <charset val="134"/>
        <scheme val="minor"/>
      </rPr>
      <t>​</t>
    </r>
  </si>
  <si>
    <t>短期聚财（如田宅自化禄）</t>
  </si>
  <si>
    <t>需结合主星判断（天府自化禄吉，地劫自化禄凶）</t>
  </si>
  <si>
    <t>关键矛盾说明​</t>
  </si>
  <si>
    <t>文档3称“禄存无四化”，但文档37提出“化禄放大效应”可借他星触发→ 并存矛盾。</t>
  </si>
  <si>
    <r>
      <t>2. 孤克属性</t>
    </r>
    <r>
      <rPr>
        <sz val="11"/>
        <color theme="1"/>
        <rFont val="等线"/>
        <family val="2"/>
        <charset val="134"/>
        <scheme val="minor"/>
      </rPr>
      <t>：</t>
    </r>
  </si>
  <si>
    <t>文档8称“禄存入六亲主孤克”，文档13称“子女宫禄存主贵子”→ 需分宫位：六亲宫主孤，子女宫逢吉星反主贵。</t>
  </si>
  <si>
    <t>阳火</t>
  </si>
  <si>
    <t>持续运动状态、动态传输/移动性</t>
  </si>
  <si>
    <t>不可调节的持续运动（如GIF动图、资金流、差旅）</t>
  </si>
  <si>
    <r>
      <t>与天机区别</t>
    </r>
    <r>
      <rPr>
        <sz val="11"/>
        <color theme="1"/>
        <rFont val="等线"/>
        <family val="2"/>
        <charset val="134"/>
        <scheme val="minor"/>
      </rPr>
      <t>​</t>
    </r>
  </si>
  <si>
    <t>天机可调节运动路径，天马为单向不可控运动</t>
  </si>
  <si>
    <r>
      <t>动态传输</t>
    </r>
    <r>
      <rPr>
        <sz val="11"/>
        <color theme="1"/>
        <rFont val="等线"/>
        <family val="2"/>
        <charset val="134"/>
        <scheme val="minor"/>
      </rPr>
      <t>​</t>
    </r>
  </si>
  <si>
    <t>移动畅通（跨境物流、数据流）</t>
  </si>
  <si>
    <t>移动阻塞（交通中断、资金冻结）</t>
  </si>
  <si>
    <r>
      <t>运动状态</t>
    </r>
    <r>
      <rPr>
        <sz val="11"/>
        <color theme="1"/>
        <rFont val="等线"/>
        <family val="2"/>
        <charset val="134"/>
        <scheme val="minor"/>
      </rPr>
      <t>​</t>
    </r>
  </si>
  <si>
    <t>高频变动（频繁出差、实时数据更新）</t>
  </si>
  <si>
    <t>动态停滞（项目搁置、思维僵化）</t>
  </si>
  <si>
    <r>
      <t>行业表征</t>
    </r>
    <r>
      <rPr>
        <sz val="11"/>
        <color theme="1"/>
        <rFont val="等线"/>
        <family val="2"/>
        <charset val="134"/>
        <scheme val="minor"/>
      </rPr>
      <t>​</t>
    </r>
  </si>
  <si>
    <t>流动性行业（物流、旅游、金融）</t>
  </si>
  <si>
    <t>固守产业（传统制造业、仓储）</t>
  </si>
  <si>
    <r>
      <t>生马 vs 流马</t>
    </r>
    <r>
      <rPr>
        <sz val="11"/>
        <color theme="1"/>
        <rFont val="等线"/>
        <family val="2"/>
        <charset val="134"/>
        <scheme val="minor"/>
      </rPr>
      <t>：按生年月份确立宫位，无分类差异。</t>
    </r>
  </si>
  <si>
    <r>
      <t>思想宫位</t>
    </r>
    <r>
      <rPr>
        <sz val="11"/>
        <color theme="1"/>
        <rFont val="等线"/>
        <family val="2"/>
        <charset val="134"/>
        <scheme val="minor"/>
      </rPr>
      <t>：思维停不下来（不利修行）。</t>
    </r>
  </si>
  <si>
    <t>1. 吉星组合​</t>
  </si>
  <si>
    <r>
      <t>天马+禄存</t>
    </r>
    <r>
      <rPr>
        <sz val="11"/>
        <color theme="1"/>
        <rFont val="等线"/>
        <family val="2"/>
        <charset val="134"/>
        <scheme val="minor"/>
      </rPr>
      <t>​</t>
    </r>
  </si>
  <si>
    <t>禄马交驰（财富流动增值）</t>
  </si>
  <si>
    <t>虚动耗财（无效投资）</t>
  </si>
  <si>
    <t>天马+紫微/天府</t>
  </si>
  <si>
    <t>扶舆马（权威性移动，如跨国升迁）</t>
  </si>
  <si>
    <t>虚张声势（名不副实的差旅）</t>
  </si>
  <si>
    <r>
      <t>天马+日月</t>
    </r>
    <r>
      <rPr>
        <sz val="11"/>
        <color theme="1"/>
        <rFont val="等线"/>
        <family val="2"/>
        <charset val="134"/>
        <scheme val="minor"/>
      </rPr>
      <t>​</t>
    </r>
  </si>
  <si>
    <t>雌雄马（稳定财流/积极贵气）</t>
  </si>
  <si>
    <t>飘泊不定（居无定所）</t>
  </si>
  <si>
    <t>2. 煞星组合​</t>
  </si>
  <si>
    <r>
      <t>天马+火星</t>
    </r>
    <r>
      <rPr>
        <sz val="11"/>
        <color theme="1"/>
        <rFont val="等线"/>
        <family val="2"/>
        <charset val="134"/>
        <scheme val="minor"/>
      </rPr>
      <t>​</t>
    </r>
  </si>
  <si>
    <t>战马（突发变动：意外出差/投资暴雷）</t>
  </si>
  <si>
    <t>车祸、紧急任务派遣</t>
  </si>
  <si>
    <r>
      <t>天马+擎羊</t>
    </r>
    <r>
      <rPr>
        <sz val="11"/>
        <color theme="1"/>
        <rFont val="等线"/>
        <family val="2"/>
        <charset val="134"/>
        <scheme val="minor"/>
      </rPr>
      <t>​</t>
    </r>
  </si>
  <si>
    <t>负尸马（波动损失：车祸/合作破裂）</t>
  </si>
  <si>
    <t>交通事故赔偿纠纷</t>
  </si>
  <si>
    <r>
      <t>天马+陀罗</t>
    </r>
    <r>
      <rPr>
        <sz val="11"/>
        <color theme="1"/>
        <rFont val="等线"/>
        <family val="2"/>
        <charset val="134"/>
        <scheme val="minor"/>
      </rPr>
      <t>​</t>
    </r>
  </si>
  <si>
    <t>折足马（拖延阻滞：签证延期/款项拖欠）</t>
  </si>
  <si>
    <t>项目烂尾、慢性病迁延</t>
  </si>
  <si>
    <r>
      <t>天马+空劫忌</t>
    </r>
    <r>
      <rPr>
        <sz val="11"/>
        <color theme="1"/>
        <rFont val="等线"/>
        <family val="2"/>
        <charset val="134"/>
        <scheme val="minor"/>
      </rPr>
      <t>​</t>
    </r>
  </si>
  <si>
    <t>死马（终身奔走无功：资金链断裂）</t>
  </si>
  <si>
    <t>创业屡败、劳碌无果</t>
  </si>
  <si>
    <t>一生奔波立业（外贸商人、探险家）</t>
  </si>
  <si>
    <t>劳碌无为（频繁换岗无成就）</t>
  </si>
  <si>
    <t>跨境机遇（留学、移民成功）</t>
  </si>
  <si>
    <t>违规越界（偷渡遣返）</t>
  </si>
  <si>
    <t>资金流动频繁（短期理财、外汇）</t>
  </si>
  <si>
    <t>虚耗破财（投机亏损）</t>
  </si>
  <si>
    <t>配偶来自远方/异地姻缘</t>
  </si>
  <si>
    <t>感情疏离（长期分居）</t>
  </si>
  <si>
    <t>动态职业（记者、航空业）</t>
  </si>
  <si>
    <t>工作不稳（频繁失业）</t>
  </si>
  <si>
    <t>频繁搬家/跨国置业</t>
  </si>
  <si>
    <t>家宅不宁（抵押房产）</t>
  </si>
  <si>
    <r>
      <t>借他星化禄</t>
    </r>
    <r>
      <rPr>
        <sz val="11"/>
        <color theme="1"/>
        <rFont val="等线"/>
        <family val="2"/>
        <charset val="134"/>
        <scheme val="minor"/>
      </rPr>
      <t>​</t>
    </r>
  </si>
  <si>
    <t>增强运动力</t>
  </si>
  <si>
    <t>加速成功（跨境业务扩张）</t>
  </si>
  <si>
    <r>
      <t>借他星化忌</t>
    </r>
    <r>
      <rPr>
        <sz val="11"/>
        <color theme="1"/>
        <rFont val="等线"/>
        <family val="2"/>
        <charset val="134"/>
        <scheme val="minor"/>
      </rPr>
      <t>​</t>
    </r>
  </si>
  <si>
    <t>阻滞运动</t>
  </si>
  <si>
    <t>动态中断（航班取消、合作终止）</t>
  </si>
  <si>
    <r>
      <t>自化科</t>
    </r>
    <r>
      <rPr>
        <sz val="11"/>
        <color theme="1"/>
        <rFont val="等线"/>
        <family val="2"/>
        <charset val="134"/>
        <scheme val="minor"/>
      </rPr>
      <t>​</t>
    </r>
  </si>
  <si>
    <t>延缓变动</t>
  </si>
  <si>
    <t>差旅延期（签证审核延长）</t>
  </si>
  <si>
    <r>
      <t>1. “动”的双重性</t>
    </r>
    <r>
      <rPr>
        <sz val="11"/>
        <color theme="1"/>
        <rFont val="等线"/>
        <family val="2"/>
        <charset val="134"/>
        <scheme val="minor"/>
      </rPr>
      <t>：</t>
    </r>
  </si>
  <si>
    <t>庙旺（水火位）：创造价值（如跨境贸易）。</t>
  </si>
  <si>
    <t>落陷（金火位）：消耗资源（如无效出差）。</t>
  </si>
  <si>
    <r>
      <t>2. 现代象义延伸</t>
    </r>
    <r>
      <rPr>
        <sz val="11"/>
        <color theme="1"/>
        <rFont val="等线"/>
        <family val="2"/>
        <charset val="134"/>
        <scheme val="minor"/>
      </rPr>
      <t>：</t>
    </r>
  </si>
  <si>
    <t>技术层面：实时数据流、动态IP地址。</t>
  </si>
  <si>
    <t>社会层面：共享经济、闪送服务。</t>
  </si>
  <si>
    <r>
      <t>1. 庙陷定位冲突</t>
    </r>
    <r>
      <rPr>
        <sz val="11"/>
        <color theme="1"/>
        <rFont val="等线"/>
        <family val="2"/>
        <charset val="134"/>
        <scheme val="minor"/>
      </rPr>
      <t>：</t>
    </r>
  </si>
  <si>
    <t>文档1：未宫天马为庙旺；文档3：未宫为平势（非庙旺）。</t>
  </si>
  <si>
    <t>→ 并存矛盾，需结合主星状态综合判断。</t>
  </si>
  <si>
    <r>
      <t>2. 天马天才组合</t>
    </r>
    <r>
      <rPr>
        <sz val="11"/>
        <color theme="1"/>
        <rFont val="等线"/>
        <family val="2"/>
        <charset val="134"/>
        <scheme val="minor"/>
      </rPr>
      <t>：</t>
    </r>
  </si>
  <si>
    <t>文档4：主“天马行空”的创意；文档5：遇煞星则“思维混乱”。</t>
  </si>
  <si>
    <t>→ 吉凶取决于煞吉星配比。</t>
  </si>
  <si>
    <r>
      <t>天才+擎羊</t>
    </r>
    <r>
      <rPr>
        <sz val="11"/>
        <color theme="1"/>
        <rFont val="等线"/>
        <family val="2"/>
        <charset val="134"/>
        <scheme val="minor"/>
      </rPr>
      <t>​</t>
    </r>
  </si>
  <si>
    <r>
      <t>火星+擎羊</t>
    </r>
    <r>
      <rPr>
        <sz val="11"/>
        <color theme="1"/>
        <rFont val="等线"/>
        <family val="2"/>
        <charset val="134"/>
        <scheme val="minor"/>
      </rPr>
      <t>​</t>
    </r>
  </si>
  <si>
    <r>
      <t>地劫+擎羊</t>
    </r>
    <r>
      <rPr>
        <sz val="11"/>
        <color theme="1"/>
        <rFont val="等线"/>
        <family val="2"/>
        <charset val="134"/>
        <scheme val="minor"/>
      </rPr>
      <t>​</t>
    </r>
  </si>
  <si>
    <t>→ 统一：均属语言/策略性伤害，角度不同。</t>
  </si>
  <si>
    <r>
      <t>陀罗+贪狼</t>
    </r>
    <r>
      <rPr>
        <sz val="11"/>
        <color theme="1"/>
        <rFont val="等线"/>
        <family val="2"/>
        <charset val="134"/>
        <scheme val="minor"/>
      </rPr>
      <t>​</t>
    </r>
  </si>
  <si>
    <r>
      <t>陀罗+破军</t>
    </r>
    <r>
      <rPr>
        <sz val="11"/>
        <color theme="1"/>
        <rFont val="等线"/>
        <family val="2"/>
        <charset val="134"/>
        <scheme val="minor"/>
      </rPr>
      <t>​</t>
    </r>
  </si>
  <si>
    <r>
      <t>陀罗+七杀</t>
    </r>
    <r>
      <rPr>
        <sz val="11"/>
        <color theme="1"/>
        <rFont val="等线"/>
        <family val="2"/>
        <charset val="134"/>
        <scheme val="minor"/>
      </rPr>
      <t>​</t>
    </r>
  </si>
  <si>
    <r>
      <t>陀罗+天同</t>
    </r>
    <r>
      <rPr>
        <sz val="11"/>
        <color theme="1"/>
        <rFont val="等线"/>
        <family val="2"/>
        <charset val="134"/>
        <scheme val="minor"/>
      </rPr>
      <t>​</t>
    </r>
  </si>
  <si>
    <r>
      <t>陀罗+铃星</t>
    </r>
    <r>
      <rPr>
        <sz val="11"/>
        <color theme="1"/>
        <rFont val="等线"/>
        <family val="2"/>
        <charset val="134"/>
        <scheme val="minor"/>
      </rPr>
      <t>​</t>
    </r>
  </si>
  <si>
    <r>
      <t>陀罗+火星</t>
    </r>
    <r>
      <rPr>
        <sz val="11"/>
        <color theme="1"/>
        <rFont val="等线"/>
        <family val="2"/>
        <charset val="134"/>
        <scheme val="minor"/>
      </rPr>
      <t>​</t>
    </r>
  </si>
  <si>
    <r>
      <t>陀罗+地空</t>
    </r>
    <r>
      <rPr>
        <sz val="11"/>
        <color theme="1"/>
        <rFont val="等线"/>
        <family val="2"/>
        <charset val="134"/>
        <scheme val="minor"/>
      </rPr>
      <t>​</t>
    </r>
  </si>
  <si>
    <t>借廉贞化忌：肿瘤恶化（循环失控）</t>
  </si>
  <si>
    <t>陀罗+天梁陷：治疗无效</t>
  </si>
  <si>
    <r>
      <t>地空+火星</t>
    </r>
    <r>
      <rPr>
        <sz val="11"/>
        <color theme="1"/>
        <rFont val="等线"/>
        <family val="2"/>
        <charset val="134"/>
        <scheme val="minor"/>
      </rPr>
      <t>​</t>
    </r>
  </si>
  <si>
    <r>
      <t>地空+铃星</t>
    </r>
    <r>
      <rPr>
        <sz val="11"/>
        <color theme="1"/>
        <rFont val="等线"/>
        <family val="2"/>
        <charset val="134"/>
        <scheme val="minor"/>
      </rPr>
      <t>​</t>
    </r>
  </si>
  <si>
    <t>落陷：碗斜置→资源轻微溢出（如零钱洒落）</t>
  </si>
  <si>
    <r>
      <t>2. 福报阈值</t>
    </r>
    <r>
      <rPr>
        <sz val="11"/>
        <color theme="1"/>
        <rFont val="等线"/>
        <family val="2"/>
        <charset val="134"/>
        <scheme val="minor"/>
      </rPr>
      <t>：</t>
    </r>
  </si>
  <si>
    <t>地空位置指示个体福报承载极限，超限则引发崩塌</t>
    <phoneticPr fontId="2" type="noConversion"/>
  </si>
  <si>
    <r>
      <t>地劫+火星</t>
    </r>
    <r>
      <rPr>
        <sz val="11"/>
        <color theme="1"/>
        <rFont val="等线"/>
        <family val="2"/>
        <charset val="134"/>
        <scheme val="minor"/>
      </rPr>
      <t>​</t>
    </r>
  </si>
  <si>
    <r>
      <t>地劫+铃星</t>
    </r>
    <r>
      <rPr>
        <sz val="11"/>
        <color theme="1"/>
        <rFont val="等线"/>
        <family val="2"/>
        <charset val="134"/>
        <scheme val="minor"/>
      </rPr>
      <t>​</t>
    </r>
  </si>
  <si>
    <r>
      <t>地劫+陀罗</t>
    </r>
    <r>
      <rPr>
        <sz val="11"/>
        <color theme="1"/>
        <rFont val="等线"/>
        <family val="2"/>
        <charset val="134"/>
        <scheme val="minor"/>
      </rPr>
      <t>​</t>
    </r>
  </si>
  <si>
    <r>
      <t>破坏性</t>
    </r>
    <r>
      <rPr>
        <sz val="11"/>
        <color theme="1"/>
        <rFont val="等线"/>
        <family val="2"/>
        <charset val="134"/>
        <scheme val="minor"/>
      </rPr>
      <t>​</t>
    </r>
  </si>
  <si>
    <r>
      <t>火星+铃星</t>
    </r>
    <r>
      <rPr>
        <sz val="11"/>
        <color theme="1"/>
        <rFont val="等线"/>
        <family val="2"/>
        <charset val="134"/>
        <scheme val="minor"/>
      </rPr>
      <t>​</t>
    </r>
  </si>
  <si>
    <r>
      <t>火星+地空</t>
    </r>
    <r>
      <rPr>
        <sz val="11"/>
        <color theme="1"/>
        <rFont val="等线"/>
        <family val="2"/>
        <charset val="134"/>
        <scheme val="minor"/>
      </rPr>
      <t>​</t>
    </r>
  </si>
  <si>
    <r>
      <t>铃星+火星</t>
    </r>
    <r>
      <rPr>
        <sz val="11"/>
        <color theme="1"/>
        <rFont val="等线"/>
        <family val="2"/>
        <charset val="134"/>
        <scheme val="minor"/>
      </rPr>
      <t>​</t>
    </r>
  </si>
  <si>
    <r>
      <t>铃星+擎羊</t>
    </r>
    <r>
      <rPr>
        <sz val="11"/>
        <color theme="1"/>
        <rFont val="等线"/>
        <family val="2"/>
        <charset val="134"/>
        <scheme val="minor"/>
      </rPr>
      <t>​</t>
    </r>
  </si>
  <si>
    <r>
      <t>铃星+陀罗</t>
    </r>
    <r>
      <rPr>
        <sz val="11"/>
        <color theme="1"/>
        <rFont val="等线"/>
        <family val="2"/>
        <charset val="134"/>
        <scheme val="minor"/>
      </rPr>
      <t>​</t>
    </r>
  </si>
  <si>
    <r>
      <t>铃星+地空</t>
    </r>
    <r>
      <rPr>
        <sz val="11"/>
        <color theme="1"/>
        <rFont val="等线"/>
        <family val="2"/>
        <charset val="134"/>
        <scheme val="minor"/>
      </rPr>
      <t>​</t>
    </r>
  </si>
  <si>
    <r>
      <t>1. 水位状态冲突</t>
    </r>
    <r>
      <rPr>
        <sz val="11"/>
        <color theme="1"/>
        <rFont val="等线"/>
        <family val="2"/>
        <charset val="134"/>
        <scheme val="minor"/>
      </rPr>
      <t>：</t>
    </r>
  </si>
  <si>
    <t>文档2称水位（亥子）铃星落陷，文档25定义全宫位无庙陷</t>
  </si>
  <si>
    <t>→ 采用“全宫位无庙陷”为主，但标注矛盾来源</t>
  </si>
  <si>
    <r>
      <t>2. 女命吉凶争议</t>
    </r>
    <r>
      <rPr>
        <sz val="11"/>
        <color theme="1"/>
        <rFont val="等线"/>
        <family val="2"/>
        <charset val="134"/>
        <scheme val="minor"/>
      </rPr>
      <t>：</t>
    </r>
  </si>
  <si>
    <t>文档20称女命铃星“性刚克夫”，文档32主张“无固有吉凶”</t>
  </si>
  <si>
    <t>→ 并存：需结合具体组合（如+贪狼可主财丰）</t>
  </si>
  <si>
    <t>七、关键逻辑​</t>
  </si>
  <si>
    <r>
      <t>烦恼的双重性</t>
    </r>
    <r>
      <rPr>
        <sz val="11"/>
        <color theme="1"/>
        <rFont val="等线"/>
        <family val="2"/>
        <charset val="134"/>
        <scheme val="minor"/>
      </rPr>
      <t>：</t>
    </r>
  </si>
  <si>
    <r>
      <t>声音与精神的统一</t>
    </r>
    <r>
      <rPr>
        <sz val="11"/>
        <color theme="1"/>
        <rFont val="等线"/>
        <family val="2"/>
        <charset val="134"/>
        <scheme val="minor"/>
      </rPr>
      <t>：</t>
    </r>
  </si>
  <si>
    <t>物理噪音（如装修声）与心理焦虑（如工作压力）均属铃星范畴</t>
  </si>
  <si>
    <r>
      <t>煞星组合（火星、擎羊）</t>
    </r>
    <r>
      <rPr>
        <sz val="11"/>
        <color rgb="FFFF0000"/>
        <rFont val="等线"/>
        <family val="3"/>
        <charset val="134"/>
        <scheme val="minor"/>
      </rPr>
      <t>强化负面效应</t>
    </r>
    <phoneticPr fontId="2" type="noConversion"/>
  </si>
  <si>
    <r>
      <t>吉星组合（解神、天喜）</t>
    </r>
    <r>
      <rPr>
        <sz val="11"/>
        <color rgb="FFFF0000"/>
        <rFont val="等线"/>
        <family val="3"/>
        <charset val="134"/>
        <scheme val="minor"/>
      </rPr>
      <t>可转化烦恼为动力</t>
    </r>
    <phoneticPr fontId="2" type="noConversion"/>
  </si>
  <si>
    <r>
      <t>天刑+廉贞</t>
    </r>
    <r>
      <rPr>
        <sz val="11"/>
        <color theme="1"/>
        <rFont val="等线"/>
        <family val="2"/>
        <charset val="134"/>
        <scheme val="minor"/>
      </rPr>
      <t>​</t>
    </r>
  </si>
  <si>
    <r>
      <t>天刑+武曲</t>
    </r>
    <r>
      <rPr>
        <sz val="11"/>
        <color theme="1"/>
        <rFont val="等线"/>
        <family val="2"/>
        <charset val="134"/>
        <scheme val="minor"/>
      </rPr>
      <t>​</t>
    </r>
  </si>
  <si>
    <r>
      <t>天刑+太阳</t>
    </r>
    <r>
      <rPr>
        <sz val="11"/>
        <color theme="1"/>
        <rFont val="等线"/>
        <family val="2"/>
        <charset val="134"/>
        <scheme val="minor"/>
      </rPr>
      <t>​</t>
    </r>
  </si>
  <si>
    <r>
      <t>天刑+天同</t>
    </r>
    <r>
      <rPr>
        <sz val="11"/>
        <color theme="1"/>
        <rFont val="等线"/>
        <family val="2"/>
        <charset val="134"/>
        <scheme val="minor"/>
      </rPr>
      <t>​</t>
    </r>
  </si>
  <si>
    <r>
      <t>天刑+铃星</t>
    </r>
    <r>
      <rPr>
        <sz val="11"/>
        <color theme="1"/>
        <rFont val="等线"/>
        <family val="2"/>
        <charset val="134"/>
        <scheme val="minor"/>
      </rPr>
      <t>​</t>
    </r>
  </si>
  <si>
    <r>
      <t>天刑+地劫</t>
    </r>
    <r>
      <rPr>
        <sz val="11"/>
        <color theme="1"/>
        <rFont val="等线"/>
        <family val="2"/>
        <charset val="134"/>
        <scheme val="minor"/>
      </rPr>
      <t>​</t>
    </r>
  </si>
  <si>
    <r>
      <t>天刑+擎羊</t>
    </r>
    <r>
      <rPr>
        <sz val="11"/>
        <color theme="1"/>
        <rFont val="等线"/>
        <family val="2"/>
        <charset val="134"/>
        <scheme val="minor"/>
      </rPr>
      <t>​</t>
    </r>
  </si>
  <si>
    <r>
      <t>天寿+七杀</t>
    </r>
    <r>
      <rPr>
        <sz val="11"/>
        <color theme="1"/>
        <rFont val="等线"/>
        <family val="2"/>
        <charset val="134"/>
        <scheme val="minor"/>
      </rPr>
      <t>​</t>
    </r>
  </si>
  <si>
    <r>
      <t>天寿+破军</t>
    </r>
    <r>
      <rPr>
        <sz val="11"/>
        <color theme="1"/>
        <rFont val="等线"/>
        <family val="2"/>
        <charset val="134"/>
        <scheme val="minor"/>
      </rPr>
      <t>​</t>
    </r>
  </si>
  <si>
    <r>
      <t>天寿+天梁</t>
    </r>
    <r>
      <rPr>
        <sz val="11"/>
        <color theme="1"/>
        <rFont val="等线"/>
        <family val="2"/>
        <charset val="134"/>
        <scheme val="minor"/>
      </rPr>
      <t>​</t>
    </r>
  </si>
  <si>
    <r>
      <t>天寿+陀罗</t>
    </r>
    <r>
      <rPr>
        <sz val="11"/>
        <color theme="1"/>
        <rFont val="等线"/>
        <family val="2"/>
        <charset val="134"/>
        <scheme val="minor"/>
      </rPr>
      <t>​</t>
    </r>
  </si>
  <si>
    <r>
      <t>天寿+火星</t>
    </r>
    <r>
      <rPr>
        <sz val="11"/>
        <color theme="1"/>
        <rFont val="等线"/>
        <family val="2"/>
        <charset val="134"/>
        <scheme val="minor"/>
      </rPr>
      <t>​</t>
    </r>
  </si>
  <si>
    <r>
      <t>天寿+铃星</t>
    </r>
    <r>
      <rPr>
        <sz val="11"/>
        <color theme="1"/>
        <rFont val="等线"/>
        <family val="2"/>
        <charset val="134"/>
        <scheme val="minor"/>
      </rPr>
      <t>​</t>
    </r>
  </si>
  <si>
    <t>一、天巫定义</t>
  </si>
  <si>
    <t>巫术、玄学、宗教、神秘事务、中介、传承</t>
  </si>
  <si>
    <t>象征与神秘学、宗教、灵性相关的事务，以及作为中间人的角色</t>
  </si>
  <si>
    <r>
      <t>吉凶辩证</t>
    </r>
    <r>
      <rPr>
        <sz val="11"/>
        <color theme="1"/>
        <rFont val="等线"/>
        <family val="2"/>
        <charset val="134"/>
        <scheme val="minor"/>
      </rPr>
      <t>​</t>
    </r>
  </si>
  <si>
    <t>庙旺（7级）主正统玄学、良性中介；落陷（1级）主邪术、欺骗性中介</t>
  </si>
  <si>
    <t>二、单星象义</t>
  </si>
  <si>
    <t>1. 核心特质</t>
  </si>
  <si>
    <r>
      <t>玄学宗教</t>
    </r>
    <r>
      <rPr>
        <sz val="11"/>
        <color theme="1"/>
        <rFont val="等线"/>
        <family val="2"/>
        <charset val="134"/>
        <scheme val="minor"/>
      </rPr>
      <t>​</t>
    </r>
  </si>
  <si>
    <t>正统修行、法事、风水布局</t>
  </si>
  <si>
    <t>旁门左道、养小鬼、下降头</t>
  </si>
  <si>
    <r>
      <t>中介角色</t>
    </r>
    <r>
      <rPr>
        <sz val="11"/>
        <color theme="1"/>
        <rFont val="等线"/>
        <family val="2"/>
        <charset val="134"/>
        <scheme val="minor"/>
      </rPr>
      <t>​</t>
    </r>
  </si>
  <si>
    <t>合法经纪人、公正的调解人</t>
  </si>
  <si>
    <t>诈骗中间人、黑市掮客</t>
  </si>
  <si>
    <r>
      <t>传承事务</t>
    </r>
    <r>
      <rPr>
        <sz val="11"/>
        <color theme="1"/>
        <rFont val="等线"/>
        <family val="2"/>
        <charset val="134"/>
        <scheme val="minor"/>
      </rPr>
      <t>​</t>
    </r>
  </si>
  <si>
    <t>技艺传承、衣钵继承</t>
  </si>
  <si>
    <t>绝学失传、继承纠纷</t>
  </si>
  <si>
    <r>
      <t>神秘感知</t>
    </r>
    <r>
      <rPr>
        <sz val="11"/>
        <color theme="1"/>
        <rFont val="等线"/>
        <family val="2"/>
        <charset val="134"/>
        <scheme val="minor"/>
      </rPr>
      <t>​</t>
    </r>
  </si>
  <si>
    <t>灵感强、直觉准、预知梦</t>
  </si>
  <si>
    <t>疑神疑鬼、幻觉、被迫害妄想</t>
  </si>
  <si>
    <t>三、宫位组合象义</t>
  </si>
  <si>
    <t>有宗教缘分或玄学天赋，性格神秘</t>
  </si>
  <si>
    <t>易迷信、被神棍欺骗，或自身行骗</t>
  </si>
  <si>
    <t>兄弟姐妹中有从事相关行业者</t>
  </si>
  <si>
    <t>因遗产、中介费与兄弟姐妹发生纠纷</t>
  </si>
  <si>
    <t>通过宗教或玄学活动结识配偶</t>
  </si>
  <si>
    <t>感情中有欺骗或灵异干扰（如“阴桃花”）</t>
  </si>
  <si>
    <t>子女有灵性，或收养义子/门徒</t>
  </si>
  <si>
    <t>子女难养（易受惊）、或为子女找“干亲”化解</t>
  </si>
  <si>
    <t>通过玄学、中介、咨询获利</t>
  </si>
  <si>
    <t>因迷信破财、或被中介诈骗</t>
  </si>
  <si>
    <t>信仰疗法有效、或患有疑难杂症（“邪病”）</t>
  </si>
  <si>
    <t>久病不愈，需检查是否冲犯禁忌</t>
  </si>
  <si>
    <t>在外易遇贵人指点（宗教玄学类）</t>
  </si>
  <si>
    <t>在外易遇神棍、或卷入神秘事件</t>
  </si>
  <si>
    <t>朋友中有法师、命理师或中介</t>
  </si>
  <si>
    <t>被朋友以神秘理由欺骗、拉入传销</t>
  </si>
  <si>
    <t>适合从事宗教、玄学、咨询、中介行业</t>
  </si>
  <si>
    <t>工作中使用不正当手段，易曝光</t>
  </si>
  <si>
    <t>家中设神坛、佛堂，或祖传风水好</t>
  </si>
  <si>
    <t>家宅不宁（灵异感）、或风水有问题</t>
  </si>
  <si>
    <t>精神信仰坚定，有修行之心</t>
  </si>
  <si>
    <t>思想偏执、沉迷怪力乱神</t>
  </si>
  <si>
    <t>父母有信仰，或为命理师、中介</t>
  </si>
  <si>
    <t>与父母因信仰或财产中介问题冲突</t>
  </si>
  <si>
    <t>1. 吉象组合</t>
  </si>
  <si>
    <r>
      <t>天巫+天梁</t>
    </r>
    <r>
      <rPr>
        <sz val="11"/>
        <color theme="1"/>
        <rFont val="等线"/>
        <family val="2"/>
        <charset val="134"/>
        <scheme val="minor"/>
      </rPr>
      <t>​</t>
    </r>
  </si>
  <si>
    <t>宗教领袖、慈善中介、法律调解</t>
  </si>
  <si>
    <t>寺庙住持、公益组织负责人</t>
  </si>
  <si>
    <r>
      <t>天巫+太阳</t>
    </r>
    <r>
      <rPr>
        <sz val="11"/>
        <color theme="1"/>
        <rFont val="等线"/>
        <family val="2"/>
        <charset val="134"/>
        <scheme val="minor"/>
      </rPr>
      <t>​</t>
    </r>
  </si>
  <si>
    <t>公开传播玄学、阳光下的宗教活动</t>
  </si>
  <si>
    <t>开设命理讲座、举办公开法会</t>
  </si>
  <si>
    <r>
      <t>天巫+天同</t>
    </r>
    <r>
      <rPr>
        <sz val="11"/>
        <color theme="1"/>
        <rFont val="等线"/>
        <family val="2"/>
        <charset val="134"/>
        <scheme val="minor"/>
      </rPr>
      <t>​</t>
    </r>
  </si>
  <si>
    <t>通过信仰获得心灵慰藉与和解</t>
  </si>
  <si>
    <t>参加宗教团体获得内心平静</t>
  </si>
  <si>
    <r>
      <t>天巫+天府</t>
    </r>
    <r>
      <rPr>
        <sz val="11"/>
        <color theme="1"/>
        <rFont val="等线"/>
        <family val="2"/>
        <charset val="134"/>
        <scheme val="minor"/>
      </rPr>
      <t>​</t>
    </r>
  </si>
  <si>
    <t>正统、大型的宗教机构或中介组织</t>
  </si>
  <si>
    <t>担任大寺庙执事、大型房产中介店长</t>
  </si>
  <si>
    <t>2. 凶象组合</t>
  </si>
  <si>
    <r>
      <t>天巫+巨门</t>
    </r>
    <r>
      <rPr>
        <sz val="11"/>
        <color theme="1"/>
        <rFont val="等线"/>
        <family val="2"/>
        <charset val="134"/>
        <scheme val="minor"/>
      </rPr>
      <t>​</t>
    </r>
  </si>
  <si>
    <t>秘密巫术、地下中介、口舌是非</t>
  </si>
  <si>
    <t>下降头、从事暗盘交易的中介</t>
  </si>
  <si>
    <r>
      <t>天巫+廉贞</t>
    </r>
    <r>
      <rPr>
        <sz val="11"/>
        <color theme="1"/>
        <rFont val="等线"/>
        <family val="2"/>
        <charset val="134"/>
        <scheme val="minor"/>
      </rPr>
      <t>​</t>
    </r>
  </si>
  <si>
    <t>执着于神通、走火入魔、桃花巫术</t>
  </si>
  <si>
    <t>为求姻缘滥用和合术，反遭反噬</t>
  </si>
  <si>
    <r>
      <t>天巫+七杀</t>
    </r>
    <r>
      <rPr>
        <sz val="11"/>
        <color theme="1"/>
        <rFont val="等线"/>
        <family val="2"/>
        <charset val="134"/>
        <scheme val="minor"/>
      </rPr>
      <t>​</t>
    </r>
  </si>
  <si>
    <t>暴力驱邪、强制性的中介手段</t>
  </si>
  <si>
    <t>跳乩童、暴力讨债的中间人</t>
  </si>
  <si>
    <r>
      <t>天巫+破军</t>
    </r>
    <r>
      <rPr>
        <sz val="11"/>
        <color theme="1"/>
        <rFont val="等线"/>
        <family val="2"/>
        <charset val="134"/>
        <scheme val="minor"/>
      </rPr>
      <t>​</t>
    </r>
  </si>
  <si>
    <t>颠覆传统的巫术、破坏性的中介</t>
  </si>
  <si>
    <t>修炼邪法、拆伙中间人</t>
  </si>
  <si>
    <r>
      <t>天巫+文昌/文曲</t>
    </r>
    <r>
      <rPr>
        <sz val="11"/>
        <color theme="1"/>
        <rFont val="等线"/>
        <family val="2"/>
        <charset val="134"/>
        <scheme val="minor"/>
      </rPr>
      <t>​</t>
    </r>
  </si>
  <si>
    <t>学术性玄学（易学、占星）、文书中介</t>
  </si>
  <si>
    <t>伪造开光文书、合同诈骗</t>
  </si>
  <si>
    <r>
      <t>天巫+左辅/右弼</t>
    </r>
    <r>
      <rPr>
        <sz val="11"/>
        <color theme="1"/>
        <rFont val="等线"/>
        <family val="2"/>
        <charset val="134"/>
        <scheme val="minor"/>
      </rPr>
      <t>​</t>
    </r>
  </si>
  <si>
    <t>团队式宗教活动、多人协作的中介</t>
  </si>
  <si>
    <t>宗教诈骗团伙、传销组织</t>
  </si>
  <si>
    <r>
      <t>天巫+地空/地劫</t>
    </r>
    <r>
      <rPr>
        <sz val="11"/>
        <color theme="1"/>
        <rFont val="等线"/>
        <family val="2"/>
        <charset val="134"/>
        <scheme val="minor"/>
      </rPr>
      <t>​</t>
    </r>
  </si>
  <si>
    <t>空灵悟性高、出世修行</t>
  </si>
  <si>
    <t>信仰虚无、被“空壳”中介骗</t>
  </si>
  <si>
    <r>
      <t>天巫+火星/铃星</t>
    </r>
    <r>
      <rPr>
        <sz val="11"/>
        <color theme="1"/>
        <rFont val="等线"/>
        <family val="2"/>
        <charset val="134"/>
        <scheme val="minor"/>
      </rPr>
      <t>​</t>
    </r>
  </si>
  <si>
    <t>法事见效快、急性子的中介</t>
  </si>
  <si>
    <t>巫术引发火灾/争吵、中介冲突</t>
  </si>
  <si>
    <r>
      <t>天巫+擎羊/陀罗</t>
    </r>
    <r>
      <rPr>
        <sz val="11"/>
        <color theme="1"/>
        <rFont val="等线"/>
        <family val="2"/>
        <charset val="134"/>
        <scheme val="minor"/>
      </rPr>
      <t>​</t>
    </r>
  </si>
  <si>
    <t>持戒严格、有毅力的修行；纠缠型中介</t>
  </si>
  <si>
    <t>修行受刑伤（如长期跪拜）；中介纠纷拖延</t>
  </si>
  <si>
    <r>
      <t>天巫+天刑</t>
    </r>
    <r>
      <rPr>
        <sz val="11"/>
        <color theme="1"/>
        <rFont val="等线"/>
        <family val="2"/>
        <charset val="134"/>
        <scheme val="minor"/>
      </rPr>
      <t>​</t>
    </r>
  </si>
  <si>
    <t>宗教戒律、法律中介</t>
  </si>
  <si>
    <t>因触犯宗教戒律或中介违规受罚</t>
  </si>
  <si>
    <r>
      <t>天巫+阴煞</t>
    </r>
    <r>
      <rPr>
        <sz val="11"/>
        <color theme="1"/>
        <rFont val="等线"/>
        <family val="2"/>
        <charset val="134"/>
        <scheme val="minor"/>
      </rPr>
      <t>​</t>
    </r>
  </si>
  <si>
    <t>通灵体质、处理阴性事务</t>
  </si>
  <si>
    <t>易被阴灵附体、或利用阴法害人</t>
  </si>
  <si>
    <t>六、关键逻辑</t>
  </si>
  <si>
    <r>
      <t>1. “巫”的双重性</t>
    </r>
    <r>
      <rPr>
        <sz val="11"/>
        <color theme="1"/>
        <rFont val="等线"/>
        <family val="2"/>
        <charset val="134"/>
        <scheme val="minor"/>
      </rPr>
      <t>：</t>
    </r>
  </si>
  <si>
    <r>
      <t>庙旺</t>
    </r>
    <r>
      <rPr>
        <sz val="11"/>
        <color theme="1"/>
        <rFont val="等线"/>
        <family val="2"/>
        <charset val="134"/>
        <scheme val="minor"/>
      </rPr>
      <t>：指向正统、光明、有益的玄学与中介角色。</t>
    </r>
  </si>
  <si>
    <r>
      <t>落陷</t>
    </r>
    <r>
      <rPr>
        <sz val="11"/>
        <color theme="1"/>
        <rFont val="等线"/>
        <family val="2"/>
        <charset val="134"/>
        <scheme val="minor"/>
      </rPr>
      <t>：指向邪僻、阴暗、有害的巫术与欺骗性中介。</t>
    </r>
  </si>
  <si>
    <r>
      <t>2. 核心桥梁</t>
    </r>
    <r>
      <rPr>
        <sz val="11"/>
        <color theme="1"/>
        <rFont val="等线"/>
        <family val="2"/>
        <charset val="134"/>
        <scheme val="minor"/>
      </rPr>
      <t>：天巫星始终扮演“桥梁”或“媒介”角色，连接可见与不可见的世界（如人与神鬼），或连接不同的利益方（如买与卖）。</t>
    </r>
  </si>
  <si>
    <r>
      <t>3. 应象关键</t>
    </r>
    <r>
      <rPr>
        <sz val="11"/>
        <color theme="1"/>
        <rFont val="等线"/>
        <family val="2"/>
        <charset val="134"/>
        <scheme val="minor"/>
      </rPr>
      <t>：判断吉凶需综合考察：</t>
    </r>
  </si>
  <si>
    <t>所在宫位的主星吉凶与四化。</t>
  </si>
  <si>
    <t>同宫或会照的辅星是吉是煞。</t>
  </si>
  <si>
    <t>宫位本身的属性（如财帛宫重利，福德宫重心性）。</t>
  </si>
  <si>
    <t>一、阴煞定义</t>
  </si>
  <si>
    <t>阴性能量、灵界干扰、小人暗害、隐秘问题、业障病</t>
  </si>
  <si>
    <t>象征一切阴性、隐蔽、不显于外的干扰与障碍，涵盖物质与灵性层面。</t>
  </si>
  <si>
    <t>无庙旺落陷之分，其显现吉凶完全取决于所搭配的主星与宫位组合。</t>
  </si>
  <si>
    <t>具体象义​</t>
  </si>
  <si>
    <t>典型案例/说明​</t>
  </si>
  <si>
    <r>
      <t>灵体干扰</t>
    </r>
    <r>
      <rPr>
        <sz val="11"/>
        <color theme="1"/>
        <rFont val="等线"/>
        <family val="2"/>
        <charset val="134"/>
        <scheme val="minor"/>
      </rPr>
      <t>​</t>
    </r>
  </si>
  <si>
    <t>鬼压床、梦魇、感觉被跟随、家宅不宁、易招阴性物质。</t>
  </si>
  <si>
    <t>常于疾厄、福德、田宅宫应验。需区分生理与灵性原因。</t>
  </si>
  <si>
    <r>
      <t>小人暗害</t>
    </r>
    <r>
      <rPr>
        <sz val="11"/>
        <color theme="1"/>
        <rFont val="等线"/>
        <family val="2"/>
        <charset val="134"/>
        <scheme val="minor"/>
      </rPr>
      <t>​</t>
    </r>
  </si>
  <si>
    <t>背后中伤、匿名举报、设置陷阱、挑拨离间，令人防不胜防。</t>
  </si>
  <si>
    <t>在交友、兄弟、官禄宫时尤为明显，小人身份常不明确。</t>
  </si>
  <si>
    <r>
      <t>隐秘疾病</t>
    </r>
    <r>
      <rPr>
        <sz val="11"/>
        <color theme="1"/>
        <rFont val="等线"/>
        <family val="2"/>
        <charset val="134"/>
        <scheme val="minor"/>
      </rPr>
      <t>​</t>
    </r>
  </si>
  <si>
    <t>查不出原因的怪病、慢性病、免疫系统问题、精神抑郁、业障病。</t>
  </si>
  <si>
    <t>在疾厄宫时，现代医学检查常无果，或归为身心症。</t>
  </si>
  <si>
    <r>
      <t>业力显现</t>
    </r>
    <r>
      <rPr>
        <sz val="11"/>
        <color theme="1"/>
        <rFont val="等线"/>
        <family val="2"/>
        <charset val="134"/>
        <scheme val="minor"/>
      </rPr>
      <t>​</t>
    </r>
  </si>
  <si>
    <t>莫名的倒霉、阻碍，感觉“被无形力量拖累”，因果病。</t>
  </si>
  <si>
    <t>多与前世或家族业力相关，在命宫、福德宫时感受强烈。</t>
  </si>
  <si>
    <r>
      <t>阴性场所</t>
    </r>
    <r>
      <rPr>
        <sz val="11"/>
        <color theme="1"/>
        <rFont val="等线"/>
        <family val="2"/>
        <charset val="134"/>
        <scheme val="minor"/>
      </rPr>
      <t>​</t>
    </r>
  </si>
  <si>
    <t>容易接触到墓地、殡仪馆、医院、地下室等气场较阴的地方。</t>
  </si>
  <si>
    <t>在迁移宫、田宅宫时，居住或出行易靠近此类场所。</t>
  </si>
  <si>
    <t>体质敏感，易感知阴性信息；一生易犯小人，行事多有暗绊。</t>
  </si>
  <si>
    <t>兄弟姐妹中有体质阴弱者；或易受朋友、同事暗中算计。</t>
  </si>
  <si>
    <t>感情中有隐秘第三者干扰；或配偶体质阴、有隐疾；易有“阴桃花”。</t>
  </si>
  <si>
    <t>子女难养（易受惊吓）、流产、堕胎灵体干扰；或下属暗地捣鬼。</t>
  </si>
  <si>
    <t>破暗财、被偷盗、投资遭人暗中做局；钱财来路不明或带业障。</t>
  </si>
  <si>
    <t>疑难杂症、慢性病、精神类疾病、睡眠障碍、灵病（邪病）。</t>
  </si>
  <si>
    <t>在外易遇灵异事件、被小人跟踪暗算、出行至阴气重之地。</t>
  </si>
  <si>
    <t>朋友中多心术不正者，易遭背叛；或交往对象有灵异体质。</t>
  </si>
  <si>
    <t>职场小人多，功劳被夺，暗中背锅；从事殡葬、医疗等行业可转化。</t>
  </si>
  <si>
    <t>家宅风水有问题（如路冲、暗室）、有灵体滞留、家族业力重。</t>
  </si>
  <si>
    <t>思想阴暗、多疑，常感精神压抑；或与灵界有缘（可正可邪）。</t>
  </si>
  <si>
    <t>父母有隐疾或业障；家族中有未妥善处理的丧事或灵异传承。</t>
  </si>
  <si>
    <t>1. 强化阴性特质组合</t>
  </si>
  <si>
    <r>
      <t>阴煞+太阴</t>
    </r>
    <r>
      <rPr>
        <sz val="11"/>
        <color theme="1"/>
        <rFont val="等线"/>
        <family val="2"/>
        <charset val="134"/>
        <scheme val="minor"/>
      </rPr>
      <t>​</t>
    </r>
  </si>
  <si>
    <t>阴性能量倍增。灵异体质显著，情感极度阴郁，女性妇科问题。</t>
  </si>
  <si>
    <t>通灵者、重度抑郁症患者。</t>
  </si>
  <si>
    <r>
      <t>阴煞+巨门</t>
    </r>
    <r>
      <rPr>
        <sz val="11"/>
        <color theme="1"/>
        <rFont val="等线"/>
        <family val="2"/>
        <charset val="134"/>
        <scheme val="minor"/>
      </rPr>
      <t>​</t>
    </r>
  </si>
  <si>
    <t>暗黑秘密与口舌。隐藏的丑闻、暗中诽谤、在暗处发声（如匿名网暴）。</t>
  </si>
  <si>
    <t>八卦爆料者、遭遇网络暴力。</t>
  </si>
  <si>
    <r>
      <t>阴煞+廉贞</t>
    </r>
    <r>
      <rPr>
        <sz val="11"/>
        <color theme="1"/>
        <rFont val="等线"/>
        <family val="2"/>
        <charset val="134"/>
        <scheme val="minor"/>
      </rPr>
      <t>​</t>
    </r>
  </si>
  <si>
    <t>阴桃花与血光。感情纠缠灵体、隐秘的血液或免疫系统疾病。</t>
  </si>
  <si>
    <t>被“情鬼”纠缠，患艾滋病等隐疾。</t>
  </si>
  <si>
    <r>
      <t>阴煞+七杀</t>
    </r>
    <r>
      <rPr>
        <sz val="11"/>
        <color theme="1"/>
        <rFont val="等线"/>
        <family val="2"/>
        <charset val="134"/>
        <scheme val="minor"/>
      </rPr>
      <t>​</t>
    </r>
  </si>
  <si>
    <t>阴性的暴力与意外。灵体造成的意外伤、手术中见鬼、被暴力阴灵骚扰。</t>
  </si>
  <si>
    <t>遭遇“鬼打墙”而出车祸。</t>
  </si>
  <si>
    <r>
      <t>阴煞+破军</t>
    </r>
    <r>
      <rPr>
        <sz val="11"/>
        <color theme="1"/>
        <rFont val="等线"/>
        <family val="2"/>
        <charset val="134"/>
        <scheme val="minor"/>
      </rPr>
      <t>​</t>
    </r>
  </si>
  <si>
    <t>破坏性的灵异。家宅被阴灵破坏、因灵异事件破产、堕胎反复。</t>
  </si>
  <si>
    <t>房子因闹鬼无法居住或贬值。</t>
  </si>
  <si>
    <t>2. 转化与应对组合</t>
  </si>
  <si>
    <r>
      <t>阴煞+天梁</t>
    </r>
    <r>
      <rPr>
        <sz val="11"/>
        <color theme="1"/>
        <rFont val="等线"/>
        <family val="2"/>
        <charset val="134"/>
        <scheme val="minor"/>
      </rPr>
      <t>​</t>
    </r>
  </si>
  <si>
    <t>宗教化解。通过宗教、法律、医疗手段解决灵异或隐疾问题。</t>
  </si>
  <si>
    <t>做法事超度、通过法律曝光小人。</t>
  </si>
  <si>
    <r>
      <t>阴煞+太阳</t>
    </r>
    <r>
      <rPr>
        <sz val="11"/>
        <color theme="1"/>
        <rFont val="等线"/>
        <family val="2"/>
        <charset val="134"/>
        <scheme val="minor"/>
      </rPr>
      <t>​</t>
    </r>
  </si>
  <si>
    <t>曝光与净化。将隐秘问题公开以解决，或用阳性力量（如艾灸）调理。</t>
  </si>
  <si>
    <t>公开小人行径使其失效；多晒太阳改善体质。</t>
  </si>
  <si>
    <r>
      <t>阴煞+天府</t>
    </r>
    <r>
      <rPr>
        <sz val="11"/>
        <color theme="1"/>
        <rFont val="等线"/>
        <family val="2"/>
        <charset val="134"/>
        <scheme val="minor"/>
      </rPr>
      <t>​</t>
    </r>
  </si>
  <si>
    <t>收纳与镇压。有能力将阴性能量管控或封印起来。</t>
  </si>
  <si>
    <t>设立家祠供奉祖先灵位，使其安宁。</t>
  </si>
  <si>
    <r>
      <t>阴煞+紫微</t>
    </r>
    <r>
      <rPr>
        <sz val="11"/>
        <color theme="1"/>
        <rFont val="等线"/>
        <family val="2"/>
        <charset val="134"/>
        <scheme val="minor"/>
      </rPr>
      <t>​</t>
    </r>
  </si>
  <si>
    <t>统御与命令。有指令灵界事物的潜在能力，但需德行匹配。</t>
  </si>
  <si>
    <t>修行有成者可以敕令。</t>
  </si>
  <si>
    <r>
      <t>阴煞+文昌/文曲</t>
    </r>
    <r>
      <rPr>
        <sz val="11"/>
        <color theme="1"/>
        <rFont val="等线"/>
        <family val="2"/>
        <charset val="134"/>
        <scheme val="minor"/>
      </rPr>
      <t>​</t>
    </r>
  </si>
  <si>
    <t>与文书、契约相关的阴害；或通过文学、艺术表达灵异题材。</t>
  </si>
  <si>
    <t>签订暗藏陷阱的合同；创作恐怖小说。</t>
  </si>
  <si>
    <r>
      <t>阴煞+火星/铃星</t>
    </r>
    <r>
      <rPr>
        <sz val="11"/>
        <color theme="1"/>
        <rFont val="等线"/>
        <family val="2"/>
        <charset val="134"/>
        <scheme val="minor"/>
      </rPr>
      <t>​</t>
    </r>
  </si>
  <si>
    <t>阴灵作祟引发火灾、爆炸或急症；小人动作迅速激烈。</t>
  </si>
  <si>
    <t>无故火灾；突发急性怪病。</t>
  </si>
  <si>
    <r>
      <t>阴煞+擎羊/陀罗</t>
    </r>
    <r>
      <rPr>
        <sz val="11"/>
        <color theme="1"/>
        <rFont val="等线"/>
        <family val="2"/>
        <charset val="134"/>
        <scheme val="minor"/>
      </rPr>
      <t>​</t>
    </r>
  </si>
  <si>
    <t>灵体造成的外伤、手术；小人陷害拖延不绝、慢性灵病。</t>
  </si>
  <si>
    <t>梦游自伤；长期被小人造谣。</t>
  </si>
  <si>
    <r>
      <t>阴煞+地空/地劫</t>
    </r>
    <r>
      <rPr>
        <sz val="11"/>
        <color theme="1"/>
        <rFont val="等线"/>
        <family val="2"/>
        <charset val="134"/>
        <scheme val="minor"/>
      </rPr>
      <t>​</t>
    </r>
  </si>
  <si>
    <t>业力导致的突然失去或空洞感；修行中“魔考”。</t>
  </si>
  <si>
    <t>莫名破产；打坐时出现恐怖幻象。</t>
  </si>
  <si>
    <r>
      <t>阴煞+天刑</t>
    </r>
    <r>
      <rPr>
        <sz val="11"/>
        <color theme="1"/>
        <rFont val="等线"/>
        <family val="2"/>
        <charset val="134"/>
        <scheme val="minor"/>
      </rPr>
      <t>​</t>
    </r>
  </si>
  <si>
    <t>因灵异或隐秘之事惹上官非；业障病需要手术。</t>
  </si>
  <si>
    <t>因风水纠纷被告；肿瘤切除。</t>
  </si>
  <si>
    <r>
      <t>阴煞+天姚</t>
    </r>
    <r>
      <rPr>
        <sz val="11"/>
        <color theme="1"/>
        <rFont val="等线"/>
        <family val="2"/>
        <charset val="134"/>
        <scheme val="minor"/>
      </rPr>
      <t>​</t>
    </r>
  </si>
  <si>
    <t>隐秘的桃花劫、色鬼纠缠、因色情招阴。</t>
  </si>
  <si>
    <t>滥交导致“鬼交”或染病。</t>
  </si>
  <si>
    <r>
      <t>阴煞+天巫</t>
    </r>
    <r>
      <rPr>
        <sz val="11"/>
        <color theme="1"/>
        <rFont val="等线"/>
        <family val="2"/>
        <charset val="134"/>
        <scheme val="minor"/>
      </rPr>
      <t>​</t>
    </r>
  </si>
  <si>
    <t>精通或遭遇黑巫术、养小鬼、下降头等事。</t>
  </si>
  <si>
    <t>下降头害人或被反噬。</t>
  </si>
  <si>
    <r>
      <t>1. “阴”与“煞”</t>
    </r>
    <r>
      <rPr>
        <sz val="11"/>
        <color theme="1"/>
        <rFont val="等线"/>
        <family val="2"/>
        <charset val="134"/>
        <scheme val="minor"/>
      </rPr>
      <t>：“阴”指一切隐蔽、不见光的属性；“煞”指其带来的阻碍与伤害。两者结合，强调问题的隐蔽性与危害性。</t>
    </r>
  </si>
  <si>
    <r>
      <t>2. 显象层次</t>
    </r>
    <r>
      <rPr>
        <sz val="11"/>
        <color theme="1"/>
        <rFont val="等线"/>
        <family val="2"/>
        <charset val="134"/>
        <scheme val="minor"/>
      </rPr>
      <t>：在不同宫位和组合下，可体现在物质身体（疾病）、人际关系（小人）、灵性体验（灵扰）、环境风水等多个层面。</t>
    </r>
  </si>
  <si>
    <r>
      <t>3. 化解之道</t>
    </r>
    <r>
      <rPr>
        <sz val="11"/>
        <color theme="1"/>
        <rFont val="等线"/>
        <family val="2"/>
        <charset val="134"/>
        <scheme val="minor"/>
      </rPr>
      <t>：手册指出，面对阴煞，</t>
    </r>
    <r>
      <rPr>
        <b/>
        <sz val="11"/>
        <color theme="1"/>
        <rFont val="等线"/>
        <family val="3"/>
        <charset val="134"/>
        <scheme val="minor"/>
      </rPr>
      <t>正视、曝光、转化</t>
    </r>
    <r>
      <rPr>
        <sz val="11"/>
        <color theme="1"/>
        <rFont val="等线"/>
        <family val="2"/>
        <charset val="134"/>
        <scheme val="minor"/>
      </rPr>
      <t>是关键。搭配吉星（如天梁、太阳）或从事相关行业（如医疗、殡葬、宗教），可将其能量导向正面。</t>
    </r>
  </si>
  <si>
    <t>一、天伤定义</t>
  </si>
  <si>
    <t>伤害、损失、挫折、创伤、疤痕、消耗</t>
  </si>
  <si>
    <t>象征必然发生或已经形成的实质性伤害与损耗，多指向结果而非过程。</t>
  </si>
  <si>
    <t>无庙旺落陷之分，其具体应象的轻重缓急需结合主星、四化及宫位综合判断。</t>
  </si>
  <si>
    <r>
      <t>身体伤害</t>
    </r>
    <r>
      <rPr>
        <sz val="11"/>
        <color theme="1"/>
        <rFont val="等线"/>
        <family val="2"/>
        <charset val="134"/>
        <scheme val="minor"/>
      </rPr>
      <t>​</t>
    </r>
  </si>
  <si>
    <t>外伤、手术、留疤、残疾、慢性病导致的器质性损伤。</t>
  </si>
  <si>
    <t>在疾厄宫、命宫、迁移宫应验明显。</t>
  </si>
  <si>
    <r>
      <t>精神创伤</t>
    </r>
    <r>
      <rPr>
        <sz val="11"/>
        <color theme="1"/>
        <rFont val="等线"/>
        <family val="2"/>
        <charset val="134"/>
        <scheme val="minor"/>
      </rPr>
      <t>​</t>
    </r>
  </si>
  <si>
    <t>心理阴影、打击、抑郁、 PTSD（创伤后应激障碍）。</t>
  </si>
  <si>
    <t>在福德宫、命宫时尤为突出。</t>
  </si>
  <si>
    <r>
      <t>物质损失</t>
    </r>
    <r>
      <rPr>
        <sz val="11"/>
        <color theme="1"/>
        <rFont val="等线"/>
        <family val="2"/>
        <charset val="134"/>
        <scheme val="minor"/>
      </rPr>
      <t>​</t>
    </r>
  </si>
  <si>
    <t>破财、资产减损、投资失败、物品损坏。</t>
  </si>
  <si>
    <t>在财帛宫、田宅宫时直接应验。</t>
  </si>
  <si>
    <r>
      <t>关系挫折</t>
    </r>
    <r>
      <rPr>
        <sz val="11"/>
        <color theme="1"/>
        <rFont val="等线"/>
        <family val="2"/>
        <charset val="134"/>
        <scheme val="minor"/>
      </rPr>
      <t>​</t>
    </r>
  </si>
  <si>
    <t>感情伤害、友情破裂、合作失败、背叛。</t>
  </si>
  <si>
    <t>在夫妻宫、交友宫、兄弟宫时显现。</t>
  </si>
  <si>
    <r>
      <t>消耗与磨损</t>
    </r>
    <r>
      <rPr>
        <sz val="11"/>
        <color theme="1"/>
        <rFont val="等线"/>
        <family val="2"/>
        <charset val="134"/>
        <scheme val="minor"/>
      </rPr>
      <t>​</t>
    </r>
  </si>
  <si>
    <t>精力透支、资源枯竭、机会流失、时间浪费。</t>
  </si>
  <si>
    <t>在官禄宫、财帛宫时体现为持续损耗。</t>
  </si>
  <si>
    <t>一生易有身体或精神上的重大创伤；性格可能因伤变得谨慎或偏激。</t>
  </si>
  <si>
    <t>兄弟姐妹有伤灾；与同辈相处易受伤害或拖累。</t>
  </si>
  <si>
    <t>感情经历带来深刻伤害；配偶身体易受伤或有隐疾。</t>
  </si>
  <si>
    <t>子女有伤病灾；流产、堕胎；与下属、学生关系受损。</t>
  </si>
  <si>
    <t>钱财必然遭受损失（如被骗、投资亏损、税务罚款）。</t>
  </si>
  <si>
    <t>身体有宿疾或旧伤，易开刀手术，康复过程较长。</t>
  </si>
  <si>
    <t>在外易发生意外伤害；出门办事易受挫折。</t>
  </si>
  <si>
    <t>被朋友伤害、背叛；合作伙伴带来损失。</t>
  </si>
  <si>
    <t>事业上遭受重大挫折（如项目失败、竞标失利、职场霸凌）。</t>
  </si>
  <si>
    <t>家宅损毁（如火灾、漏水）；家庭资产蒙受损失；家人健康出问题。</t>
  </si>
  <si>
    <t>精神世界受创，快乐感缺失，内心常有痛苦回忆。</t>
  </si>
  <si>
    <t>父母有伤病；与父母关系存在难以愈合的裂痕；继承遗产有损耗。</t>
  </si>
  <si>
    <t>1. 强化伤害性质组合</t>
  </si>
  <si>
    <r>
      <t>天伤+七杀</t>
    </r>
    <r>
      <rPr>
        <sz val="11"/>
        <color theme="1"/>
        <rFont val="等线"/>
        <family val="2"/>
        <charset val="134"/>
        <scheme val="minor"/>
      </rPr>
      <t>​</t>
    </r>
  </si>
  <si>
    <t>突发性、暴力性的严重伤害。如车祸、斗殴致伤、急性手术。</t>
  </si>
  <si>
    <t>交通事故导致骨折。</t>
  </si>
  <si>
    <r>
      <t>天伤+破军</t>
    </r>
    <r>
      <rPr>
        <sz val="11"/>
        <color theme="1"/>
        <rFont val="等线"/>
        <family val="2"/>
        <charset val="134"/>
        <scheme val="minor"/>
      </rPr>
      <t>​</t>
    </r>
  </si>
  <si>
    <t>破坏性、消耗性的损伤。如反复手术、破产、关系彻底破裂。</t>
  </si>
  <si>
    <t>因多次投资失败而倾家荡产。</t>
  </si>
  <si>
    <r>
      <t>天伤+廉贞</t>
    </r>
    <r>
      <rPr>
        <sz val="11"/>
        <color theme="1"/>
        <rFont val="等线"/>
        <family val="2"/>
        <charset val="134"/>
        <scheme val="minor"/>
      </rPr>
      <t>​</t>
    </r>
  </si>
  <si>
    <t>与血液、免疫系统相关的伤害，或桃花劫带来的伤害。</t>
  </si>
  <si>
    <t>因血癌化疗；因感情纠纷被伤害。</t>
  </si>
  <si>
    <t>天伤+巨门</t>
  </si>
  <si>
    <t>暗伤、难以启齿的伤害（如精神PUA、隐私泄露造成的创伤）。</t>
  </si>
  <si>
    <t>长期遭受语言暴力导致抑郁。</t>
  </si>
  <si>
    <r>
      <t>天伤+武曲</t>
    </r>
    <r>
      <rPr>
        <sz val="11"/>
        <color theme="1"/>
        <rFont val="等线"/>
        <family val="2"/>
        <charset val="134"/>
        <scheme val="minor"/>
      </rPr>
      <t>​</t>
    </r>
  </si>
  <si>
    <t>与金属、钱财相关的伤害。如机械事故、财务纠纷导致的损失。</t>
  </si>
  <si>
    <t>工作中被机床所伤；因债务被起诉。</t>
  </si>
  <si>
    <t>2. 转化与缓和组合</t>
  </si>
  <si>
    <r>
      <t>天伤+天梁</t>
    </r>
    <r>
      <rPr>
        <sz val="11"/>
        <color theme="1"/>
        <rFont val="等线"/>
        <family val="2"/>
        <charset val="134"/>
        <scheme val="minor"/>
      </rPr>
      <t>​</t>
    </r>
  </si>
  <si>
    <t>伤害后得到宗教、法律或医疗的救助与化解。留下疤痕但保住性命。</t>
  </si>
  <si>
    <t>重大手术后康复；通过法律途径获得赔偿。</t>
  </si>
  <si>
    <r>
      <t>天伤+太阳</t>
    </r>
    <r>
      <rPr>
        <sz val="11"/>
        <color theme="1"/>
        <rFont val="等线"/>
        <family val="2"/>
        <charset val="134"/>
        <scheme val="minor"/>
      </rPr>
      <t>​</t>
    </r>
  </si>
  <si>
    <t>公开性的伤害，但曝光后利于解决。或通过积极行动修复损伤。</t>
  </si>
  <si>
    <t>名誉受损后公开澄清；通过复健恢复功能。</t>
  </si>
  <si>
    <r>
      <t>天伤+天同</t>
    </r>
    <r>
      <rPr>
        <sz val="11"/>
        <color theme="1"/>
        <rFont val="等线"/>
        <family val="2"/>
        <charset val="134"/>
        <scheme val="minor"/>
      </rPr>
      <t>​</t>
    </r>
  </si>
  <si>
    <t>通过享乐或精神慰藉来疗愈创伤，但可能留下“乐天知命”的疤痕。</t>
  </si>
  <si>
    <t>经历情伤后寄情于艺术或美食。</t>
  </si>
  <si>
    <r>
      <t>天伤+天府</t>
    </r>
    <r>
      <rPr>
        <sz val="11"/>
        <color theme="1"/>
        <rFont val="等线"/>
        <family val="2"/>
        <charset val="134"/>
        <scheme val="minor"/>
      </rPr>
      <t>​</t>
    </r>
  </si>
  <si>
    <t>损伤被控制在一定范围内，或有足够的资源来弥补损失。</t>
  </si>
  <si>
    <t>投资亏损但未伤及根本；生病但能得到最好治疗。</t>
  </si>
  <si>
    <r>
      <t>天伤+火星</t>
    </r>
    <r>
      <rPr>
        <sz val="11"/>
        <color theme="1"/>
        <rFont val="等线"/>
        <family val="2"/>
        <charset val="134"/>
        <scheme val="minor"/>
      </rPr>
      <t>​</t>
    </r>
  </si>
  <si>
    <t>快速、猛烈的伤害。如烧伤、急性发炎、突然的破财。</t>
  </si>
  <si>
    <t>厨房失火造成烧伤；股票急跌爆仓。</t>
  </si>
  <si>
    <r>
      <t>天伤+铃星</t>
    </r>
    <r>
      <rPr>
        <sz val="11"/>
        <color theme="1"/>
        <rFont val="等线"/>
        <family val="2"/>
        <charset val="134"/>
        <scheme val="minor"/>
      </rPr>
      <t>​</t>
    </r>
  </si>
  <si>
    <t>缓慢发作、纠缠不休的伤害。如慢性疼痛、长期精神内耗、财务慢性流失。</t>
  </si>
  <si>
    <t>偏头痛反复发作；被长期小额诈骗。</t>
  </si>
  <si>
    <r>
      <t>天伤+擎羊</t>
    </r>
    <r>
      <rPr>
        <sz val="11"/>
        <color theme="1"/>
        <rFont val="等线"/>
        <family val="2"/>
        <charset val="134"/>
        <scheme val="minor"/>
      </rPr>
      <t>​</t>
    </r>
  </si>
  <si>
    <t>尖锐、外显的伤害。如刀伤、手术切口、激烈的冲突损失。</t>
  </si>
  <si>
    <t>打架被刀划伤；竞争中被对手公开击败。</t>
  </si>
  <si>
    <r>
      <t>天伤+陀罗</t>
    </r>
    <r>
      <rPr>
        <sz val="11"/>
        <color theme="1"/>
        <rFont val="等线"/>
        <family val="2"/>
        <charset val="134"/>
        <scheme val="minor"/>
      </rPr>
      <t>​</t>
    </r>
  </si>
  <si>
    <t>拖延、反复的伤害。旧伤复发、纠纷拖延不决、损失像滚雪球。</t>
  </si>
  <si>
    <t>关节炎每逢阴雨天就痛；坏账逐年累积。</t>
  </si>
  <si>
    <r>
      <t>天伤+地空/地劫</t>
    </r>
    <r>
      <rPr>
        <sz val="11"/>
        <color theme="1"/>
        <rFont val="等线"/>
        <family val="2"/>
        <charset val="134"/>
        <scheme val="minor"/>
      </rPr>
      <t>​</t>
    </r>
  </si>
  <si>
    <t>意外、莫名其妙的损失或伤害。精神空虚感带来的创伤。</t>
  </si>
  <si>
    <t>走路莫名其妙摔倒骨折；因理想幻灭而消沉。</t>
  </si>
  <si>
    <r>
      <t>天伤+天刑</t>
    </r>
    <r>
      <rPr>
        <sz val="11"/>
        <color theme="1"/>
        <rFont val="等线"/>
        <family val="2"/>
        <charset val="134"/>
        <scheme val="minor"/>
      </rPr>
      <t>​</t>
    </r>
  </si>
  <si>
    <t>因法律、纪律或天道规则而受到的惩罚性伤害。</t>
  </si>
  <si>
    <t>因违法被判刑；因业力感召的疾病。</t>
  </si>
  <si>
    <r>
      <t>天伤+天姚</t>
    </r>
    <r>
      <rPr>
        <sz val="11"/>
        <color theme="1"/>
        <rFont val="等线"/>
        <family val="2"/>
        <charset val="134"/>
        <scheme val="minor"/>
      </rPr>
      <t>​</t>
    </r>
  </si>
  <si>
    <t>因桃花、感情或欲望带来的伤害。</t>
  </si>
  <si>
    <t>因婚外情导致身败名裂或疾病。</t>
  </si>
  <si>
    <r>
      <t>天伤+阴煞</t>
    </r>
    <r>
      <rPr>
        <sz val="11"/>
        <color theme="1"/>
        <rFont val="等线"/>
        <family val="2"/>
        <charset val="134"/>
        <scheme val="minor"/>
      </rPr>
      <t>​</t>
    </r>
  </si>
  <si>
    <t>原因不明、带有灵异或业障性质的伤害。</t>
  </si>
  <si>
    <t>查不出病因的怪病；祖辈业力导致的残疾。</t>
  </si>
  <si>
    <r>
      <t>1. “伤”的必然性</t>
    </r>
    <r>
      <rPr>
        <sz val="11"/>
        <color theme="1"/>
        <rFont val="等线"/>
        <family val="2"/>
        <charset val="134"/>
        <scheme val="minor"/>
      </rPr>
      <t>：天伤星所代表的伤害，多被视为一种“定数”或“结果”，强调其已经发生或难以完全避免的特性，更多是承受与处理。</t>
    </r>
  </si>
  <si>
    <r>
      <t>2. 疤痕效应</t>
    </r>
    <r>
      <rPr>
        <sz val="11"/>
        <color theme="1"/>
        <rFont val="等线"/>
        <family val="2"/>
        <charset val="134"/>
        <scheme val="minor"/>
      </rPr>
      <t>：天伤星带来的伤害，无论身体还是心理，往往都会留下“疤痕”（实质后遗症或心理阴影），成为永久的印记或教训。</t>
    </r>
  </si>
  <si>
    <r>
      <t>3. 与“天煞”的区别</t>
    </r>
    <r>
      <rPr>
        <sz val="11"/>
        <color theme="1"/>
        <rFont val="等线"/>
        <family val="2"/>
        <charset val="134"/>
        <scheme val="minor"/>
      </rPr>
      <t>：手册强调，</t>
    </r>
    <r>
      <rPr>
        <b/>
        <sz val="11"/>
        <color theme="1"/>
        <rFont val="等线"/>
        <family val="3"/>
        <charset val="134"/>
        <scheme val="minor"/>
      </rPr>
      <t>天伤主“已成的实质损伤”</t>
    </r>
    <r>
      <rPr>
        <sz val="11"/>
        <color theme="1"/>
        <rFont val="等线"/>
        <family val="2"/>
        <charset val="134"/>
        <scheme val="minor"/>
      </rPr>
      <t>，而</t>
    </r>
    <r>
      <rPr>
        <b/>
        <sz val="11"/>
        <color theme="1"/>
        <rFont val="等线"/>
        <family val="3"/>
        <charset val="134"/>
        <scheme val="minor"/>
      </rPr>
      <t>天煞主“未至的突发灾厄”</t>
    </r>
    <r>
      <rPr>
        <sz val="11"/>
        <color theme="1"/>
        <rFont val="等线"/>
        <family val="2"/>
        <charset val="134"/>
        <scheme val="minor"/>
      </rPr>
      <t>。天伤是“伤口”，天煞是“刀子”。</t>
    </r>
  </si>
  <si>
    <r>
      <t>4. 四化引动</t>
    </r>
    <r>
      <rPr>
        <sz val="11"/>
        <color theme="1"/>
        <rFont val="等线"/>
        <family val="2"/>
        <charset val="134"/>
        <scheme val="minor"/>
      </rPr>
      <t>：最忌见</t>
    </r>
    <r>
      <rPr>
        <b/>
        <sz val="11"/>
        <color theme="1"/>
        <rFont val="等线"/>
        <family val="3"/>
        <charset val="134"/>
        <scheme val="minor"/>
      </rPr>
      <t>化忌</t>
    </r>
    <r>
      <rPr>
        <sz val="11"/>
        <color theme="1"/>
        <rFont val="等线"/>
        <family val="2"/>
        <charset val="134"/>
        <scheme val="minor"/>
      </rPr>
      <t>，会极大加重伤害的程度与不可逆性。见</t>
    </r>
    <r>
      <rPr>
        <b/>
        <sz val="11"/>
        <color theme="1"/>
        <rFont val="等线"/>
        <family val="3"/>
        <charset val="134"/>
        <scheme val="minor"/>
      </rPr>
      <t>化禄</t>
    </r>
    <r>
      <rPr>
        <sz val="11"/>
        <color theme="1"/>
        <rFont val="等线"/>
        <family val="2"/>
        <charset val="134"/>
        <scheme val="minor"/>
      </rPr>
      <t>可减轻损失或获得补偿，见</t>
    </r>
    <r>
      <rPr>
        <b/>
        <sz val="11"/>
        <color theme="1"/>
        <rFont val="等线"/>
        <family val="3"/>
        <charset val="134"/>
        <scheme val="minor"/>
      </rPr>
      <t>化权</t>
    </r>
    <r>
      <rPr>
        <sz val="11"/>
        <color theme="1"/>
        <rFont val="等线"/>
        <family val="2"/>
        <charset val="134"/>
        <scheme val="minor"/>
      </rPr>
      <t>可能表现为带伤拼搏，见</t>
    </r>
    <r>
      <rPr>
        <b/>
        <sz val="11"/>
        <color theme="1"/>
        <rFont val="等线"/>
        <family val="3"/>
        <charset val="134"/>
        <scheme val="minor"/>
      </rPr>
      <t>化科</t>
    </r>
    <r>
      <rPr>
        <sz val="11"/>
        <color theme="1"/>
        <rFont val="等线"/>
        <family val="2"/>
        <charset val="134"/>
        <scheme val="minor"/>
      </rPr>
      <t>则伤害可能被美化或掩盖。</t>
    </r>
  </si>
  <si>
    <t>一、天月定义</t>
  </si>
  <si>
    <t>疾病、医药、慢性、纠缠、业力病、因果病</t>
  </si>
  <si>
    <t>象征与疾病、健康相关的长期性、纠缠性状态，常关联业力或因果。</t>
  </si>
  <si>
    <t>无庙旺落陷之分，其显现吉凶需结合主星、四化及宫位综合判断。主星吉则病易治，主星凶则病难愈。</t>
  </si>
  <si>
    <r>
      <t>疾病性质</t>
    </r>
    <r>
      <rPr>
        <sz val="11"/>
        <color theme="1"/>
        <rFont val="等线"/>
        <family val="2"/>
        <charset val="134"/>
        <scheme val="minor"/>
      </rPr>
      <t>​</t>
    </r>
  </si>
  <si>
    <t>慢性病、长期疾病、疑难杂症、遗传病、业障病。</t>
  </si>
  <si>
    <t>在疾厄宫、命宫应验明显，病情绵延。</t>
  </si>
  <si>
    <r>
      <t>医药关联</t>
    </r>
    <r>
      <rPr>
        <sz val="11"/>
        <color theme="1"/>
        <rFont val="等线"/>
        <family val="2"/>
        <charset val="134"/>
        <scheme val="minor"/>
      </rPr>
      <t>​</t>
    </r>
  </si>
  <si>
    <t>与医院、医生、药物、治疗过程密切相关。</t>
  </si>
  <si>
    <t>常显示一生与医药打交道的机会多。</t>
  </si>
  <si>
    <r>
      <t>纠缠特性</t>
    </r>
    <r>
      <rPr>
        <sz val="11"/>
        <color theme="1"/>
        <rFont val="等线"/>
        <family val="2"/>
        <charset val="134"/>
        <scheme val="minor"/>
      </rPr>
      <t>​</t>
    </r>
  </si>
  <si>
    <t>病情反复、迁延不愈；事情拖沓、难以彻底解决。</t>
  </si>
  <si>
    <t>在官禄、夫妻宫时，可对应事业或感情的长期困扰。</t>
  </si>
  <si>
    <r>
      <t>因果业力</t>
    </r>
    <r>
      <rPr>
        <sz val="11"/>
        <color theme="1"/>
        <rFont val="等线"/>
        <family val="2"/>
        <charset val="134"/>
        <scheme val="minor"/>
      </rPr>
      <t>​</t>
    </r>
  </si>
  <si>
    <t>疾病或困境带有业力色彩，可能与过去行为有关。</t>
  </si>
  <si>
    <t>现代解读可关联家族遗传或深层心理原因。</t>
  </si>
  <si>
    <r>
      <t>阴柔性质</t>
    </r>
    <r>
      <rPr>
        <sz val="11"/>
        <color theme="1"/>
        <rFont val="等线"/>
        <family val="2"/>
        <charset val="134"/>
        <scheme val="minor"/>
      </rPr>
      <t>​</t>
    </r>
  </si>
  <si>
    <t>病状多属阴、寒、湿、虚，或情绪心理层面问题。</t>
  </si>
  <si>
    <t>如抑郁症、慢性疲劳、寒湿痹症等。</t>
  </si>
  <si>
    <t>体质较弱，易患慢性病；一生与医药缘分深，心性易感忧愁。</t>
  </si>
  <si>
    <t>兄弟姐妹身体不佳；在团队或合作中易被琐事、旧问题拖累。</t>
  </si>
  <si>
    <t>配偶身体需注意，或婚姻关系存在长期难以解决的“老问题”。</t>
  </si>
  <si>
    <t>子女健康需长期关注；下属或学生带来持续麻烦。</t>
  </si>
  <si>
    <t>钱财因疾病、医药而长期消耗；财务问题纠缠难清。</t>
  </si>
  <si>
    <r>
      <t>核心宫位</t>
    </r>
    <r>
      <rPr>
        <sz val="11"/>
        <color theme="1"/>
        <rFont val="等线"/>
        <family val="2"/>
        <charset val="134"/>
        <scheme val="minor"/>
      </rPr>
      <t>。易有慢性疾病、体质敏感，需长期调养。</t>
    </r>
  </si>
  <si>
    <t>在外易染病或感到不适；出差、旅行常伴随健康小问题。</t>
  </si>
  <si>
    <t>朋友中多病弱或从事医药行业者；人际关系存在长期困扰。</t>
  </si>
  <si>
    <t>事业发展受旧疾或某些长期问题制约；工作环境与医药相关。</t>
  </si>
  <si>
    <t>家人健康多忧；家中常备药品；家族有遗传病史倾向。</t>
  </si>
  <si>
    <t>思想多忧思，精神不易放松；对生死、疾病议题敏感。</t>
  </si>
  <si>
    <t>父母有慢性疾病；与父母关系存在长期心结或照顾负担。</t>
  </si>
  <si>
    <t>1. 强化病征组合</t>
  </si>
  <si>
    <r>
      <t>天月+太阴</t>
    </r>
    <r>
      <rPr>
        <sz val="11"/>
        <color theme="1"/>
        <rFont val="等线"/>
        <family val="2"/>
        <charset val="134"/>
        <scheme val="minor"/>
      </rPr>
      <t>​</t>
    </r>
  </si>
  <si>
    <t>阴寒、水湿、妇科、情绪病加重。如寒湿体质、抑郁症、月经不调。</t>
  </si>
  <si>
    <t>长期畏寒、痛经。</t>
  </si>
  <si>
    <t>天月+巨门</t>
  </si>
  <si>
    <t>与消化系统、暗疾、口舌是非相关的慢性病。如慢性胃炎、疑难肿瘤。</t>
  </si>
  <si>
    <t>长期胃病，病因复杂难查。</t>
  </si>
  <si>
    <r>
      <t>天月+廉贞</t>
    </r>
    <r>
      <rPr>
        <sz val="11"/>
        <color theme="1"/>
        <rFont val="等线"/>
        <family val="2"/>
        <charset val="134"/>
        <scheme val="minor"/>
      </rPr>
      <t>​</t>
    </r>
  </si>
  <si>
    <t>与血液、免疫系统、神经系统相关的慢性病。如贫血、免疫失调、长期失眠。</t>
  </si>
  <si>
    <t>顽固性皮肤病（如牛皮癣）。</t>
  </si>
  <si>
    <r>
      <t>天月+天同</t>
    </r>
    <r>
      <rPr>
        <sz val="11"/>
        <color theme="1"/>
        <rFont val="等线"/>
        <family val="2"/>
        <charset val="134"/>
        <scheme val="minor"/>
      </rPr>
      <t>​</t>
    </r>
  </si>
  <si>
    <t>因享受、懒散或情绪问题导致的慢性病。如肥胖、代谢综合征、心因性疾病。</t>
  </si>
  <si>
    <t>因压力导致暴食，形成肥胖症。</t>
  </si>
  <si>
    <r>
      <t>天月+破军</t>
    </r>
    <r>
      <rPr>
        <sz val="11"/>
        <color theme="1"/>
        <rFont val="等线"/>
        <family val="2"/>
        <charset val="134"/>
        <scheme val="minor"/>
      </rPr>
      <t>​</t>
    </r>
  </si>
  <si>
    <t>病情反复、具有破坏性，或需要反复治疗、手术。如慢性炎症反复发作。</t>
  </si>
  <si>
    <t>慢性阑尾炎反复发作最终手术。</t>
  </si>
  <si>
    <r>
      <t>天月+天梁</t>
    </r>
    <r>
      <rPr>
        <sz val="11"/>
        <color theme="1"/>
        <rFont val="等线"/>
        <family val="2"/>
        <charset val="134"/>
        <scheme val="minor"/>
      </rPr>
      <t>​</t>
    </r>
  </si>
  <si>
    <t>得到宗教、传统医学或正规医疗的帮助，疾病得以控制或找到根源。</t>
  </si>
  <si>
    <t>通过中医调理慢性病；修行化解业障病。</t>
  </si>
  <si>
    <r>
      <t>天月+太阳</t>
    </r>
    <r>
      <rPr>
        <sz val="11"/>
        <color theme="1"/>
        <rFont val="等线"/>
        <family val="2"/>
        <charset val="134"/>
        <scheme val="minor"/>
      </rPr>
      <t>​</t>
    </r>
  </si>
  <si>
    <t>通过公开治疗、积极运动或阳性疗法改善病情。病情较易诊断。</t>
  </si>
  <si>
    <t>坚持晒太阳、艾灸改善体寒。</t>
  </si>
  <si>
    <r>
      <t>天月+紫微</t>
    </r>
    <r>
      <rPr>
        <sz val="11"/>
        <color theme="1"/>
        <rFont val="等线"/>
        <family val="2"/>
        <charset val="134"/>
        <scheme val="minor"/>
      </rPr>
      <t>​</t>
    </r>
  </si>
  <si>
    <t>有能力寻求顶尖医疗资源，或疾病呈现出“尊贵”特性（如罕见病）。</t>
  </si>
  <si>
    <t>聘请名医会诊；患有需要精细管理的慢性病（如糖尿病）。</t>
  </si>
  <si>
    <r>
      <t>天月+天府</t>
    </r>
    <r>
      <rPr>
        <sz val="11"/>
        <color theme="1"/>
        <rFont val="等线"/>
        <family val="2"/>
        <charset val="134"/>
        <scheme val="minor"/>
      </rPr>
      <t>​</t>
    </r>
  </si>
  <si>
    <t>病情稳定，有足够的资源和耐心进行长期养护与管理。</t>
  </si>
  <si>
    <t>建立完善的健康管理计划，与慢性病和平共处。</t>
  </si>
  <si>
    <r>
      <t>天月+文昌/文曲</t>
    </r>
    <r>
      <rPr>
        <sz val="11"/>
        <color theme="1"/>
        <rFont val="等线"/>
        <family val="2"/>
        <charset val="134"/>
        <scheme val="minor"/>
      </rPr>
      <t>​</t>
    </r>
  </si>
  <si>
    <t>与文书、计划相关的疾病（如用脑过度）；或需通过文化、艺术疗愈。</t>
  </si>
  <si>
    <t>神经衰弱；通过书法、音乐静心养病。</t>
  </si>
  <si>
    <r>
      <t>天月+火星</t>
    </r>
    <r>
      <rPr>
        <sz val="11"/>
        <color theme="1"/>
        <rFont val="等线"/>
        <family val="2"/>
        <charset val="134"/>
        <scheme val="minor"/>
      </rPr>
      <t>​</t>
    </r>
  </si>
  <si>
    <t>慢性病急性发作，或病状带有热、炎、急痛特征。</t>
  </si>
  <si>
    <t>慢性支气管炎急性感染发烧。</t>
  </si>
  <si>
    <r>
      <t>天月+铃星</t>
    </r>
    <r>
      <rPr>
        <sz val="11"/>
        <color theme="1"/>
        <rFont val="等线"/>
        <family val="2"/>
        <charset val="134"/>
        <scheme val="minor"/>
      </rPr>
      <t>​</t>
    </r>
  </si>
  <si>
    <t>病痛如铃声般时隐时现、纠缠不休，或与声音、情绪焦虑相关。</t>
  </si>
  <si>
    <t>耳鸣、偏头痛、焦虑症。</t>
  </si>
  <si>
    <r>
      <t>天月+擎羊</t>
    </r>
    <r>
      <rPr>
        <sz val="11"/>
        <color theme="1"/>
        <rFont val="等线"/>
        <family val="2"/>
        <charset val="134"/>
        <scheme val="minor"/>
      </rPr>
      <t>​</t>
    </r>
  </si>
  <si>
    <t>慢性病伴有疼痛、需要手术介入，或病情有外显的创伤。</t>
  </si>
  <si>
    <t>慢性胆囊炎最终需手术切除。</t>
  </si>
  <si>
    <r>
      <t>天月+陀罗</t>
    </r>
    <r>
      <rPr>
        <sz val="11"/>
        <color theme="1"/>
        <rFont val="等线"/>
        <family val="2"/>
        <charset val="134"/>
        <scheme val="minor"/>
      </rPr>
      <t>​</t>
    </r>
  </si>
  <si>
    <t>病情拖延、康复缓慢、容易遗留后遗症，治疗过程反复。</t>
  </si>
  <si>
    <t>中风后遗症康复期极长。</t>
  </si>
  <si>
    <r>
      <t>天月+地空/地劫</t>
    </r>
    <r>
      <rPr>
        <sz val="11"/>
        <color theme="1"/>
        <rFont val="等线"/>
        <family val="2"/>
        <charset val="134"/>
        <scheme val="minor"/>
      </rPr>
      <t>​</t>
    </r>
  </si>
  <si>
    <t>病因不明、诊断困难的怪病；或因空虚感导致的身心失调。</t>
  </si>
  <si>
    <t>查无实据的长期乏力、疼痛。</t>
  </si>
  <si>
    <r>
      <t>天月+天刑</t>
    </r>
    <r>
      <rPr>
        <sz val="11"/>
        <color theme="1"/>
        <rFont val="等线"/>
        <family val="2"/>
        <charset val="134"/>
        <scheme val="minor"/>
      </rPr>
      <t>​</t>
    </r>
  </si>
  <si>
    <t>疾病带有业力惩罚性质，或必须通过法律、纪律手段解决医疗纠纷。</t>
  </si>
  <si>
    <t>因过去业力感召的疾病；医疗事故诉讼。</t>
  </si>
  <si>
    <r>
      <t>天月+阴煞</t>
    </r>
    <r>
      <rPr>
        <sz val="11"/>
        <color theme="1"/>
        <rFont val="等线"/>
        <family val="2"/>
        <charset val="134"/>
        <scheme val="minor"/>
      </rPr>
      <t>​</t>
    </r>
  </si>
  <si>
    <t>病因与灵界、阴性磁场或业障高度相关，现代医学难以处理。</t>
  </si>
  <si>
    <t>“邪病”、癔症、严重的因果病。</t>
  </si>
  <si>
    <r>
      <t>天月+天巫</t>
    </r>
    <r>
      <rPr>
        <sz val="11"/>
        <color theme="1"/>
        <rFont val="等线"/>
        <family val="2"/>
        <charset val="134"/>
        <scheme val="minor"/>
      </rPr>
      <t>​</t>
    </r>
  </si>
  <si>
    <t>疾病需通过宗教仪式、玄学方法或特殊民俗疗法来辅助治疗。</t>
  </si>
  <si>
    <t>寻求法事、符咒或民间偏方治病。</t>
  </si>
  <si>
    <r>
      <t>1. “月”的特性</t>
    </r>
    <r>
      <rPr>
        <sz val="11"/>
        <color theme="1"/>
        <rFont val="等线"/>
        <family val="2"/>
        <charset val="134"/>
        <scheme val="minor"/>
      </rPr>
      <t>：象征周期、循环、阴柔与长期性。天月星的问题通常不是急症，而是</t>
    </r>
    <r>
      <rPr>
        <b/>
        <sz val="11"/>
        <color theme="1"/>
        <rFont val="等线"/>
        <family val="3"/>
        <charset val="134"/>
        <scheme val="minor"/>
      </rPr>
      <t>长期存在、周期性发作、需要耐心调养</t>
    </r>
    <r>
      <rPr>
        <sz val="11"/>
        <color theme="1"/>
        <rFont val="等线"/>
        <family val="2"/>
        <charset val="134"/>
        <scheme val="minor"/>
      </rPr>
      <t>的状态。</t>
    </r>
  </si>
  <si>
    <r>
      <t>2. 业病与医药</t>
    </r>
    <r>
      <rPr>
        <sz val="11"/>
        <color theme="1"/>
        <rFont val="等线"/>
        <family val="2"/>
        <charset val="134"/>
        <scheme val="minor"/>
      </rPr>
      <t>：天月星是连接“业力疾病”与“医药治疗”的关键星曜。它既代表病根（可能来自业力），也代表解药（医药途径）。</t>
    </r>
  </si>
  <si>
    <r>
      <t>3. 宫位定领域</t>
    </r>
    <r>
      <rPr>
        <sz val="11"/>
        <color theme="1"/>
        <rFont val="等线"/>
        <family val="2"/>
        <charset val="134"/>
        <scheme val="minor"/>
      </rPr>
      <t>：天月星所在宫位，不仅指示健康问题的可能部位，也象征生活中哪个领域会像“慢性病”一样长期消耗、纠缠当事人。</t>
    </r>
  </si>
  <si>
    <r>
      <t>4. 四化引动</t>
    </r>
    <r>
      <rPr>
        <sz val="11"/>
        <color theme="1"/>
        <rFont val="等线"/>
        <family val="2"/>
        <charset val="134"/>
        <scheme val="minor"/>
      </rPr>
      <t>：见</t>
    </r>
    <r>
      <rPr>
        <b/>
        <sz val="11"/>
        <color theme="1"/>
        <rFont val="等线"/>
        <family val="3"/>
        <charset val="134"/>
        <scheme val="minor"/>
      </rPr>
      <t>化忌</t>
    </r>
    <r>
      <rPr>
        <sz val="11"/>
        <color theme="1"/>
        <rFont val="等线"/>
        <family val="2"/>
        <charset val="134"/>
        <scheme val="minor"/>
      </rPr>
      <t>时，疾病纠缠性、严重性显著增加，医药效果差。见</t>
    </r>
    <r>
      <rPr>
        <b/>
        <sz val="11"/>
        <color theme="1"/>
        <rFont val="等线"/>
        <family val="3"/>
        <charset val="134"/>
        <scheme val="minor"/>
      </rPr>
      <t>化禄</t>
    </r>
    <r>
      <rPr>
        <sz val="11"/>
        <color theme="1"/>
        <rFont val="等线"/>
        <family val="2"/>
        <charset val="134"/>
        <scheme val="minor"/>
      </rPr>
      <t>，易得医药之利，或病情可控。见</t>
    </r>
    <r>
      <rPr>
        <b/>
        <sz val="11"/>
        <color theme="1"/>
        <rFont val="等线"/>
        <family val="3"/>
        <charset val="134"/>
        <scheme val="minor"/>
      </rPr>
      <t>化权</t>
    </r>
    <r>
      <rPr>
        <sz val="11"/>
        <color theme="1"/>
        <rFont val="等线"/>
        <family val="2"/>
        <charset val="134"/>
        <scheme val="minor"/>
      </rPr>
      <t>，可能表现为带病坚持工作或积极治疗。见</t>
    </r>
    <r>
      <rPr>
        <b/>
        <sz val="11"/>
        <color theme="1"/>
        <rFont val="等线"/>
        <family val="3"/>
        <charset val="134"/>
        <scheme val="minor"/>
      </rPr>
      <t>化科</t>
    </r>
    <r>
      <rPr>
        <sz val="11"/>
        <color theme="1"/>
        <rFont val="等线"/>
        <family val="2"/>
        <charset val="134"/>
        <scheme val="minor"/>
      </rPr>
      <t>，病情表现温和，或能得到名誉良好的医治。</t>
    </r>
  </si>
  <si>
    <t>一、华盖定义</t>
  </si>
  <si>
    <t>孤独、艺术、宗教、哲学、才华、清高、特殊缘分</t>
  </si>
  <si>
    <t>象征带有孤高、超脱世俗特质的才华、智慧与精神追求。</t>
  </si>
  <si>
    <t>庙旺（6级）主清贵才华，受人敬仰；落陷（2级）主孤僻怪诞，怀才不遇。</t>
  </si>
  <si>
    <r>
      <t>艺术才华</t>
    </r>
    <r>
      <rPr>
        <sz val="11"/>
        <color theme="1"/>
        <rFont val="等线"/>
        <family val="2"/>
        <charset val="134"/>
        <scheme val="minor"/>
      </rPr>
      <t>​</t>
    </r>
  </si>
  <si>
    <t>在艺术、设计、美学领域有极高天赋与成就</t>
  </si>
  <si>
    <t>艺术风格怪异难被接受，或空有才华无处施展</t>
  </si>
  <si>
    <r>
      <t>宗教哲学</t>
    </r>
    <r>
      <rPr>
        <sz val="11"/>
        <color theme="1"/>
        <rFont val="等线"/>
        <family val="2"/>
        <charset val="134"/>
        <scheme val="minor"/>
      </rPr>
      <t>​</t>
    </r>
  </si>
  <si>
    <t>与宗教、玄学、哲学有深缘，悟性高，能成为导师</t>
  </si>
  <si>
    <t>思想偏激、迷信，或陷入空洞的理论幻想</t>
  </si>
  <si>
    <r>
      <t>性格心性</t>
    </r>
    <r>
      <rPr>
        <sz val="11"/>
        <color theme="1"/>
        <rFont val="等线"/>
        <family val="2"/>
        <charset val="134"/>
        <scheme val="minor"/>
      </rPr>
      <t>​</t>
    </r>
  </si>
  <si>
    <t>性格清高孤傲，不喜俗流，有精神洁癖</t>
  </si>
  <si>
    <t>性格孤僻古怪，难以相处，与社会格格不入</t>
  </si>
  <si>
    <r>
      <t>智慧类型</t>
    </r>
    <r>
      <rPr>
        <sz val="11"/>
        <color theme="1"/>
        <rFont val="等线"/>
        <family val="2"/>
        <charset val="134"/>
        <scheme val="minor"/>
      </rPr>
      <t>​</t>
    </r>
  </si>
  <si>
    <t>拥有特殊智慧、灵感与创造力，喜欢独立思考</t>
  </si>
  <si>
    <t>想法钻牛角尖，思维脱离实际，聪明反被聪明误</t>
  </si>
  <si>
    <r>
      <t>人际关系</t>
    </r>
    <r>
      <rPr>
        <sz val="11"/>
        <color theme="1"/>
        <rFont val="等线"/>
        <family val="2"/>
        <charset val="134"/>
        <scheme val="minor"/>
      </rPr>
      <t>​</t>
    </r>
  </si>
  <si>
    <t>知己少而精，享受精神层面的深度交流</t>
  </si>
  <si>
    <t>人际关系疏离，倍感孤独，难以融入群体</t>
  </si>
  <si>
    <t>才华出众，气质清雅，有艺术或宗教天赋，精神世界丰富</t>
  </si>
  <si>
    <t>性格孤傲不合群，一生知音难觅，易有怀才不遇之感</t>
  </si>
  <si>
    <t>兄弟姐妹中有才华特异或从事艺术、宗教者，精神交流多</t>
  </si>
  <si>
    <t>与兄弟姐妹缘薄，思想难以沟通，各自孤高</t>
  </si>
  <si>
    <t>配偶有艺术气质或精神追求，是灵魂伴侣，重精神交流</t>
  </si>
  <si>
    <t>配偶性格孤僻，或双方精神世界难以交融，感情疏离</t>
  </si>
  <si>
    <t>子女聪明有特殊才艺，或思想早熟；下属、学生有才华</t>
  </si>
  <si>
    <t>子女难管教，思想叛逆；与下属、学生关系冷淡</t>
  </si>
  <si>
    <t>凭特殊才华、技艺赚钱，收入来自艺术、咨询、宗教等行业</t>
  </si>
  <si>
    <t>赚钱方式独特但不稳定，不善理财，易因清高失财</t>
  </si>
  <si>
    <t>气质病（如文艺青年的忧郁气质），或患有需要静心调养的慢性病</t>
  </si>
  <si>
    <t>患有孤僻症、自闭倾向，或病因与精神心理高度相关</t>
  </si>
  <si>
    <t>在外易遇高人、艺术家、宗教人士指点，适合外出发展才华</t>
  </si>
  <si>
    <t>在外感到孤独，难以适应环境，易被视作异类</t>
  </si>
  <si>
    <t>朋友多为艺术家、学者、修行人等，圈子小众但质量高</t>
  </si>
  <si>
    <t>朋友稀少，交友挑剔，难以融入普通社交圈</t>
  </si>
  <si>
    <t>适合从事艺术、设计、哲学、宗教、研究等需要独创性的工作</t>
  </si>
  <si>
    <t>工作环境孤独，与同事不合拍，职业发展因性格受阻</t>
  </si>
  <si>
    <t>家中布置清雅有艺术感，或有佛堂、书房；家人有相关缘分</t>
  </si>
  <si>
    <t>家庭氛围冷清，家人关系疏远，或家居风水导致人孤寂</t>
  </si>
  <si>
    <t>精神世界丰富，享受独处，思想有深度，有信仰寄托</t>
  </si>
  <si>
    <t>内心孤独感强烈，思想悲观，精神空虚，无寄托</t>
  </si>
  <si>
    <t>父母有艺术修养或宗教信仰，给予精神层面的引导</t>
  </si>
  <si>
    <t>与父母有代沟，难以获得理解，或父母性格孤僻</t>
  </si>
  <si>
    <t>1. 吉象组合（才华彰显）</t>
  </si>
  <si>
    <r>
      <t>华盖+紫微</t>
    </r>
    <r>
      <rPr>
        <sz val="11"/>
        <color theme="1"/>
        <rFont val="等线"/>
        <family val="2"/>
        <charset val="134"/>
        <scheme val="minor"/>
      </rPr>
      <t>​</t>
    </r>
  </si>
  <si>
    <t>帝王之下的孤高才华，能成为行业权威、艺术大师</t>
  </si>
  <si>
    <t>宫廷艺术家、学术泰斗、大型宗教领袖</t>
  </si>
  <si>
    <r>
      <t>华盖+太阳</t>
    </r>
    <r>
      <rPr>
        <sz val="11"/>
        <color theme="1"/>
        <rFont val="等线"/>
        <family val="2"/>
        <charset val="134"/>
        <scheme val="minor"/>
      </rPr>
      <t>​</t>
    </r>
  </si>
  <si>
    <t>才华得以公开闪耀，成为知名艺术家、公众知识分子</t>
  </si>
  <si>
    <t>著名画家、畅销书作家、公开演讲的哲学家</t>
  </si>
  <si>
    <r>
      <t>华盖+武曲</t>
    </r>
    <r>
      <rPr>
        <sz val="11"/>
        <color theme="1"/>
        <rFont val="等线"/>
        <family val="2"/>
        <charset val="134"/>
        <scheme val="minor"/>
      </rPr>
      <t>​</t>
    </r>
  </si>
  <si>
    <t>将才华转化为精湛技艺或实际财富，如工艺大师、金融奇才</t>
  </si>
  <si>
    <t>雕刻大师、顶级基金经理</t>
  </si>
  <si>
    <r>
      <t>华盖+天同</t>
    </r>
    <r>
      <rPr>
        <sz val="11"/>
        <color theme="1"/>
        <rFont val="等线"/>
        <family val="2"/>
        <charset val="134"/>
        <scheme val="minor"/>
      </rPr>
      <t>​</t>
    </r>
  </si>
  <si>
    <t>艺术才华与享受生活结合，创造令人愉悦的作品</t>
  </si>
  <si>
    <t>美食家、生活美学作家、休闲音乐家</t>
  </si>
  <si>
    <r>
      <t>华盖+天府</t>
    </r>
    <r>
      <rPr>
        <sz val="11"/>
        <color theme="1"/>
        <rFont val="等线"/>
        <family val="2"/>
        <charset val="134"/>
        <scheme val="minor"/>
      </rPr>
      <t>​</t>
    </r>
  </si>
  <si>
    <t>才华有库收藏，能形成稳定风格或体系，作品丰厚</t>
  </si>
  <si>
    <t>建立个人艺术流派的画家、著作等身的学者</t>
  </si>
  <si>
    <t>2. 凶象组合（孤性加重）</t>
  </si>
  <si>
    <r>
      <t>华盖+七杀</t>
    </r>
    <r>
      <rPr>
        <sz val="11"/>
        <color theme="1"/>
        <rFont val="等线"/>
        <family val="2"/>
        <charset val="134"/>
        <scheme val="minor"/>
      </rPr>
      <t>​</t>
    </r>
  </si>
  <si>
    <t>才华带杀气，风格强烈叛逆，易引发争议，孤独奋战</t>
  </si>
  <si>
    <t>行为艺术家、颠覆传统的革命性思想家</t>
  </si>
  <si>
    <r>
      <t>华盖+破军</t>
    </r>
    <r>
      <rPr>
        <sz val="11"/>
        <color theme="1"/>
        <rFont val="等线"/>
        <family val="2"/>
        <charset val="134"/>
        <scheme val="minor"/>
      </rPr>
      <t>​</t>
    </r>
  </si>
  <si>
    <t>才华用于破坏与革新，但过程动荡，成果难守，孤军深入</t>
  </si>
  <si>
    <t>艺术界的破坏者、不断推翻自己理论的学者</t>
  </si>
  <si>
    <r>
      <t>华盖+巨门</t>
    </r>
    <r>
      <rPr>
        <sz val="11"/>
        <color theme="1"/>
        <rFont val="等线"/>
        <family val="2"/>
        <charset val="134"/>
        <scheme val="minor"/>
      </rPr>
      <t>​</t>
    </r>
  </si>
  <si>
    <t>才华与口舌是非相伴，思想深刻但言辞尖锐，易遭非议</t>
  </si>
  <si>
    <t>毒舌评论家、因言论惹祸的公共知识分子</t>
  </si>
  <si>
    <r>
      <t>华盖+廉贞</t>
    </r>
    <r>
      <rPr>
        <sz val="11"/>
        <color theme="1"/>
        <rFont val="等线"/>
        <family val="2"/>
        <charset val="134"/>
        <scheme val="minor"/>
      </rPr>
      <t>​</t>
    </r>
  </si>
  <si>
    <t>才华与桃花、欲望纠缠，艺术风格浓烈诡艳，内心孤寂</t>
  </si>
  <si>
    <t>创作情色艺术的画家、才华横溢但私生活混乱的明星</t>
  </si>
  <si>
    <r>
      <t>华盖+天梁</t>
    </r>
    <r>
      <rPr>
        <sz val="11"/>
        <color theme="1"/>
        <rFont val="等线"/>
        <family val="2"/>
        <charset val="134"/>
        <scheme val="minor"/>
      </rPr>
      <t>​</t>
    </r>
  </si>
  <si>
    <t>孤高的宗教性或学术性，成为苦行僧或清流学者，远离世俗</t>
  </si>
  <si>
    <t>隐居山林的修行者、不慕名利的纯粹科学家</t>
  </si>
  <si>
    <r>
      <t>华盖+文昌/文曲</t>
    </r>
    <r>
      <rPr>
        <sz val="11"/>
        <color theme="1"/>
        <rFont val="等线"/>
        <family val="2"/>
        <charset val="134"/>
        <scheme val="minor"/>
      </rPr>
      <t>​</t>
    </r>
  </si>
  <si>
    <t>文艺才华卓越，在文学、音乐、书画等领域成就斐然</t>
  </si>
  <si>
    <t>文采风流但流于浮华，或恃才傲物，文章憎命达</t>
  </si>
  <si>
    <r>
      <t>华盖+左辅/右弼</t>
    </r>
    <r>
      <rPr>
        <sz val="11"/>
        <color theme="1"/>
        <rFont val="等线"/>
        <family val="2"/>
        <charset val="134"/>
        <scheme val="minor"/>
      </rPr>
      <t>​</t>
    </r>
  </si>
  <si>
    <t>孤高才华得到众人辅助，能组建团队实现理想</t>
  </si>
  <si>
    <t>表面有帮手，实则内心依然孤独，难以真正协同</t>
  </si>
  <si>
    <r>
      <t>华盖+地空/地劫</t>
    </r>
    <r>
      <rPr>
        <sz val="11"/>
        <color theme="1"/>
        <rFont val="等线"/>
        <family val="2"/>
        <charset val="134"/>
        <scheme val="minor"/>
      </rPr>
      <t>​</t>
    </r>
  </si>
  <si>
    <t>灵感超脱凡俗，有突破性的艺术或哲学创见</t>
  </si>
  <si>
    <t>想法天马行空不切实际，才华虚浮难以落地，极度空虚</t>
  </si>
  <si>
    <r>
      <t>华盖+火星/铃星</t>
    </r>
    <r>
      <rPr>
        <sz val="11"/>
        <color theme="1"/>
        <rFont val="等线"/>
        <family val="2"/>
        <charset val="134"/>
        <scheme val="minor"/>
      </rPr>
      <t>​</t>
    </r>
  </si>
  <si>
    <t>才华爆发力强，创作充满激情与张力</t>
  </si>
  <si>
    <t>性格急躁孤僻，才华因冲动而折损，易与人冲突</t>
  </si>
  <si>
    <r>
      <t>华盖+擎羊/陀罗</t>
    </r>
    <r>
      <rPr>
        <sz val="11"/>
        <color theme="1"/>
        <rFont val="等线"/>
        <family val="2"/>
        <charset val="134"/>
        <scheme val="minor"/>
      </rPr>
      <t>​</t>
    </r>
  </si>
  <si>
    <t>才华在磨砺与坚持中成就，风格尖锐或持久</t>
  </si>
  <si>
    <t>因孤傲招致是非伤害，才华发展过程充满阻碍与痛苦</t>
  </si>
  <si>
    <r>
      <t>华盖+天刑</t>
    </r>
    <r>
      <rPr>
        <sz val="11"/>
        <color theme="1"/>
        <rFont val="等线"/>
        <family val="2"/>
        <charset val="134"/>
        <scheme val="minor"/>
      </rPr>
      <t>​</t>
    </r>
  </si>
  <si>
    <t>才华受纪律或规则约束，形成严谨的体系（如古典艺术）</t>
  </si>
  <si>
    <t>才华被规则压抑，或因特立独行而触犯规矩受罚</t>
  </si>
  <si>
    <r>
      <t>华盖+天姚</t>
    </r>
    <r>
      <rPr>
        <sz val="11"/>
        <color theme="1"/>
        <rFont val="等线"/>
        <family val="2"/>
        <charset val="134"/>
        <scheme val="minor"/>
      </rPr>
      <t>​</t>
    </r>
  </si>
  <si>
    <t>艺术才华带有桃花、浪漫色彩，擅长情感题材</t>
  </si>
  <si>
    <t>才华用于风流韵事，艺术格调不高，因情色孤独</t>
  </si>
  <si>
    <r>
      <t>华盖+天巫</t>
    </r>
    <r>
      <rPr>
        <sz val="11"/>
        <color theme="1"/>
        <rFont val="等线"/>
        <family val="2"/>
        <charset val="134"/>
        <scheme val="minor"/>
      </rPr>
      <t>​</t>
    </r>
  </si>
  <si>
    <t>才华与神秘学、宗教仪式深度结合</t>
  </si>
  <si>
    <t>沉迷于怪力乱神的“艺术”，走火入魔</t>
  </si>
  <si>
    <r>
      <t>华盖+阴煞</t>
    </r>
    <r>
      <rPr>
        <sz val="11"/>
        <color theme="1"/>
        <rFont val="等线"/>
        <family val="2"/>
        <charset val="134"/>
        <scheme val="minor"/>
      </rPr>
      <t>​</t>
    </r>
  </si>
  <si>
    <t>灵感来自幽冥、潜意识，创作有神秘、黑暗风格</t>
  </si>
  <si>
    <t>思想阴郁孤绝，易接触负面灵感，精神状况堪忧</t>
  </si>
  <si>
    <r>
      <t>1. “孤”与“才”的双重性</t>
    </r>
    <r>
      <rPr>
        <sz val="11"/>
        <color theme="1"/>
        <rFont val="等线"/>
        <family val="2"/>
        <charset val="134"/>
        <scheme val="minor"/>
      </rPr>
      <t>：华盖星的核心是“孤独”与“才华”的一体两面。庙旺时，“孤”表现为清高、独立，是才华的基石；落陷时，“孤”表现为孤僻、怪异，是才华的障碍。</t>
    </r>
  </si>
  <si>
    <r>
      <t>2. 庙陷至关重要</t>
    </r>
    <r>
      <rPr>
        <sz val="11"/>
        <color theme="1"/>
        <rFont val="等线"/>
        <family val="2"/>
        <charset val="134"/>
        <scheme val="minor"/>
      </rPr>
      <t>：华盖星的吉凶表现，</t>
    </r>
    <r>
      <rPr>
        <b/>
        <sz val="11"/>
        <color theme="1"/>
        <rFont val="等线"/>
        <family val="3"/>
        <charset val="134"/>
        <scheme val="minor"/>
      </rPr>
      <t>庙旺与落陷有云泥之别</t>
    </r>
    <r>
      <rPr>
        <sz val="11"/>
        <color theme="1"/>
        <rFont val="等线"/>
        <family val="2"/>
        <charset val="134"/>
        <scheme val="minor"/>
      </rPr>
      <t>，必须首先判断。其庙陷状态需依据所在宫位地支及与主星关系推导。</t>
    </r>
  </si>
  <si>
    <r>
      <t>3. 精神领域的向导</t>
    </r>
    <r>
      <rPr>
        <sz val="11"/>
        <color theme="1"/>
        <rFont val="等线"/>
        <family val="2"/>
        <charset val="134"/>
        <scheme val="minor"/>
      </rPr>
      <t>：华盖星始终指向精神、艺术、宗教等超越物质层面的领域。它代表一个人寻求精神归宿和独特价值的方向。</t>
    </r>
  </si>
  <si>
    <r>
      <t>4. 四化引动</t>
    </r>
    <r>
      <rPr>
        <sz val="11"/>
        <color theme="1"/>
        <rFont val="等线"/>
        <family val="2"/>
        <charset val="134"/>
        <scheme val="minor"/>
      </rPr>
      <t>：见</t>
    </r>
    <r>
      <rPr>
        <b/>
        <sz val="11"/>
        <color theme="1"/>
        <rFont val="等线"/>
        <family val="3"/>
        <charset val="134"/>
        <scheme val="minor"/>
      </rPr>
      <t>化科</t>
    </r>
    <r>
      <rPr>
        <sz val="11"/>
        <color theme="1"/>
        <rFont val="等线"/>
        <family val="2"/>
        <charset val="134"/>
        <scheme val="minor"/>
      </rPr>
      <t>最能彰显其清贵才华，获得声誉。见</t>
    </r>
    <r>
      <rPr>
        <b/>
        <sz val="11"/>
        <color theme="1"/>
        <rFont val="等线"/>
        <family val="3"/>
        <charset val="134"/>
        <scheme val="minor"/>
      </rPr>
      <t>化禄</t>
    </r>
    <r>
      <rPr>
        <sz val="11"/>
        <color theme="1"/>
        <rFont val="等线"/>
        <family val="2"/>
        <charset val="134"/>
        <scheme val="minor"/>
      </rPr>
      <t>，才华可转化为实际利益，但可能损及清高。见</t>
    </r>
    <r>
      <rPr>
        <b/>
        <sz val="11"/>
        <color theme="1"/>
        <rFont val="等线"/>
        <family val="3"/>
        <charset val="134"/>
        <scheme val="minor"/>
      </rPr>
      <t>化权</t>
    </r>
    <r>
      <rPr>
        <sz val="11"/>
        <color theme="1"/>
        <rFont val="等线"/>
        <family val="2"/>
        <charset val="134"/>
        <scheme val="minor"/>
      </rPr>
      <t>，对自身才华领域有强烈掌控欲和权威感。见</t>
    </r>
    <r>
      <rPr>
        <b/>
        <sz val="11"/>
        <color theme="1"/>
        <rFont val="等线"/>
        <family val="3"/>
        <charset val="134"/>
        <scheme val="minor"/>
      </rPr>
      <t>化忌</t>
    </r>
    <r>
      <rPr>
        <sz val="11"/>
        <color theme="1"/>
        <rFont val="等线"/>
        <family val="2"/>
        <charset val="134"/>
        <scheme val="minor"/>
      </rPr>
      <t>，则才华受挫，孤独感加剧，易生“举世皆浊我独清”的愤懑。</t>
    </r>
  </si>
  <si>
    <t>一、大耗定义</t>
  </si>
  <si>
    <t>大的消耗、破败、损失、漏洞、元气损伤</t>
  </si>
  <si>
    <t>象征规模较大、程度较深的消耗与损失，多指向资源、钱财或精力的实质性减损。</t>
  </si>
  <si>
    <t>无庙旺落陷之分。其破坏力与所搭配主星之强弱及四化引动直接相关。</t>
  </si>
  <si>
    <r>
      <t>财物大损</t>
    </r>
    <r>
      <rPr>
        <sz val="11"/>
        <color theme="1"/>
        <rFont val="等线"/>
        <family val="2"/>
        <charset val="134"/>
        <scheme val="minor"/>
      </rPr>
      <t>​</t>
    </r>
  </si>
  <si>
    <t>大额破财、投资巨亏、重大财务漏洞、遗产破败。</t>
  </si>
  <si>
    <t>在财帛、田宅宫时尤为应验。</t>
  </si>
  <si>
    <r>
      <t>精力耗散</t>
    </r>
    <r>
      <rPr>
        <sz val="11"/>
        <color theme="1"/>
        <rFont val="等线"/>
        <family val="2"/>
        <charset val="134"/>
        <scheme val="minor"/>
      </rPr>
      <t>​</t>
    </r>
  </si>
  <si>
    <t>元气大伤、过度劳累致病、重大手术后的身体虚耗。</t>
  </si>
  <si>
    <t>在命宫、疾厄宫时显现。</t>
  </si>
  <si>
    <r>
      <t>资源流失</t>
    </r>
    <r>
      <rPr>
        <sz val="11"/>
        <color theme="1"/>
        <rFont val="等线"/>
        <family val="2"/>
        <charset val="134"/>
        <scheme val="minor"/>
      </rPr>
      <t>​</t>
    </r>
  </si>
  <si>
    <t>人才流失、客户流失、核心资源被掏空、家道中落。</t>
  </si>
  <si>
    <t>在交友、田宅、官禄宫时体现。</t>
  </si>
  <si>
    <r>
      <t>机会错失</t>
    </r>
    <r>
      <rPr>
        <sz val="11"/>
        <color theme="1"/>
        <rFont val="等线"/>
        <family val="2"/>
        <charset val="134"/>
        <scheme val="minor"/>
      </rPr>
      <t>​</t>
    </r>
  </si>
  <si>
    <t>因自身疏忽或外部原因错失重大机遇，造成长远损失。</t>
  </si>
  <si>
    <t>在迁移、官禄宫时明显。</t>
  </si>
  <si>
    <r>
      <t>名誉损毁</t>
    </r>
    <r>
      <rPr>
        <sz val="11"/>
        <color theme="1"/>
        <rFont val="等线"/>
        <family val="2"/>
        <charset val="134"/>
        <scheme val="minor"/>
      </rPr>
      <t>​</t>
    </r>
  </si>
  <si>
    <t>因重大失误或丑闻导致声誉严重受损，难以挽回。</t>
  </si>
  <si>
    <t>在官禄、父母宫时发生。</t>
  </si>
  <si>
    <t>一生钱财消耗大，易因大事破财；体质易虚耗，需防元气损伤。</t>
  </si>
  <si>
    <t>兄弟姐妹间有大的财务纠纷或拖累；在团队中易因队友造成大损失。</t>
  </si>
  <si>
    <t>婚姻导致财产重大损失（如离婚析产）；配偶有破大财的倾向。</t>
  </si>
  <si>
    <t>子女花费巨大（如留学、重病）；因投资、投机造成严重亏损。</t>
  </si>
  <si>
    <r>
      <t>核心宫位</t>
    </r>
    <r>
      <rPr>
        <sz val="11"/>
        <color theme="1"/>
        <rFont val="等线"/>
        <family val="2"/>
        <charset val="134"/>
        <scheme val="minor"/>
      </rPr>
      <t>。钱财进出数额大但存不住，易有意外的大笔支出或损失。</t>
    </r>
  </si>
  <si>
    <t>大病、大手术导致身体元气严重耗损；患有消耗性疾病（如糖尿病、结核）。</t>
  </si>
  <si>
    <t>在外地遭遇重大破财、被骗；远行发展消耗巨大，收益不匹配。</t>
  </si>
  <si>
    <t>被朋友、合作伙伴拖累导致重大损失；客户群体流失严重。</t>
  </si>
  <si>
    <t>事业上出现重大失误造成损失；创业失败血本无归；行业衰退。</t>
  </si>
  <si>
    <t>家庭资产严重缩水（如房产贬值）；家中失窃、火灾造成大损失；家族破败。</t>
  </si>
  <si>
    <t>精神世界感到巨大空虚、耗竭；为追求某种理想或嗜好耗尽心力财力。</t>
  </si>
  <si>
    <t>父母破大财或家业衰败；继承遗产时发现巨大债务或漏洞。</t>
  </si>
  <si>
    <t>1. 强化消耗性质组合</t>
  </si>
  <si>
    <r>
      <t>大耗+破军</t>
    </r>
    <r>
      <rPr>
        <sz val="11"/>
        <color theme="1"/>
        <rFont val="等线"/>
        <family val="2"/>
        <charset val="134"/>
        <scheme val="minor"/>
      </rPr>
      <t>​</t>
    </r>
  </si>
  <si>
    <t>破坏性、颠覆性的大损失。如破产、推倒重来式的投资失败。</t>
  </si>
  <si>
    <t>创业失败，负债累累。</t>
  </si>
  <si>
    <r>
      <t>大耗+七杀</t>
    </r>
    <r>
      <rPr>
        <sz val="11"/>
        <color theme="1"/>
        <rFont val="等线"/>
        <family val="2"/>
        <charset val="134"/>
        <scheme val="minor"/>
      </rPr>
      <t>​</t>
    </r>
  </si>
  <si>
    <t>突发性、猛烈的大消耗。如意外事故导致的巨额赔偿或医疗费。</t>
  </si>
  <si>
    <t>车祸后需支付高额治疗及赔偿金。</t>
  </si>
  <si>
    <r>
      <t>大耗+廉贞</t>
    </r>
    <r>
      <rPr>
        <sz val="11"/>
        <color theme="1"/>
        <rFont val="等线"/>
        <family val="2"/>
        <charset val="134"/>
        <scheme val="minor"/>
      </rPr>
      <t>​</t>
    </r>
  </si>
  <si>
    <t>因桃花、血光或官非导致的大破财。</t>
  </si>
  <si>
    <t>因感情纠纷赔钱；因官司罚款。</t>
  </si>
  <si>
    <r>
      <t>大耗+武曲</t>
    </r>
    <r>
      <rPr>
        <sz val="11"/>
        <color theme="1"/>
        <rFont val="等线"/>
        <family val="2"/>
        <charset val="134"/>
        <scheme val="minor"/>
      </rPr>
      <t>​</t>
    </r>
  </si>
  <si>
    <t>与金属、钱财直接相关的大损失。如金融投资爆仓、机器设备重大损坏。</t>
  </si>
  <si>
    <t>股票杠杆交易穿仓。</t>
  </si>
  <si>
    <r>
      <t>大耗+巨门</t>
    </r>
    <r>
      <rPr>
        <sz val="11"/>
        <color theme="1"/>
        <rFont val="等线"/>
        <family val="2"/>
        <charset val="134"/>
        <scheme val="minor"/>
      </rPr>
      <t>​</t>
    </r>
  </si>
  <si>
    <t>因口舌是非、合同纠纷、暗箱操作导致的巨大损失。</t>
  </si>
  <si>
    <t>因商业诽谤诉讼损失惨重；合同陷阱导致巨亏。</t>
  </si>
  <si>
    <r>
      <t>大耗+紫微</t>
    </r>
    <r>
      <rPr>
        <sz val="11"/>
        <color theme="1"/>
        <rFont val="等线"/>
        <family val="2"/>
        <charset val="134"/>
        <scheme val="minor"/>
      </rPr>
      <t>​</t>
    </r>
  </si>
  <si>
    <t>损失发生在重要、大型的项目上，但有能力通过权威和格局承担或挽回部分。</t>
  </si>
  <si>
    <t>大型工程超支，但凭借公司实力渡过难关。</t>
  </si>
  <si>
    <r>
      <t>大耗+天府</t>
    </r>
    <r>
      <rPr>
        <sz val="11"/>
        <color theme="1"/>
        <rFont val="等线"/>
        <family val="2"/>
        <charset val="134"/>
        <scheme val="minor"/>
      </rPr>
      <t>​</t>
    </r>
  </si>
  <si>
    <t>虽有大的消耗，但家底厚实，不致动摇根本；或通过库藏进行有计划的大支出。</t>
  </si>
  <si>
    <t>购买豪宅，虽耗资巨大但资产仍在。</t>
  </si>
  <si>
    <r>
      <t>大耗+天梁</t>
    </r>
    <r>
      <rPr>
        <sz val="11"/>
        <color theme="1"/>
        <rFont val="等线"/>
        <family val="2"/>
        <charset val="134"/>
        <scheme val="minor"/>
      </rPr>
      <t>​</t>
    </r>
  </si>
  <si>
    <t>消耗用于宗教、慈善、医疗或法律事务，带有“破财消灾”或“舍财保命”的性质。</t>
  </si>
  <si>
    <t>为治病倾尽家财；捐款做功德。</t>
  </si>
  <si>
    <r>
      <t>大耗+太阳</t>
    </r>
    <r>
      <rPr>
        <sz val="11"/>
        <color theme="1"/>
        <rFont val="等线"/>
        <family val="2"/>
        <charset val="134"/>
        <scheme val="minor"/>
      </rPr>
      <t>​</t>
    </r>
  </si>
  <si>
    <t>公开的、看得见的大笔花费或损失，但可能因此获得名声或后续机会。</t>
  </si>
  <si>
    <t>举办大型公益演唱会，虽花费巨大但赢得声誉。</t>
  </si>
  <si>
    <r>
      <t>大耗+火星</t>
    </r>
    <r>
      <rPr>
        <sz val="11"/>
        <color theme="1"/>
        <rFont val="等线"/>
        <family val="2"/>
        <charset val="134"/>
        <scheme val="minor"/>
      </rPr>
      <t>​</t>
    </r>
  </si>
  <si>
    <t>快速、猛烈的大破财。如突发火灾损失、急性病的高额医疗费。</t>
  </si>
  <si>
    <t>工厂失火，资产一夜焚毁。</t>
  </si>
  <si>
    <r>
      <t>大耗+铃星</t>
    </r>
    <r>
      <rPr>
        <sz val="11"/>
        <color theme="1"/>
        <rFont val="等线"/>
        <family val="2"/>
        <charset val="134"/>
        <scheme val="minor"/>
      </rPr>
      <t>​</t>
    </r>
  </si>
  <si>
    <t>缓慢但持续的大消耗，或损失在拖延中不断扩大。</t>
  </si>
  <si>
    <t>慢性病长期治疗拖垮家底；坏账逐年累积成巨款。</t>
  </si>
  <si>
    <r>
      <t>大耗+擎羊</t>
    </r>
    <r>
      <rPr>
        <sz val="11"/>
        <color theme="1"/>
        <rFont val="等线"/>
        <family val="2"/>
        <charset val="134"/>
        <scheme val="minor"/>
      </rPr>
      <t>​</t>
    </r>
  </si>
  <si>
    <t>因冲突、竞争、手术导致的尖锐性大损失。</t>
  </si>
  <si>
    <t>因商业竞争恶意降价导致巨额亏损；重大手术费用。</t>
  </si>
  <si>
    <r>
      <t>大耗+陀罗</t>
    </r>
    <r>
      <rPr>
        <sz val="11"/>
        <color theme="1"/>
        <rFont val="等线"/>
        <family val="2"/>
        <charset val="134"/>
        <scheme val="minor"/>
      </rPr>
      <t>​</t>
    </r>
  </si>
  <si>
    <t>损失过程拖延反复，像漩涡一样不断卷入更多资源。</t>
  </si>
  <si>
    <t>陷入连环债务纠纷；工程烂尾持续投入。</t>
  </si>
  <si>
    <r>
      <t>大耗+地空</t>
    </r>
    <r>
      <rPr>
        <sz val="11"/>
        <color theme="1"/>
        <rFont val="等线"/>
        <family val="2"/>
        <charset val="134"/>
        <scheme val="minor"/>
      </rPr>
      <t>​</t>
    </r>
  </si>
  <si>
    <t>突然的、意想不到的巨额损失，或为理想、空想投入巨大却无回报。</t>
  </si>
  <si>
    <t>投资高科技项目血本无归。</t>
  </si>
  <si>
    <r>
      <t>大耗+地劫</t>
    </r>
    <r>
      <rPr>
        <sz val="11"/>
        <color theme="1"/>
        <rFont val="等线"/>
        <family val="2"/>
        <charset val="134"/>
        <scheme val="minor"/>
      </rPr>
      <t>​</t>
    </r>
  </si>
  <si>
    <t>劫难式的大破财，损失具有断崖式、彻底性的特点。</t>
  </si>
  <si>
    <t>遭遇诈骗，毕生积蓄被骗光。</t>
  </si>
  <si>
    <r>
      <t>大耗+天刑</t>
    </r>
    <r>
      <rPr>
        <sz val="11"/>
        <color theme="1"/>
        <rFont val="等线"/>
        <family val="2"/>
        <charset val="134"/>
        <scheme val="minor"/>
      </rPr>
      <t>​</t>
    </r>
  </si>
  <si>
    <t>因法律制裁、规则惩罚导致的必然性大损失。</t>
  </si>
  <si>
    <t>因违法经营被处以巨额罚款。</t>
  </si>
  <si>
    <r>
      <t>大耗+天姚</t>
    </r>
    <r>
      <rPr>
        <sz val="11"/>
        <color theme="1"/>
        <rFont val="等线"/>
        <family val="2"/>
        <charset val="134"/>
        <scheme val="minor"/>
      </rPr>
      <t>​</t>
    </r>
  </si>
  <si>
    <t>因桃花、色情、享乐导致的大破财。</t>
  </si>
  <si>
    <t>为情人挥霍无度，耗尽家财。</t>
  </si>
  <si>
    <r>
      <t>大耗+阴煞</t>
    </r>
    <r>
      <rPr>
        <sz val="11"/>
        <color theme="1"/>
        <rFont val="等线"/>
        <family val="2"/>
        <charset val="134"/>
        <scheme val="minor"/>
      </rPr>
      <t>​</t>
    </r>
  </si>
  <si>
    <t>原因不明、暗箱操作或带有业力性质的大损失。</t>
  </si>
  <si>
    <t>钱财被暗中转移；因祖上业力破财。</t>
  </si>
  <si>
    <r>
      <t>1. “大”与“耗”</t>
    </r>
    <r>
      <rPr>
        <sz val="11"/>
        <color theme="1"/>
        <rFont val="等线"/>
        <family val="2"/>
        <charset val="134"/>
        <scheme val="minor"/>
      </rPr>
      <t>：重点在“大”，指消耗的</t>
    </r>
    <r>
      <rPr>
        <b/>
        <sz val="11"/>
        <color theme="1"/>
        <rFont val="等线"/>
        <family val="3"/>
        <charset val="134"/>
        <scheme val="minor"/>
      </rPr>
      <t>规模、程度</t>
    </r>
    <r>
      <rPr>
        <sz val="11"/>
        <color theme="1"/>
        <rFont val="等线"/>
        <family val="2"/>
        <charset val="134"/>
        <scheme val="minor"/>
      </rPr>
      <t>远超一般水平，常涉及核心资产或根本元气。</t>
    </r>
  </si>
  <si>
    <r>
      <t>2. 与“小耗”的区别</t>
    </r>
    <r>
      <rPr>
        <sz val="11"/>
        <color theme="1"/>
        <rFont val="等线"/>
        <family val="2"/>
        <charset val="134"/>
        <scheme val="minor"/>
      </rPr>
      <t>：</t>
    </r>
    <r>
      <rPr>
        <b/>
        <sz val="11"/>
        <color theme="1"/>
        <rFont val="等线"/>
        <family val="3"/>
        <charset val="134"/>
        <scheme val="minor"/>
      </rPr>
      <t>大耗主“大破”</t>
    </r>
    <r>
      <rPr>
        <sz val="11"/>
        <color theme="1"/>
        <rFont val="等线"/>
        <family val="2"/>
        <charset val="134"/>
        <scheme val="minor"/>
      </rPr>
      <t>，如房屋倒塌、企业破产；</t>
    </r>
    <r>
      <rPr>
        <b/>
        <sz val="11"/>
        <color theme="1"/>
        <rFont val="等线"/>
        <family val="3"/>
        <charset val="134"/>
        <scheme val="minor"/>
      </rPr>
      <t>小耗主“小损”</t>
    </r>
    <r>
      <rPr>
        <sz val="11"/>
        <color theme="1"/>
        <rFont val="等线"/>
        <family val="2"/>
        <charset val="134"/>
        <scheme val="minor"/>
      </rPr>
      <t>，如日常漏财、物品损坏。大耗是质变，小耗是量变。</t>
    </r>
  </si>
  <si>
    <r>
      <t>3. 宫位定领域</t>
    </r>
    <r>
      <rPr>
        <sz val="11"/>
        <color theme="1"/>
        <rFont val="等线"/>
        <family val="2"/>
        <charset val="134"/>
        <scheme val="minor"/>
      </rPr>
      <t>：大耗星所在宫位，即指示在人生的哪个领域最容易发生“伤筋动骨”式的重大消耗与损失。</t>
    </r>
  </si>
  <si>
    <r>
      <t>4. 四化引动</t>
    </r>
    <r>
      <rPr>
        <sz val="11"/>
        <color theme="1"/>
        <rFont val="等线"/>
        <family val="2"/>
        <charset val="134"/>
        <scheme val="minor"/>
      </rPr>
      <t>：最忌见</t>
    </r>
    <r>
      <rPr>
        <b/>
        <sz val="11"/>
        <color theme="1"/>
        <rFont val="等线"/>
        <family val="3"/>
        <charset val="134"/>
        <scheme val="minor"/>
      </rPr>
      <t>化忌</t>
    </r>
    <r>
      <rPr>
        <sz val="11"/>
        <color theme="1"/>
        <rFont val="等线"/>
        <family val="2"/>
        <charset val="134"/>
        <scheme val="minor"/>
      </rPr>
      <t>，会引爆并加剧损失的必然性与严重性。见</t>
    </r>
    <r>
      <rPr>
        <b/>
        <sz val="11"/>
        <color theme="1"/>
        <rFont val="等线"/>
        <family val="3"/>
        <charset val="134"/>
        <scheme val="minor"/>
      </rPr>
      <t>化禄</t>
    </r>
    <r>
      <rPr>
        <sz val="11"/>
        <color theme="1"/>
        <rFont val="等线"/>
        <family val="2"/>
        <charset val="134"/>
        <scheme val="minor"/>
      </rPr>
      <t>，可能表现为不得不进行的大笔投资或花费，有去有回但过程消耗大。见</t>
    </r>
    <r>
      <rPr>
        <b/>
        <sz val="11"/>
        <color theme="1"/>
        <rFont val="等线"/>
        <family val="3"/>
        <charset val="134"/>
        <scheme val="minor"/>
      </rPr>
      <t>化权</t>
    </r>
    <r>
      <rPr>
        <sz val="11"/>
        <color theme="1"/>
        <rFont val="等线"/>
        <family val="2"/>
        <charset val="134"/>
        <scheme val="minor"/>
      </rPr>
      <t>，可能为掌控大笔资金流动（如基金经理），但风险极高。见</t>
    </r>
    <r>
      <rPr>
        <b/>
        <sz val="11"/>
        <color theme="1"/>
        <rFont val="等线"/>
        <family val="3"/>
        <charset val="134"/>
        <scheme val="minor"/>
      </rPr>
      <t>化科</t>
    </r>
    <r>
      <rPr>
        <sz val="11"/>
        <color theme="1"/>
        <rFont val="等线"/>
        <family val="2"/>
        <charset val="134"/>
        <scheme val="minor"/>
      </rPr>
      <t>，损失可能被美化或带来名誉（如巨额慈善捐款）。</t>
    </r>
  </si>
  <si>
    <t>注：以上内容完全整</t>
  </si>
  <si>
    <t>一、蜚廉定义</t>
  </si>
  <si>
    <t>流言、诽谤、口舌是非、小人谗言、飞来之祸</t>
  </si>
  <si>
    <t>象征来自外界的、传播性的负面信息与伤害，多主无形的、声誉上的损害。</t>
  </si>
  <si>
    <t>无庙旺落陷之分。其具体应验的轻重需结合主星吉凶及四化引动综合判断。</t>
  </si>
  <si>
    <r>
      <t>流言诽谤</t>
    </r>
    <r>
      <rPr>
        <sz val="11"/>
        <color theme="1"/>
        <rFont val="等线"/>
        <family val="2"/>
        <charset val="134"/>
        <scheme val="minor"/>
      </rPr>
      <t>​</t>
    </r>
  </si>
  <si>
    <t>无根据的谣言、恶意中伤、背后议论、名誉受损。</t>
  </si>
  <si>
    <t>在命宫、父母宫、官禄宫时尤为应验。</t>
  </si>
  <si>
    <r>
      <t>口舌争执</t>
    </r>
    <r>
      <rPr>
        <sz val="11"/>
        <color theme="1"/>
        <rFont val="等线"/>
        <family val="2"/>
        <charset val="134"/>
        <scheme val="minor"/>
      </rPr>
      <t>​</t>
    </r>
  </si>
  <si>
    <t>无谓的争吵、辩论、法律诉讼中的言语交锋。</t>
  </si>
  <si>
    <t>在迁移宫、交友宫时易引发对外冲突。</t>
  </si>
  <si>
    <r>
      <t>小人作祟</t>
    </r>
    <r>
      <rPr>
        <sz val="11"/>
        <color theme="1"/>
        <rFont val="等线"/>
        <family val="2"/>
        <charset val="134"/>
        <scheme val="minor"/>
      </rPr>
      <t>​</t>
    </r>
  </si>
  <si>
    <t>有小人暗中散布不利言论、挑拨离间、打小报告。</t>
  </si>
  <si>
    <t>在兄弟宫、交友宫、夫妻宫时需注意身边人。</t>
  </si>
  <si>
    <r>
      <t>意外牵连</t>
    </r>
    <r>
      <rPr>
        <sz val="11"/>
        <color theme="1"/>
        <rFont val="等线"/>
        <family val="2"/>
        <charset val="134"/>
        <scheme val="minor"/>
      </rPr>
      <t>​</t>
    </r>
  </si>
  <si>
    <t>因他人之事或莫名原因被牵连，遭受指责或损失。</t>
  </si>
  <si>
    <t>“人在家中坐，祸从天上来”。</t>
  </si>
  <si>
    <r>
      <t>信息干扰</t>
    </r>
    <r>
      <rPr>
        <sz val="11"/>
        <color theme="1"/>
        <rFont val="等线"/>
        <family val="2"/>
        <charset val="134"/>
        <scheme val="minor"/>
      </rPr>
      <t>​</t>
    </r>
  </si>
  <si>
    <t>收到错误信息、虚假消息，导致判断失误。</t>
  </si>
  <si>
    <t>在财帛宫、官禄宫时影响决策。</t>
  </si>
  <si>
    <t>一生易招口舌是非，常被流言困扰，需谨言慎行。</t>
  </si>
  <si>
    <t>兄弟姐妹间易有口舌，或受其朋友流言牵连；在团队中易有是非。</t>
  </si>
  <si>
    <t>婚姻中多口角，或配偶易惹是非；感情易受外人闲话影响。</t>
  </si>
  <si>
    <t>子女好惹是非，或因其行为招致议论；下属、学生传播流言。</t>
  </si>
  <si>
    <t>钱财往来易生口舌是非（如债务纠纷）；因谣言影响财运。</t>
  </si>
  <si>
    <t>易患与“口”相关的疾病（如口腔溃疡、咽喉炎）；或病因源于生气。</t>
  </si>
  <si>
    <t>在外易与人发生口角，招惹是非；出门易听到不实消息。</t>
  </si>
  <si>
    <t>朋友、同事中多口舌是非之人，易被其连累或背后议论。</t>
  </si>
  <si>
    <t>职场多小人谗言，工作易因流言受阻，名誉受损影响事业。</t>
  </si>
  <si>
    <t>家庭内部或邻里间多口舌是非；家中易因噪音等问题惹争议。</t>
  </si>
  <si>
    <t>内心常感委屈，思虑多，易因流言而内心不安、生气。</t>
  </si>
  <si>
    <t>与父母有代沟易争执；父母易惹官非或成为他人议论对象。</t>
  </si>
  <si>
    <t>1. 强化是非性质组合</t>
  </si>
  <si>
    <r>
      <t>蜚廉+巨门</t>
    </r>
    <r>
      <rPr>
        <sz val="11"/>
        <color theme="1"/>
        <rFont val="等线"/>
        <family val="2"/>
        <charset val="134"/>
        <scheme val="minor"/>
      </rPr>
      <t>​</t>
    </r>
  </si>
  <si>
    <t>口舌是非的力量倍增，谣言极具杀伤力，易引发公开的激烈争吵或诉讼。</t>
  </si>
  <si>
    <t>因诽谤罪被告上法庭；公开场合激烈辩论。</t>
  </si>
  <si>
    <r>
      <t>蜚廉+廉贞</t>
    </r>
    <r>
      <rPr>
        <sz val="11"/>
        <color theme="1"/>
        <rFont val="等线"/>
        <family val="2"/>
        <charset val="134"/>
        <scheme val="minor"/>
      </rPr>
      <t>​</t>
    </r>
  </si>
  <si>
    <t>涉及桃花、感情或政治斗争的复杂谣言，易酿成丑闻。</t>
  </si>
  <si>
    <t>桃色绯闻缠身；职场政治谣言中伤。</t>
  </si>
  <si>
    <r>
      <t>蜚廉+七杀</t>
    </r>
    <r>
      <rPr>
        <sz val="11"/>
        <color theme="1"/>
        <rFont val="等线"/>
        <family val="2"/>
        <charset val="134"/>
        <scheme val="minor"/>
      </rPr>
      <t>​</t>
    </r>
  </si>
  <si>
    <t>流言引发直接的冲突或暴力行为，是非来得突然且猛烈。</t>
  </si>
  <si>
    <t>因谣言导致打架斗殴；被恶意举报后突然被调查。</t>
  </si>
  <si>
    <r>
      <t>蜚廉+破军</t>
    </r>
    <r>
      <rPr>
        <sz val="11"/>
        <color theme="1"/>
        <rFont val="等线"/>
        <family val="2"/>
        <charset val="134"/>
        <scheme val="minor"/>
      </rPr>
      <t>​</t>
    </r>
  </si>
  <si>
    <t>破坏性的谣言，足以毁掉一段关系或一个项目，事后难以挽回。</t>
  </si>
  <si>
    <t>谣言导致合作破裂、夫妻离婚。</t>
  </si>
  <si>
    <r>
      <t>蜚廉+天机</t>
    </r>
    <r>
      <rPr>
        <sz val="11"/>
        <color theme="1"/>
        <rFont val="等线"/>
        <family val="2"/>
        <charset val="134"/>
        <scheme val="minor"/>
      </rPr>
      <t>​</t>
    </r>
  </si>
  <si>
    <t>谣言传播迅速、版本多变，或源于信息被曲解、误传。</t>
  </si>
  <si>
    <t>消息在传播中被严重扭曲，源头难寻。</t>
  </si>
  <si>
    <r>
      <t>蜚廉+天梁</t>
    </r>
    <r>
      <rPr>
        <sz val="11"/>
        <color theme="1"/>
        <rFont val="等线"/>
        <family val="2"/>
        <charset val="134"/>
        <scheme val="minor"/>
      </rPr>
      <t>​</t>
    </r>
  </si>
  <si>
    <t>通过法律、宗教、权威人士或长辈介入，可澄清是非，化解谣言。</t>
  </si>
  <si>
    <t>通过法律诉讼恢复名誉；请德高望重者出面调解。</t>
  </si>
  <si>
    <r>
      <t>蜚廉+太阳</t>
    </r>
    <r>
      <rPr>
        <sz val="11"/>
        <color theme="1"/>
        <rFont val="等线"/>
        <family val="2"/>
        <charset val="134"/>
        <scheme val="minor"/>
      </rPr>
      <t>​</t>
    </r>
  </si>
  <si>
    <t>将是非公开化、透明化处理，利用公众舆论或媒体力量以正视听。</t>
  </si>
  <si>
    <t>召开新闻发布会澄清谣言；通过自媒体公开事实。</t>
  </si>
  <si>
    <r>
      <t>蜚廉+紫微</t>
    </r>
    <r>
      <rPr>
        <sz val="11"/>
        <color theme="1"/>
        <rFont val="等线"/>
        <family val="2"/>
        <charset val="134"/>
        <scheme val="minor"/>
      </rPr>
      <t>​</t>
    </r>
  </si>
  <si>
    <t>凭借自身地位和权威压制谣言，或谣言无损于其根本威望。</t>
  </si>
  <si>
    <t>公司CEO无视不实流言，业务照常运转。</t>
  </si>
  <si>
    <r>
      <t>蜚廉+天府</t>
    </r>
    <r>
      <rPr>
        <sz val="11"/>
        <color theme="1"/>
        <rFont val="等线"/>
        <family val="2"/>
        <charset val="134"/>
        <scheme val="minor"/>
      </rPr>
      <t>​</t>
    </r>
  </si>
  <si>
    <t>有足够的包容力和资源承受是非，或将是非控制在一定范围内。</t>
  </si>
  <si>
    <t>对无关紧要的闲话一笑置之；有稳固的团队不受流言影响。</t>
  </si>
  <si>
    <r>
      <t>蜚廉+文昌/文曲</t>
    </r>
    <r>
      <rPr>
        <sz val="11"/>
        <color theme="1"/>
        <rFont val="等线"/>
        <family val="2"/>
        <charset val="134"/>
        <scheme val="minor"/>
      </rPr>
      <t>​</t>
    </r>
  </si>
  <si>
    <t>流言以书面、网络文章、艺术作品等文雅形式传播，杀伤力隐蔽。</t>
  </si>
  <si>
    <t>被人在网上发帖抹黑；通过小说影射诽谤。</t>
  </si>
  <si>
    <r>
      <t>蜚廉+火星</t>
    </r>
    <r>
      <rPr>
        <sz val="11"/>
        <color theme="1"/>
        <rFont val="等线"/>
        <family val="2"/>
        <charset val="134"/>
        <scheme val="minor"/>
      </rPr>
      <t>​</t>
    </r>
  </si>
  <si>
    <t>流言快速传播并迅速引发激烈冲突，是非来得快也去得快。</t>
  </si>
  <si>
    <t>谣言一夜传开，立即引发双方骂战。</t>
  </si>
  <si>
    <r>
      <t>蜚廉+铃星</t>
    </r>
    <r>
      <rPr>
        <sz val="11"/>
        <color theme="1"/>
        <rFont val="等线"/>
        <family val="2"/>
        <charset val="134"/>
        <scheme val="minor"/>
      </rPr>
      <t>​</t>
    </r>
  </si>
  <si>
    <t>流言如阴魂不散，反复传播，长期纠缠，造成持续的精神折磨。</t>
  </si>
  <si>
    <t>陈年旧事被反复拿出来议论，困扰多年。</t>
  </si>
  <si>
    <r>
      <t>蜚廉+擎羊</t>
    </r>
    <r>
      <rPr>
        <sz val="11"/>
        <color theme="1"/>
        <rFont val="等线"/>
        <family val="2"/>
        <charset val="134"/>
        <scheme val="minor"/>
      </rPr>
      <t>​</t>
    </r>
  </si>
  <si>
    <t>流言带有攻击性、侮辱性，或直接导致关系割裂、法律伤害。</t>
  </si>
  <si>
    <t>遭到公开的辱骂性谣言；因谣言导致朋友断交。</t>
  </si>
  <si>
    <r>
      <t>蜚廉+陀罗</t>
    </r>
    <r>
      <rPr>
        <sz val="11"/>
        <color theme="1"/>
        <rFont val="等线"/>
        <family val="2"/>
        <charset val="134"/>
        <scheme val="minor"/>
      </rPr>
      <t>​</t>
    </r>
  </si>
  <si>
    <t>是非反复纠缠，旧谣言隔一段时间又被翻出，难以彻底摆脱。</t>
  </si>
  <si>
    <t>多年前的误会一再被提起，反复解释无用。</t>
  </si>
  <si>
    <r>
      <t>蜚廉+地空/地劫</t>
    </r>
    <r>
      <rPr>
        <sz val="11"/>
        <color theme="1"/>
        <rFont val="等线"/>
        <family val="2"/>
        <charset val="134"/>
        <scheme val="minor"/>
      </rPr>
      <t>​</t>
    </r>
  </si>
  <si>
    <t>流言内容荒诞不经、子虚乌有，或传播渠道诡异难查。</t>
  </si>
  <si>
    <t>被传播完全不符合事实的离奇谣言。</t>
  </si>
  <si>
    <r>
      <t>蜚廉+天刑</t>
    </r>
    <r>
      <rPr>
        <sz val="11"/>
        <color theme="1"/>
        <rFont val="等线"/>
        <family val="2"/>
        <charset val="134"/>
        <scheme val="minor"/>
      </rPr>
      <t>​</t>
    </r>
  </si>
  <si>
    <t>流言最终引发法律诉讼，或是非本身涉及规则、纪律问题。</t>
  </si>
  <si>
    <t>因诽谤提起法律诉讼；公司内部调查谣言来源。</t>
  </si>
  <si>
    <r>
      <t>蜚廉+天姚</t>
    </r>
    <r>
      <rPr>
        <sz val="11"/>
        <color theme="1"/>
        <rFont val="等线"/>
        <family val="2"/>
        <charset val="134"/>
        <scheme val="minor"/>
      </rPr>
      <t>​</t>
    </r>
  </si>
  <si>
    <t>流言涉及桃花、感情、隐私，多为桃色绯闻或香艳话题。</t>
  </si>
  <si>
    <t>被造谣有婚外情；私生活被添油加醋传播。</t>
  </si>
  <si>
    <r>
      <t>蜚廉+阴煞</t>
    </r>
    <r>
      <rPr>
        <sz val="11"/>
        <color theme="1"/>
        <rFont val="等线"/>
        <family val="2"/>
        <charset val="134"/>
        <scheme val="minor"/>
      </rPr>
      <t>​</t>
    </r>
  </si>
  <si>
    <t>流言来源极其隐蔽，或带有灵异、迷信色彩，难以追查和澄清。</t>
  </si>
  <si>
    <t>被暗中下咒的谣言；来源不明的恶意中伤。</t>
  </si>
  <si>
    <r>
      <t>1. “飞”与“廉”</t>
    </r>
    <r>
      <rPr>
        <sz val="11"/>
        <color theme="1"/>
        <rFont val="等线"/>
        <family val="2"/>
        <charset val="134"/>
        <scheme val="minor"/>
      </rPr>
      <t>：蜚廉主“飞”来之祸，重点在</t>
    </r>
    <r>
      <rPr>
        <b/>
        <sz val="11"/>
        <color theme="1"/>
        <rFont val="等线"/>
        <family val="3"/>
        <charset val="134"/>
        <scheme val="minor"/>
      </rPr>
      <t>传播性</t>
    </r>
    <r>
      <rPr>
        <sz val="11"/>
        <color theme="1"/>
        <rFont val="等线"/>
        <family val="2"/>
        <charset val="134"/>
        <scheme val="minor"/>
      </rPr>
      <t>与</t>
    </r>
    <r>
      <rPr>
        <b/>
        <sz val="11"/>
        <color theme="1"/>
        <rFont val="等线"/>
        <family val="3"/>
        <charset val="134"/>
        <scheme val="minor"/>
      </rPr>
      <t>外部性</t>
    </r>
    <r>
      <rPr>
        <sz val="11"/>
        <color theme="1"/>
        <rFont val="等线"/>
        <family val="2"/>
        <charset val="134"/>
        <scheme val="minor"/>
      </rPr>
      <t>。伤害非由己主动引发，而是从外部传来，通过口舌、信息渠道扩散。</t>
    </r>
  </si>
  <si>
    <r>
      <t>2. 与“阴煞”的区别</t>
    </r>
    <r>
      <rPr>
        <sz val="11"/>
        <color theme="1"/>
        <rFont val="等线"/>
        <family val="2"/>
        <charset val="134"/>
        <scheme val="minor"/>
      </rPr>
      <t>：</t>
    </r>
    <r>
      <rPr>
        <b/>
        <sz val="11"/>
        <color theme="1"/>
        <rFont val="等线"/>
        <family val="3"/>
        <charset val="134"/>
        <scheme val="minor"/>
      </rPr>
      <t>蜚廉主“阳面的是非”</t>
    </r>
    <r>
      <rPr>
        <sz val="11"/>
        <color theme="1"/>
        <rFont val="等线"/>
        <family val="2"/>
        <charset val="134"/>
        <scheme val="minor"/>
      </rPr>
      <t>，多为能摆在台面上说的流言蜚语；</t>
    </r>
    <r>
      <rPr>
        <b/>
        <sz val="11"/>
        <color theme="1"/>
        <rFont val="等线"/>
        <family val="3"/>
        <charset val="134"/>
        <scheme val="minor"/>
      </rPr>
      <t>阴煞主“阴面的侵害”</t>
    </r>
    <r>
      <rPr>
        <sz val="11"/>
        <color theme="1"/>
        <rFont val="等线"/>
        <family val="2"/>
        <charset val="134"/>
        <scheme val="minor"/>
      </rPr>
      <t>，多为不可言说的暗算、业障。蜚廉伤名，阴煞伤身或伤运。</t>
    </r>
  </si>
  <si>
    <r>
      <t>3. 宫位定领域</t>
    </r>
    <r>
      <rPr>
        <sz val="11"/>
        <color theme="1"/>
        <rFont val="等线"/>
        <family val="2"/>
        <charset val="134"/>
        <scheme val="minor"/>
      </rPr>
      <t>：蜚廉星所在宫位，指示在人生的哪个领域最容易成为流言蜚语的“靶心”或“发源地”。</t>
    </r>
  </si>
  <si>
    <r>
      <t>4. 四化引动</t>
    </r>
    <r>
      <rPr>
        <sz val="11"/>
        <color theme="1"/>
        <rFont val="等线"/>
        <family val="2"/>
        <charset val="134"/>
        <scheme val="minor"/>
      </rPr>
      <t>：见</t>
    </r>
    <r>
      <rPr>
        <b/>
        <sz val="11"/>
        <color theme="1"/>
        <rFont val="等线"/>
        <family val="3"/>
        <charset val="134"/>
        <scheme val="minor"/>
      </rPr>
      <t>化忌</t>
    </r>
    <r>
      <rPr>
        <sz val="11"/>
        <color theme="1"/>
        <rFont val="等线"/>
        <family val="2"/>
        <charset val="134"/>
        <scheme val="minor"/>
      </rPr>
      <t>时，流言成真或造成实质性严重伤害，百口莫辩。见</t>
    </r>
    <r>
      <rPr>
        <b/>
        <sz val="11"/>
        <color theme="1"/>
        <rFont val="等线"/>
        <family val="3"/>
        <charset val="134"/>
        <scheme val="minor"/>
      </rPr>
      <t>化禄</t>
    </r>
    <r>
      <rPr>
        <sz val="11"/>
        <color theme="1"/>
        <rFont val="等线"/>
        <family val="2"/>
        <charset val="134"/>
        <scheme val="minor"/>
      </rPr>
      <t>，可能因是非反而得财或出名（黑红也是红），但名誉有损。见</t>
    </r>
    <r>
      <rPr>
        <b/>
        <sz val="11"/>
        <color theme="1"/>
        <rFont val="等线"/>
        <family val="3"/>
        <charset val="134"/>
        <scheme val="minor"/>
      </rPr>
      <t>化权</t>
    </r>
    <r>
      <rPr>
        <sz val="11"/>
        <color theme="1"/>
        <rFont val="等线"/>
        <family val="2"/>
        <charset val="134"/>
        <scheme val="minor"/>
      </rPr>
      <t>，可能强势压制或澄清流言。见</t>
    </r>
    <r>
      <rPr>
        <b/>
        <sz val="11"/>
        <color theme="1"/>
        <rFont val="等线"/>
        <family val="3"/>
        <charset val="134"/>
        <scheme val="minor"/>
      </rPr>
      <t>化科</t>
    </r>
    <r>
      <rPr>
        <sz val="11"/>
        <color theme="1"/>
        <rFont val="等线"/>
        <family val="2"/>
        <charset val="134"/>
        <scheme val="minor"/>
      </rPr>
      <t>，能优雅地化解是非，或流言本身无伤大雅。</t>
    </r>
  </si>
  <si>
    <t>一、天哭定义</t>
  </si>
  <si>
    <t>悲伤、哭泣、忧愁、伤感、损失、精神痛苦</t>
  </si>
  <si>
    <t>象征内在的悲伤情绪、精神上的苦闷与失落感，以及引发哭泣的事件。</t>
  </si>
  <si>
    <t>无庙旺落陷之分。其显现的强弱与主星吉凶及四化引动直接相关。</t>
  </si>
  <si>
    <r>
      <t>情绪特质</t>
    </r>
    <r>
      <rPr>
        <sz val="11"/>
        <color theme="1"/>
        <rFont val="等线"/>
        <family val="2"/>
        <charset val="134"/>
        <scheme val="minor"/>
      </rPr>
      <t>​</t>
    </r>
  </si>
  <si>
    <t>性格多愁善感，易感悲伤，内心常有孤独、委屈之感。</t>
  </si>
  <si>
    <t>在命宫、福德宫时尤为明显。</t>
  </si>
  <si>
    <r>
      <t>事件象征</t>
    </r>
    <r>
      <rPr>
        <sz val="11"/>
        <color theme="1"/>
        <rFont val="等线"/>
        <family val="2"/>
        <charset val="134"/>
        <scheme val="minor"/>
      </rPr>
      <t>​</t>
    </r>
  </si>
  <si>
    <t>遭遇令人伤心落泪之事，如分离、失恋、亲友离世、失败。</t>
  </si>
  <si>
    <t>在相关宫位引动时发生。</t>
  </si>
  <si>
    <r>
      <t>健康影响</t>
    </r>
    <r>
      <rPr>
        <sz val="11"/>
        <color theme="1"/>
        <rFont val="等线"/>
        <family val="2"/>
        <charset val="134"/>
        <scheme val="minor"/>
      </rPr>
      <t>​</t>
    </r>
  </si>
  <si>
    <t>因悲伤过度影响健康，如气郁、肺气虚、流泪不止。</t>
  </si>
  <si>
    <t>在疾厄宫时需注意。</t>
  </si>
  <si>
    <r>
      <t>人际互动</t>
    </r>
    <r>
      <rPr>
        <sz val="11"/>
        <color theme="1"/>
        <rFont val="等线"/>
        <family val="2"/>
        <charset val="134"/>
        <scheme val="minor"/>
      </rPr>
      <t>​</t>
    </r>
  </si>
  <si>
    <t>与人交往中易产生误会、委屈，或总扮演安慰他人的角色。</t>
  </si>
  <si>
    <t>在交友、兄弟宫时显现。</t>
  </si>
  <si>
    <r>
      <t>精神世界</t>
    </r>
    <r>
      <rPr>
        <sz val="11"/>
        <color theme="1"/>
        <rFont val="等线"/>
        <family val="2"/>
        <charset val="134"/>
        <scheme val="minor"/>
      </rPr>
      <t>​</t>
    </r>
  </si>
  <si>
    <t>对悲剧、哀伤的艺术作品有共鸣，精神层面易感空虚悲凉。</t>
  </si>
  <si>
    <t>在福德宫时体现。</t>
  </si>
  <si>
    <t>一生心性悲悯，易为情所困，经历伤心事较多，有流泪之象。</t>
  </si>
  <si>
    <t>与兄弟姐妹感情深厚但易有伤心事；在团队中易感到委屈。</t>
  </si>
  <si>
    <t>感情经历波折，易因离别或情伤而哭泣；配偶性格多愁善感。</t>
  </si>
  <si>
    <t>为子女操心、伤心；投资或爱好带来情感上的失落感。</t>
  </si>
  <si>
    <t>因钱财损失而伤心；赚钱过程多辛酸泪。</t>
  </si>
  <si>
    <t>易患与情绪相关的疾病（如抑郁症）；或呼吸系统（肺）脆弱。</t>
  </si>
  <si>
    <t>在外发展多辛酸，易感孤独思乡；出门易遇伤心事。</t>
  </si>
  <si>
    <t>朋友带来伤心事，或易与朋友产生误会而伤心；朋友多悲苦之人。</t>
  </si>
  <si>
    <t>事业上多挫折感，易因失败而沮丧；工作环境气氛压抑。</t>
  </si>
  <si>
    <t>家庭氛围带伤感，家人间易有伤心事；家中易有哭泣之声。</t>
  </si>
  <si>
    <r>
      <t>核心宫位</t>
    </r>
    <r>
      <rPr>
        <sz val="11"/>
        <color theme="1"/>
        <rFont val="等线"/>
        <family val="2"/>
        <charset val="134"/>
        <scheme val="minor"/>
      </rPr>
      <t>。内心世界悲苦，精神空虚，常有想哭的冲动。</t>
    </r>
  </si>
  <si>
    <t>与父母缘分带伤感，易为父母之事伤心；父母性格忧郁。</t>
  </si>
  <si>
    <t>1. 强化悲伤性质组合</t>
  </si>
  <si>
    <r>
      <t>天哭+天同</t>
    </r>
    <r>
      <rPr>
        <sz val="11"/>
        <color theme="1"/>
        <rFont val="等线"/>
        <family val="2"/>
        <charset val="134"/>
        <scheme val="minor"/>
      </rPr>
      <t>​</t>
    </r>
  </si>
  <si>
    <t>强化情绪化特质，悲天悯人，易因感情、享受受挫而伤心痛哭。</t>
  </si>
  <si>
    <t>失恋后长时间沉浸在悲伤中无法自拔。</t>
  </si>
  <si>
    <r>
      <t>天哭+太阴</t>
    </r>
    <r>
      <rPr>
        <sz val="11"/>
        <color theme="1"/>
        <rFont val="等线"/>
        <family val="2"/>
        <charset val="134"/>
        <scheme val="minor"/>
      </rPr>
      <t>​</t>
    </r>
  </si>
  <si>
    <t>阴郁悲伤情绪加重，多愁善感，暗自垂泪，有林黛玉之象。</t>
  </si>
  <si>
    <t>因小事感怀身世，对月伤怀。</t>
  </si>
  <si>
    <t>天哭+巨门</t>
  </si>
  <si>
    <t>悲伤源于是非、压抑或沟通不畅，内心苦闷无处诉说，抑郁倾向。</t>
  </si>
  <si>
    <t>因被人误解中伤而深感委屈痛苦。</t>
  </si>
  <si>
    <r>
      <t>天哭+廉贞</t>
    </r>
    <r>
      <rPr>
        <sz val="11"/>
        <color theme="1"/>
        <rFont val="等线"/>
        <family val="2"/>
        <charset val="134"/>
        <scheme val="minor"/>
      </rPr>
      <t>​</t>
    </r>
  </si>
  <si>
    <t>悲伤与感情、欲望纠缠，因桃花、血光或囚狱之事伤心。</t>
  </si>
  <si>
    <t>因感情纠纷或官司失败而悲痛。</t>
  </si>
  <si>
    <r>
      <t>天哭+破军</t>
    </r>
    <r>
      <rPr>
        <sz val="11"/>
        <color theme="1"/>
        <rFont val="等线"/>
        <family val="2"/>
        <charset val="134"/>
        <scheme val="minor"/>
      </rPr>
      <t>​</t>
    </r>
  </si>
  <si>
    <t>因破坏、分离、颠覆性事件而遭受重大情感打击，伤心欲绝。</t>
  </si>
  <si>
    <t>经历家庭破裂、事业崩塌后极度悲伤。</t>
  </si>
  <si>
    <r>
      <t>天哭+太阳</t>
    </r>
    <r>
      <rPr>
        <sz val="11"/>
        <color theme="1"/>
        <rFont val="等线"/>
        <family val="2"/>
        <charset val="134"/>
        <scheme val="minor"/>
      </rPr>
      <t>​</t>
    </r>
  </si>
  <si>
    <t>悲伤得以公开表达和宣泄，或转化为博爱、同情心去帮助他人。</t>
  </si>
  <si>
    <t>化个人悲痛为力量，从事公益事业。</t>
  </si>
  <si>
    <r>
      <t>天哭+天梁</t>
    </r>
    <r>
      <rPr>
        <sz val="11"/>
        <color theme="1"/>
        <rFont val="等线"/>
        <family val="2"/>
        <charset val="134"/>
        <scheme val="minor"/>
      </rPr>
      <t>​</t>
    </r>
  </si>
  <si>
    <t>通过宗教、哲学或长辈开导化解悲伤，有“悲智双运”之象。</t>
  </si>
  <si>
    <t>在信仰中找到精神寄托，看淡人世悲欢。</t>
  </si>
  <si>
    <r>
      <t>天哭+天府</t>
    </r>
    <r>
      <rPr>
        <sz val="11"/>
        <color theme="1"/>
        <rFont val="等线"/>
        <family val="2"/>
        <charset val="134"/>
        <scheme val="minor"/>
      </rPr>
      <t>​</t>
    </r>
  </si>
  <si>
    <t>悲伤情绪能被库藏、包容和消化，不易外露，或通过物质享受缓解。</t>
  </si>
  <si>
    <t>虽然内心伤感，但表面乐观，用美食购物安抚自己。</t>
  </si>
  <si>
    <r>
      <t>天哭+紫微</t>
    </r>
    <r>
      <rPr>
        <sz val="11"/>
        <color theme="1"/>
        <rFont val="等线"/>
        <family val="2"/>
        <charset val="134"/>
        <scheme val="minor"/>
      </rPr>
      <t>​</t>
    </r>
  </si>
  <si>
    <t>有强大的心理承受力，能将悲伤升华为艺术或权力的追求。</t>
  </si>
  <si>
    <t>帝王将相的孤独与悲悯；艺术家将痛苦融入创作。</t>
  </si>
  <si>
    <r>
      <t>天哭+文昌/文曲</t>
    </r>
    <r>
      <rPr>
        <sz val="11"/>
        <color theme="1"/>
        <rFont val="等线"/>
        <family val="2"/>
        <charset val="134"/>
        <scheme val="minor"/>
      </rPr>
      <t>​</t>
    </r>
  </si>
  <si>
    <t>悲伤情绪通过文学、艺术形式表达（如写悲情诗、唱哀歌）。</t>
  </si>
  <si>
    <t>创作悲剧文学作品；演唱伤感歌曲。</t>
  </si>
  <si>
    <r>
      <t>天哭+火星</t>
    </r>
    <r>
      <rPr>
        <sz val="11"/>
        <color theme="1"/>
        <rFont val="等线"/>
        <family val="2"/>
        <charset val="134"/>
        <scheme val="minor"/>
      </rPr>
      <t>​</t>
    </r>
  </si>
  <si>
    <t>悲伤突然爆发，痛哭流涕，或由愤怒、冲突引发伤心事。</t>
  </si>
  <si>
    <t>激烈争吵后崩溃大哭。</t>
  </si>
  <si>
    <r>
      <t>天哭+铃星</t>
    </r>
    <r>
      <rPr>
        <sz val="11"/>
        <color theme="1"/>
        <rFont val="等线"/>
        <family val="2"/>
        <charset val="134"/>
        <scheme val="minor"/>
      </rPr>
      <t>​</t>
    </r>
  </si>
  <si>
    <t>悲伤绵延不绝，暗自神伤，哭泣无声，长期精神抑郁。</t>
  </si>
  <si>
    <t>长期郁郁寡欢，以泪洗面。</t>
  </si>
  <si>
    <r>
      <t>天哭+擎羊</t>
    </r>
    <r>
      <rPr>
        <sz val="11"/>
        <color theme="1"/>
        <rFont val="等线"/>
        <family val="2"/>
        <charset val="134"/>
        <scheme val="minor"/>
      </rPr>
      <t>​</t>
    </r>
  </si>
  <si>
    <t>悲伤伴随伤害、割裂，因尖锐事件（如手术、决裂）而哭。</t>
  </si>
  <si>
    <t>亲人手术时担忧哭泣；与挚友决裂后伤心。</t>
  </si>
  <si>
    <r>
      <t>天哭+陀罗</t>
    </r>
    <r>
      <rPr>
        <sz val="11"/>
        <color theme="1"/>
        <rFont val="等线"/>
        <family val="2"/>
        <charset val="134"/>
        <scheme val="minor"/>
      </rPr>
      <t>​</t>
    </r>
  </si>
  <si>
    <t>悲伤反复纠缠，旧伤难忘，一想起来就伤心，哭泣不止。</t>
  </si>
  <si>
    <t>多年后想起逝去的亲人仍会落泪。</t>
  </si>
  <si>
    <r>
      <t>天哭+地空/地劫</t>
    </r>
    <r>
      <rPr>
        <sz val="11"/>
        <color theme="1"/>
        <rFont val="等线"/>
        <family val="2"/>
        <charset val="134"/>
        <scheme val="minor"/>
      </rPr>
      <t>​</t>
    </r>
  </si>
  <si>
    <t>悲伤源于空虚、失落感，或为虚幻、不切实际的事情伤心。</t>
  </si>
  <si>
    <t>因理想破灭而感伤；无来由地感到悲凉。</t>
  </si>
  <si>
    <r>
      <t>天哭+天刑</t>
    </r>
    <r>
      <rPr>
        <sz val="11"/>
        <color theme="1"/>
        <rFont val="等线"/>
        <family val="2"/>
        <charset val="134"/>
        <scheme val="minor"/>
      </rPr>
      <t>​</t>
    </r>
  </si>
  <si>
    <t>悲伤源于纪律、规则或惩罚，如因受罚、犯罪而后悔哭泣。</t>
  </si>
  <si>
    <t>受法律制裁后流下悔恨的泪水。</t>
  </si>
  <si>
    <r>
      <t>天哭+天姚</t>
    </r>
    <r>
      <rPr>
        <sz val="11"/>
        <color theme="1"/>
        <rFont val="等线"/>
        <family val="2"/>
        <charset val="134"/>
        <scheme val="minor"/>
      </rPr>
      <t>​</t>
    </r>
  </si>
  <si>
    <t>悲伤与桃花、风情相关，为情欲之事伤心落泪。</t>
  </si>
  <si>
    <t>因风流债而伤心哭泣。</t>
  </si>
  <si>
    <r>
      <t>天哭+阴煞</t>
    </r>
    <r>
      <rPr>
        <sz val="11"/>
        <color theme="1"/>
        <rFont val="等线"/>
        <family val="2"/>
        <charset val="134"/>
        <scheme val="minor"/>
      </rPr>
      <t>​</t>
    </r>
  </si>
  <si>
    <t>悲伤与灵异、业障相关，或因莫名恐惧、阴性能量而哭泣。</t>
  </si>
  <si>
    <t>梦见逝者而悲伤惊醒；感到冤亲债主干扰而悲苦。</t>
  </si>
  <si>
    <r>
      <t>1. “哭”的情绪本质</t>
    </r>
    <r>
      <rPr>
        <sz val="11"/>
        <color theme="1"/>
        <rFont val="等线"/>
        <family val="2"/>
        <charset val="134"/>
        <scheme val="minor"/>
      </rPr>
      <t>：天哭星的核心是</t>
    </r>
    <r>
      <rPr>
        <b/>
        <sz val="11"/>
        <color theme="1"/>
        <rFont val="等线"/>
        <family val="3"/>
        <charset val="134"/>
        <scheme val="minor"/>
      </rPr>
      <t>内在的悲伤情绪</t>
    </r>
    <r>
      <rPr>
        <sz val="11"/>
        <color theme="1"/>
        <rFont val="等线"/>
        <family val="2"/>
        <charset val="134"/>
        <scheme val="minor"/>
      </rPr>
      <t>及其外在表现（哭泣）。它更侧重于精神与情感层面的痛苦体验。</t>
    </r>
  </si>
  <si>
    <r>
      <t>2. 与“天虚”的区别</t>
    </r>
    <r>
      <rPr>
        <sz val="11"/>
        <color theme="1"/>
        <rFont val="等线"/>
        <family val="2"/>
        <charset val="134"/>
        <scheme val="minor"/>
      </rPr>
      <t>：</t>
    </r>
    <r>
      <rPr>
        <b/>
        <sz val="11"/>
        <color theme="1"/>
        <rFont val="等线"/>
        <family val="3"/>
        <charset val="134"/>
        <scheme val="minor"/>
      </rPr>
      <t>天哭主“悲伤有泪”</t>
    </r>
    <r>
      <rPr>
        <sz val="11"/>
        <color theme="1"/>
        <rFont val="等线"/>
        <family val="2"/>
        <charset val="134"/>
        <scheme val="minor"/>
      </rPr>
      <t>，是情绪宣泄；</t>
    </r>
    <r>
      <rPr>
        <b/>
        <sz val="11"/>
        <color theme="1"/>
        <rFont val="等线"/>
        <family val="3"/>
        <charset val="134"/>
        <scheme val="minor"/>
      </rPr>
      <t>天虚主“空虚无力”</t>
    </r>
    <r>
      <rPr>
        <sz val="11"/>
        <color theme="1"/>
        <rFont val="等线"/>
        <family val="2"/>
        <charset val="134"/>
        <scheme val="minor"/>
      </rPr>
      <t>，是精神萎靡。天哭是情感上的“实悲”，天虚是精神上的“虚耗”。</t>
    </r>
  </si>
  <si>
    <r>
      <t>3. 宫位定领域</t>
    </r>
    <r>
      <rPr>
        <sz val="11"/>
        <color theme="1"/>
        <rFont val="等线"/>
        <family val="2"/>
        <charset val="134"/>
        <scheme val="minor"/>
      </rPr>
      <t>：天哭星所在宫位，指示在人生的哪个领域最容易引发悲伤情绪或遭遇令人伤心的事件。</t>
    </r>
  </si>
  <si>
    <r>
      <t>4. 四化引动</t>
    </r>
    <r>
      <rPr>
        <sz val="11"/>
        <color theme="1"/>
        <rFont val="等线"/>
        <family val="2"/>
        <charset val="134"/>
        <scheme val="minor"/>
      </rPr>
      <t>：见</t>
    </r>
    <r>
      <rPr>
        <b/>
        <sz val="11"/>
        <color theme="1"/>
        <rFont val="等线"/>
        <family val="3"/>
        <charset val="134"/>
        <scheme val="minor"/>
      </rPr>
      <t>化忌</t>
    </r>
    <r>
      <rPr>
        <sz val="11"/>
        <color theme="1"/>
        <rFont val="等线"/>
        <family val="2"/>
        <charset val="134"/>
        <scheme val="minor"/>
      </rPr>
      <t>时，悲伤情绪达到顶点，易发生真正令人痛心疾首的事件。见</t>
    </r>
    <r>
      <rPr>
        <b/>
        <sz val="11"/>
        <color theme="1"/>
        <rFont val="等线"/>
        <family val="3"/>
        <charset val="134"/>
        <scheme val="minor"/>
      </rPr>
      <t>化禄</t>
    </r>
    <r>
      <rPr>
        <sz val="11"/>
        <color theme="1"/>
        <rFont val="等线"/>
        <family val="2"/>
        <charset val="134"/>
        <scheme val="minor"/>
      </rPr>
      <t>，可能因悲伤事件反而得到关怀或物质补偿（如获得保险金、慰问金）。见</t>
    </r>
    <r>
      <rPr>
        <b/>
        <sz val="11"/>
        <color theme="1"/>
        <rFont val="等线"/>
        <family val="3"/>
        <charset val="134"/>
        <scheme val="minor"/>
      </rPr>
      <t>化权</t>
    </r>
    <r>
      <rPr>
        <sz val="11"/>
        <color theme="1"/>
        <rFont val="等线"/>
        <family val="2"/>
        <charset val="134"/>
        <scheme val="minor"/>
      </rPr>
      <t>，可能强忍悲伤或试图掌控悲伤情绪。见</t>
    </r>
    <r>
      <rPr>
        <b/>
        <sz val="11"/>
        <color theme="1"/>
        <rFont val="等线"/>
        <family val="3"/>
        <charset val="134"/>
        <scheme val="minor"/>
      </rPr>
      <t>化科</t>
    </r>
    <r>
      <rPr>
        <sz val="11"/>
        <color theme="1"/>
        <rFont val="等线"/>
        <family val="2"/>
        <charset val="134"/>
        <scheme val="minor"/>
      </rPr>
      <t>，悲伤能以优雅、得体的方式表达，或因此获得同情与名声。</t>
    </r>
  </si>
  <si>
    <t>一、天厨定义</t>
  </si>
  <si>
    <t>饮食、烹饪、享受、宴乐、俸禄、福气</t>
  </si>
  <si>
    <t>象征与饮食享受、烹饪技艺相关的福气，也代表来自官方或稳定的俸禄、津贴。</t>
  </si>
  <si>
    <t>无庙旺落陷之分。其吉凶表现与所搭配主星之性质及四化引动直接相关。</t>
  </si>
  <si>
    <r>
      <t>烹饪天赋</t>
    </r>
    <r>
      <rPr>
        <sz val="11"/>
        <color theme="1"/>
        <rFont val="等线"/>
        <family val="2"/>
        <charset val="134"/>
        <scheme val="minor"/>
      </rPr>
      <t>​</t>
    </r>
  </si>
  <si>
    <t>具备烹饪才能，喜欢研究美食，善于调配食材与味道。</t>
  </si>
  <si>
    <t>在命宫、官禄宫时尤为明显。</t>
  </si>
  <si>
    <r>
      <t>美食享受</t>
    </r>
    <r>
      <rPr>
        <sz val="11"/>
        <color theme="1"/>
        <rFont val="等线"/>
        <family val="2"/>
        <charset val="134"/>
        <scheme val="minor"/>
      </rPr>
      <t>​</t>
    </r>
  </si>
  <si>
    <t>注重饮食品质，懂得享受美食，是生活中的“美食家”。</t>
  </si>
  <si>
    <t>在福德宫、田宅宫时显现。</t>
  </si>
  <si>
    <r>
      <t>宴请聚会</t>
    </r>
    <r>
      <rPr>
        <sz val="11"/>
        <color theme="1"/>
        <rFont val="等线"/>
        <family val="2"/>
        <charset val="134"/>
        <scheme val="minor"/>
      </rPr>
      <t>​</t>
    </r>
  </si>
  <si>
    <t>喜欢组织或参与宴会、聚餐，通过饮食进行社交。</t>
  </si>
  <si>
    <t>在交友宫、迁移宫时体现。</t>
  </si>
  <si>
    <r>
      <t>俸禄津贴</t>
    </r>
    <r>
      <rPr>
        <sz val="11"/>
        <color theme="1"/>
        <rFont val="等线"/>
        <family val="2"/>
        <charset val="134"/>
        <scheme val="minor"/>
      </rPr>
      <t>​</t>
    </r>
  </si>
  <si>
    <t>代表稳定的工资、奖金、津贴等正规收入。</t>
  </si>
  <si>
    <t>在财帛宫、官禄宫时主得俸禄。</t>
  </si>
  <si>
    <r>
      <t>品味鉴赏</t>
    </r>
    <r>
      <rPr>
        <sz val="11"/>
        <color theme="1"/>
        <rFont val="等线"/>
        <family val="2"/>
        <charset val="134"/>
        <scheme val="minor"/>
      </rPr>
      <t>​</t>
    </r>
  </si>
  <si>
    <t>对饮食文化、生活美学有较高的鉴赏力。</t>
  </si>
  <si>
    <t>与昌曲等星同度时增强。</t>
  </si>
  <si>
    <t>本人擅长烹饪，注重生活品味，有口福，一生饮食无忧。</t>
  </si>
  <si>
    <t>兄弟姐妹中有人擅长烹饪或经营餐饮；家庭聚会多。</t>
  </si>
  <si>
    <t>配偶擅长料理家务饮食，或夫妻因美食结缘；婚姻生活有口福。</t>
  </si>
  <si>
    <t>子女贪吃或擅长烹饪；在娱乐、餐饮方面的投资有收益。</t>
  </si>
  <si>
    <t>钱财来源于饮食行业、食品贸易，或稳定的工资俸禄。</t>
  </si>
  <si>
    <t>消化系统良好，注重饮食健康，但需防饮食过度导致的疾病。</t>
  </si>
  <si>
    <t>在外发展有口福，易得他人宴请；适合从事与餐饮、贸易相关的异地工作。</t>
  </si>
  <si>
    <t>朋友多好宴饮聚会，或从事餐饮行业；易得朋友招待。</t>
  </si>
  <si>
    <t>职业与餐饮、食品、后勤保障相关；工作环境福利好，有津贴。</t>
  </si>
  <si>
    <t>家中饮食丰足，厨房设备好；可能经营家族餐饮生意。</t>
  </si>
  <si>
    <r>
      <t>核心宫位</t>
    </r>
    <r>
      <rPr>
        <sz val="11"/>
        <color theme="1"/>
        <rFont val="等线"/>
        <family val="2"/>
        <charset val="134"/>
        <scheme val="minor"/>
      </rPr>
      <t>。精神享受来源于美食，生活安逸，懂得品味人生。</t>
    </r>
  </si>
  <si>
    <t>父母注重饮食，家庭生活富足；可能继承与饮食相关的家业。</t>
  </si>
  <si>
    <t>1. 吉象组合（福气彰显）</t>
  </si>
  <si>
    <r>
      <t>天厨+天同</t>
    </r>
    <r>
      <rPr>
        <sz val="11"/>
        <color theme="1"/>
        <rFont val="等线"/>
        <family val="2"/>
        <charset val="134"/>
        <scheme val="minor"/>
      </rPr>
      <t>​</t>
    </r>
  </si>
  <si>
    <t>将享受美食与生活乐趣发挥到极致，是真正的享乐主义者、美食家。</t>
  </si>
  <si>
    <t>生活优渥，四处寻觅美食，乐在其中。</t>
  </si>
  <si>
    <r>
      <t>天厨+天府</t>
    </r>
    <r>
      <rPr>
        <sz val="11"/>
        <color theme="1"/>
        <rFont val="等线"/>
        <family val="2"/>
        <charset val="134"/>
        <scheme val="minor"/>
      </rPr>
      <t>​</t>
    </r>
  </si>
  <si>
    <t>有库藏美食之象，家中饮食丰盛，懂得储存与规划饮食资源。</t>
  </si>
  <si>
    <t>家中常有美食储备，善于操办丰盛宴席。</t>
  </si>
  <si>
    <r>
      <t>天厨+太阳</t>
    </r>
    <r>
      <rPr>
        <sz val="11"/>
        <color theme="1"/>
        <rFont val="等线"/>
        <family val="2"/>
        <charset val="134"/>
        <scheme val="minor"/>
      </rPr>
      <t>​</t>
    </r>
  </si>
  <si>
    <t>通过公开场合、大型活动展现烹饪才华或享受美食，宴请宾客。</t>
  </si>
  <si>
    <t>举办大型宴会、美食节；成为知名美食博主。</t>
  </si>
  <si>
    <r>
      <t>天厨+太阴</t>
    </r>
    <r>
      <rPr>
        <sz val="11"/>
        <color theme="1"/>
        <rFont val="等线"/>
        <family val="2"/>
        <charset val="134"/>
        <scheme val="minor"/>
      </rPr>
      <t>​</t>
    </r>
  </si>
  <si>
    <t>擅长制作精致点心、家常菜，注重饮食的情调与氛围。</t>
  </si>
  <si>
    <t>家庭主妇烹饪高手；经营有情调的私房菜馆。</t>
  </si>
  <si>
    <r>
      <t>天厨+天梁</t>
    </r>
    <r>
      <rPr>
        <sz val="11"/>
        <color theme="1"/>
        <rFont val="等线"/>
        <family val="2"/>
        <charset val="134"/>
        <scheme val="minor"/>
      </rPr>
      <t>​</t>
    </r>
  </si>
  <si>
    <t>饮食注重养生、健康，或通过药膳调理身体；有宗教斋食缘分。</t>
  </si>
  <si>
    <t>营养师、药膳师；寺庙斋菜的负责人。</t>
  </si>
  <si>
    <t>2. 凶象组合（享受过度）</t>
  </si>
  <si>
    <r>
      <t>天厨+贪狼</t>
    </r>
    <r>
      <rPr>
        <sz val="11"/>
        <color theme="1"/>
        <rFont val="等线"/>
        <family val="2"/>
        <charset val="134"/>
        <scheme val="minor"/>
      </rPr>
      <t>​</t>
    </r>
  </si>
  <si>
    <t>对美食美酒欲望无度，易暴饮暴食，沉迷享乐，挥霍钱财。</t>
  </si>
  <si>
    <t>吃喝无节制，导致健康与财务问题。</t>
  </si>
  <si>
    <r>
      <t>天厨+巨门</t>
    </r>
    <r>
      <rPr>
        <sz val="11"/>
        <color theme="1"/>
        <rFont val="等线"/>
        <family val="2"/>
        <charset val="134"/>
        <scheme val="minor"/>
      </rPr>
      <t>​</t>
    </r>
  </si>
  <si>
    <t>对饮食挑剔，易有口舌是非（如批评菜品），或因饮食问题引发纠纷。</t>
  </si>
  <si>
    <t>美食评论家言辞尖锐惹争议；餐厅食物中毒纠纷。</t>
  </si>
  <si>
    <r>
      <t>天厨+廉贞</t>
    </r>
    <r>
      <rPr>
        <sz val="11"/>
        <color theme="1"/>
        <rFont val="等线"/>
        <family val="2"/>
        <charset val="134"/>
        <scheme val="minor"/>
      </rPr>
      <t>​</t>
    </r>
  </si>
  <si>
    <t>饮食与桃花、血光纠缠，如因酒色伤身，或因烹饪受伤。</t>
  </si>
  <si>
    <t>酒后乱性；在厨房被刀具所伤。</t>
  </si>
  <si>
    <r>
      <t>天厨+破军</t>
    </r>
    <r>
      <rPr>
        <sz val="11"/>
        <color theme="1"/>
        <rFont val="等线"/>
        <family val="2"/>
        <charset val="134"/>
        <scheme val="minor"/>
      </rPr>
      <t>​</t>
    </r>
  </si>
  <si>
    <t>饮食喜好变化大，浪费食物，或从事颠覆传统的餐饮行业。</t>
  </si>
  <si>
    <t>喜欢尝试怪异食物；经营倒闭率高的网红餐厅。</t>
  </si>
  <si>
    <r>
      <t>天厨+七杀</t>
    </r>
    <r>
      <rPr>
        <sz val="11"/>
        <color theme="1"/>
        <rFont val="等线"/>
        <family val="2"/>
        <charset val="134"/>
        <scheme val="minor"/>
      </rPr>
      <t>​</t>
    </r>
  </si>
  <si>
    <t>饮食急促、量大，或从事快餐、屠宰等与“杀”相关的饮食业。</t>
  </si>
  <si>
    <t>快餐店老板；屠宰场或肉类加工从业者。</t>
  </si>
  <si>
    <r>
      <t>天厨+文昌/文曲</t>
    </r>
    <r>
      <rPr>
        <sz val="11"/>
        <color theme="1"/>
        <rFont val="等线"/>
        <family val="2"/>
        <charset val="134"/>
        <scheme val="minor"/>
      </rPr>
      <t>​</t>
    </r>
  </si>
  <si>
    <t>将饮食上升为文化、艺术，擅长美食写作、摆盘艺术或饮食历史研究。</t>
  </si>
  <si>
    <t>美食专栏作家、食物造型师、饮食文化学者。</t>
  </si>
  <si>
    <r>
      <t>天厨+左辅/右弼</t>
    </r>
    <r>
      <rPr>
        <sz val="11"/>
        <color theme="1"/>
        <rFont val="等线"/>
        <family val="2"/>
        <charset val="134"/>
        <scheme val="minor"/>
      </rPr>
      <t>​</t>
    </r>
  </si>
  <si>
    <t>常有他人帮忙烹饪或宴请，饮食来源广，社交饭局多。</t>
  </si>
  <si>
    <t>经常被朋友请客；有助手或家人负责做饭。</t>
  </si>
  <si>
    <r>
      <t>天厨+火星</t>
    </r>
    <r>
      <rPr>
        <sz val="11"/>
        <color theme="1"/>
        <rFont val="等线"/>
        <family val="2"/>
        <charset val="134"/>
        <scheme val="minor"/>
      </rPr>
      <t>​</t>
    </r>
  </si>
  <si>
    <t>烹饪速度快，喜欢烧烤、油炸等火热烹饪方式；易因饮食上火。</t>
  </si>
  <si>
    <t>烧烤店店主；性格急躁的厨师。</t>
  </si>
  <si>
    <r>
      <t>天厨+铃星</t>
    </r>
    <r>
      <rPr>
        <sz val="11"/>
        <color theme="1"/>
        <rFont val="等线"/>
        <family val="2"/>
        <charset val="134"/>
        <scheme val="minor"/>
      </rPr>
      <t>​</t>
    </r>
  </si>
  <si>
    <t>烹饪慢工出细活，擅长腌制、发酵等需要时间的工艺；饮食有拖延习惯。</t>
  </si>
  <si>
    <t>酿造师、腌制品师傅；吃饭总是最慢的一个。</t>
  </si>
  <si>
    <r>
      <t>天厨+擎羊</t>
    </r>
    <r>
      <rPr>
        <sz val="11"/>
        <color theme="1"/>
        <rFont val="等线"/>
        <family val="2"/>
        <charset val="134"/>
        <scheme val="minor"/>
      </rPr>
      <t>​</t>
    </r>
  </si>
  <si>
    <t>擅长刀工、切割，或喜欢辛辣刺激的食物；易因饮食受伤或引发急性病。</t>
  </si>
  <si>
    <t>寿司师傅（刀工）；嗜好吃辣导致胃病。</t>
  </si>
  <si>
    <r>
      <t>天厨+陀罗</t>
    </r>
    <r>
      <rPr>
        <sz val="11"/>
        <color theme="1"/>
        <rFont val="等线"/>
        <family val="2"/>
        <charset val="134"/>
        <scheme val="minor"/>
      </rPr>
      <t>​</t>
    </r>
  </si>
  <si>
    <t>饮食拖延、反复，如吃饭很慢；喜欢重复吃某种食物；消化迟缓。</t>
  </si>
  <si>
    <t>有拖延吃饭的习惯；酷爱同一家餐厅。</t>
  </si>
  <si>
    <r>
      <t>天厨+地空/地劫</t>
    </r>
    <r>
      <rPr>
        <sz val="11"/>
        <color theme="1"/>
        <rFont val="等线"/>
        <family val="2"/>
        <charset val="134"/>
        <scheme val="minor"/>
      </rPr>
      <t>​</t>
    </r>
  </si>
  <si>
    <t>饮食喜好独特、创新甚至怪异；烹饪想法天马行空；饮食来源不稳定。</t>
  </si>
  <si>
    <t>分子料理厨师；经常忘记吃饭或饮食不规律。</t>
  </si>
  <si>
    <r>
      <t>天厨+天姚</t>
    </r>
    <r>
      <rPr>
        <sz val="11"/>
        <color theme="1"/>
        <rFont val="等线"/>
        <family val="2"/>
        <charset val="134"/>
        <scheme val="minor"/>
      </rPr>
      <t>​</t>
    </r>
  </si>
  <si>
    <t>饮食注重情调、浪漫氛围，与桃花、饮酒相关。</t>
  </si>
  <si>
    <t>经营情侣餐厅；喜欢品酒并因此结识异性。</t>
  </si>
  <si>
    <r>
      <t>天厨+天刑</t>
    </r>
    <r>
      <rPr>
        <sz val="11"/>
        <color theme="1"/>
        <rFont val="等线"/>
        <family val="2"/>
        <charset val="134"/>
        <scheme val="minor"/>
      </rPr>
      <t>​</t>
    </r>
  </si>
  <si>
    <t>饮食有节制，遵循健康规则；或职业与食品检验、餐饮法规相关。</t>
  </si>
  <si>
    <t>营养师制定严格食谱；食品安全监管人员。</t>
  </si>
  <si>
    <r>
      <t>1. “厨”与“享”的双重性</t>
    </r>
    <r>
      <rPr>
        <sz val="11"/>
        <color theme="1"/>
        <rFont val="等线"/>
        <family val="2"/>
        <charset val="134"/>
        <scheme val="minor"/>
      </rPr>
      <t>：天厨星既代表</t>
    </r>
    <r>
      <rPr>
        <b/>
        <sz val="11"/>
        <color theme="1"/>
        <rFont val="等线"/>
        <family val="3"/>
        <charset val="134"/>
        <scheme val="minor"/>
      </rPr>
      <t>烹饪、制作</t>
    </r>
    <r>
      <rPr>
        <sz val="11"/>
        <color theme="1"/>
        <rFont val="等线"/>
        <family val="2"/>
        <charset val="134"/>
        <scheme val="minor"/>
      </rPr>
      <t>的能力（主动），也代表</t>
    </r>
    <r>
      <rPr>
        <b/>
        <sz val="11"/>
        <color theme="1"/>
        <rFont val="等线"/>
        <family val="3"/>
        <charset val="134"/>
        <scheme val="minor"/>
      </rPr>
      <t>享受、受禄</t>
    </r>
    <r>
      <rPr>
        <sz val="11"/>
        <color theme="1"/>
        <rFont val="等线"/>
        <family val="2"/>
        <charset val="134"/>
        <scheme val="minor"/>
      </rPr>
      <t>的福气（被动）。需根据宫位和组合判断其主导倾向。</t>
    </r>
  </si>
  <si>
    <r>
      <t>2. 与“天福”星的区别</t>
    </r>
    <r>
      <rPr>
        <sz val="11"/>
        <color theme="1"/>
        <rFont val="等线"/>
        <family val="2"/>
        <charset val="134"/>
        <scheme val="minor"/>
      </rPr>
      <t>：</t>
    </r>
    <r>
      <rPr>
        <b/>
        <sz val="11"/>
        <color theme="1"/>
        <rFont val="等线"/>
        <family val="3"/>
        <charset val="134"/>
        <scheme val="minor"/>
      </rPr>
      <t>天厨主“口福、俸禄”</t>
    </r>
    <r>
      <rPr>
        <sz val="11"/>
        <color theme="1"/>
        <rFont val="等线"/>
        <family val="2"/>
        <charset val="134"/>
        <scheme val="minor"/>
      </rPr>
      <t>，偏重于物质层面的饮食享受与稳定收入；</t>
    </r>
    <r>
      <rPr>
        <b/>
        <sz val="11"/>
        <color theme="1"/>
        <rFont val="等线"/>
        <family val="3"/>
        <charset val="134"/>
        <scheme val="minor"/>
      </rPr>
      <t>天福主“福气、贵人”</t>
    </r>
    <r>
      <rPr>
        <sz val="11"/>
        <color theme="1"/>
        <rFont val="等线"/>
        <family val="2"/>
        <charset val="134"/>
        <scheme val="minor"/>
      </rPr>
      <t>，偏重于精神层面的福报与贵人相助。天厨是具体的“食禄”，天福是抽象的“福气”。</t>
    </r>
  </si>
  <si>
    <r>
      <t>3. 宫位定领域</t>
    </r>
    <r>
      <rPr>
        <sz val="11"/>
        <color theme="1"/>
        <rFont val="等线"/>
        <family val="2"/>
        <charset val="134"/>
        <scheme val="minor"/>
      </rPr>
      <t>：天厨星所在宫位，指示在人生的哪个领域最能享受口福、获得稳定俸禄，或展现烹饪才华。</t>
    </r>
  </si>
  <si>
    <r>
      <t>4. 四化引动</t>
    </r>
    <r>
      <rPr>
        <sz val="11"/>
        <color theme="1"/>
        <rFont val="等线"/>
        <family val="2"/>
        <charset val="134"/>
        <scheme val="minor"/>
      </rPr>
      <t>：见</t>
    </r>
    <r>
      <rPr>
        <b/>
        <sz val="11"/>
        <color theme="1"/>
        <rFont val="等线"/>
        <family val="3"/>
        <charset val="134"/>
        <scheme val="minor"/>
      </rPr>
      <t>化禄</t>
    </r>
    <r>
      <rPr>
        <sz val="11"/>
        <color theme="1"/>
        <rFont val="等线"/>
        <family val="2"/>
        <charset val="134"/>
        <scheme val="minor"/>
      </rPr>
      <t>，口福极佳，烹饪带来财富，俸禄增加。见</t>
    </r>
    <r>
      <rPr>
        <b/>
        <sz val="11"/>
        <color theme="1"/>
        <rFont val="等线"/>
        <family val="3"/>
        <charset val="134"/>
        <scheme val="minor"/>
      </rPr>
      <t>化权</t>
    </r>
    <r>
      <rPr>
        <sz val="11"/>
        <color theme="1"/>
        <rFont val="等线"/>
        <family val="2"/>
        <charset val="134"/>
        <scheme val="minor"/>
      </rPr>
      <t>，烹饪技艺精湛，对饮食有掌控力，或掌管厨房、后勤部门。见</t>
    </r>
    <r>
      <rPr>
        <b/>
        <sz val="11"/>
        <color theme="1"/>
        <rFont val="等线"/>
        <family val="3"/>
        <charset val="134"/>
        <scheme val="minor"/>
      </rPr>
      <t>化科</t>
    </r>
    <r>
      <rPr>
        <sz val="11"/>
        <color theme="1"/>
        <rFont val="等线"/>
        <family val="2"/>
        <charset val="134"/>
        <scheme val="minor"/>
      </rPr>
      <t>，饮食有品位，烹饪有美名，或因美食获得声誉。见</t>
    </r>
    <r>
      <rPr>
        <b/>
        <sz val="11"/>
        <color theme="1"/>
        <rFont val="等线"/>
        <family val="3"/>
        <charset val="134"/>
        <scheme val="minor"/>
      </rPr>
      <t>化忌</t>
    </r>
    <r>
      <rPr>
        <sz val="11"/>
        <color theme="1"/>
        <rFont val="等线"/>
        <family val="2"/>
        <charset val="134"/>
        <scheme val="minor"/>
      </rPr>
      <t>，饮食出问题（如浪费、中毒），俸禄减少，或因吃喝惹麻烦。</t>
    </r>
  </si>
  <si>
    <t>一、恩光定义</t>
  </si>
  <si>
    <t>恩宠、荣耀、光彩、贵人赏识、公开的嘉奖</t>
  </si>
  <si>
    <t>象征来自上级、长辈或官方机构的恩泽、表彰与荣耀，是一种公开的、带有荣誉性质的助力。</t>
  </si>
  <si>
    <t>乙级星，属阳火。为天魁之辅佐星，主贵气与荣耀，喜与吉星同宫增辉。</t>
  </si>
  <si>
    <r>
      <t>受赏得荣</t>
    </r>
    <r>
      <rPr>
        <sz val="11"/>
        <color theme="1"/>
        <rFont val="等线"/>
        <family val="2"/>
        <charset val="134"/>
        <scheme val="minor"/>
      </rPr>
      <t>​</t>
    </r>
  </si>
  <si>
    <t>获得奖项、证书、表彰、公开表扬、职位晋升。</t>
  </si>
  <si>
    <t>在命宫、官禄宫时尤为应验。</t>
  </si>
  <si>
    <r>
      <t>贵人提携</t>
    </r>
    <r>
      <rPr>
        <sz val="11"/>
        <color theme="1"/>
        <rFont val="等线"/>
        <family val="2"/>
        <charset val="134"/>
        <scheme val="minor"/>
      </rPr>
      <t>​</t>
    </r>
  </si>
  <si>
    <t>得到长辈、上司、权威人士的特别赏识与提拔。</t>
  </si>
  <si>
    <t>与天魁同宫或相会时力量最强。</t>
  </si>
  <si>
    <r>
      <t>增添光彩</t>
    </r>
    <r>
      <rPr>
        <sz val="11"/>
        <color theme="1"/>
        <rFont val="等线"/>
        <family val="2"/>
        <charset val="134"/>
        <scheme val="minor"/>
      </rPr>
      <t>​</t>
    </r>
  </si>
  <si>
    <t>为个人、家庭或集体带来荣誉，脸上有光。</t>
  </si>
  <si>
    <t>在父母、田宅宫时，光耀门楣。</t>
  </si>
  <si>
    <r>
      <t>机遇降临</t>
    </r>
    <r>
      <rPr>
        <sz val="11"/>
        <color theme="1"/>
        <rFont val="等线"/>
        <family val="2"/>
        <charset val="134"/>
        <scheme val="minor"/>
      </rPr>
      <t>​</t>
    </r>
  </si>
  <si>
    <t>因好名声或过往善行获得意想不到的好机会。</t>
  </si>
  <si>
    <t>在迁移、交友宫时，得外界青睐。</t>
  </si>
  <si>
    <r>
      <t>正气加持</t>
    </r>
    <r>
      <rPr>
        <sz val="11"/>
        <color theme="1"/>
        <rFont val="等线"/>
        <family val="2"/>
        <charset val="134"/>
        <scheme val="minor"/>
      </rPr>
      <t>​</t>
    </r>
  </si>
  <si>
    <t>言行端正，易受信任，在正式场合或流程中受益。</t>
  </si>
  <si>
    <t>利于考试、面试、审核等事宜。</t>
  </si>
  <si>
    <t>一生易得贵人赏识，有荣誉加身的机会，为人重名誉、有光彩。</t>
  </si>
  <si>
    <t>兄弟姐妹中有显荣者，能给自己带来荣耀；在团队中易受嘉奖。</t>
  </si>
  <si>
    <t>配偶体面或有荣誉，婚姻能为自己增添光彩；易得配偶方长辈提携。</t>
  </si>
  <si>
    <t>子女有出息、获奖，为自己争光；在投资、娱乐方面获得荣誉性回报。</t>
  </si>
  <si>
    <t>钱财来源于正当荣誉（如奖金、奖学金），或因好名声得财。</t>
  </si>
  <si>
    <t>得到名医诊治，或使用荣誉性的先进疗法；病情易公开并获得关怀。</t>
  </si>
  <si>
    <t>在外发展易获名声与赏识，得异地贵人提拔，外出光彩。</t>
  </si>
  <si>
    <t>朋友多为体面、正派之人，且其中多有能提携自己的贵人。</t>
  </si>
  <si>
    <r>
      <t>核心宫位</t>
    </r>
    <r>
      <rPr>
        <sz val="11"/>
        <color theme="1"/>
        <rFont val="等线"/>
        <family val="2"/>
        <charset val="134"/>
        <scheme val="minor"/>
      </rPr>
      <t>。事业上易获表彰、升职，职业带来社会荣誉。</t>
    </r>
  </si>
  <si>
    <t>家庭有荣誉（如书香门第、光荣之家），家宅气派，购置房产添光彩。</t>
  </si>
  <si>
    <t>内心重视荣誉与道德感，精神世界因获得认可而感到满足。</t>
  </si>
  <si>
    <t>父母有社会地位或荣誉，自己易得父母福荫及长辈上司关照。</t>
  </si>
  <si>
    <t>1. 强化贵气荣耀组合</t>
  </si>
  <si>
    <r>
      <t>恩光+紫微</t>
    </r>
    <r>
      <rPr>
        <sz val="11"/>
        <color theme="1"/>
        <rFont val="等线"/>
        <family val="2"/>
        <charset val="134"/>
        <scheme val="minor"/>
      </rPr>
      <t>​</t>
    </r>
  </si>
  <si>
    <t>帝星得恩光，贵气非凡，易获最高级别的嘉奖与权位荣耀。</t>
  </si>
  <si>
    <t>获得国家勋章；成为行业领袖并受表彰。</t>
  </si>
  <si>
    <r>
      <t>恩光+太阳</t>
    </r>
    <r>
      <rPr>
        <sz val="11"/>
        <color theme="1"/>
        <rFont val="等线"/>
        <family val="2"/>
        <charset val="134"/>
        <scheme val="minor"/>
      </rPr>
      <t>​</t>
    </r>
  </si>
  <si>
    <t>荣耀公开化、大众化，因光明正大的行为获得广泛赞誉。</t>
  </si>
  <si>
    <t>成为公众人物并获得荣誉；因慈善行为受表彰。</t>
  </si>
  <si>
    <r>
      <t>恩光+天梁</t>
    </r>
    <r>
      <rPr>
        <sz val="11"/>
        <color theme="1"/>
        <rFont val="等线"/>
        <family val="2"/>
        <charset val="134"/>
        <scheme val="minor"/>
      </rPr>
      <t>​</t>
    </r>
  </si>
  <si>
    <t>因清望、善行、法律或宗教相关事务获得荣誉，贵气带清高。</t>
  </si>
  <si>
    <t>获得道德模范奖；著名法官、法师。</t>
  </si>
  <si>
    <r>
      <t>恩光+天府</t>
    </r>
    <r>
      <rPr>
        <sz val="11"/>
        <color theme="1"/>
        <rFont val="等线"/>
        <family val="2"/>
        <charset val="134"/>
        <scheme val="minor"/>
      </rPr>
      <t>​</t>
    </r>
  </si>
  <si>
    <t>稳重而得体地获得荣耀，荣誉带来实际的地位与财富积累。</t>
  </si>
  <si>
    <t>因稳健业绩获得终身成就奖；受封爵位并享有俸禄。</t>
  </si>
  <si>
    <r>
      <t>恩光+天相</t>
    </r>
    <r>
      <rPr>
        <sz val="11"/>
        <color theme="1"/>
        <rFont val="等线"/>
        <family val="2"/>
        <charset val="134"/>
        <scheme val="minor"/>
      </rPr>
      <t>​</t>
    </r>
  </si>
  <si>
    <t>因辅佐得力、办事周全而获得嘉奖，荣誉来自团队或服务对象。</t>
  </si>
  <si>
    <t>最佳助手奖；因优质服务获评劳模。</t>
  </si>
  <si>
    <t>2. 转化与具体化组合</t>
  </si>
  <si>
    <r>
      <t>恩光+武曲</t>
    </r>
    <r>
      <rPr>
        <sz val="11"/>
        <color theme="1"/>
        <rFont val="等线"/>
        <family val="2"/>
        <charset val="134"/>
        <scheme val="minor"/>
      </rPr>
      <t>​</t>
    </r>
  </si>
  <si>
    <t>在财经、金融、军事领域因功绩获得荣誉与奖金。</t>
  </si>
  <si>
    <t>获得金融创新大奖；军功章。</t>
  </si>
  <si>
    <r>
      <t>恩光+天同</t>
    </r>
    <r>
      <rPr>
        <sz val="11"/>
        <color theme="1"/>
        <rFont val="等线"/>
        <family val="2"/>
        <charset val="134"/>
        <scheme val="minor"/>
      </rPr>
      <t>​</t>
    </r>
  </si>
  <si>
    <t>因福气、人缘或艺术才华获得荣誉，过程轻松愉快。</t>
  </si>
  <si>
    <t>获得最受欢迎艺人奖；因作品获轻松奖项。</t>
  </si>
  <si>
    <r>
      <t>恩光+廉贞</t>
    </r>
    <r>
      <rPr>
        <sz val="11"/>
        <color theme="1"/>
        <rFont val="等线"/>
        <family val="2"/>
        <charset val="134"/>
        <scheme val="minor"/>
      </rPr>
      <t>​</t>
    </r>
  </si>
  <si>
    <t>荣誉与政治、纪律检查、复杂人际相关，可能伴随争议。</t>
  </si>
  <si>
    <t>因反腐立功受奖；在政治斗争中获胜获荣誉。</t>
  </si>
  <si>
    <r>
      <t>恩光+巨门</t>
    </r>
    <r>
      <rPr>
        <sz val="11"/>
        <color theme="1"/>
        <rFont val="等线"/>
        <family val="2"/>
        <charset val="134"/>
        <scheme val="minor"/>
      </rPr>
      <t>​</t>
    </r>
  </si>
  <si>
    <t>通过口才、学术研究、法律或传播工作获得名誉。</t>
  </si>
  <si>
    <t>获得学术大奖；著名律师、主持人获奖。</t>
  </si>
  <si>
    <r>
      <t>恩光+天机</t>
    </r>
    <r>
      <rPr>
        <sz val="11"/>
        <color theme="1"/>
        <rFont val="等线"/>
        <family val="2"/>
        <charset val="134"/>
        <scheme val="minor"/>
      </rPr>
      <t>​</t>
    </r>
  </si>
  <si>
    <t>因策划、谋略、技术发明或交通通讯领域的贡献获奖。</t>
  </si>
  <si>
    <t>获得科技创新奖；最佳策划人奖。</t>
  </si>
  <si>
    <r>
      <t>恩光+天魁/天钺</t>
    </r>
    <r>
      <rPr>
        <sz val="11"/>
        <color theme="1"/>
        <rFont val="等线"/>
        <family val="2"/>
        <charset val="134"/>
        <scheme val="minor"/>
      </rPr>
      <t>​</t>
    </r>
  </si>
  <si>
    <r>
      <t>最佳组合</t>
    </r>
    <r>
      <rPr>
        <sz val="11"/>
        <color theme="1"/>
        <rFont val="等线"/>
        <family val="2"/>
        <charset val="134"/>
        <scheme val="minor"/>
      </rPr>
      <t>。贵人助力直接转化为公开的荣耀与机遇，锦上添花。</t>
    </r>
  </si>
  <si>
    <t>被贵人直接举荐并获得重要奖项。</t>
  </si>
  <si>
    <r>
      <t>恩光+文昌/文曲</t>
    </r>
    <r>
      <rPr>
        <sz val="11"/>
        <color theme="1"/>
        <rFont val="等线"/>
        <family val="2"/>
        <charset val="134"/>
        <scheme val="minor"/>
      </rPr>
      <t>​</t>
    </r>
  </si>
  <si>
    <t>因文化、艺术、考试方面的卓越成就获得荣誉，荣耀带有文采。</t>
  </si>
  <si>
    <t>获得文学奖、书法大奖；高考状元。</t>
  </si>
  <si>
    <r>
      <t>恩光+左辅/右弼</t>
    </r>
    <r>
      <rPr>
        <sz val="11"/>
        <color theme="1"/>
        <rFont val="等线"/>
        <family val="2"/>
        <charset val="134"/>
        <scheme val="minor"/>
      </rPr>
      <t>​</t>
    </r>
  </si>
  <si>
    <t>因团队合作、众人帮助而获得集体荣誉，或荣誉能惠及多人。</t>
  </si>
  <si>
    <t>带领团队获得优秀团队奖；与同伴共享荣誉。</t>
  </si>
  <si>
    <r>
      <t>恩光+禄存/化禄</t>
    </r>
    <r>
      <rPr>
        <sz val="11"/>
        <color theme="1"/>
        <rFont val="等线"/>
        <family val="2"/>
        <charset val="134"/>
        <scheme val="minor"/>
      </rPr>
      <t>​</t>
    </r>
  </si>
  <si>
    <t>荣誉带来实质的财富奖励，名利双收。</t>
  </si>
  <si>
    <t>获得高额奖金；因获奖而代言费暴涨。</t>
  </si>
  <si>
    <r>
      <t>恩光+火星/铃星</t>
    </r>
    <r>
      <rPr>
        <sz val="11"/>
        <color theme="1"/>
        <rFont val="等线"/>
        <family val="2"/>
        <charset val="134"/>
        <scheme val="minor"/>
      </rPr>
      <t>​</t>
    </r>
  </si>
  <si>
    <t>荣誉得来突然或经过激烈竞争，可能伴随压力或争议。</t>
  </si>
  <si>
    <t>爆冷获奖；在竞赛中险胜后获荣誉。</t>
  </si>
  <si>
    <r>
      <t>恩光+擎羊/陀罗</t>
    </r>
    <r>
      <rPr>
        <sz val="11"/>
        <color theme="1"/>
        <rFont val="等线"/>
        <family val="2"/>
        <charset val="134"/>
        <scheme val="minor"/>
      </rPr>
      <t>​</t>
    </r>
  </si>
  <si>
    <t>荣誉得来不易，过程有波折或阻力；或因特殊技能（如外科、雕刻）获奖。</t>
  </si>
  <si>
    <t>历经磨难后终获认可；外科圣手获奖。</t>
  </si>
  <si>
    <r>
      <t>恩光+地空/地劫</t>
    </r>
    <r>
      <rPr>
        <sz val="11"/>
        <color theme="1"/>
        <rFont val="等线"/>
        <family val="2"/>
        <charset val="134"/>
        <scheme val="minor"/>
      </rPr>
      <t>​</t>
    </r>
  </si>
  <si>
    <t>荣誉具有创新性、独特性或非传统性；荣誉可能虚而不实。</t>
  </si>
  <si>
    <t>获得先锋艺术奖；获得名誉博士头衔。</t>
  </si>
  <si>
    <r>
      <t>恩光+天刑</t>
    </r>
    <r>
      <rPr>
        <sz val="11"/>
        <color theme="1"/>
        <rFont val="等线"/>
        <family val="2"/>
        <charset val="134"/>
        <scheme val="minor"/>
      </rPr>
      <t>​</t>
    </r>
  </si>
  <si>
    <t>因司法、纪律、规则方面的贡献获得荣誉；荣誉伴随强烈责任感。</t>
  </si>
  <si>
    <t>杰出法官奖；最佳纪律标兵。</t>
  </si>
  <si>
    <r>
      <t>恩光+天马</t>
    </r>
    <r>
      <rPr>
        <sz val="11"/>
        <color theme="1"/>
        <rFont val="等线"/>
        <family val="2"/>
        <charset val="134"/>
        <scheme val="minor"/>
      </rPr>
      <t>​</t>
    </r>
  </si>
  <si>
    <t>荣誉来自远方或异国，因移动、变动而获得名声。</t>
  </si>
  <si>
    <t>国际比赛获奖；因海外贡献获表彰。</t>
  </si>
  <si>
    <r>
      <t>1. “恩”与“光”</t>
    </r>
    <r>
      <rPr>
        <sz val="11"/>
        <color theme="1"/>
        <rFont val="等线"/>
        <family val="2"/>
        <charset val="134"/>
        <scheme val="minor"/>
      </rPr>
      <t>：恩光星包含“恩”（恩泽、提携）与“光”（光彩、荣耀）两层含义。其助力多来自</t>
    </r>
    <r>
      <rPr>
        <b/>
        <sz val="11"/>
        <color theme="1"/>
        <rFont val="等线"/>
        <family val="3"/>
        <charset val="134"/>
        <scheme val="minor"/>
      </rPr>
      <t>体制内、上层或正式渠道</t>
    </r>
    <r>
      <rPr>
        <sz val="11"/>
        <color theme="1"/>
        <rFont val="等线"/>
        <family val="2"/>
        <charset val="134"/>
        <scheme val="minor"/>
      </rPr>
      <t>，结果表现为</t>
    </r>
    <r>
      <rPr>
        <b/>
        <sz val="11"/>
        <color theme="1"/>
        <rFont val="等线"/>
        <family val="3"/>
        <charset val="134"/>
        <scheme val="minor"/>
      </rPr>
      <t>公开的荣誉</t>
    </r>
    <r>
      <rPr>
        <sz val="11"/>
        <color theme="1"/>
        <rFont val="等线"/>
        <family val="2"/>
        <charset val="134"/>
        <scheme val="minor"/>
      </rPr>
      <t>。</t>
    </r>
  </si>
  <si>
    <r>
      <t>2. 与“天贵”星的区别</t>
    </r>
    <r>
      <rPr>
        <sz val="11"/>
        <color theme="1"/>
        <rFont val="等线"/>
        <family val="2"/>
        <charset val="134"/>
        <scheme val="minor"/>
      </rPr>
      <t>：</t>
    </r>
    <r>
      <rPr>
        <b/>
        <sz val="11"/>
        <color theme="1"/>
        <rFont val="等线"/>
        <family val="3"/>
        <charset val="134"/>
        <scheme val="minor"/>
      </rPr>
      <t>恩光主“外显的荣耀”</t>
    </r>
    <r>
      <rPr>
        <sz val="11"/>
        <color theme="1"/>
        <rFont val="等线"/>
        <family val="2"/>
        <charset val="134"/>
        <scheme val="minor"/>
      </rPr>
      <t>，是公开的嘉奖、证书、名声；</t>
    </r>
    <r>
      <rPr>
        <b/>
        <sz val="11"/>
        <color theme="1"/>
        <rFont val="等线"/>
        <family val="3"/>
        <charset val="134"/>
        <scheme val="minor"/>
      </rPr>
      <t>天贵主“内在的贵气”</t>
    </r>
    <r>
      <rPr>
        <sz val="11"/>
        <color theme="1"/>
        <rFont val="等线"/>
        <family val="2"/>
        <charset val="134"/>
        <scheme val="minor"/>
      </rPr>
      <t>，是身份地位、后台靠山，不一定公开彰显。恩光是“锦上添花”，天贵是“雪中送炭”。</t>
    </r>
  </si>
  <si>
    <r>
      <t>3. 宫位定领域</t>
    </r>
    <r>
      <rPr>
        <sz val="11"/>
        <color theme="1"/>
        <rFont val="等线"/>
        <family val="2"/>
        <charset val="134"/>
        <scheme val="minor"/>
      </rPr>
      <t>：恩光星所在宫位，指示在人生的哪个领域最容易获得荣誉、赏识与公开的肯定。</t>
    </r>
  </si>
  <si>
    <r>
      <t>4. 四化引动</t>
    </r>
    <r>
      <rPr>
        <sz val="11"/>
        <color theme="1"/>
        <rFont val="等线"/>
        <family val="2"/>
        <charset val="134"/>
        <scheme val="minor"/>
      </rPr>
      <t>：见</t>
    </r>
    <r>
      <rPr>
        <b/>
        <sz val="11"/>
        <color theme="1"/>
        <rFont val="等线"/>
        <family val="3"/>
        <charset val="134"/>
        <scheme val="minor"/>
      </rPr>
      <t>化禄</t>
    </r>
    <r>
      <rPr>
        <sz val="11"/>
        <color theme="1"/>
        <rFont val="等线"/>
        <family val="2"/>
        <charset val="134"/>
        <scheme val="minor"/>
      </rPr>
      <t>，荣誉带来丰厚物质回报，名利双收。见</t>
    </r>
    <r>
      <rPr>
        <b/>
        <sz val="11"/>
        <color theme="1"/>
        <rFont val="等线"/>
        <family val="3"/>
        <charset val="134"/>
        <scheme val="minor"/>
      </rPr>
      <t>化权</t>
    </r>
    <r>
      <rPr>
        <sz val="11"/>
        <color theme="1"/>
        <rFont val="等线"/>
        <family val="2"/>
        <charset val="134"/>
        <scheme val="minor"/>
      </rPr>
      <t>，荣誉与权力、地位提升直接挂钩。见</t>
    </r>
    <r>
      <rPr>
        <b/>
        <sz val="11"/>
        <color theme="1"/>
        <rFont val="等线"/>
        <family val="3"/>
        <charset val="134"/>
        <scheme val="minor"/>
      </rPr>
      <t>化科</t>
    </r>
    <r>
      <rPr>
        <sz val="11"/>
        <color theme="1"/>
        <rFont val="等线"/>
        <family val="2"/>
        <charset val="134"/>
        <scheme val="minor"/>
      </rPr>
      <t>，荣誉实至名归，声名远播，形象光辉。见</t>
    </r>
    <r>
      <rPr>
        <b/>
        <sz val="11"/>
        <color theme="1"/>
        <rFont val="等线"/>
        <family val="3"/>
        <charset val="134"/>
        <scheme val="minor"/>
      </rPr>
      <t>化忌</t>
    </r>
    <r>
      <rPr>
        <sz val="11"/>
        <color theme="1"/>
        <rFont val="等线"/>
        <family val="2"/>
        <charset val="134"/>
        <scheme val="minor"/>
      </rPr>
      <t>，荣誉带来压力或虚名累身，甚至因名招妒惹祸。</t>
    </r>
  </si>
  <si>
    <t>一、红鸾定义</t>
  </si>
  <si>
    <t>婚姻、喜庆、感情机遇、人缘、血光</t>
  </si>
  <si>
    <t>象征正缘婚恋、人生喜庆之事，亦主良好人缘与异性缘。同时，作为“血星”之一，关联手术、生产等见血之事。</t>
  </si>
  <si>
    <t>乙级星，属阴水。主吉庆，但亦为“血星”，其具体显现需结合全盘星曜吉凶判断。</t>
  </si>
  <si>
    <r>
      <t>婚姻正缘</t>
    </r>
    <r>
      <rPr>
        <sz val="11"/>
        <color theme="1"/>
        <rFont val="等线"/>
        <family val="2"/>
        <charset val="134"/>
        <scheme val="minor"/>
      </rPr>
      <t>​</t>
    </r>
  </si>
  <si>
    <t>正式的婚姻信号，恋爱结婚的机遇，夫妻宫重要星曜。</t>
  </si>
  <si>
    <t>在命宫、夫妻宫、福德宫时尤为应验。</t>
  </si>
  <si>
    <r>
      <t>喜庆之事</t>
    </r>
    <r>
      <rPr>
        <sz val="11"/>
        <color theme="1"/>
        <rFont val="等线"/>
        <family val="2"/>
        <charset val="134"/>
        <scheme val="minor"/>
      </rPr>
      <t>​</t>
    </r>
  </si>
  <si>
    <t>添丁、升学、升职、乔迁、获奖等人生喜事。</t>
  </si>
  <si>
    <t>流年逢之，多有好事临门。</t>
  </si>
  <si>
    <r>
      <t>人缘魅力</t>
    </r>
    <r>
      <rPr>
        <sz val="11"/>
        <color theme="1"/>
        <rFont val="等线"/>
        <family val="2"/>
        <charset val="134"/>
        <scheme val="minor"/>
      </rPr>
      <t>​</t>
    </r>
  </si>
  <si>
    <t>招人喜欢，异性缘佳，社交活跃，有亲和力。</t>
  </si>
  <si>
    <t>在交友宫、迁移宫时显现。</t>
  </si>
  <si>
    <r>
      <t>感情机遇</t>
    </r>
    <r>
      <rPr>
        <sz val="11"/>
        <color theme="1"/>
        <rFont val="等线"/>
        <family val="2"/>
        <charset val="134"/>
        <scheme val="minor"/>
      </rPr>
      <t>​</t>
    </r>
  </si>
  <si>
    <t>带来恋爱机会、桃花缘分，但不一定都是正缘。</t>
  </si>
  <si>
    <t>在流年命宫、夫妻宫时易遇新感情。</t>
  </si>
  <si>
    <r>
      <t>血光之灾</t>
    </r>
    <r>
      <rPr>
        <sz val="11"/>
        <color theme="1"/>
        <rFont val="等线"/>
        <family val="2"/>
        <charset val="134"/>
        <scheme val="minor"/>
      </rPr>
      <t>​</t>
    </r>
  </si>
  <si>
    <t>作为“血星”，主手术、分娩、意外受伤等见血事件。</t>
  </si>
  <si>
    <t>与擎羊、天刑等星同度时力量增强。</t>
  </si>
  <si>
    <t>相貌讨喜，性格热情，异性缘佳，一生多喜庆机遇，亦需注意血光。</t>
  </si>
  <si>
    <t>兄弟姐妹中多早婚或人缘好；与同事、同学关系融洽。</t>
  </si>
  <si>
    <r>
      <t>核心宫位</t>
    </r>
    <r>
      <rPr>
        <sz val="11"/>
        <color theme="1"/>
        <rFont val="等线"/>
        <family val="2"/>
        <charset val="134"/>
        <scheme val="minor"/>
      </rPr>
      <t>。配偶貌美或有魅力，婚姻生活多情趣，为正式婚缘的标志。</t>
    </r>
  </si>
  <si>
    <t>子女可爱讨喜；有怀孕、生产之象；在娱乐、创作方面有喜事。</t>
  </si>
  <si>
    <t>钱财来源于与人缘、喜庆相关的行业（如婚庆、娱乐）；因喜事得财。</t>
  </si>
  <si>
    <t>注意与血液、生殖系统相关的疾病；有手术、生产之象。</t>
  </si>
  <si>
    <t>在外人缘好，易得异性帮助；外出易遇喜庆事或桃花。</t>
  </si>
  <si>
    <t>朋友多热情开朗，异性朋友多；社交圈中易遇桃花。</t>
  </si>
  <si>
    <t>事业上多应酬，工作环境异性多；职业可能与喜庆、美容相关。</t>
  </si>
  <si>
    <t>家庭氛围欢乐，常有喜事；可能经营与喜庆相关的店铺（如花店）。</t>
  </si>
  <si>
    <t>内心追求浪漫，重视感情生活，精神世界多情愫与喜悦。</t>
  </si>
  <si>
    <t>父母感情好，家庭和睦；父母可能是介绍姻缘的贵人。</t>
  </si>
  <si>
    <t>1. 吉庆增强组合</t>
  </si>
  <si>
    <r>
      <t>红鸾+天同</t>
    </r>
    <r>
      <rPr>
        <sz val="11"/>
        <color theme="1"/>
        <rFont val="等线"/>
        <family val="2"/>
        <charset val="134"/>
        <scheme val="minor"/>
      </rPr>
      <t>​</t>
    </r>
  </si>
  <si>
    <t>感情丰富，享受恋爱与婚姻生活，婚缘美满，多情趣。</t>
  </si>
  <si>
    <t>夫妻恩爱，生活充满小确幸。</t>
  </si>
  <si>
    <r>
      <t>红鸾+天相</t>
    </r>
    <r>
      <rPr>
        <sz val="11"/>
        <color theme="1"/>
        <rFont val="等线"/>
        <family val="2"/>
        <charset val="134"/>
        <scheme val="minor"/>
      </rPr>
      <t>​</t>
    </r>
  </si>
  <si>
    <t>婚姻对象端庄得体，婚姻仪式隆重美满，感情稳定。</t>
  </si>
  <si>
    <t>举办盛大婚礼；配偶形象好。</t>
  </si>
  <si>
    <r>
      <t>红鸾+太阳</t>
    </r>
    <r>
      <rPr>
        <sz val="11"/>
        <color theme="1"/>
        <rFont val="等线"/>
        <family val="2"/>
        <charset val="134"/>
        <scheme val="minor"/>
      </rPr>
      <t>​</t>
    </r>
  </si>
  <si>
    <t>感情公开、光明正大，婚恋受祝福，或因事业、公众形象带来姻缘。</t>
  </si>
  <si>
    <t>公众人物公开恋情；因工作结缘。</t>
  </si>
  <si>
    <r>
      <t>红鸾+太阴</t>
    </r>
    <r>
      <rPr>
        <sz val="11"/>
        <color theme="1"/>
        <rFont val="等线"/>
        <family val="2"/>
        <charset val="134"/>
        <scheme val="minor"/>
      </rPr>
      <t>​</t>
    </r>
  </si>
  <si>
    <t>感情细腻浪漫，带有文艺气息，婚缘温馨，易得异性暗中倾慕。</t>
  </si>
  <si>
    <t>写情书、诗歌传情；月光下的浪漫。</t>
  </si>
  <si>
    <r>
      <t>红鸾+紫微</t>
    </r>
    <r>
      <rPr>
        <sz val="11"/>
        <color theme="1"/>
        <rFont val="等线"/>
        <family val="2"/>
        <charset val="134"/>
        <scheme val="minor"/>
      </rPr>
      <t>​</t>
    </r>
  </si>
  <si>
    <t>配偶有领导力或家世好，婚姻带来地位提升，婚礼气派。</t>
  </si>
  <si>
    <t>与条件优越的对象结婚；举办豪华婚礼。</t>
  </si>
  <si>
    <t>2. 感情复杂组合</t>
  </si>
  <si>
    <r>
      <t>红鸾+贪狼</t>
    </r>
    <r>
      <rPr>
        <sz val="11"/>
        <color theme="1"/>
        <rFont val="等线"/>
        <family val="2"/>
        <charset val="134"/>
        <scheme val="minor"/>
      </rPr>
      <t>​</t>
    </r>
  </si>
  <si>
    <r>
      <t>标准桃花组合</t>
    </r>
    <r>
      <rPr>
        <sz val="11"/>
        <color theme="1"/>
        <rFont val="等线"/>
        <family val="2"/>
        <charset val="134"/>
        <scheme val="minor"/>
      </rPr>
      <t>。感情机会多，欲望强烈，易有复杂恋情或婚外情。</t>
    </r>
  </si>
  <si>
    <t>风流多情，恋情不断，难定于一人。</t>
  </si>
  <si>
    <r>
      <t>红鸾+廉贞</t>
    </r>
    <r>
      <rPr>
        <sz val="11"/>
        <color theme="1"/>
        <rFont val="等线"/>
        <family val="2"/>
        <charset val="134"/>
        <scheme val="minor"/>
      </rPr>
      <t>​</t>
    </r>
  </si>
  <si>
    <t>感情浓烈而执著，易陷入复杂、秘密或不被世俗认可的感情。</t>
  </si>
  <si>
    <t>不伦之恋；政治联姻；为情所困。</t>
  </si>
  <si>
    <r>
      <t>红鸾+七杀</t>
    </r>
    <r>
      <rPr>
        <sz val="11"/>
        <color theme="1"/>
        <rFont val="等线"/>
        <family val="2"/>
        <charset val="134"/>
        <scheme val="minor"/>
      </rPr>
      <t>​</t>
    </r>
  </si>
  <si>
    <t>感情来得突然、激烈，闪婚或一见钟情，但也易突然分手或冲突。</t>
  </si>
  <si>
    <t>闪电结婚；因激烈争吵而分手。</t>
  </si>
  <si>
    <r>
      <t>红鸾+破军</t>
    </r>
    <r>
      <rPr>
        <sz val="11"/>
        <color theme="1"/>
        <rFont val="等线"/>
        <family val="2"/>
        <charset val="134"/>
        <scheme val="minor"/>
      </rPr>
      <t>​</t>
    </r>
  </si>
  <si>
    <t>感情具有破坏性，先破后成，如离婚后再婚，或恋爱过程波折重重。</t>
  </si>
  <si>
    <t>经历失败婚姻后找到真爱。</t>
  </si>
  <si>
    <r>
      <t>红鸾+巨门</t>
    </r>
    <r>
      <rPr>
        <sz val="11"/>
        <color theme="1"/>
        <rFont val="等线"/>
        <family val="2"/>
        <charset val="134"/>
        <scheme val="minor"/>
      </rPr>
      <t>​</t>
    </r>
  </si>
  <si>
    <t>感情中多口舌是非、隐瞒或沟通障碍，易因言语伤害感情。</t>
  </si>
  <si>
    <t>夫妻常吵架；恋情遭人非议。</t>
  </si>
  <si>
    <r>
      <t>红鸾+天喜</t>
    </r>
    <r>
      <rPr>
        <sz val="11"/>
        <color theme="1"/>
        <rFont val="等线"/>
        <family val="2"/>
        <charset val="134"/>
        <scheme val="minor"/>
      </rPr>
      <t>​</t>
    </r>
  </si>
  <si>
    <r>
      <t>对星，力量倍增</t>
    </r>
    <r>
      <rPr>
        <sz val="11"/>
        <color theme="1"/>
        <rFont val="等线"/>
        <family val="2"/>
        <charset val="134"/>
        <scheme val="minor"/>
      </rPr>
      <t>。大喜之兆，婚庆之事力量极强，亦强化血光（如生产）。</t>
    </r>
  </si>
  <si>
    <t>双喜临门；结婚生子同年发生。</t>
  </si>
  <si>
    <r>
      <t>红鸾+文昌/文曲</t>
    </r>
    <r>
      <rPr>
        <sz val="11"/>
        <color theme="1"/>
        <rFont val="等线"/>
        <family val="2"/>
        <charset val="134"/>
        <scheme val="minor"/>
      </rPr>
      <t>​</t>
    </r>
  </si>
  <si>
    <t>才子佳人式浪漫，通过文艺方式传情，感情风雅。</t>
  </si>
  <si>
    <t>因诗书、音乐结缘；写情书恋爱。</t>
  </si>
  <si>
    <r>
      <t>红鸾+天姚</t>
    </r>
    <r>
      <rPr>
        <sz val="11"/>
        <color theme="1"/>
        <rFont val="等线"/>
        <family val="2"/>
        <charset val="134"/>
        <scheme val="minor"/>
      </rPr>
      <t>​</t>
    </r>
  </si>
  <si>
    <r>
      <t>桃花力量极强</t>
    </r>
    <r>
      <rPr>
        <sz val="11"/>
        <color theme="1"/>
        <rFont val="等线"/>
        <family val="2"/>
        <charset val="134"/>
        <scheme val="minor"/>
      </rPr>
      <t>。感情机遇多但多偏桃花，重情欲，易有风流韵事。</t>
    </r>
  </si>
  <si>
    <t>四处留情；卷入多角关系。</t>
  </si>
  <si>
    <r>
      <t>红鸾+咸池</t>
    </r>
    <r>
      <rPr>
        <sz val="11"/>
        <color theme="1"/>
        <rFont val="等线"/>
        <family val="2"/>
        <charset val="134"/>
        <scheme val="minor"/>
      </rPr>
      <t>​</t>
    </r>
  </si>
  <si>
    <t>增加异性吸引力，但多为露水情缘，易有酒色之事。</t>
  </si>
  <si>
    <t>一夜情；因娱乐场所结识桃花。</t>
  </si>
  <si>
    <r>
      <t>红鸾+火星</t>
    </r>
    <r>
      <rPr>
        <sz val="11"/>
        <color theme="1"/>
        <rFont val="等线"/>
        <family val="2"/>
        <charset val="134"/>
        <scheme val="minor"/>
      </rPr>
      <t>​</t>
    </r>
  </si>
  <si>
    <t>感情来得快、去得快，闪恋闪分；或因冲动发生关系；手术急症。</t>
  </si>
  <si>
    <t>快速恋爱同居；急性阑尾炎手术。</t>
  </si>
  <si>
    <r>
      <t>红鸾+铃星</t>
    </r>
    <r>
      <rPr>
        <sz val="11"/>
        <color theme="1"/>
        <rFont val="等线"/>
        <family val="2"/>
        <charset val="134"/>
        <scheme val="minor"/>
      </rPr>
      <t>​</t>
    </r>
  </si>
  <si>
    <t>感情纠缠、暗恋、相思苦；手术慢性或需要反复进行。</t>
  </si>
  <si>
    <t>苦恋无果；慢性病需要多次治疗。</t>
  </si>
  <si>
    <r>
      <t>红鸾+擎羊</t>
    </r>
    <r>
      <rPr>
        <sz val="11"/>
        <color theme="1"/>
        <rFont val="等线"/>
        <family val="2"/>
        <charset val="134"/>
        <scheme val="minor"/>
      </rPr>
      <t>​</t>
    </r>
  </si>
  <si>
    <t>感情竞争、争夺；婚姻中有冲突；手术带切割、流血性质。</t>
  </si>
  <si>
    <t>三角恋争斗；剖腹产；外科手术。</t>
  </si>
  <si>
    <r>
      <t>红鸾+陀罗</t>
    </r>
    <r>
      <rPr>
        <sz val="11"/>
        <color theme="1"/>
        <rFont val="等线"/>
        <family val="2"/>
        <charset val="134"/>
        <scheme val="minor"/>
      </rPr>
      <t>​</t>
    </r>
  </si>
  <si>
    <t>感情拖延、反复、旧情难忘；手术过程拖延或后遗症。</t>
  </si>
  <si>
    <t>与前任分分合合；手术恢复慢。</t>
  </si>
  <si>
    <r>
      <t>红鸾+地空/地劫</t>
    </r>
    <r>
      <rPr>
        <sz val="11"/>
        <color theme="1"/>
        <rFont val="等线"/>
        <family val="2"/>
        <charset val="134"/>
        <scheme val="minor"/>
      </rPr>
      <t>​</t>
    </r>
  </si>
  <si>
    <t>感情理想化、不切实际，易落空；或婚姻有聚少离多之象。</t>
  </si>
  <si>
    <t>网恋见光死；与配偶两地分居。</t>
  </si>
  <si>
    <r>
      <t>红鸾+天刑</t>
    </r>
    <r>
      <rPr>
        <sz val="11"/>
        <color theme="1"/>
        <rFont val="等线"/>
        <family val="2"/>
        <charset val="134"/>
        <scheme val="minor"/>
      </rPr>
      <t>​</t>
    </r>
  </si>
  <si>
    <t>感情受法律、纪律约束；奉子成婚；手术必然发生。</t>
  </si>
  <si>
    <t>登记结婚；因怀孕而结婚；计划性手术。</t>
  </si>
  <si>
    <r>
      <t>1. “正”与“偏”</t>
    </r>
    <r>
      <rPr>
        <sz val="11"/>
        <color theme="1"/>
        <rFont val="等线"/>
        <family val="2"/>
        <charset val="134"/>
        <scheme val="minor"/>
      </rPr>
      <t>：红鸾本质主</t>
    </r>
    <r>
      <rPr>
        <b/>
        <sz val="11"/>
        <color theme="1"/>
        <rFont val="等线"/>
        <family val="3"/>
        <charset val="134"/>
        <scheme val="minor"/>
      </rPr>
      <t>正缘喜庆</t>
    </r>
    <r>
      <rPr>
        <sz val="11"/>
        <color theme="1"/>
        <rFont val="等线"/>
        <family val="2"/>
        <charset val="134"/>
        <scheme val="minor"/>
      </rPr>
      <t>，但遇煞星或桃花星（如天姚、贪狼）则转化为</t>
    </r>
    <r>
      <rPr>
        <b/>
        <sz val="11"/>
        <color theme="1"/>
        <rFont val="等线"/>
        <family val="3"/>
        <charset val="134"/>
        <scheme val="minor"/>
      </rPr>
      <t>偏桃花</t>
    </r>
    <r>
      <rPr>
        <sz val="11"/>
        <color theme="1"/>
        <rFont val="等线"/>
        <family val="2"/>
        <charset val="134"/>
        <scheme val="minor"/>
      </rPr>
      <t>。需结合全盘判断其感情性质。</t>
    </r>
  </si>
  <si>
    <r>
      <t>2. “喜”与“血”</t>
    </r>
    <r>
      <rPr>
        <sz val="11"/>
        <color theme="1"/>
        <rFont val="等线"/>
        <family val="2"/>
        <charset val="134"/>
        <scheme val="minor"/>
      </rPr>
      <t>：红鸾具有双重性，既主</t>
    </r>
    <r>
      <rPr>
        <b/>
        <sz val="11"/>
        <color theme="1"/>
        <rFont val="等线"/>
        <family val="3"/>
        <charset val="134"/>
        <scheme val="minor"/>
      </rPr>
      <t>婚恋喜庆</t>
    </r>
    <r>
      <rPr>
        <sz val="11"/>
        <color theme="1"/>
        <rFont val="等线"/>
        <family val="2"/>
        <charset val="134"/>
        <scheme val="minor"/>
      </rPr>
      <t>，亦主</t>
    </r>
    <r>
      <rPr>
        <b/>
        <sz val="11"/>
        <color theme="1"/>
        <rFont val="等线"/>
        <family val="3"/>
        <charset val="134"/>
        <scheme val="minor"/>
      </rPr>
      <t>血光</t>
    </r>
    <r>
      <rPr>
        <sz val="11"/>
        <color theme="1"/>
        <rFont val="等线"/>
        <family val="2"/>
        <charset val="134"/>
        <scheme val="minor"/>
      </rPr>
      <t>（尤其是与天喜同度时）。在疾厄宫、官禄宫（身体工作）或逢忌煞时，需重点注意血光。</t>
    </r>
  </si>
  <si>
    <r>
      <t>3. 与“天喜”星的区别</t>
    </r>
    <r>
      <rPr>
        <sz val="11"/>
        <color theme="1"/>
        <rFont val="等线"/>
        <family val="2"/>
        <charset val="134"/>
        <scheme val="minor"/>
      </rPr>
      <t>：</t>
    </r>
    <r>
      <rPr>
        <b/>
        <sz val="11"/>
        <color theme="1"/>
        <rFont val="等线"/>
        <family val="3"/>
        <charset val="134"/>
        <scheme val="minor"/>
      </rPr>
      <t>红鸾主“婚姻人缘”</t>
    </r>
    <r>
      <rPr>
        <sz val="11"/>
        <color theme="1"/>
        <rFont val="等线"/>
        <family val="2"/>
        <charset val="134"/>
        <scheme val="minor"/>
      </rPr>
      <t>，是直接的婚恋信号与人际魅力；</t>
    </r>
    <r>
      <rPr>
        <b/>
        <sz val="11"/>
        <color theme="1"/>
        <rFont val="等线"/>
        <family val="3"/>
        <charset val="134"/>
        <scheme val="minor"/>
      </rPr>
      <t>天喜主“喜庆添丁”</t>
    </r>
    <r>
      <rPr>
        <sz val="11"/>
        <color theme="1"/>
        <rFont val="等线"/>
        <family val="2"/>
        <charset val="134"/>
        <scheme val="minor"/>
      </rPr>
      <t>，范围更广，包括一切吉庆之事及生育。红鸾是“因”，天喜是“果”，常对照参看。</t>
    </r>
  </si>
  <si>
    <r>
      <t>4. 宫位定领域</t>
    </r>
    <r>
      <rPr>
        <sz val="11"/>
        <color theme="1"/>
        <rFont val="等线"/>
        <family val="2"/>
        <charset val="134"/>
        <scheme val="minor"/>
      </rPr>
      <t>：红鸾星所在宫位，指示在人生的哪个领域最容易发生喜庆之事、遇到感情机遇，或需要注意血光。</t>
    </r>
  </si>
  <si>
    <r>
      <t>5. 四化引动</t>
    </r>
    <r>
      <rPr>
        <sz val="11"/>
        <color theme="1"/>
        <rFont val="等线"/>
        <family val="2"/>
        <charset val="134"/>
        <scheme val="minor"/>
      </rPr>
      <t>：见</t>
    </r>
    <r>
      <rPr>
        <b/>
        <sz val="11"/>
        <color theme="1"/>
        <rFont val="等线"/>
        <family val="3"/>
        <charset val="134"/>
        <scheme val="minor"/>
      </rPr>
      <t>化禄</t>
    </r>
    <r>
      <rPr>
        <sz val="11"/>
        <color theme="1"/>
        <rFont val="等线"/>
        <family val="2"/>
        <charset val="134"/>
        <scheme val="minor"/>
      </rPr>
      <t>，感情发展顺利，喜事临门，人缘财旺。见</t>
    </r>
    <r>
      <rPr>
        <b/>
        <sz val="11"/>
        <color theme="1"/>
        <rFont val="等线"/>
        <family val="3"/>
        <charset val="134"/>
        <scheme val="minor"/>
      </rPr>
      <t>化权</t>
    </r>
    <r>
      <rPr>
        <sz val="11"/>
        <color theme="1"/>
        <rFont val="等线"/>
        <family val="2"/>
        <charset val="134"/>
        <scheme val="minor"/>
      </rPr>
      <t>，对感情积极争取，婚事主导权强，或手术成功。见</t>
    </r>
    <r>
      <rPr>
        <b/>
        <sz val="11"/>
        <color theme="1"/>
        <rFont val="等线"/>
        <family val="3"/>
        <charset val="134"/>
        <scheme val="minor"/>
      </rPr>
      <t>化科</t>
    </r>
    <r>
      <rPr>
        <sz val="11"/>
        <color theme="1"/>
        <rFont val="等线"/>
        <family val="2"/>
        <charset val="134"/>
        <scheme val="minor"/>
      </rPr>
      <t>，感情美好受人称羡，婚礼体面，名声好。见</t>
    </r>
    <r>
      <rPr>
        <b/>
        <sz val="11"/>
        <color theme="1"/>
        <rFont val="等线"/>
        <family val="3"/>
        <charset val="134"/>
        <scheme val="minor"/>
      </rPr>
      <t>化忌</t>
    </r>
    <r>
      <rPr>
        <sz val="11"/>
        <color theme="1"/>
        <rFont val="等线"/>
        <family val="2"/>
        <charset val="134"/>
        <scheme val="minor"/>
      </rPr>
      <t>，感情有憾，喜事生变，为情所伤，或手术不顺利。</t>
    </r>
  </si>
  <si>
    <t>一、天喜定义</t>
  </si>
  <si>
    <t>喜庆、添丁、婚姻、吉庆、缘分、血光</t>
  </si>
  <si>
    <t>象征一切吉祥喜庆之事，尤指生育、婚嫁等人生乐事。亦能催化缘分，带来积极乐观的情绪。同时，作为“血星”之一，关联生产、手术等见血之事。</t>
  </si>
  <si>
    <t>乙级星，属阳水。主吉庆，但亦为“血星”，其具体显现需结合全盘星曜吉凶判断。</t>
  </si>
  <si>
    <r>
      <t>添丁之喜</t>
    </r>
    <r>
      <rPr>
        <sz val="11"/>
        <color theme="1"/>
        <rFont val="等线"/>
        <family val="2"/>
        <charset val="134"/>
        <scheme val="minor"/>
      </rPr>
      <t>​</t>
    </r>
  </si>
  <si>
    <t>怀孕、生子、收养子女，家族增添人口。</t>
  </si>
  <si>
    <t>在子女宫、田宅宫时尤为应验。</t>
  </si>
  <si>
    <r>
      <t>婚姻喜庆</t>
    </r>
    <r>
      <rPr>
        <sz val="11"/>
        <color theme="1"/>
        <rFont val="等线"/>
        <family val="2"/>
        <charset val="134"/>
        <scheme val="minor"/>
      </rPr>
      <t>​</t>
    </r>
  </si>
  <si>
    <t>结婚、订婚、举办庆典，感情关系确立的喜悦。</t>
  </si>
  <si>
    <t>在夫妻宫、命宫时力量强。</t>
  </si>
  <si>
    <r>
      <t>吉庆之事</t>
    </r>
    <r>
      <rPr>
        <sz val="11"/>
        <color theme="1"/>
        <rFont val="等线"/>
        <family val="2"/>
        <charset val="134"/>
        <scheme val="minor"/>
      </rPr>
      <t>​</t>
    </r>
  </si>
  <si>
    <t>升学、晋升、乔迁、寿诞、获奖等一切值得庆祝的好事。</t>
  </si>
  <si>
    <t>流年逢之，多有喜事。</t>
  </si>
  <si>
    <r>
      <t>催化缘分</t>
    </r>
    <r>
      <rPr>
        <sz val="11"/>
        <color theme="1"/>
        <rFont val="等线"/>
        <family val="2"/>
        <charset val="134"/>
        <scheme val="minor"/>
      </rPr>
      <t>​</t>
    </r>
  </si>
  <si>
    <t>促进人际关系的和谐与发展，带来合作机遇与桃花。</t>
  </si>
  <si>
    <t>在交友、迁移宫时，人缘变佳。</t>
  </si>
  <si>
    <r>
      <t>乐观情绪</t>
    </r>
    <r>
      <rPr>
        <sz val="11"/>
        <color theme="1"/>
        <rFont val="等线"/>
        <family val="2"/>
        <charset val="134"/>
        <scheme val="minor"/>
      </rPr>
      <t>​</t>
    </r>
  </si>
  <si>
    <t>使人心情愉悦、积极开朗，有化解忧愁的作用。</t>
  </si>
  <si>
    <t>在福德宫时，精神乐观。</t>
  </si>
  <si>
    <r>
      <t>血光关联</t>
    </r>
    <r>
      <rPr>
        <sz val="11"/>
        <color theme="1"/>
        <rFont val="等线"/>
        <family val="2"/>
        <charset val="134"/>
        <scheme val="minor"/>
      </rPr>
      <t>​</t>
    </r>
  </si>
  <si>
    <t>作为“血星”，主生育分娩、必要的手术等“喜事见血”。</t>
  </si>
  <si>
    <t>与红鸾、擎羊等同度时需注意。</t>
  </si>
  <si>
    <t>性格乐观讨喜，一生多喜庆机遇，易有添丁等喜事，人缘佳。</t>
  </si>
  <si>
    <t>兄弟姐妹中多喜事，或与同事、同学关系融洽，团队气氛欢乐。</t>
  </si>
  <si>
    <t>婚姻生活和谐愉快，配偶性格开朗，能带来喜悦；利怀孕。</t>
  </si>
  <si>
    <r>
      <t>核心宫位</t>
    </r>
    <r>
      <rPr>
        <sz val="11"/>
        <color theme="1"/>
        <rFont val="等线"/>
        <family val="2"/>
        <charset val="134"/>
        <scheme val="minor"/>
      </rPr>
      <t>。易怀孕得子，子女活泼可爱；在娱乐、创作方面有喜事。</t>
    </r>
  </si>
  <si>
    <t>钱财来源于喜庆行业（如母婴、婚庆）；因喜事得财或破财。</t>
  </si>
  <si>
    <t>心态好利于康复；注意与生育、血液相关疾病；有生产、手术之象。</t>
  </si>
  <si>
    <t>在外发展多遇好事，出行愉快，易得他人友好相助。</t>
  </si>
  <si>
    <t>朋友多乐观积极，社交圈常办喜事；易通过朋友介绍认识缘分。</t>
  </si>
  <si>
    <t>工作环境气氛好，事业上多庆典、获奖等喜事；职业可能与喜庆相关。</t>
  </si>
  <si>
    <t>家庭和睦，常有喜事临门；购置房产、家居装修等乔迁之喜。</t>
  </si>
  <si>
    <t>内心常怀喜悦，精神乐观，懂得享受生活乐趣。</t>
  </si>
  <si>
    <t>父母关系融洽，家庭温暖；易得长辈馈赠或分享其喜事。</t>
  </si>
  <si>
    <r>
      <t>天喜+天同</t>
    </r>
    <r>
      <rPr>
        <sz val="11"/>
        <color theme="1"/>
        <rFont val="等线"/>
        <family val="2"/>
        <charset val="134"/>
        <scheme val="minor"/>
      </rPr>
      <t>​</t>
    </r>
  </si>
  <si>
    <t>福气加倍，生活多乐事，享受天伦之乐，婚育美满。</t>
  </si>
  <si>
    <t>家庭幸福，儿孙满堂，其乐融融。</t>
  </si>
  <si>
    <r>
      <t>天喜+太阳</t>
    </r>
    <r>
      <rPr>
        <sz val="11"/>
        <color theme="1"/>
        <rFont val="等线"/>
        <family val="2"/>
        <charset val="134"/>
        <scheme val="minor"/>
      </rPr>
      <t>​</t>
    </r>
  </si>
  <si>
    <t>喜事公开、盛大，受人瞩目与祝福，因事业、公众活动带来喜悦。</t>
  </si>
  <si>
    <t>举办盛大婚礼；公司上市庆典。</t>
  </si>
  <si>
    <r>
      <t>天喜+天梁</t>
    </r>
    <r>
      <rPr>
        <sz val="11"/>
        <color theme="1"/>
        <rFont val="等线"/>
        <family val="2"/>
        <charset val="134"/>
        <scheme val="minor"/>
      </rPr>
      <t>​</t>
    </r>
  </si>
  <si>
    <t>喜庆之事带有荫庇、传统色彩，如传统婚礼、老年得子、宗教庆典。</t>
  </si>
  <si>
    <t>举办中式传统婚礼；寺庙开光法喜。</t>
  </si>
  <si>
    <r>
      <t>天喜+紫微</t>
    </r>
    <r>
      <rPr>
        <sz val="11"/>
        <color theme="1"/>
        <rFont val="等线"/>
        <family val="2"/>
        <charset val="134"/>
        <scheme val="minor"/>
      </rPr>
      <t>​</t>
    </r>
  </si>
  <si>
    <t>喜事隆重而有面子，能提升地位与尊严，如皇家婚礼、公司庆典。</t>
  </si>
  <si>
    <t>世纪婚礼；公司举办大型庆功宴。</t>
  </si>
  <si>
    <r>
      <t>天喜+天府</t>
    </r>
    <r>
      <rPr>
        <sz val="11"/>
        <color theme="1"/>
        <rFont val="等线"/>
        <family val="2"/>
        <charset val="134"/>
        <scheme val="minor"/>
      </rPr>
      <t>​</t>
    </r>
  </si>
  <si>
    <t>喜事稳重而丰足，多为实质性的家庭喜事，如置业、家族添丁。</t>
  </si>
  <si>
    <t>购置豪宅；家族迎来新成员。</t>
  </si>
  <si>
    <t>2. 喜庆带变动组合</t>
  </si>
  <si>
    <r>
      <t>天喜+七杀</t>
    </r>
    <r>
      <rPr>
        <sz val="11"/>
        <color theme="1"/>
        <rFont val="等线"/>
        <family val="2"/>
        <charset val="134"/>
        <scheme val="minor"/>
      </rPr>
      <t>​</t>
    </r>
  </si>
  <si>
    <t>喜事来得突然、出人意料，闪婚闪孕，但过程可能伴随紧张。</t>
  </si>
  <si>
    <t>意外怀孕；突然决定结婚。</t>
  </si>
  <si>
    <r>
      <t>天喜+破军</t>
    </r>
    <r>
      <rPr>
        <sz val="11"/>
        <color theme="1"/>
        <rFont val="等线"/>
        <family val="2"/>
        <charset val="134"/>
        <scheme val="minor"/>
      </rPr>
      <t>​</t>
    </r>
  </si>
  <si>
    <t>喜事伴随破旧立新，如离婚后怀孕、拆迁后乔迁，先破后成之喜。</t>
  </si>
  <si>
    <t>再婚后生子；旧屋翻新后入住。</t>
  </si>
  <si>
    <r>
      <t>天喜+贪狼</t>
    </r>
    <r>
      <rPr>
        <sz val="11"/>
        <color theme="1"/>
        <rFont val="等线"/>
        <family val="2"/>
        <charset val="134"/>
        <scheme val="minor"/>
      </rPr>
      <t>​</t>
    </r>
  </si>
  <si>
    <t>喜事与欲望、享乐相关，如因桃花得子，或因娱乐活动获奖。</t>
  </si>
  <si>
    <t>奉子成婚；在派对中中奖。</t>
  </si>
  <si>
    <r>
      <t>天喜+廉贞</t>
    </r>
    <r>
      <rPr>
        <sz val="11"/>
        <color theme="1"/>
        <rFont val="等线"/>
        <family val="2"/>
        <charset val="134"/>
        <scheme val="minor"/>
      </rPr>
      <t>​</t>
    </r>
  </si>
  <si>
    <t>喜事可能涉及复杂人际关系或秘密，如政治联姻、非公开庆祝。</t>
  </si>
  <si>
    <t>秘密结婚；为特殊目的联姻。</t>
  </si>
  <si>
    <r>
      <t>天喜+天机</t>
    </r>
    <r>
      <rPr>
        <sz val="11"/>
        <color theme="1"/>
        <rFont val="等线"/>
        <family val="2"/>
        <charset val="134"/>
        <scheme val="minor"/>
      </rPr>
      <t>​</t>
    </r>
  </si>
  <si>
    <t>喜事与计划、变动相关，如旅行结婚、因工作调动乔迁。</t>
  </si>
  <si>
    <t>旅行中怀孕；因升职搬家。</t>
  </si>
  <si>
    <r>
      <t>天喜+红鸾</t>
    </r>
    <r>
      <rPr>
        <sz val="11"/>
        <color theme="1"/>
        <rFont val="等线"/>
        <family val="2"/>
        <charset val="134"/>
        <scheme val="minor"/>
      </rPr>
      <t>​</t>
    </r>
  </si>
  <si>
    <r>
      <t>对星，力量倍增</t>
    </r>
    <r>
      <rPr>
        <sz val="11"/>
        <color theme="1"/>
        <rFont val="等线"/>
        <family val="2"/>
        <charset val="134"/>
        <scheme val="minor"/>
      </rPr>
      <t>。大喜之兆，婚育之力极强，亦强化血光（如生产）。</t>
    </r>
  </si>
  <si>
    <t>结婚生子双喜临门；举办隆重婚礼。</t>
  </si>
  <si>
    <r>
      <t>天喜+文昌/文曲</t>
    </r>
    <r>
      <rPr>
        <sz val="11"/>
        <color theme="1"/>
        <rFont val="等线"/>
        <family val="2"/>
        <charset val="134"/>
        <scheme val="minor"/>
      </rPr>
      <t>​</t>
    </r>
  </si>
  <si>
    <t>喜事文雅、有文化气息，如书香门第添丁、文化奖项、文艺婚礼。</t>
  </si>
  <si>
    <t>生下聪明宝宝；获得文学奖。</t>
  </si>
  <si>
    <r>
      <t>天喜+天姚/咸池</t>
    </r>
    <r>
      <rPr>
        <sz val="11"/>
        <color theme="1"/>
        <rFont val="等线"/>
        <family val="2"/>
        <charset val="134"/>
        <scheme val="minor"/>
      </rPr>
      <t>​</t>
    </r>
  </si>
  <si>
    <t>喜事带桃花色彩，易因风流韵事引发喜庆，如非计划怀孕。</t>
  </si>
  <si>
    <t>因桃花事件奉子成婚。</t>
  </si>
  <si>
    <r>
      <t>天喜+左辅/右弼</t>
    </r>
    <r>
      <rPr>
        <sz val="11"/>
        <color theme="1"/>
        <rFont val="等线"/>
        <family val="2"/>
        <charset val="134"/>
        <scheme val="minor"/>
      </rPr>
      <t>​</t>
    </r>
  </si>
  <si>
    <t>喜事得众人相助，场面热闹；多子多福之象。</t>
  </si>
  <si>
    <t>婚礼宾客盈门；家族人丁兴旺。</t>
  </si>
  <si>
    <r>
      <t>天喜+火星</t>
    </r>
    <r>
      <rPr>
        <sz val="11"/>
        <color theme="1"/>
        <rFont val="等线"/>
        <family val="2"/>
        <charset val="134"/>
        <scheme val="minor"/>
      </rPr>
      <t>​</t>
    </r>
  </si>
  <si>
    <t>喜事来得急、办得快，闪婚闪孕；喜庆场合易有突发小状况。</t>
  </si>
  <si>
    <t>快速筹备婚礼；喜宴上小意外。</t>
  </si>
  <si>
    <r>
      <t>天喜+铃星</t>
    </r>
    <r>
      <rPr>
        <sz val="11"/>
        <color theme="1"/>
        <rFont val="等线"/>
        <family val="2"/>
        <charset val="134"/>
        <scheme val="minor"/>
      </rPr>
      <t>​</t>
    </r>
  </si>
  <si>
    <t>喜事筹备过程有拖延或小烦恼，但终能成喜；慢性调理后怀孕。</t>
  </si>
  <si>
    <t>婚礼延期但最终圆满；调理身体后得子。</t>
  </si>
  <si>
    <r>
      <t>天喜+擎羊</t>
    </r>
    <r>
      <rPr>
        <sz val="11"/>
        <color theme="1"/>
        <rFont val="等线"/>
        <family val="2"/>
        <charset val="134"/>
        <scheme val="minor"/>
      </rPr>
      <t>​</t>
    </r>
  </si>
  <si>
    <t>喜事伴随竞争或必要切割，如剖腹产、婚礼筹备中的争执。</t>
  </si>
  <si>
    <t>选择吉日剖腹产；婚事有分歧但解决。</t>
  </si>
  <si>
    <r>
      <t>天喜+陀罗</t>
    </r>
    <r>
      <rPr>
        <sz val="11"/>
        <color theme="1"/>
        <rFont val="等线"/>
        <family val="2"/>
        <charset val="134"/>
        <scheme val="minor"/>
      </rPr>
      <t>​</t>
    </r>
  </si>
  <si>
    <t>喜事反复、拖延，旧情复燃结婚；生产过程较长。</t>
  </si>
  <si>
    <t>与前任复合结婚；产程较长。</t>
  </si>
  <si>
    <r>
      <t>天喜+地空/地劫</t>
    </r>
    <r>
      <rPr>
        <sz val="11"/>
        <color theme="1"/>
        <rFont val="等线"/>
        <family val="2"/>
        <charset val="134"/>
        <scheme val="minor"/>
      </rPr>
      <t>​</t>
    </r>
  </si>
  <si>
    <t>喜事带有理想化色彩或意外性，如旅行中意外怀孕；喜事花费超支。</t>
  </si>
  <si>
    <t>蜜月宝宝；婚礼预算大幅超支。</t>
  </si>
  <si>
    <r>
      <t>天喜+天刑</t>
    </r>
    <r>
      <rPr>
        <sz val="11"/>
        <color theme="1"/>
        <rFont val="等线"/>
        <family val="2"/>
        <charset val="134"/>
        <scheme val="minor"/>
      </rPr>
      <t>​</t>
    </r>
  </si>
  <si>
    <t>喜事受法律或规则约束，如登记结婚、计划性剖腹产。</t>
  </si>
  <si>
    <t>依法办理结婚登记；预约手术生产。</t>
  </si>
  <si>
    <r>
      <t>1. “喜”之范围</t>
    </r>
    <r>
      <rPr>
        <sz val="11"/>
        <color theme="1"/>
        <rFont val="等线"/>
        <family val="2"/>
        <charset val="134"/>
        <scheme val="minor"/>
      </rPr>
      <t>：天喜星主</t>
    </r>
    <r>
      <rPr>
        <b/>
        <sz val="11"/>
        <color theme="1"/>
        <rFont val="等线"/>
        <family val="3"/>
        <charset val="134"/>
        <scheme val="minor"/>
      </rPr>
      <t>一切吉庆之事</t>
    </r>
    <r>
      <rPr>
        <sz val="11"/>
        <color theme="1"/>
        <rFont val="等线"/>
        <family val="2"/>
        <charset val="134"/>
        <scheme val="minor"/>
      </rPr>
      <t>，范围比红鸾更广。红鸾更侧重于</t>
    </r>
    <r>
      <rPr>
        <b/>
        <sz val="11"/>
        <color theme="1"/>
        <rFont val="等线"/>
        <family val="3"/>
        <charset val="134"/>
        <scheme val="minor"/>
      </rPr>
      <t>婚姻人缘</t>
    </r>
    <r>
      <rPr>
        <sz val="11"/>
        <color theme="1"/>
        <rFont val="等线"/>
        <family val="2"/>
        <charset val="134"/>
        <scheme val="minor"/>
      </rPr>
      <t>的启动，而天喜侧重于</t>
    </r>
    <r>
      <rPr>
        <b/>
        <sz val="11"/>
        <color theme="1"/>
        <rFont val="等线"/>
        <family val="3"/>
        <charset val="134"/>
        <scheme val="minor"/>
      </rPr>
      <t>喜庆结果</t>
    </r>
    <r>
      <rPr>
        <sz val="11"/>
        <color theme="1"/>
        <rFont val="等线"/>
        <family val="2"/>
        <charset val="134"/>
        <scheme val="minor"/>
      </rPr>
      <t>的呈现，尤其是</t>
    </r>
    <r>
      <rPr>
        <b/>
        <sz val="11"/>
        <color theme="1"/>
        <rFont val="等线"/>
        <family val="3"/>
        <charset val="134"/>
        <scheme val="minor"/>
      </rPr>
      <t>添丁</t>
    </r>
    <r>
      <rPr>
        <sz val="11"/>
        <color theme="1"/>
        <rFont val="等线"/>
        <family val="2"/>
        <charset val="134"/>
        <scheme val="minor"/>
      </rPr>
      <t>。</t>
    </r>
  </si>
  <si>
    <r>
      <t>2. “喜”与“血”</t>
    </r>
    <r>
      <rPr>
        <sz val="11"/>
        <color theme="1"/>
        <rFont val="等线"/>
        <family val="2"/>
        <charset val="134"/>
        <scheme val="minor"/>
      </rPr>
      <t>：天喜与红鸾同为“血星”，但其“血光”多与</t>
    </r>
    <r>
      <rPr>
        <b/>
        <sz val="11"/>
        <color theme="1"/>
        <rFont val="等线"/>
        <family val="3"/>
        <charset val="134"/>
        <scheme val="minor"/>
      </rPr>
      <t>喜庆相关</t>
    </r>
    <r>
      <rPr>
        <sz val="11"/>
        <color theme="1"/>
        <rFont val="等线"/>
        <family val="2"/>
        <charset val="134"/>
        <scheme val="minor"/>
      </rPr>
      <t>，如生育分娩、结婚见红（古礼）、必要的美容手术等，常被视为“喜血”。</t>
    </r>
  </si>
  <si>
    <r>
      <t>3. 与“红鸾”星的区别</t>
    </r>
    <r>
      <rPr>
        <sz val="11"/>
        <color theme="1"/>
        <rFont val="等线"/>
        <family val="2"/>
        <charset val="134"/>
        <scheme val="minor"/>
      </rPr>
      <t>：</t>
    </r>
    <r>
      <rPr>
        <b/>
        <sz val="11"/>
        <color theme="1"/>
        <rFont val="等线"/>
        <family val="3"/>
        <charset val="134"/>
        <scheme val="minor"/>
      </rPr>
      <t>红鸾主“姻缘启动”</t>
    </r>
    <r>
      <rPr>
        <sz val="11"/>
        <color theme="1"/>
        <rFont val="等线"/>
        <family val="2"/>
        <charset val="134"/>
        <scheme val="minor"/>
      </rPr>
      <t>，是感情机遇的信号；</t>
    </r>
    <r>
      <rPr>
        <b/>
        <sz val="11"/>
        <color theme="1"/>
        <rFont val="等线"/>
        <family val="3"/>
        <charset val="134"/>
        <scheme val="minor"/>
      </rPr>
      <t>天喜主“喜庆结果”</t>
    </r>
    <r>
      <rPr>
        <sz val="11"/>
        <color theme="1"/>
        <rFont val="等线"/>
        <family val="2"/>
        <charset val="134"/>
        <scheme val="minor"/>
      </rPr>
      <t>，是婚姻生育等好事成真的标志。二者成对出现时，喜庆之力最为圆满。</t>
    </r>
  </si>
  <si>
    <r>
      <t>4. 宫位定领域</t>
    </r>
    <r>
      <rPr>
        <sz val="11"/>
        <color theme="1"/>
        <rFont val="等线"/>
        <family val="2"/>
        <charset val="134"/>
        <scheme val="minor"/>
      </rPr>
      <t>：天喜星所在宫位，指示在人生的哪个领域最容易发生喜庆之事、获得快乐体验，或需要注意与喜庆相关的“血光”。</t>
    </r>
  </si>
  <si>
    <r>
      <t>5. 四化引动</t>
    </r>
    <r>
      <rPr>
        <sz val="11"/>
        <color theme="1"/>
        <rFont val="等线"/>
        <family val="2"/>
        <charset val="134"/>
        <scheme val="minor"/>
      </rPr>
      <t>：见</t>
    </r>
    <r>
      <rPr>
        <b/>
        <sz val="11"/>
        <color theme="1"/>
        <rFont val="等线"/>
        <family val="3"/>
        <charset val="134"/>
        <scheme val="minor"/>
      </rPr>
      <t>化禄</t>
    </r>
    <r>
      <rPr>
        <sz val="11"/>
        <color theme="1"/>
        <rFont val="等线"/>
        <family val="2"/>
        <charset val="134"/>
        <scheme val="minor"/>
      </rPr>
      <t>，喜事成真且带来实际利益，如生子得红包、结婚收礼金。见</t>
    </r>
    <r>
      <rPr>
        <b/>
        <sz val="11"/>
        <color theme="1"/>
        <rFont val="等线"/>
        <family val="3"/>
        <charset val="134"/>
        <scheme val="minor"/>
      </rPr>
      <t>化权</t>
    </r>
    <r>
      <rPr>
        <sz val="11"/>
        <color theme="1"/>
        <rFont val="等线"/>
        <family val="2"/>
        <charset val="134"/>
        <scheme val="minor"/>
      </rPr>
      <t>，对喜事主导权强，婚事速成，或决定剖腹产时间。见</t>
    </r>
    <r>
      <rPr>
        <b/>
        <sz val="11"/>
        <color theme="1"/>
        <rFont val="等线"/>
        <family val="3"/>
        <charset val="134"/>
        <scheme val="minor"/>
      </rPr>
      <t>化科</t>
    </r>
    <r>
      <rPr>
        <sz val="11"/>
        <color theme="1"/>
        <rFont val="等线"/>
        <family val="2"/>
        <charset val="134"/>
        <scheme val="minor"/>
      </rPr>
      <t>，喜事风光体面，受人赞美，有口碑。见</t>
    </r>
    <r>
      <rPr>
        <b/>
        <sz val="11"/>
        <color theme="1"/>
        <rFont val="等线"/>
        <family val="3"/>
        <charset val="134"/>
        <scheme val="minor"/>
      </rPr>
      <t>化忌</t>
    </r>
    <r>
      <rPr>
        <sz val="11"/>
        <color theme="1"/>
        <rFont val="等线"/>
        <family val="2"/>
        <charset val="134"/>
        <scheme val="minor"/>
      </rPr>
      <t>，喜事生变、延期或带来烦恼，如婚礼筹备不顺、为子女操心过度。</t>
    </r>
  </si>
  <si>
    <t>一、天虚定义</t>
  </si>
  <si>
    <t>空虚、损耗、忧愁、不实、身体虚弱</t>
  </si>
  <si>
    <t>象征精神上的空虚感、物质上的损耗、身体元气的虚弱，以及事情的不实在、虚浮、华而不实。</t>
  </si>
  <si>
    <t>乙级星，属阴土。主损耗与不吉，其凶性需结合全盘星曜判断，遇吉可减凶，遇煞忌则加重虚耗。</t>
  </si>
  <si>
    <r>
      <t>精神空虚</t>
    </r>
    <r>
      <rPr>
        <sz val="11"/>
        <color theme="1"/>
        <rFont val="等线"/>
        <family val="2"/>
        <charset val="134"/>
        <scheme val="minor"/>
      </rPr>
      <t>​</t>
    </r>
  </si>
  <si>
    <t>内心孤独、多愁善感、情绪低落、缺乏安全感、理想空泛。</t>
  </si>
  <si>
    <r>
      <t>物质损耗</t>
    </r>
    <r>
      <rPr>
        <sz val="11"/>
        <color theme="1"/>
        <rFont val="等线"/>
        <family val="2"/>
        <charset val="134"/>
        <scheme val="minor"/>
      </rPr>
      <t>​</t>
    </r>
  </si>
  <si>
    <t>钱财无谓消耗、物品损坏丢失、投资有去无回、破财。</t>
  </si>
  <si>
    <t>在财帛宫、田宅宫时显现。</t>
  </si>
  <si>
    <r>
      <t>身体虚弱</t>
    </r>
    <r>
      <rPr>
        <sz val="11"/>
        <color theme="1"/>
        <rFont val="等线"/>
        <family val="2"/>
        <charset val="134"/>
        <scheme val="minor"/>
      </rPr>
      <t>​</t>
    </r>
  </si>
  <si>
    <t>先天体质弱、元气不足、易感疲劳、病后恢复慢、虚症。</t>
  </si>
  <si>
    <t>在疾厄宫时为主要指向。</t>
  </si>
  <si>
    <r>
      <t>事情虚浮</t>
    </r>
    <r>
      <rPr>
        <sz val="11"/>
        <color theme="1"/>
        <rFont val="等线"/>
        <family val="2"/>
        <charset val="134"/>
        <scheme val="minor"/>
      </rPr>
      <t>​</t>
    </r>
  </si>
  <si>
    <t>计划落空、承诺不实、表面风光、华而不实、成效不彰。</t>
  </si>
  <si>
    <t>在官禄宫、迁移宫时体现。</t>
  </si>
  <si>
    <r>
      <t>忧愁悲伤</t>
    </r>
    <r>
      <rPr>
        <sz val="11"/>
        <color theme="1"/>
        <rFont val="等线"/>
        <family val="2"/>
        <charset val="134"/>
        <scheme val="minor"/>
      </rPr>
      <t>​</t>
    </r>
  </si>
  <si>
    <t>常怀忧虑、无故哀伤、遇事易往坏处想、悲观主义。</t>
  </si>
  <si>
    <t>与天哭同度时力量增强。</t>
  </si>
  <si>
    <t>性格内向多忧，自信心不足，身体较弱，一生易有虚耗之事。</t>
  </si>
  <si>
    <t>与兄弟姐妹缘薄或助力少；在团队中易感孤立，同僚关系虚浮。</t>
  </si>
  <si>
    <t>配偶身体可能较弱；感情关系中有不实在的感觉，或婚姻有名无实。</t>
  </si>
  <si>
    <t>子女身体较弱或缘分薄；在娱乐、创作方面投入多而实质收获少。</t>
  </si>
  <si>
    <r>
      <t>核心宫位</t>
    </r>
    <r>
      <rPr>
        <sz val="11"/>
        <color theme="1"/>
        <rFont val="等线"/>
        <family val="2"/>
        <charset val="134"/>
        <scheme val="minor"/>
      </rPr>
      <t>。钱财难聚，易有意外损耗，虚花浪费，投资易亏。</t>
    </r>
  </si>
  <si>
    <t>体质虚弱，易患慢性病、虚症，抵抗力差，病后康复缓慢。</t>
  </si>
  <si>
    <t>在外发展虚浮不实，劳而无功；外出易感身心疲惫。</t>
  </si>
  <si>
    <t>朋友关系淡薄，交友看似热闹实则无助益；易交损友而破财。</t>
  </si>
  <si>
    <t>事业上易做表面功夫，成绩虚浮不稳定；工作缺乏成就感。</t>
  </si>
  <si>
    <t>家宅气场不旺；房产易有损耗（如漏水）；家庭积蓄难聚。</t>
  </si>
  <si>
    <r>
      <t>核心宫位</t>
    </r>
    <r>
      <rPr>
        <sz val="11"/>
        <color theme="1"/>
        <rFont val="等线"/>
        <family val="2"/>
        <charset val="134"/>
        <scheme val="minor"/>
      </rPr>
      <t>。精神世界空虚，多忧多虑，难以获得真正的快乐与满足。</t>
    </r>
  </si>
  <si>
    <t>与父母缘分较淡，或得到父母的实质关爱较少；长辈健康需注意。</t>
  </si>
  <si>
    <t>1. 加重虚耗组合</t>
  </si>
  <si>
    <r>
      <t>天虚+天同</t>
    </r>
    <r>
      <rPr>
        <sz val="11"/>
        <color theme="1"/>
        <rFont val="等线"/>
        <family val="2"/>
        <charset val="134"/>
        <scheme val="minor"/>
      </rPr>
      <t>​</t>
    </r>
  </si>
  <si>
    <t>加重情绪化与空虚感，沉溺于空想而不作为，福气打折扣。</t>
  </si>
  <si>
    <t>想得多做得少，常感人生无趣。</t>
  </si>
  <si>
    <r>
      <t>天虚+太阴</t>
    </r>
    <r>
      <rPr>
        <sz val="11"/>
        <color theme="1"/>
        <rFont val="等线"/>
        <family val="2"/>
        <charset val="134"/>
        <scheme val="minor"/>
      </rPr>
      <t>​</t>
    </r>
  </si>
  <si>
    <t>情绪更加阴郁、多愁善感，内心世界封闭而孤寂。</t>
  </si>
  <si>
    <t>林黛玉式性格，顾影自怜。</t>
  </si>
  <si>
    <r>
      <t>天虚+巨门</t>
    </r>
    <r>
      <rPr>
        <sz val="11"/>
        <color theme="1"/>
        <rFont val="等线"/>
        <family val="2"/>
        <charset val="134"/>
        <scheme val="minor"/>
      </rPr>
      <t>​</t>
    </r>
  </si>
  <si>
    <t>空虚引发是非，常因言语空洞或隐瞒事实而招惹口舌纠纷。</t>
  </si>
  <si>
    <t>说大话被拆穿；因秘密泄露惹祸。</t>
  </si>
  <si>
    <r>
      <t>天虚+破军</t>
    </r>
    <r>
      <rPr>
        <sz val="11"/>
        <color theme="1"/>
        <rFont val="等线"/>
        <family val="2"/>
        <charset val="134"/>
        <scheme val="minor"/>
      </rPr>
      <t>​</t>
    </r>
  </si>
  <si>
    <t>损耗带有破坏性，钱财事业先破后难成，身体易有耗损性伤病。</t>
  </si>
  <si>
    <t>投资失败血本无归；手术伤元气。</t>
  </si>
  <si>
    <r>
      <t>天虚+七杀</t>
    </r>
    <r>
      <rPr>
        <sz val="11"/>
        <color theme="1"/>
        <rFont val="等线"/>
        <family val="2"/>
        <charset val="134"/>
        <scheme val="minor"/>
      </rPr>
      <t>​</t>
    </r>
  </si>
  <si>
    <t>虚弱中带激烈波动，易因突然的损耗或打击而一蹶不振。</t>
  </si>
  <si>
    <t>突发重病身体垮掉；事业突然崩溃。</t>
  </si>
  <si>
    <t>2. 转化与制约组合</t>
  </si>
  <si>
    <r>
      <t>天虚+紫微</t>
    </r>
    <r>
      <rPr>
        <sz val="11"/>
        <color theme="1"/>
        <rFont val="等线"/>
        <family val="2"/>
        <charset val="134"/>
        <scheme val="minor"/>
      </rPr>
      <t>​</t>
    </r>
  </si>
  <si>
    <t>虚荣心重，追求虚名与排场，导致不必要的损耗。</t>
  </si>
  <si>
    <t>为撑面子挥霍钱财，内里空虚。</t>
  </si>
  <si>
    <r>
      <t>天虚+天府</t>
    </r>
    <r>
      <rPr>
        <sz val="11"/>
        <color theme="1"/>
        <rFont val="等线"/>
        <family val="2"/>
        <charset val="134"/>
        <scheme val="minor"/>
      </rPr>
      <t>​</t>
    </r>
  </si>
  <si>
    <t>库藏被虚耗，看似富有实则钱财不断流失，守成不易。</t>
  </si>
  <si>
    <t>家道中落；坐吃山空。</t>
  </si>
  <si>
    <r>
      <t>天虚+天梁</t>
    </r>
    <r>
      <rPr>
        <sz val="11"/>
        <color theme="1"/>
        <rFont val="等线"/>
        <family val="2"/>
        <charset val="134"/>
        <scheme val="minor"/>
      </rPr>
      <t>​</t>
    </r>
  </si>
  <si>
    <t>空虚感转向宗教、哲学寻求寄托；或表现为身体虚弱的清高。</t>
  </si>
  <si>
    <t>因身体不好而潜心修行。</t>
  </si>
  <si>
    <r>
      <t>天虚+太阳</t>
    </r>
    <r>
      <rPr>
        <sz val="11"/>
        <color theme="1"/>
        <rFont val="等线"/>
        <family val="2"/>
        <charset val="134"/>
        <scheme val="minor"/>
      </rPr>
      <t>​</t>
    </r>
  </si>
  <si>
    <t>外显阳光，内里空虚；或热心助人却损耗自身元气。</t>
  </si>
  <si>
    <t>“阳光型抑郁”；为公益耗尽家财。</t>
  </si>
  <si>
    <r>
      <t>天虚+武曲</t>
    </r>
    <r>
      <rPr>
        <sz val="11"/>
        <color theme="1"/>
        <rFont val="等线"/>
        <family val="2"/>
        <charset val="134"/>
        <scheme val="minor"/>
      </rPr>
      <t>​</t>
    </r>
  </si>
  <si>
    <t>求财过程辛苦却所得虚少，钱财左手进右手出。</t>
  </si>
  <si>
    <t>赚辛苦钱但存不住，总有地方要花。</t>
  </si>
  <si>
    <r>
      <t>天虚+天哭</t>
    </r>
    <r>
      <rPr>
        <sz val="11"/>
        <color theme="1"/>
        <rFont val="等线"/>
        <family val="2"/>
        <charset val="134"/>
        <scheme val="minor"/>
      </rPr>
      <t>​</t>
    </r>
  </si>
  <si>
    <r>
      <t>情绪黑洞组合</t>
    </r>
    <r>
      <rPr>
        <sz val="11"/>
        <color theme="1"/>
        <rFont val="等线"/>
        <family val="2"/>
        <charset val="134"/>
        <scheme val="minor"/>
      </rPr>
      <t>。悲观消极达到极致，常感绝望，精神痛苦。</t>
    </r>
  </si>
  <si>
    <t>重度抑郁症倾向；终日以泪洗面。</t>
  </si>
  <si>
    <r>
      <t>天虚+地空/地劫</t>
    </r>
    <r>
      <rPr>
        <sz val="11"/>
        <color theme="1"/>
        <rFont val="等线"/>
        <family val="2"/>
        <charset val="134"/>
        <scheme val="minor"/>
      </rPr>
      <t>​</t>
    </r>
  </si>
  <si>
    <r>
      <t>空虚加倍组合</t>
    </r>
    <r>
      <rPr>
        <sz val="11"/>
        <color theme="1"/>
        <rFont val="等线"/>
        <family val="2"/>
        <charset val="134"/>
        <scheme val="minor"/>
      </rPr>
      <t>。理想彻底空幻，钱财物质严重虚耗，一事无成。</t>
    </r>
  </si>
  <si>
    <t>投资全部打水漂；想法完全不切实际。</t>
  </si>
  <si>
    <r>
      <t>天虚+文昌/文曲</t>
    </r>
    <r>
      <rPr>
        <sz val="11"/>
        <color theme="1"/>
        <rFont val="等线"/>
        <family val="2"/>
        <charset val="134"/>
        <scheme val="minor"/>
      </rPr>
      <t>​</t>
    </r>
  </si>
  <si>
    <t>才思虚浮，华而不实；或为文艺而感伤，作品空洞。</t>
  </si>
  <si>
    <t>辞藻华丽但内容空洞的文章。</t>
  </si>
  <si>
    <r>
      <t>天虚+火星</t>
    </r>
    <r>
      <rPr>
        <sz val="11"/>
        <color theme="1"/>
        <rFont val="等线"/>
        <family val="2"/>
        <charset val="134"/>
        <scheme val="minor"/>
      </rPr>
      <t>​</t>
    </r>
  </si>
  <si>
    <t>因冲动、急躁导致突然的损耗或身体急性的虚脱。</t>
  </si>
  <si>
    <t>一气之下怒砸贵重物品；高烧后虚脱。</t>
  </si>
  <si>
    <r>
      <t>天虚+铃星</t>
    </r>
    <r>
      <rPr>
        <sz val="11"/>
        <color theme="1"/>
        <rFont val="等线"/>
        <family val="2"/>
        <charset val="134"/>
        <scheme val="minor"/>
      </rPr>
      <t>​</t>
    </r>
  </si>
  <si>
    <t>因计较、焦虑而产生慢性损耗，或隐忧成疾。</t>
  </si>
  <si>
    <t>长期焦虑导致神经衰弱、失眠。</t>
  </si>
  <si>
    <r>
      <t>天虚+擎羊</t>
    </r>
    <r>
      <rPr>
        <sz val="11"/>
        <color theme="1"/>
        <rFont val="等线"/>
        <family val="2"/>
        <charset val="134"/>
        <scheme val="minor"/>
      </rPr>
      <t>​</t>
    </r>
  </si>
  <si>
    <t>损耗伴随伤害、切割，如因病手术而伤元气，或钱财因争端损失。</t>
  </si>
  <si>
    <t>手术后身体大不如前；因官司破财。</t>
  </si>
  <si>
    <r>
      <t>天虚+陀罗</t>
    </r>
    <r>
      <rPr>
        <sz val="11"/>
        <color theme="1"/>
        <rFont val="等线"/>
        <family val="2"/>
        <charset val="134"/>
        <scheme val="minor"/>
      </rPr>
      <t>​</t>
    </r>
  </si>
  <si>
    <t>损耗拖延反复，慢性病缠绵难愈，钱财被慢慢耗光。</t>
  </si>
  <si>
    <t>长期吃药治疗；被慢性投资骗局套牢。</t>
  </si>
  <si>
    <r>
      <t>天虚+禄存</t>
    </r>
    <r>
      <rPr>
        <sz val="11"/>
        <color theme="1"/>
        <rFont val="等线"/>
        <family val="2"/>
        <charset val="134"/>
        <scheme val="minor"/>
      </rPr>
      <t>​</t>
    </r>
  </si>
  <si>
    <t>虚中有实，虽有空虚损耗，但终有根基或补救，不致全盘皆空。</t>
  </si>
  <si>
    <t>虽常破小财，但总有基本收入保障。</t>
  </si>
  <si>
    <r>
      <t>天虚+天马</t>
    </r>
    <r>
      <rPr>
        <sz val="11"/>
        <color theme="1"/>
        <rFont val="等线"/>
        <family val="2"/>
        <charset val="134"/>
        <scheme val="minor"/>
      </rPr>
      <t>​</t>
    </r>
  </si>
  <si>
    <t>空虚感在奔波、变动中加剧，劳碌而虚耗。</t>
  </si>
  <si>
    <t>出差频繁导致身心俱疲；旅行中财物丢失。</t>
  </si>
  <si>
    <r>
      <t>天虚+天刑</t>
    </r>
    <r>
      <rPr>
        <sz val="11"/>
        <color theme="1"/>
        <rFont val="等线"/>
        <family val="2"/>
        <charset val="134"/>
        <scheme val="minor"/>
      </rPr>
      <t>​</t>
    </r>
  </si>
  <si>
    <t>损耗因规则、法律或疾病而起，如罚款、赔偿、医疗开支。</t>
  </si>
  <si>
    <t>因违法被罚款；因病必须支付高额药费。</t>
  </si>
  <si>
    <r>
      <t>1. “虚”之三层</t>
    </r>
    <r>
      <rPr>
        <sz val="11"/>
        <color theme="1"/>
        <rFont val="等线"/>
        <family val="2"/>
        <charset val="134"/>
        <scheme val="minor"/>
      </rPr>
      <t>：天虚星之“虚”体现在</t>
    </r>
    <r>
      <rPr>
        <b/>
        <sz val="11"/>
        <color theme="1"/>
        <rFont val="等线"/>
        <family val="3"/>
        <charset val="134"/>
        <scheme val="minor"/>
      </rPr>
      <t>精神空虚</t>
    </r>
    <r>
      <rPr>
        <sz val="11"/>
        <color theme="1"/>
        <rFont val="等线"/>
        <family val="2"/>
        <charset val="134"/>
        <scheme val="minor"/>
      </rPr>
      <t>、</t>
    </r>
    <r>
      <rPr>
        <b/>
        <sz val="11"/>
        <color theme="1"/>
        <rFont val="等线"/>
        <family val="3"/>
        <charset val="134"/>
        <scheme val="minor"/>
      </rPr>
      <t>物质虚耗</t>
    </r>
    <r>
      <rPr>
        <sz val="11"/>
        <color theme="1"/>
        <rFont val="等线"/>
        <family val="2"/>
        <charset val="134"/>
        <scheme val="minor"/>
      </rPr>
      <t>、</t>
    </r>
    <r>
      <rPr>
        <b/>
        <sz val="11"/>
        <color theme="1"/>
        <rFont val="等线"/>
        <family val="3"/>
        <charset val="134"/>
        <scheme val="minor"/>
      </rPr>
      <t>身体虚弱</t>
    </r>
    <r>
      <rPr>
        <sz val="11"/>
        <color theme="1"/>
        <rFont val="等线"/>
        <family val="2"/>
        <charset val="134"/>
        <scheme val="minor"/>
      </rPr>
      <t>三个层面。需结合宫位判断其主要显现领域。</t>
    </r>
  </si>
  <si>
    <r>
      <t>2. 与“地空”、“地劫”的区别</t>
    </r>
    <r>
      <rPr>
        <sz val="11"/>
        <color theme="1"/>
        <rFont val="等线"/>
        <family val="2"/>
        <charset val="134"/>
        <scheme val="minor"/>
      </rPr>
      <t>：</t>
    </r>
    <r>
      <rPr>
        <b/>
        <sz val="11"/>
        <color theme="1"/>
        <rFont val="等线"/>
        <family val="3"/>
        <charset val="134"/>
        <scheme val="minor"/>
      </rPr>
      <t>天虚主“虚耗”</t>
    </r>
    <r>
      <rPr>
        <sz val="11"/>
        <color theme="1"/>
        <rFont val="等线"/>
        <family val="2"/>
        <charset val="134"/>
        <scheme val="minor"/>
      </rPr>
      <t>，是已有的东西被消耗、减弱；</t>
    </r>
    <r>
      <rPr>
        <b/>
        <sz val="11"/>
        <color theme="1"/>
        <rFont val="等线"/>
        <family val="3"/>
        <charset val="134"/>
        <scheme val="minor"/>
      </rPr>
      <t>地空主“空亡”</t>
    </r>
    <r>
      <rPr>
        <sz val="11"/>
        <color theme="1"/>
        <rFont val="等线"/>
        <family val="2"/>
        <charset val="134"/>
        <scheme val="minor"/>
      </rPr>
      <t>，是根本性的缺失与落空；</t>
    </r>
    <r>
      <rPr>
        <b/>
        <sz val="11"/>
        <color theme="1"/>
        <rFont val="等线"/>
        <family val="3"/>
        <charset val="134"/>
        <scheme val="minor"/>
      </rPr>
      <t>地劫主“劫失”</t>
    </r>
    <r>
      <rPr>
        <sz val="11"/>
        <color theme="1"/>
        <rFont val="等线"/>
        <family val="2"/>
        <charset val="134"/>
        <scheme val="minor"/>
      </rPr>
      <t>，是突如其来的破坏与损失。天虚是“由实变虚”，地空是“本来就没有”，地劫是“突然被夺走”。</t>
    </r>
  </si>
  <si>
    <r>
      <t>3. 宫位定领域</t>
    </r>
    <r>
      <rPr>
        <sz val="11"/>
        <color theme="1"/>
        <rFont val="等线"/>
        <family val="2"/>
        <charset val="134"/>
        <scheme val="minor"/>
      </rPr>
      <t>：天虚星所在宫位，指示在人生的哪个领域最容易感到空虚、发生损耗或显现虚弱。</t>
    </r>
  </si>
  <si>
    <r>
      <t>4. 四化引动</t>
    </r>
    <r>
      <rPr>
        <sz val="11"/>
        <color theme="1"/>
        <rFont val="等线"/>
        <family val="2"/>
        <charset val="134"/>
        <scheme val="minor"/>
      </rPr>
      <t>：见</t>
    </r>
    <r>
      <rPr>
        <b/>
        <sz val="11"/>
        <color theme="1"/>
        <rFont val="等线"/>
        <family val="3"/>
        <charset val="134"/>
        <scheme val="minor"/>
      </rPr>
      <t>化禄</t>
    </r>
    <r>
      <rPr>
        <sz val="11"/>
        <color theme="1"/>
        <rFont val="等线"/>
        <family val="2"/>
        <charset val="134"/>
        <scheme val="minor"/>
      </rPr>
      <t>，可稍补其虚，损耗中有小得，但本质仍虚。见</t>
    </r>
    <r>
      <rPr>
        <b/>
        <sz val="11"/>
        <color theme="1"/>
        <rFont val="等线"/>
        <family val="3"/>
        <charset val="134"/>
        <scheme val="minor"/>
      </rPr>
      <t>化权</t>
    </r>
    <r>
      <rPr>
        <sz val="11"/>
        <color theme="1"/>
        <rFont val="等线"/>
        <family val="2"/>
        <charset val="134"/>
        <scheme val="minor"/>
      </rPr>
      <t>，试图控制虚耗，但可能力不从心，或为面子强撑导致更虚。见</t>
    </r>
    <r>
      <rPr>
        <b/>
        <sz val="11"/>
        <color theme="1"/>
        <rFont val="等线"/>
        <family val="3"/>
        <charset val="134"/>
        <scheme val="minor"/>
      </rPr>
      <t>化科</t>
    </r>
    <r>
      <rPr>
        <sz val="11"/>
        <color theme="1"/>
        <rFont val="等线"/>
        <family val="2"/>
        <charset val="134"/>
        <scheme val="minor"/>
      </rPr>
      <t>，用名誉、外表掩饰空虚，虚有其表。见</t>
    </r>
    <r>
      <rPr>
        <b/>
        <sz val="11"/>
        <color theme="1"/>
        <rFont val="等线"/>
        <family val="3"/>
        <charset val="134"/>
        <scheme val="minor"/>
      </rPr>
      <t>化忌</t>
    </r>
    <r>
      <rPr>
        <sz val="11"/>
        <color theme="1"/>
        <rFont val="等线"/>
        <family val="2"/>
        <charset val="134"/>
        <scheme val="minor"/>
      </rPr>
      <t>，</t>
    </r>
    <r>
      <rPr>
        <b/>
        <sz val="11"/>
        <color theme="1"/>
        <rFont val="等线"/>
        <family val="3"/>
        <charset val="134"/>
        <scheme val="minor"/>
      </rPr>
      <t>凶性最大</t>
    </r>
    <r>
      <rPr>
        <sz val="11"/>
        <color theme="1"/>
        <rFont val="等线"/>
        <family val="2"/>
        <charset val="134"/>
        <scheme val="minor"/>
      </rPr>
      <t>，空虚感、损耗、虚弱达到顶点，事必成空，身心交瘁。</t>
    </r>
  </si>
  <si>
    <t>一、天姚定义</t>
  </si>
  <si>
    <t>桃花、风流、魅力、才艺、交际、隐秘</t>
  </si>
  <si>
    <t>象征异性缘分、情感欲望、个人魅力与艺术才华。其性质可正可邪，正则为才情与魅力，邪则为风流与放纵。</t>
  </si>
  <si>
    <t>乙级星，属阴水。主桃花，非绝对吉凶，需视所会星曜而定。遇吉为风流才情，遇煞为桃花劫煞。</t>
  </si>
  <si>
    <r>
      <t>魅力风情</t>
    </r>
    <r>
      <rPr>
        <sz val="11"/>
        <color theme="1"/>
        <rFont val="等线"/>
        <family val="2"/>
        <charset val="134"/>
        <scheme val="minor"/>
      </rPr>
      <t>​</t>
    </r>
  </si>
  <si>
    <t>外貌出众，有吸引力，善打扮，懂得展现自身魅力。</t>
  </si>
  <si>
    <t>在命宫、身宫时尤为明显。</t>
  </si>
  <si>
    <r>
      <t>桃花机遇</t>
    </r>
    <r>
      <rPr>
        <sz val="11"/>
        <color theme="1"/>
        <rFont val="等线"/>
        <family val="2"/>
        <charset val="134"/>
        <scheme val="minor"/>
      </rPr>
      <t>​</t>
    </r>
  </si>
  <si>
    <t>异性缘佳，感情机会多，易陷入恋爱或复杂情感关系。</t>
  </si>
  <si>
    <t>在夫妻、交友宫时力量强。</t>
  </si>
  <si>
    <r>
      <t>艺术才艺</t>
    </r>
    <r>
      <rPr>
        <sz val="11"/>
        <color theme="1"/>
        <rFont val="等线"/>
        <family val="2"/>
        <charset val="134"/>
        <scheme val="minor"/>
      </rPr>
      <t>​</t>
    </r>
  </si>
  <si>
    <t>具有艺术天赋，在音乐、美术、舞蹈等方面有才华。</t>
  </si>
  <si>
    <t>与文昌、文曲同度时显著。</t>
  </si>
  <si>
    <r>
      <t>隐秘情事</t>
    </r>
    <r>
      <rPr>
        <sz val="11"/>
        <color theme="1"/>
        <rFont val="等线"/>
        <family val="2"/>
        <charset val="134"/>
        <scheme val="minor"/>
      </rPr>
      <t>​</t>
    </r>
  </si>
  <si>
    <t>感情发展快速、隐蔽，易有一见钟情、暗恋或秘密恋情。</t>
  </si>
  <si>
    <t>在福德、子女宫时显现。</t>
  </si>
  <si>
    <r>
      <t>交际手段</t>
    </r>
    <r>
      <rPr>
        <sz val="11"/>
        <color theme="1"/>
        <rFont val="等线"/>
        <family val="2"/>
        <charset val="134"/>
        <scheme val="minor"/>
      </rPr>
      <t>​</t>
    </r>
  </si>
  <si>
    <t>善于交际应酬，懂得人情世故，在社交场合如鱼得水。</t>
  </si>
  <si>
    <t>在迁移、交友宫时体现。</t>
  </si>
  <si>
    <t>外貌俊美，富有魅力，性情浪漫，一生桃花不断，多才多艺。</t>
  </si>
  <si>
    <t>兄弟姐妹有魅力或桃花旺；在团队中善于处理人际关系。</t>
  </si>
  <si>
    <r>
      <t>核心宫位</t>
    </r>
    <r>
      <rPr>
        <sz val="11"/>
        <color theme="1"/>
        <rFont val="等线"/>
        <family val="2"/>
        <charset val="134"/>
        <scheme val="minor"/>
      </rPr>
      <t>。配偶貌美或有情趣，感情生活丰富，但易有外情干扰。</t>
    </r>
  </si>
  <si>
    <t>子女漂亮可爱；本人性欲较强；在娱乐、创作方面有桃花机遇。</t>
  </si>
  <si>
    <t>钱财来源于与异性、艺术、娱乐相关的行业；或因桃花得财/破财。</t>
  </si>
  <si>
    <t>注意生殖系统、泌尿系统疾病；或因纵欲导致身体虚耗。</t>
  </si>
  <si>
    <t>在外人缘好，易有艳遇或异性助力；适合从事对外交际工作。</t>
  </si>
  <si>
    <t>朋友多情场高手或艺术从业者；社交圈复杂，易涉足风月场所。</t>
  </si>
  <si>
    <t>事业上多应酬，职业可能与艺术、娱乐、美容相关；易有办公室恋情。</t>
  </si>
  <si>
    <t>家居布置有情调；家中易有隐秘情感事；或经营娱乐场所。</t>
  </si>
  <si>
    <t>内心浪漫多情，重视感官享受，精神世界充满情感幻想。</t>
  </si>
  <si>
    <t>父母相貌佳或有艺术气质；本人易受异性长辈喜爱。</t>
  </si>
  <si>
    <t>1. 增强才艺魅力组合</t>
  </si>
  <si>
    <r>
      <t>天姚+紫微</t>
    </r>
    <r>
      <rPr>
        <sz val="11"/>
        <color theme="1"/>
        <rFont val="等线"/>
        <family val="2"/>
        <charset val="134"/>
        <scheme val="minor"/>
      </rPr>
      <t>​</t>
    </r>
  </si>
  <si>
    <t>魅力中带有尊贵与领导气质，桃花对象层次高，多为有地位者。</t>
  </si>
  <si>
    <t>吸引企业高管、社会名流。</t>
  </si>
  <si>
    <r>
      <t>天姚+太阳</t>
    </r>
    <r>
      <rPr>
        <sz val="11"/>
        <color theme="1"/>
        <rFont val="等线"/>
        <family val="2"/>
        <charset val="134"/>
        <scheme val="minor"/>
      </rPr>
      <t>​</t>
    </r>
  </si>
  <si>
    <t>魅力公开、耀眼，易成为人群焦点，桃花来自公开场合或事业领域。</t>
  </si>
  <si>
    <t>公众人物、明星的桃花。</t>
  </si>
  <si>
    <r>
      <t>天姚+天同</t>
    </r>
    <r>
      <rPr>
        <sz val="11"/>
        <color theme="1"/>
        <rFont val="等线"/>
        <family val="2"/>
        <charset val="134"/>
        <scheme val="minor"/>
      </rPr>
      <t>​</t>
    </r>
  </si>
  <si>
    <t>浪漫多情，享受恋爱过程，桃花带来快乐与享受，感情丰富。</t>
  </si>
  <si>
    <t>风流才子，追求浪漫关系。</t>
  </si>
  <si>
    <r>
      <t>天姚+天相</t>
    </r>
    <r>
      <rPr>
        <sz val="11"/>
        <color theme="1"/>
        <rFont val="等线"/>
        <family val="2"/>
        <charset val="134"/>
        <scheme val="minor"/>
      </rPr>
      <t>​</t>
    </r>
  </si>
  <si>
    <t>举止优雅得体，桃花对象端庄大方，感情发展注重形式与体面。</t>
  </si>
  <si>
    <t>与绅士、淑女发展恋情。</t>
  </si>
  <si>
    <r>
      <t>天姚+天府</t>
    </r>
    <r>
      <rPr>
        <sz val="11"/>
        <color theme="1"/>
        <rFont val="等线"/>
        <family val="2"/>
        <charset val="134"/>
        <scheme val="minor"/>
      </rPr>
      <t>​</t>
    </r>
  </si>
  <si>
    <t>魅力稳重而吸引人，桃花能带来实际利益或稳定关系。</t>
  </si>
  <si>
    <t>因婚姻获得财富；稳定的情人关系。</t>
  </si>
  <si>
    <t>2. 加重情欲风流组合</t>
  </si>
  <si>
    <r>
      <t>天姚+贪狼</t>
    </r>
    <r>
      <rPr>
        <sz val="11"/>
        <color theme="1"/>
        <rFont val="等线"/>
        <family val="2"/>
        <charset val="134"/>
        <scheme val="minor"/>
      </rPr>
      <t>​</t>
    </r>
  </si>
  <si>
    <r>
      <t>标准桃花组合</t>
    </r>
    <r>
      <rPr>
        <sz val="11"/>
        <color theme="1"/>
        <rFont val="等线"/>
        <family val="2"/>
        <charset val="134"/>
        <scheme val="minor"/>
      </rPr>
      <t>。欲望强烈，风流多情，易沉溺酒色，桃花复杂。</t>
    </r>
  </si>
  <si>
    <t>频繁更换伴侣，流连风月场所。</t>
  </si>
  <si>
    <r>
      <t>天姚+廉贞</t>
    </r>
    <r>
      <rPr>
        <sz val="11"/>
        <color theme="1"/>
        <rFont val="等线"/>
        <family val="2"/>
        <charset val="134"/>
        <scheme val="minor"/>
      </rPr>
      <t>​</t>
    </r>
  </si>
  <si>
    <t>感情浓烈执著，易陷入秘密、不伦或带有政治色彩的复杂恋情。</t>
  </si>
  <si>
    <t>地下情、婚外情、政治联姻中的情感纠葛。</t>
  </si>
  <si>
    <r>
      <t>天姚+太阴</t>
    </r>
    <r>
      <rPr>
        <sz val="11"/>
        <color theme="1"/>
        <rFont val="等线"/>
        <family val="2"/>
        <charset val="134"/>
        <scheme val="minor"/>
      </rPr>
      <t>​</t>
    </r>
  </si>
  <si>
    <t>感情细腻隐秘，多暗恋、暧昧之情，易有艺术气质的风流。</t>
  </si>
  <si>
    <t>诗人、艺术家的隐秘情史。</t>
  </si>
  <si>
    <r>
      <t>天姚+巨门</t>
    </r>
    <r>
      <rPr>
        <sz val="11"/>
        <color theme="1"/>
        <rFont val="等线"/>
        <family val="2"/>
        <charset val="134"/>
        <scheme val="minor"/>
      </rPr>
      <t>​</t>
    </r>
  </si>
  <si>
    <t>桃花引发口舌是非、秘密曝光或感情中的欺骗隐瞒。</t>
  </si>
  <si>
    <t>因桃色事件引发舆论风波；感情被骗。</t>
  </si>
  <si>
    <r>
      <t>天姚+破军</t>
    </r>
    <r>
      <rPr>
        <sz val="11"/>
        <color theme="1"/>
        <rFont val="等线"/>
        <family val="2"/>
        <charset val="134"/>
        <scheme val="minor"/>
      </rPr>
      <t>​</t>
    </r>
  </si>
  <si>
    <t>感情具有破坏性与更新性，易闪恋闪分，或为情破财、惹祸。</t>
  </si>
  <si>
    <t>一夜情后纠纷；为情人散尽家财。</t>
  </si>
  <si>
    <r>
      <t>天姚+文昌/文曲</t>
    </r>
    <r>
      <rPr>
        <sz val="11"/>
        <color theme="1"/>
        <rFont val="等线"/>
        <family val="2"/>
        <charset val="134"/>
        <scheme val="minor"/>
      </rPr>
      <t>​</t>
    </r>
  </si>
  <si>
    <r>
      <t>风流才子/才女组合</t>
    </r>
    <r>
      <rPr>
        <sz val="11"/>
        <color theme="1"/>
        <rFont val="等线"/>
        <family val="2"/>
        <charset val="134"/>
        <scheme val="minor"/>
      </rPr>
      <t>。才华与魅力兼具，通过文艺方式吸引异性。</t>
    </r>
  </si>
  <si>
    <t>诗人、音乐家、画家的浪漫情事。</t>
  </si>
  <si>
    <r>
      <t>天姚+咸池</t>
    </r>
    <r>
      <rPr>
        <sz val="11"/>
        <color theme="1"/>
        <rFont val="等线"/>
        <family val="2"/>
        <charset val="134"/>
        <scheme val="minor"/>
      </rPr>
      <t>​</t>
    </r>
  </si>
  <si>
    <r>
      <t>桃花倍增组合</t>
    </r>
    <r>
      <rPr>
        <sz val="11"/>
        <color theme="1"/>
        <rFont val="等线"/>
        <family val="2"/>
        <charset val="134"/>
        <scheme val="minor"/>
      </rPr>
      <t>。异性缘极强，但多属露水情缘，重肉欲享受。</t>
    </r>
  </si>
  <si>
    <t>频繁的一夜情；性关系混乱。</t>
  </si>
  <si>
    <r>
      <t>天姚+红鸾/天喜</t>
    </r>
    <r>
      <rPr>
        <sz val="11"/>
        <color theme="1"/>
        <rFont val="等线"/>
        <family val="2"/>
        <charset val="134"/>
        <scheme val="minor"/>
      </rPr>
      <t>​</t>
    </r>
  </si>
  <si>
    <t>桃花带喜庆色彩，易因桃花事件促成婚姻或喜庆之事。</t>
  </si>
  <si>
    <t>因恋爱结婚；奉子成婚。</t>
  </si>
  <si>
    <r>
      <t>天姚+火星</t>
    </r>
    <r>
      <rPr>
        <sz val="11"/>
        <color theme="1"/>
        <rFont val="等线"/>
        <family val="2"/>
        <charset val="134"/>
        <scheme val="minor"/>
      </rPr>
      <t>​</t>
    </r>
  </si>
  <si>
    <t>桃花来得突然、快速，一见钟情或闪电恋爱，但也易突然分手。</t>
  </si>
  <si>
    <t>酒吧邂逅迅速发生关系；闪恋闪分。</t>
  </si>
  <si>
    <r>
      <t>天姚+铃星</t>
    </r>
    <r>
      <rPr>
        <sz val="11"/>
        <color theme="1"/>
        <rFont val="等线"/>
        <family val="2"/>
        <charset val="134"/>
        <scheme val="minor"/>
      </rPr>
      <t>​</t>
    </r>
  </si>
  <si>
    <t>桃花纠缠、暗恋、相思苦，感情中多计较与焦虑。</t>
  </si>
  <si>
    <t>苦恋有妇之夫；陷入多角关系难以自拔。</t>
  </si>
  <si>
    <r>
      <t>天姚+擎羊</t>
    </r>
    <r>
      <rPr>
        <sz val="11"/>
        <color theme="1"/>
        <rFont val="等线"/>
        <family val="2"/>
        <charset val="134"/>
        <scheme val="minor"/>
      </rPr>
      <t>​</t>
    </r>
  </si>
  <si>
    <t>桃花带竞争、冲突或伤害，如三角恋争斗、因情生恨。</t>
  </si>
  <si>
    <t>为争夺情人发生冲突；感情暴力。</t>
  </si>
  <si>
    <r>
      <t>天姚+陀罗</t>
    </r>
    <r>
      <rPr>
        <sz val="11"/>
        <color theme="1"/>
        <rFont val="等线"/>
        <family val="2"/>
        <charset val="134"/>
        <scheme val="minor"/>
      </rPr>
      <t>​</t>
    </r>
  </si>
  <si>
    <t>桃花拖延、反复、旧情难忘，易陷入纠缠不清的关系。</t>
  </si>
  <si>
    <t>与前任分分合合；陷入持久的情人关系。</t>
  </si>
  <si>
    <r>
      <t>天姚+地空/地劫</t>
    </r>
    <r>
      <rPr>
        <sz val="11"/>
        <color theme="1"/>
        <rFont val="等线"/>
        <family val="2"/>
        <charset val="134"/>
        <scheme val="minor"/>
      </rPr>
      <t>​</t>
    </r>
  </si>
  <si>
    <t>桃花理想化、不切实际，易落空；或为桃花破耗钱财。</t>
  </si>
  <si>
    <t>网恋见光死；为情人花费大量钱财却无结果。</t>
  </si>
  <si>
    <r>
      <t>天姚+天刑</t>
    </r>
    <r>
      <rPr>
        <sz val="11"/>
        <color theme="1"/>
        <rFont val="等线"/>
        <family val="2"/>
        <charset val="134"/>
        <scheme val="minor"/>
      </rPr>
      <t>​</t>
    </r>
  </si>
  <si>
    <t>桃花受法律、纪律约束，或引发官司；感情中有强制色彩。</t>
  </si>
  <si>
    <t>因桃色纠纷对簿公堂；不情愿的性关系。</t>
  </si>
  <si>
    <r>
      <t>天姚+天马</t>
    </r>
    <r>
      <rPr>
        <sz val="11"/>
        <color theme="1"/>
        <rFont val="等线"/>
        <family val="2"/>
        <charset val="134"/>
        <scheme val="minor"/>
      </rPr>
      <t>​</t>
    </r>
  </si>
  <si>
    <t>桃花在移动、旅行中发生，易有异地恋、露水姻缘。</t>
  </si>
  <si>
    <t>旅行中的艳遇；与外地人发生感情。</t>
  </si>
  <si>
    <r>
      <t>1. “正桃花”与“偏桃花”</t>
    </r>
    <r>
      <rPr>
        <sz val="11"/>
        <color theme="1"/>
        <rFont val="等线"/>
        <family val="2"/>
        <charset val="134"/>
        <scheme val="minor"/>
      </rPr>
      <t>：天姚星本质为</t>
    </r>
    <r>
      <rPr>
        <b/>
        <sz val="11"/>
        <color theme="1"/>
        <rFont val="等线"/>
        <family val="3"/>
        <charset val="134"/>
        <scheme val="minor"/>
      </rPr>
      <t>桃花星</t>
    </r>
    <r>
      <rPr>
        <sz val="11"/>
        <color theme="1"/>
        <rFont val="等线"/>
        <family val="2"/>
        <charset val="134"/>
        <scheme val="minor"/>
      </rPr>
      <t>，其吉凶取决于所会星曜。遇</t>
    </r>
    <r>
      <rPr>
        <b/>
        <sz val="11"/>
        <color theme="1"/>
        <rFont val="等线"/>
        <family val="3"/>
        <charset val="134"/>
        <scheme val="minor"/>
      </rPr>
      <t>吉星（如紫、府、昌、曲）</t>
    </r>
    <r>
      <rPr>
        <sz val="11"/>
        <color theme="1"/>
        <rFont val="等线"/>
        <family val="2"/>
        <charset val="134"/>
        <scheme val="minor"/>
      </rPr>
      <t>，转化为才艺、魅力与人缘，为“正桃花”。遇</t>
    </r>
    <r>
      <rPr>
        <b/>
        <sz val="11"/>
        <color theme="1"/>
        <rFont val="等线"/>
        <family val="3"/>
        <charset val="134"/>
        <scheme val="minor"/>
      </rPr>
      <t>煞星（如羊、陀、火、铃）或贪狼、廉贞</t>
    </r>
    <r>
      <rPr>
        <sz val="11"/>
        <color theme="1"/>
        <rFont val="等线"/>
        <family val="2"/>
        <charset val="134"/>
        <scheme val="minor"/>
      </rPr>
      <t>，则加重情欲与放纵，为“偏桃花”或“桃花劫”。</t>
    </r>
  </si>
  <si>
    <r>
      <t>2. 与“红鸾”、“咸池”的区别</t>
    </r>
    <r>
      <rPr>
        <sz val="11"/>
        <color theme="1"/>
        <rFont val="等线"/>
        <family val="2"/>
        <charset val="134"/>
        <scheme val="minor"/>
      </rPr>
      <t>：</t>
    </r>
    <r>
      <rPr>
        <b/>
        <sz val="11"/>
        <color theme="1"/>
        <rFont val="等线"/>
        <family val="3"/>
        <charset val="134"/>
        <scheme val="minor"/>
      </rPr>
      <t>天姚主“风情魅力”</t>
    </r>
    <r>
      <rPr>
        <sz val="11"/>
        <color theme="1"/>
        <rFont val="等线"/>
        <family val="2"/>
        <charset val="134"/>
        <scheme val="minor"/>
      </rPr>
      <t>，是内在的吸引力与才情，偏重</t>
    </r>
    <r>
      <rPr>
        <b/>
        <sz val="11"/>
        <color theme="1"/>
        <rFont val="等线"/>
        <family val="3"/>
        <charset val="134"/>
        <scheme val="minor"/>
      </rPr>
      <t>过程与感觉</t>
    </r>
    <r>
      <rPr>
        <sz val="11"/>
        <color theme="1"/>
        <rFont val="等线"/>
        <family val="2"/>
        <charset val="134"/>
        <scheme val="minor"/>
      </rPr>
      <t>；</t>
    </r>
    <r>
      <rPr>
        <b/>
        <sz val="11"/>
        <color theme="1"/>
        <rFont val="等线"/>
        <family val="3"/>
        <charset val="134"/>
        <scheme val="minor"/>
      </rPr>
      <t>红鸾主“婚姻正缘”</t>
    </r>
    <r>
      <rPr>
        <sz val="11"/>
        <color theme="1"/>
        <rFont val="等线"/>
        <family val="2"/>
        <charset val="134"/>
        <scheme val="minor"/>
      </rPr>
      <t>，是正式的婚恋信号；</t>
    </r>
    <r>
      <rPr>
        <b/>
        <sz val="11"/>
        <color theme="1"/>
        <rFont val="等线"/>
        <family val="3"/>
        <charset val="134"/>
        <scheme val="minor"/>
      </rPr>
      <t>咸池主“酒色欲望”</t>
    </r>
    <r>
      <rPr>
        <sz val="11"/>
        <color theme="1"/>
        <rFont val="等线"/>
        <family val="2"/>
        <charset val="134"/>
        <scheme val="minor"/>
      </rPr>
      <t>，是纯粹的肉欲桃花。天姚是“吸引”，红鸾是“结婚”，咸池是“享乐”。</t>
    </r>
  </si>
  <si>
    <r>
      <t>3. 宫位定领域</t>
    </r>
    <r>
      <rPr>
        <sz val="11"/>
        <color theme="1"/>
        <rFont val="等线"/>
        <family val="2"/>
        <charset val="134"/>
        <scheme val="minor"/>
      </rPr>
      <t>：天姚星所在宫位，指示在人生的哪个领域最容易展现魅力、遇到桃花机遇，或需警惕情感纠葛。</t>
    </r>
  </si>
  <si>
    <r>
      <t>4. 四化引动</t>
    </r>
    <r>
      <rPr>
        <sz val="11"/>
        <color theme="1"/>
        <rFont val="等线"/>
        <family val="2"/>
        <charset val="134"/>
        <scheme val="minor"/>
      </rPr>
      <t>：见</t>
    </r>
    <r>
      <rPr>
        <b/>
        <sz val="11"/>
        <color theme="1"/>
        <rFont val="等线"/>
        <family val="3"/>
        <charset val="134"/>
        <scheme val="minor"/>
      </rPr>
      <t>化禄</t>
    </r>
    <r>
      <rPr>
        <sz val="11"/>
        <color theme="1"/>
        <rFont val="等线"/>
        <family val="2"/>
        <charset val="134"/>
        <scheme val="minor"/>
      </rPr>
      <t>，桃花机遇多且能带来实际好处，人缘财旺。见</t>
    </r>
    <r>
      <rPr>
        <b/>
        <sz val="11"/>
        <color theme="1"/>
        <rFont val="等线"/>
        <family val="3"/>
        <charset val="134"/>
        <scheme val="minor"/>
      </rPr>
      <t>化权</t>
    </r>
    <r>
      <rPr>
        <sz val="11"/>
        <color theme="1"/>
        <rFont val="等线"/>
        <family val="2"/>
        <charset val="134"/>
        <scheme val="minor"/>
      </rPr>
      <t>，主动追求桃花，在感情中掌控欲强。见</t>
    </r>
    <r>
      <rPr>
        <b/>
        <sz val="11"/>
        <color theme="1"/>
        <rFont val="等线"/>
        <family val="3"/>
        <charset val="134"/>
        <scheme val="minor"/>
      </rPr>
      <t>化科</t>
    </r>
    <r>
      <rPr>
        <sz val="11"/>
        <color theme="1"/>
        <rFont val="等线"/>
        <family val="2"/>
        <charset val="134"/>
        <scheme val="minor"/>
      </rPr>
      <t>，魅力出众，名声在外，风流倜傥。见</t>
    </r>
    <r>
      <rPr>
        <b/>
        <sz val="11"/>
        <color theme="1"/>
        <rFont val="等线"/>
        <family val="3"/>
        <charset val="134"/>
        <scheme val="minor"/>
      </rPr>
      <t>化忌</t>
    </r>
    <r>
      <rPr>
        <sz val="11"/>
        <color theme="1"/>
        <rFont val="等线"/>
        <family val="2"/>
        <charset val="134"/>
        <scheme val="minor"/>
      </rPr>
      <t>，</t>
    </r>
    <r>
      <rPr>
        <b/>
        <sz val="11"/>
        <color theme="1"/>
        <rFont val="等线"/>
        <family val="3"/>
        <charset val="134"/>
        <scheme val="minor"/>
      </rPr>
      <t>桃花劫</t>
    </r>
    <r>
      <rPr>
        <sz val="11"/>
        <color theme="1"/>
        <rFont val="等线"/>
        <family val="2"/>
        <charset val="134"/>
        <scheme val="minor"/>
      </rPr>
      <t>，为情所困，因色惹祸，名声受损。</t>
    </r>
  </si>
  <si>
    <t>一、咸池定义</t>
  </si>
  <si>
    <t>桃花、酒色、欲望、才艺、享受、偏财</t>
  </si>
  <si>
    <t>象征与生俱来的异性吸引力、对感官享受的追求、艺术天赋以及与酒色相关的偏财运。其性质偏向于肉欲、享乐与世俗的快乐。</t>
  </si>
  <si>
    <t>乙级星，属阴水。主桃花与欲望，非绝对吉凶。遇吉可为才艺与偏财，遇煞忌则为酒色破财或桃花劫。</t>
  </si>
  <si>
    <r>
      <t>酒色欲望</t>
    </r>
    <r>
      <rPr>
        <sz val="11"/>
        <color theme="1"/>
        <rFont val="等线"/>
        <family val="2"/>
        <charset val="134"/>
        <scheme val="minor"/>
      </rPr>
      <t>​</t>
    </r>
  </si>
  <si>
    <t>喜好美酒、美食、美色，追求感官刺激与肉体享乐。</t>
  </si>
  <si>
    <r>
      <t>桃花缘分</t>
    </r>
    <r>
      <rPr>
        <sz val="11"/>
        <color theme="1"/>
        <rFont val="等线"/>
        <family val="2"/>
        <charset val="134"/>
        <scheme val="minor"/>
      </rPr>
      <t>​</t>
    </r>
  </si>
  <si>
    <t>自带吸引力，易招异性，但多为露水情缘或短暂关系。</t>
  </si>
  <si>
    <r>
      <t>偏门才艺</t>
    </r>
    <r>
      <rPr>
        <sz val="11"/>
        <color theme="1"/>
        <rFont val="等线"/>
        <family val="2"/>
        <charset val="134"/>
        <scheme val="minor"/>
      </rPr>
      <t>​</t>
    </r>
  </si>
  <si>
    <t>具有音乐、舞蹈、表演等娱乐性才艺，或擅长交际应酬。</t>
  </si>
  <si>
    <r>
      <t>偏财运</t>
    </r>
    <r>
      <rPr>
        <sz val="11"/>
        <color theme="1"/>
        <rFont val="等线"/>
        <family val="2"/>
        <charset val="134"/>
        <scheme val="minor"/>
      </rPr>
      <t>​</t>
    </r>
  </si>
  <si>
    <t>钱财来源于娱乐、酒色、艺术等行业，或得异性之财。</t>
  </si>
  <si>
    <t>感情发展快速且多涉及隐私，易有暗恋、偷情或一夜情。</t>
  </si>
  <si>
    <t>在子女、迁移宫时体现。</t>
  </si>
  <si>
    <t>外貌性感有魅力，性情浪漫多情，喜好享乐，一生多酒色机缘。</t>
  </si>
  <si>
    <t>兄弟姐妹中多情场高手或享乐主义者；与同事、同学常进行娱乐活动。</t>
  </si>
  <si>
    <r>
      <t>核心宫位</t>
    </r>
    <r>
      <rPr>
        <sz val="11"/>
        <color theme="1"/>
        <rFont val="等线"/>
        <family val="2"/>
        <charset val="134"/>
        <scheme val="minor"/>
      </rPr>
      <t>。配偶性感或有情趣，但感情中易有外情干扰或注重肉欲。</t>
    </r>
  </si>
  <si>
    <t>子女漂亮；本人性欲旺盛；在娱乐、创作方面有特殊才华。</t>
  </si>
  <si>
    <t>钱财来源于娱乐、酒色、艺术等偏门行业；易因酒色破财或得财。</t>
  </si>
  <si>
    <t>注意因纵欲导致的肾虚、泌尿系统、生殖系统疾病。</t>
  </si>
  <si>
    <t>在外易有艳遇，喜好流连娱乐场所，适合从事与人际、娱乐相关的工作。</t>
  </si>
  <si>
    <t>朋友多酒肉之交或娱乐行业从业者；社交圈复杂，易涉足风月。</t>
  </si>
  <si>
    <t>事业多与娱乐、艺术、餐饮相关；工作中易有桃花或应酬。</t>
  </si>
  <si>
    <t>家中常举办聚会；可能经营酒吧、KTV等娱乐场所；家居布置香艳。</t>
  </si>
  <si>
    <t>内心追求感官享受，重视物质与肉欲快乐，精神世界偏向世俗。</t>
  </si>
  <si>
    <t>父母可能从事娱乐行业或自身感情生活丰富；本人易受享乐主义影响。</t>
  </si>
  <si>
    <t>1. 增强才艺偏财组合</t>
  </si>
  <si>
    <r>
      <t>咸池+贪狼</t>
    </r>
    <r>
      <rPr>
        <sz val="11"/>
        <color theme="1"/>
        <rFont val="等线"/>
        <family val="2"/>
        <charset val="134"/>
        <scheme val="minor"/>
      </rPr>
      <t>​</t>
    </r>
  </si>
  <si>
    <r>
      <t>标准酒色财气组合</t>
    </r>
    <r>
      <rPr>
        <sz val="11"/>
        <color theme="1"/>
        <rFont val="等线"/>
        <family val="2"/>
        <charset val="134"/>
        <scheme val="minor"/>
      </rPr>
      <t>。欲望强烈，多才多艺，善交际，偏财运佳，但易沉溺酒色。</t>
    </r>
  </si>
  <si>
    <t>娱乐圈人士、公关、销售，靠应酬得财。</t>
  </si>
  <si>
    <r>
      <t>咸池+廉贞</t>
    </r>
    <r>
      <rPr>
        <sz val="11"/>
        <color theme="1"/>
        <rFont val="等线"/>
        <family val="2"/>
        <charset val="134"/>
        <scheme val="minor"/>
      </rPr>
      <t>​</t>
    </r>
  </si>
  <si>
    <t>感情浓烈且带秘密性，才华横溢但易用于偏门，桃花带财或惹祸。</t>
  </si>
  <si>
    <t>艺术家的风流韵事；通过秘密关系获利。</t>
  </si>
  <si>
    <r>
      <t>咸池+天同</t>
    </r>
    <r>
      <rPr>
        <sz val="11"/>
        <color theme="1"/>
        <rFont val="等线"/>
        <family val="2"/>
        <charset val="134"/>
        <scheme val="minor"/>
      </rPr>
      <t>​</t>
    </r>
  </si>
  <si>
    <t>享受人生，追求快乐，将才艺用于娱乐，桃花带来愉悦而非压力。</t>
  </si>
  <si>
    <t>派对达人，生活以享乐为中心。</t>
  </si>
  <si>
    <r>
      <t>咸池+太阳</t>
    </r>
    <r>
      <rPr>
        <sz val="11"/>
        <color theme="1"/>
        <rFont val="等线"/>
        <family val="2"/>
        <charset val="134"/>
        <scheme val="minor"/>
      </rPr>
      <t>​</t>
    </r>
  </si>
  <si>
    <t>魅力公开，在娱乐、表演行业能出名，桃花来自公众场合。</t>
  </si>
  <si>
    <t>明星、主持人，靠公众魅力赚钱。</t>
  </si>
  <si>
    <r>
      <t>咸池+太阴</t>
    </r>
    <r>
      <rPr>
        <sz val="11"/>
        <color theme="1"/>
        <rFont val="等线"/>
        <family val="2"/>
        <charset val="134"/>
        <scheme val="minor"/>
      </rPr>
      <t>​</t>
    </r>
  </si>
  <si>
    <t>感情细腻隐秘，有艺术气质，偏财来自幕后或女性相关行业。</t>
  </si>
  <si>
    <t>幕后音乐制作人；女性用品销售。</t>
  </si>
  <si>
    <t>2. 加重酒色是非组合</t>
  </si>
  <si>
    <r>
      <t>咸池+巨门</t>
    </r>
    <r>
      <rPr>
        <sz val="11"/>
        <color theme="1"/>
        <rFont val="等线"/>
        <family val="2"/>
        <charset val="134"/>
        <scheme val="minor"/>
      </rPr>
      <t>​</t>
    </r>
  </si>
  <si>
    <t>桃花引发口舌是非、秘密曝光，或因酒色之事招惹诽谤。</t>
  </si>
  <si>
    <t>桃色绯闻缠身；因娱乐消费产生纠纷。</t>
  </si>
  <si>
    <r>
      <t>咸池+破军</t>
    </r>
    <r>
      <rPr>
        <sz val="11"/>
        <color theme="1"/>
        <rFont val="等线"/>
        <family val="2"/>
        <charset val="134"/>
        <scheme val="minor"/>
      </rPr>
      <t>​</t>
    </r>
  </si>
  <si>
    <t>欲望具有破坏性，为酒色破财惹祸，感情关系混乱且短暂。</t>
  </si>
  <si>
    <t>因赌博、嫖娼倾家荡产；频繁更换性伴侣。</t>
  </si>
  <si>
    <r>
      <t>咸池+七杀</t>
    </r>
    <r>
      <rPr>
        <sz val="11"/>
        <color theme="1"/>
        <rFont val="等线"/>
        <family val="2"/>
        <charset val="134"/>
        <scheme val="minor"/>
      </rPr>
      <t>​</t>
    </r>
  </si>
  <si>
    <t>桃花来得突然猛烈，易有一夜情，但也易因情色引发冲突。</t>
  </si>
  <si>
    <t>酒吧一夜情后发生争执；因色招灾。</t>
  </si>
  <si>
    <r>
      <t>咸池+天机</t>
    </r>
    <r>
      <rPr>
        <sz val="11"/>
        <color theme="1"/>
        <rFont val="等线"/>
        <family val="2"/>
        <charset val="134"/>
        <scheme val="minor"/>
      </rPr>
      <t>​</t>
    </r>
  </si>
  <si>
    <t>心思活络，用计谋获取桃花或偏财，但计划多变，难以稳定。</t>
  </si>
  <si>
    <t>通过社交软件猎艳；投机取巧赚快钱。</t>
  </si>
  <si>
    <r>
      <t>咸池+武曲</t>
    </r>
    <r>
      <rPr>
        <sz val="11"/>
        <color theme="1"/>
        <rFont val="等线"/>
        <family val="2"/>
        <charset val="134"/>
        <scheme val="minor"/>
      </rPr>
      <t>​</t>
    </r>
  </si>
  <si>
    <t>将求财手段用于偏门娱乐行业，或因刚性需求陷入酒色交易。</t>
  </si>
  <si>
    <t>经营赌场、夜总会；为钱进行性交易。</t>
  </si>
  <si>
    <r>
      <t>咸池+天姚</t>
    </r>
    <r>
      <rPr>
        <sz val="11"/>
        <color theme="1"/>
        <rFont val="等线"/>
        <family val="2"/>
        <charset val="134"/>
        <scheme val="minor"/>
      </rPr>
      <t>​</t>
    </r>
  </si>
  <si>
    <r>
      <t>桃花倍增组合</t>
    </r>
    <r>
      <rPr>
        <sz val="11"/>
        <color theme="1"/>
        <rFont val="等线"/>
        <family val="2"/>
        <charset val="134"/>
        <scheme val="minor"/>
      </rPr>
      <t>。魅力与欲望达到顶峰，异性缘极强，但多属肉欲桃花。</t>
    </r>
  </si>
  <si>
    <t>风流成性，性关系复杂且频繁。</t>
  </si>
  <si>
    <r>
      <t>咸池+红鸾/天喜</t>
    </r>
    <r>
      <rPr>
        <sz val="11"/>
        <color theme="1"/>
        <rFont val="等线"/>
        <family val="2"/>
        <charset val="134"/>
        <scheme val="minor"/>
      </rPr>
      <t>​</t>
    </r>
  </si>
  <si>
    <t>桃花带喜庆色彩，易因酒色之事促成婚姻或怀孕等喜事。</t>
  </si>
  <si>
    <t>奉子成婚；在娱乐场合结识结婚对象。</t>
  </si>
  <si>
    <r>
      <t>咸池+文昌/文曲</t>
    </r>
    <r>
      <rPr>
        <sz val="11"/>
        <color theme="1"/>
        <rFont val="等线"/>
        <family val="2"/>
        <charset val="134"/>
        <scheme val="minor"/>
      </rPr>
      <t>​</t>
    </r>
  </si>
  <si>
    <r>
      <t>风流才艺组合</t>
    </r>
    <r>
      <rPr>
        <sz val="11"/>
        <color theme="1"/>
        <rFont val="等线"/>
        <family val="2"/>
        <charset val="134"/>
        <scheme val="minor"/>
      </rPr>
      <t>。将才艺用于风月场合，通过文艺手段吸引异性或赚取偏财。</t>
    </r>
  </si>
  <si>
    <t>夜总会歌手、舞者；情色作家。</t>
  </si>
  <si>
    <r>
      <t>咸池+火星</t>
    </r>
    <r>
      <rPr>
        <sz val="11"/>
        <color theme="1"/>
        <rFont val="等线"/>
        <family val="2"/>
        <charset val="134"/>
        <scheme val="minor"/>
      </rPr>
      <t>​</t>
    </r>
  </si>
  <si>
    <t>酒色欲望来得突然且冲动，易有闪电式的一夜情或冲动消费。</t>
  </si>
  <si>
    <t>酒后乱性；冲动购买奢侈品讨好异性。</t>
  </si>
  <si>
    <r>
      <t>咸池+铃星</t>
    </r>
    <r>
      <rPr>
        <sz val="11"/>
        <color theme="1"/>
        <rFont val="等线"/>
        <family val="2"/>
        <charset val="134"/>
        <scheme val="minor"/>
      </rPr>
      <t>​</t>
    </r>
  </si>
  <si>
    <t>对酒色之事计较、焦虑，易陷入纠缠的肉欲关系或慢性瘾癖。</t>
  </si>
  <si>
    <t>沉迷色情网站；有固定的情人关系但内心焦虑。</t>
  </si>
  <si>
    <r>
      <t>咸池+擎羊</t>
    </r>
    <r>
      <rPr>
        <sz val="11"/>
        <color theme="1"/>
        <rFont val="等线"/>
        <family val="2"/>
        <charset val="134"/>
        <scheme val="minor"/>
      </rPr>
      <t>​</t>
    </r>
  </si>
  <si>
    <t>因酒色引发竞争、冲突或身体伤害，如争风吃醋打架，性病。</t>
  </si>
  <si>
    <t>在风月场所与人争斗；感染性病。</t>
  </si>
  <si>
    <r>
      <t>咸池+陀罗</t>
    </r>
    <r>
      <rPr>
        <sz val="11"/>
        <color theme="1"/>
        <rFont val="等线"/>
        <family val="2"/>
        <charset val="134"/>
        <scheme val="minor"/>
      </rPr>
      <t>​</t>
    </r>
  </si>
  <si>
    <t>酒色之事拖延反复，旧瘾难戒，陷入持久的不良关系或嗜好。</t>
  </si>
  <si>
    <t>长期酗酒；与旧情人保持肉体关系。</t>
  </si>
  <si>
    <r>
      <t>咸池+地空/地劫</t>
    </r>
    <r>
      <rPr>
        <sz val="11"/>
        <color theme="1"/>
        <rFont val="等线"/>
        <family val="2"/>
        <charset val="134"/>
        <scheme val="minor"/>
      </rPr>
      <t>​</t>
    </r>
  </si>
  <si>
    <t>为酒色之事破耗钱财，理想化的肉欲追求落空。</t>
  </si>
  <si>
    <t>为博红颜一笑挥霍无度却人财两空。</t>
  </si>
  <si>
    <r>
      <t>咸池+天刑</t>
    </r>
    <r>
      <rPr>
        <sz val="11"/>
        <color theme="1"/>
        <rFont val="等线"/>
        <family val="2"/>
        <charset val="134"/>
        <scheme val="minor"/>
      </rPr>
      <t>​</t>
    </r>
  </si>
  <si>
    <t>酒色之事触犯法律或纪律，引发官司、处罚或疾病。</t>
  </si>
  <si>
    <t>因嫖娼被拘留；因纵欲过度染上法律禁止的疾病。</t>
  </si>
  <si>
    <r>
      <t>咸池+天马</t>
    </r>
    <r>
      <rPr>
        <sz val="11"/>
        <color theme="1"/>
        <rFont val="等线"/>
        <family val="2"/>
        <charset val="134"/>
        <scheme val="minor"/>
      </rPr>
      <t>​</t>
    </r>
  </si>
  <si>
    <t>桃花在移动、旅行中发生，易有异地艳遇或在外寻欢作乐。</t>
  </si>
  <si>
    <t>出差时嫖妓；旅行中的一夜情。</t>
  </si>
  <si>
    <r>
      <t>1. “正”与“邪”</t>
    </r>
    <r>
      <rPr>
        <sz val="11"/>
        <color theme="1"/>
        <rFont val="等线"/>
        <family val="2"/>
        <charset val="134"/>
        <scheme val="minor"/>
      </rPr>
      <t>：咸池星本质为</t>
    </r>
    <r>
      <rPr>
        <b/>
        <sz val="11"/>
        <color theme="1"/>
        <rFont val="等线"/>
        <family val="3"/>
        <charset val="134"/>
        <scheme val="minor"/>
      </rPr>
      <t>欲望之星</t>
    </r>
    <r>
      <rPr>
        <sz val="11"/>
        <color theme="1"/>
        <rFont val="等线"/>
        <family val="2"/>
        <charset val="134"/>
        <scheme val="minor"/>
      </rPr>
      <t>，其显现取决于所会星曜。遇</t>
    </r>
    <r>
      <rPr>
        <b/>
        <sz val="11"/>
        <color theme="1"/>
        <rFont val="等线"/>
        <family val="3"/>
        <charset val="134"/>
        <scheme val="minor"/>
      </rPr>
      <t>吉星、正星（如紫微、天府、昌曲）</t>
    </r>
    <r>
      <rPr>
        <sz val="11"/>
        <color theme="1"/>
        <rFont val="等线"/>
        <family val="2"/>
        <charset val="134"/>
        <scheme val="minor"/>
      </rPr>
      <t>，可转化为出色的艺术才华、交际能力与偏财运。遇</t>
    </r>
    <r>
      <rPr>
        <b/>
        <sz val="11"/>
        <color theme="1"/>
        <rFont val="等线"/>
        <family val="3"/>
        <charset val="134"/>
        <scheme val="minor"/>
      </rPr>
      <t>煞星、桃花星（如贪狼、廉贞、天姚）</t>
    </r>
    <r>
      <rPr>
        <sz val="11"/>
        <color theme="1"/>
        <rFont val="等线"/>
        <family val="2"/>
        <charset val="134"/>
        <scheme val="minor"/>
      </rPr>
      <t>，则加重其酒色、肉欲、享乐的负面性质，易成桃花劫。</t>
    </r>
  </si>
  <si>
    <r>
      <t>2. 与“天姚”、“红鸾”的区别</t>
    </r>
    <r>
      <rPr>
        <sz val="11"/>
        <color theme="1"/>
        <rFont val="等线"/>
        <family val="2"/>
        <charset val="134"/>
        <scheme val="minor"/>
      </rPr>
      <t>：</t>
    </r>
    <r>
      <rPr>
        <b/>
        <sz val="11"/>
        <color theme="1"/>
        <rFont val="等线"/>
        <family val="3"/>
        <charset val="134"/>
        <scheme val="minor"/>
      </rPr>
      <t>咸池主“酒色欲望”</t>
    </r>
    <r>
      <rPr>
        <sz val="11"/>
        <color theme="1"/>
        <rFont val="等线"/>
        <family val="2"/>
        <charset val="134"/>
        <scheme val="minor"/>
      </rPr>
      <t>，是</t>
    </r>
    <r>
      <rPr>
        <b/>
        <sz val="11"/>
        <color theme="1"/>
        <rFont val="等线"/>
        <family val="3"/>
        <charset val="134"/>
        <scheme val="minor"/>
      </rPr>
      <t>最直接、最偏向肉体</t>
    </r>
    <r>
      <rPr>
        <sz val="11"/>
        <color theme="1"/>
        <rFont val="等线"/>
        <family val="2"/>
        <charset val="134"/>
        <scheme val="minor"/>
      </rPr>
      <t>的桃花，重</t>
    </r>
    <r>
      <rPr>
        <b/>
        <sz val="11"/>
        <color theme="1"/>
        <rFont val="等线"/>
        <family val="3"/>
        <charset val="134"/>
        <scheme val="minor"/>
      </rPr>
      <t>享受与占有</t>
    </r>
    <r>
      <rPr>
        <sz val="11"/>
        <color theme="1"/>
        <rFont val="等线"/>
        <family val="2"/>
        <charset val="134"/>
        <scheme val="minor"/>
      </rPr>
      <t>；</t>
    </r>
    <r>
      <rPr>
        <b/>
        <sz val="11"/>
        <color theme="1"/>
        <rFont val="等线"/>
        <family val="3"/>
        <charset val="134"/>
        <scheme val="minor"/>
      </rPr>
      <t>天姚主“风情魅力”</t>
    </r>
    <r>
      <rPr>
        <sz val="11"/>
        <color theme="1"/>
        <rFont val="等线"/>
        <family val="2"/>
        <charset val="134"/>
        <scheme val="minor"/>
      </rPr>
      <t>，是内在的吸引力与才情，重</t>
    </r>
    <r>
      <rPr>
        <b/>
        <sz val="11"/>
        <color theme="1"/>
        <rFont val="等线"/>
        <family val="3"/>
        <charset val="134"/>
        <scheme val="minor"/>
      </rPr>
      <t>感觉与过程</t>
    </r>
    <r>
      <rPr>
        <sz val="11"/>
        <color theme="1"/>
        <rFont val="等线"/>
        <family val="2"/>
        <charset val="134"/>
        <scheme val="minor"/>
      </rPr>
      <t>；</t>
    </r>
    <r>
      <rPr>
        <b/>
        <sz val="11"/>
        <color theme="1"/>
        <rFont val="等线"/>
        <family val="3"/>
        <charset val="134"/>
        <scheme val="minor"/>
      </rPr>
      <t>红鸾主“婚姻正缘”</t>
    </r>
    <r>
      <rPr>
        <sz val="11"/>
        <color theme="1"/>
        <rFont val="等线"/>
        <family val="2"/>
        <charset val="134"/>
        <scheme val="minor"/>
      </rPr>
      <t>，是正式的婚恋信号，重</t>
    </r>
    <r>
      <rPr>
        <b/>
        <sz val="11"/>
        <color theme="1"/>
        <rFont val="等线"/>
        <family val="3"/>
        <charset val="134"/>
        <scheme val="minor"/>
      </rPr>
      <t>结果与形式</t>
    </r>
    <r>
      <rPr>
        <sz val="11"/>
        <color theme="1"/>
        <rFont val="等线"/>
        <family val="2"/>
        <charset val="134"/>
        <scheme val="minor"/>
      </rPr>
      <t>。简言之，咸池是“肉体”，天姚是“风情”，红鸾是“婚姻”。</t>
    </r>
  </si>
  <si>
    <r>
      <t>3. 宫位定领域</t>
    </r>
    <r>
      <rPr>
        <sz val="11"/>
        <color theme="1"/>
        <rFont val="等线"/>
        <family val="2"/>
        <charset val="134"/>
        <scheme val="minor"/>
      </rPr>
      <t>：咸池星所在宫位，指示在人生的哪个领域最容易引发欲望、遇到酒色机缘，或可能通过偏门才艺获利。</t>
    </r>
  </si>
  <si>
    <r>
      <t>4. 四化引动</t>
    </r>
    <r>
      <rPr>
        <sz val="11"/>
        <color theme="1"/>
        <rFont val="等线"/>
        <family val="2"/>
        <charset val="134"/>
        <scheme val="minor"/>
      </rPr>
      <t>：见</t>
    </r>
    <r>
      <rPr>
        <b/>
        <sz val="11"/>
        <color theme="1"/>
        <rFont val="等线"/>
        <family val="3"/>
        <charset val="134"/>
        <scheme val="minor"/>
      </rPr>
      <t>化禄</t>
    </r>
    <r>
      <rPr>
        <sz val="11"/>
        <color theme="1"/>
        <rFont val="等线"/>
        <family val="2"/>
        <charset val="134"/>
        <scheme val="minor"/>
      </rPr>
      <t>，欲望得满足，偏财运佳，易因酒色得财。见</t>
    </r>
    <r>
      <rPr>
        <b/>
        <sz val="11"/>
        <color theme="1"/>
        <rFont val="等线"/>
        <family val="3"/>
        <charset val="134"/>
        <scheme val="minor"/>
      </rPr>
      <t>化权</t>
    </r>
    <r>
      <rPr>
        <sz val="11"/>
        <color theme="1"/>
        <rFont val="等线"/>
        <family val="2"/>
        <charset val="134"/>
        <scheme val="minor"/>
      </rPr>
      <t>，主动追求酒色享乐，在相关领域有掌控力。见</t>
    </r>
    <r>
      <rPr>
        <b/>
        <sz val="11"/>
        <color theme="1"/>
        <rFont val="等线"/>
        <family val="3"/>
        <charset val="134"/>
        <scheme val="minor"/>
      </rPr>
      <t>化科</t>
    </r>
    <r>
      <rPr>
        <sz val="11"/>
        <color theme="1"/>
        <rFont val="等线"/>
        <family val="2"/>
        <charset val="134"/>
        <scheme val="minor"/>
      </rPr>
      <t>，才艺出众，在娱乐行业有名声，风流倜傥。见</t>
    </r>
    <r>
      <rPr>
        <b/>
        <sz val="11"/>
        <color theme="1"/>
        <rFont val="等线"/>
        <family val="3"/>
        <charset val="134"/>
        <scheme val="minor"/>
      </rPr>
      <t>化忌</t>
    </r>
    <r>
      <rPr>
        <sz val="11"/>
        <color theme="1"/>
        <rFont val="等线"/>
        <family val="2"/>
        <charset val="134"/>
        <scheme val="minor"/>
      </rPr>
      <t>，</t>
    </r>
    <r>
      <rPr>
        <b/>
        <sz val="11"/>
        <color theme="1"/>
        <rFont val="等线"/>
        <family val="3"/>
        <charset val="134"/>
        <scheme val="minor"/>
      </rPr>
      <t>欲望受挫</t>
    </r>
    <r>
      <rPr>
        <sz val="11"/>
        <color theme="1"/>
        <rFont val="等线"/>
        <family val="2"/>
        <charset val="134"/>
        <scheme val="minor"/>
      </rPr>
      <t>，因酒色破财、惹祸、伤身，或才艺无法发挥。</t>
    </r>
  </si>
  <si>
    <t>一、台辅定义</t>
  </si>
  <si>
    <t>辅佐、幕僚、文书、印章、贵人、实际助力</t>
  </si>
  <si>
    <t>象征实际的辅佐力量、得力的助手、正式的文书凭证（如合同、证书、公章）以及来自同辈或下属的实质性帮助。</t>
  </si>
  <si>
    <t>乙级星，属阳土。主吉，为贵气、助力之星。其力量需依附于主星及整体格局方能充分发挥。</t>
  </si>
  <si>
    <r>
      <t>辅佐贵人</t>
    </r>
    <r>
      <rPr>
        <sz val="11"/>
        <color theme="1"/>
        <rFont val="等线"/>
        <family val="2"/>
        <charset val="134"/>
        <scheme val="minor"/>
      </rPr>
      <t>​</t>
    </r>
  </si>
  <si>
    <t>易得同辈、同事、同学、朋友或下属的实质性帮助与支持。</t>
  </si>
  <si>
    <t>在交友宫、兄弟宫时尤为明显。</t>
  </si>
  <si>
    <r>
      <t>文书印章</t>
    </r>
    <r>
      <rPr>
        <sz val="11"/>
        <color theme="1"/>
        <rFont val="等线"/>
        <family val="2"/>
        <charset val="134"/>
        <scheme val="minor"/>
      </rPr>
      <t>​</t>
    </r>
  </si>
  <si>
    <t>与正式文件、契约、证书、公章、法律文书相关，主事能成文、有凭据。</t>
  </si>
  <si>
    <t>在官禄宫、父母宫时力量强。</t>
  </si>
  <si>
    <r>
      <t>实际助力</t>
    </r>
    <r>
      <rPr>
        <sz val="11"/>
        <color theme="1"/>
        <rFont val="等线"/>
        <family val="2"/>
        <charset val="134"/>
        <scheme val="minor"/>
      </rPr>
      <t>​</t>
    </r>
  </si>
  <si>
    <t>提供的帮助是具体、实在的，而非空泛的承诺，能解决实际问题。</t>
  </si>
  <si>
    <t>与左辅、右弼同度时显著。</t>
  </si>
  <si>
    <r>
      <t>增加光彩</t>
    </r>
    <r>
      <rPr>
        <sz val="11"/>
        <color theme="1"/>
        <rFont val="等线"/>
        <family val="2"/>
        <charset val="134"/>
        <scheme val="minor"/>
      </rPr>
      <t>​</t>
    </r>
  </si>
  <si>
    <t>为所会照的主星或宫位增添贵气、稳定性与正式性。</t>
  </si>
  <si>
    <t>与吉星同会，锦上添花。</t>
  </si>
  <si>
    <r>
      <t>稳定支持</t>
    </r>
    <r>
      <rPr>
        <sz val="11"/>
        <color theme="1"/>
        <rFont val="等线"/>
        <family val="2"/>
        <charset val="134"/>
        <scheme val="minor"/>
      </rPr>
      <t>​</t>
    </r>
  </si>
  <si>
    <t>助力持续而稳定，如同坚实的后盾或可靠的团队。</t>
  </si>
  <si>
    <t>在命宫、身宫时体现。</t>
  </si>
  <si>
    <t>为人正直可靠，易得同辈友人相助，一生多实际助力，适合担任副手或管理职位。</t>
  </si>
  <si>
    <t>兄弟姐妹或同事、同学能提供实质性帮助，团队合作顺利。</t>
  </si>
  <si>
    <t>配偶是自己的得力助手，或在事业、生活上能给予实际支持；婚姻关系稳定。</t>
  </si>
  <si>
    <t>子女能干，是得力助手；在合作、创作项目中易得伙伴鼎力相助。</t>
  </si>
  <si>
    <t>钱财来源稳定，易通过合作、签约得财，财务管理有章法、有凭证。</t>
  </si>
  <si>
    <t>身体健康能得到有效的辅助治疗或得力看护；病情诊断有明确报告。</t>
  </si>
  <si>
    <t>在外发展易得朋友、同乡的实际帮助；出行顺利，手续齐全。</t>
  </si>
  <si>
    <r>
      <t>核心宫位</t>
    </r>
    <r>
      <rPr>
        <sz val="11"/>
        <color theme="1"/>
        <rFont val="等线"/>
        <family val="2"/>
        <charset val="134"/>
        <scheme val="minor"/>
      </rPr>
      <t>。朋友多为可靠、实干之人，能提供实质性帮助，得良友益友。</t>
    </r>
  </si>
  <si>
    <r>
      <t>核心宫位</t>
    </r>
    <r>
      <rPr>
        <sz val="11"/>
        <color theme="1"/>
        <rFont val="等线"/>
        <family val="2"/>
        <charset val="134"/>
        <scheme val="minor"/>
      </rPr>
      <t>。事业上有得力下属或合作伙伴；工作涉及文书、契约；易在大型机构任职。</t>
    </r>
  </si>
  <si>
    <t>家庭内部互助，家人是后盾；房产文件齐全；可能有助手、佣人住在家里。</t>
  </si>
  <si>
    <t>精神世界充实，有坚定的信念或理念作为支撑，内心感到有依靠。</t>
  </si>
  <si>
    <t>父母或长辈能给予实质性支持（如资源、人脉）；与官方机构打交道顺利。</t>
  </si>
  <si>
    <t>1. 增强贵气助力组合</t>
  </si>
  <si>
    <r>
      <t>台辅+紫微</t>
    </r>
    <r>
      <rPr>
        <sz val="11"/>
        <color theme="1"/>
        <rFont val="等线"/>
        <family val="2"/>
        <charset val="134"/>
        <scheme val="minor"/>
      </rPr>
      <t>​</t>
    </r>
  </si>
  <si>
    <t>增强领导权威，得优秀幕僚团队辅佐，政令、文书通行无阻。</t>
  </si>
  <si>
    <t>企业CEO拥有高效执行团队；官员有智囊团。</t>
  </si>
  <si>
    <r>
      <t>台辅+太阳</t>
    </r>
    <r>
      <rPr>
        <sz val="11"/>
        <color theme="1"/>
        <rFont val="等线"/>
        <family val="2"/>
        <charset val="134"/>
        <scheme val="minor"/>
      </rPr>
      <t>​</t>
    </r>
  </si>
  <si>
    <t>公开事务得到有力支持，名声有实际基础，得公众人物或媒体助力。</t>
  </si>
  <si>
    <t>公众人物有专业的公关团队；项目获得公开支持。</t>
  </si>
  <si>
    <r>
      <t>台辅+天同</t>
    </r>
    <r>
      <rPr>
        <sz val="11"/>
        <color theme="1"/>
        <rFont val="等线"/>
        <family val="2"/>
        <charset val="134"/>
        <scheme val="minor"/>
      </rPr>
      <t>​</t>
    </r>
  </si>
  <si>
    <t>福气有实际支撑，生活安逸有帮手，合作过程愉快且成果实在。</t>
  </si>
  <si>
    <t>与合作伙伴相处融洽且项目成功；家庭有得力保姆。</t>
  </si>
  <si>
    <r>
      <t>台辅+天府</t>
    </r>
    <r>
      <rPr>
        <sz val="11"/>
        <color theme="1"/>
        <rFont val="等线"/>
        <family val="2"/>
        <charset val="134"/>
        <scheme val="minor"/>
      </rPr>
      <t>​</t>
    </r>
  </si>
  <si>
    <t>库藏有得力管理者，财富积累有方，得稳健可靠的合作伙伴。</t>
  </si>
  <si>
    <t>公司有优秀的财务总监；与信誉好的企业结盟。</t>
  </si>
  <si>
    <r>
      <t>台辅+天相</t>
    </r>
    <r>
      <rPr>
        <sz val="11"/>
        <color theme="1"/>
        <rFont val="等线"/>
        <family val="2"/>
        <charset val="134"/>
        <scheme val="minor"/>
      </rPr>
      <t>​</t>
    </r>
  </si>
  <si>
    <t>文书、契约之事办理顺利且规范，得忠诚可靠的副手或秘书。</t>
  </si>
  <si>
    <t>签约过程顺利无误；领导有得力的秘书。</t>
  </si>
  <si>
    <t>2. 专业化与执行力组合</t>
  </si>
  <si>
    <r>
      <t>台辅+天机</t>
    </r>
    <r>
      <rPr>
        <sz val="11"/>
        <color theme="1"/>
        <rFont val="等线"/>
        <family val="2"/>
        <charset val="134"/>
        <scheme val="minor"/>
      </rPr>
      <t>​</t>
    </r>
  </si>
  <si>
    <t>策划、谋略得到有效执行，思维有实际方案和文件支持。</t>
  </si>
  <si>
    <t>策划案有详细的执行手册；军师有落实的将领。</t>
  </si>
  <si>
    <r>
      <t>台辅+武曲</t>
    </r>
    <r>
      <rPr>
        <sz val="11"/>
        <color theme="1"/>
        <rFont val="等线"/>
        <family val="2"/>
        <charset val="134"/>
        <scheme val="minor"/>
      </rPr>
      <t>​</t>
    </r>
  </si>
  <si>
    <t>财务、执行层面有得力助手，金融操作、工程管理规范有据。</t>
  </si>
  <si>
    <t>财务总监有精干的会计团队；工程经理有技术骨干。</t>
  </si>
  <si>
    <r>
      <t>台辅+廉贞</t>
    </r>
    <r>
      <rPr>
        <sz val="11"/>
        <color theme="1"/>
        <rFont val="等线"/>
        <family val="2"/>
        <charset val="134"/>
        <scheme val="minor"/>
      </rPr>
      <t>​</t>
    </r>
  </si>
  <si>
    <t>复杂事务、公关协调得到专业助手，法律文书、合约严谨。</t>
  </si>
  <si>
    <t>律师有优秀的助理；公关危机有专业团队处理。</t>
  </si>
  <si>
    <r>
      <t>台辅+太阴</t>
    </r>
    <r>
      <rPr>
        <sz val="11"/>
        <color theme="1"/>
        <rFont val="等线"/>
        <family val="2"/>
        <charset val="134"/>
        <scheme val="minor"/>
      </rPr>
      <t>​</t>
    </r>
  </si>
  <si>
    <t>计划、内务有细心助手打理，财务、文书工作井井有条。</t>
  </si>
  <si>
    <t>作家有负责的编辑；家庭财务有专人管理。</t>
  </si>
  <si>
    <r>
      <t>台辅+天梁</t>
    </r>
    <r>
      <rPr>
        <sz val="11"/>
        <color theme="1"/>
        <rFont val="等线"/>
        <family val="2"/>
        <charset val="134"/>
        <scheme val="minor"/>
      </rPr>
      <t>​</t>
    </r>
  </si>
  <si>
    <t>监察、顾问工作有实际依据和助手，传统、法律事务办理顺利。</t>
  </si>
  <si>
    <t>审计师有助理协助查账；办理遗产公证手续顺利。</t>
  </si>
  <si>
    <r>
      <t>台辅+封诰</t>
    </r>
    <r>
      <rPr>
        <sz val="11"/>
        <color theme="1"/>
        <rFont val="等线"/>
        <family val="2"/>
        <charset val="134"/>
        <scheme val="minor"/>
      </rPr>
      <t>​</t>
    </r>
  </si>
  <si>
    <r>
      <t>对星，力量倍增</t>
    </r>
    <r>
      <rPr>
        <sz val="11"/>
        <color theme="1"/>
        <rFont val="等线"/>
        <family val="2"/>
        <charset val="134"/>
        <scheme val="minor"/>
      </rPr>
      <t>。既得实际助力，又获名誉封赏，文书证件齐全且具荣誉性。</t>
    </r>
  </si>
  <si>
    <t>获得学位证书及实际工作机会；受表彰同时得到晋升。</t>
  </si>
  <si>
    <r>
      <t>台辅+左辅/右弼</t>
    </r>
    <r>
      <rPr>
        <sz val="11"/>
        <color theme="1"/>
        <rFont val="等线"/>
        <family val="2"/>
        <charset val="134"/>
        <scheme val="minor"/>
      </rPr>
      <t>​</t>
    </r>
  </si>
  <si>
    <r>
      <t>辅佐力量极强</t>
    </r>
    <r>
      <rPr>
        <sz val="11"/>
        <color theme="1"/>
        <rFont val="等线"/>
        <family val="2"/>
        <charset val="134"/>
        <scheme val="minor"/>
      </rPr>
      <t>。贵人众多，助力来自四面八方，团队强大，事事有人帮。</t>
    </r>
  </si>
  <si>
    <t>创业时有强大的创始团队；项目得到多方资源支持。</t>
  </si>
  <si>
    <r>
      <t>台辅+文昌/文曲</t>
    </r>
    <r>
      <rPr>
        <sz val="11"/>
        <color theme="1"/>
        <rFont val="等线"/>
        <family val="2"/>
        <charset val="134"/>
        <scheme val="minor"/>
      </rPr>
      <t>​</t>
    </r>
  </si>
  <si>
    <r>
      <t>文书才华出众</t>
    </r>
    <r>
      <rPr>
        <sz val="11"/>
        <color theme="1"/>
        <rFont val="等线"/>
        <family val="2"/>
        <charset val="134"/>
        <scheme val="minor"/>
      </rPr>
      <t>。擅长处理文书合约，助力带有文化、艺术色彩，合约完美。</t>
    </r>
  </si>
  <si>
    <t>优秀的法律文书起草者；艺术项目的得力策划。</t>
  </si>
  <si>
    <r>
      <t>台辅+天魁/天钺</t>
    </r>
    <r>
      <rPr>
        <sz val="11"/>
        <color theme="1"/>
        <rFont val="等线"/>
        <family val="2"/>
        <charset val="134"/>
        <scheme val="minor"/>
      </rPr>
      <t>​</t>
    </r>
  </si>
  <si>
    <r>
      <t>贵人运鼎盛</t>
    </r>
    <r>
      <rPr>
        <sz val="11"/>
        <color theme="1"/>
        <rFont val="等线"/>
        <family val="2"/>
        <charset val="134"/>
        <scheme val="minor"/>
      </rPr>
      <t>。既有天乙贵人提携，又有同辈友人鼎力相助，上下皆通。</t>
    </r>
  </si>
  <si>
    <t>得上司赏识的同时，同事也全力配合。</t>
  </si>
  <si>
    <r>
      <t>台辅+禄存</t>
    </r>
    <r>
      <rPr>
        <sz val="11"/>
        <color theme="1"/>
        <rFont val="等线"/>
        <family val="2"/>
        <charset val="134"/>
        <scheme val="minor"/>
      </rPr>
      <t>​</t>
    </r>
  </si>
  <si>
    <t>助力能带来实际财富，合作生财，文书契约涉及经济利益且稳妥。</t>
  </si>
  <si>
    <t>签订利润丰厚的合同；合作伙伴带来资金。</t>
  </si>
  <si>
    <r>
      <t>台辅+火星</t>
    </r>
    <r>
      <rPr>
        <sz val="11"/>
        <color theme="1"/>
        <rFont val="等线"/>
        <family val="2"/>
        <charset val="134"/>
        <scheme val="minor"/>
      </rPr>
      <t>​</t>
    </r>
  </si>
  <si>
    <t>助力来得突然、迅速，或助手性格急躁但执行力强。</t>
  </si>
  <si>
    <t>紧急情况下得到朋友迅速援手；下属行动力强但欠稳妥。</t>
  </si>
  <si>
    <r>
      <t>台辅+铃星</t>
    </r>
    <r>
      <rPr>
        <sz val="11"/>
        <color theme="1"/>
        <rFont val="等线"/>
        <family val="2"/>
        <charset val="134"/>
        <scheme val="minor"/>
      </rPr>
      <t>​</t>
    </r>
  </si>
  <si>
    <t>助力在计较、权衡后给予，或助手心思细密但易有抱怨。</t>
  </si>
  <si>
    <t>经过谈判后获得支持；助手做事细致但爱发牢骚。</t>
  </si>
  <si>
    <r>
      <t>台辅+擎羊</t>
    </r>
    <r>
      <rPr>
        <sz val="11"/>
        <color theme="1"/>
        <rFont val="等线"/>
        <family val="2"/>
        <charset val="134"/>
        <scheme val="minor"/>
      </rPr>
      <t>​</t>
    </r>
  </si>
  <si>
    <t>助力伴随竞争或压力，助手能力强但个性强，文书可能有法律争议。</t>
  </si>
  <si>
    <t>在竞争环境中得到盟友；与能力强的下属时有摩擦。</t>
  </si>
  <si>
    <r>
      <t>台辅+陀罗</t>
    </r>
    <r>
      <rPr>
        <sz val="11"/>
        <color theme="1"/>
        <rFont val="等线"/>
        <family val="2"/>
        <charset val="134"/>
        <scheme val="minor"/>
      </rPr>
      <t>​</t>
    </r>
  </si>
  <si>
    <t>助力来得迟缓、反复，助手做事拖延，文书流程漫长。</t>
  </si>
  <si>
    <t>申请文件批复缓慢；下属执行力不足，需要反复催促。</t>
  </si>
  <si>
    <r>
      <t>台辅+地空/地劫</t>
    </r>
    <r>
      <rPr>
        <sz val="11"/>
        <color theme="1"/>
        <rFont val="等线"/>
        <family val="2"/>
        <charset val="134"/>
        <scheme val="minor"/>
      </rPr>
      <t>​</t>
    </r>
  </si>
  <si>
    <t>助力落空或不得力，文书契约易出纰漏或失效。</t>
  </si>
  <si>
    <t>承诺的帮助未能兑现；合同存在漏洞导致纠纷。</t>
  </si>
  <si>
    <r>
      <t>1. “实”与“名”</t>
    </r>
    <r>
      <rPr>
        <sz val="11"/>
        <color theme="1"/>
        <rFont val="等线"/>
        <family val="2"/>
        <charset val="134"/>
        <scheme val="minor"/>
      </rPr>
      <t>：台辅星主</t>
    </r>
    <r>
      <rPr>
        <b/>
        <sz val="11"/>
        <color theme="1"/>
        <rFont val="等线"/>
        <family val="3"/>
        <charset val="134"/>
        <scheme val="minor"/>
      </rPr>
      <t>实际辅佐与文书凭证</t>
    </r>
    <r>
      <rPr>
        <sz val="11"/>
        <color theme="1"/>
        <rFont val="等线"/>
        <family val="2"/>
        <charset val="134"/>
        <scheme val="minor"/>
      </rPr>
      <t>，是“实”的助力；其对星“封诰”主</t>
    </r>
    <r>
      <rPr>
        <b/>
        <sz val="11"/>
        <color theme="1"/>
        <rFont val="等线"/>
        <family val="3"/>
        <charset val="134"/>
        <scheme val="minor"/>
      </rPr>
      <t>名誉、称号与虚衔</t>
    </r>
    <r>
      <rPr>
        <sz val="11"/>
        <color theme="1"/>
        <rFont val="等线"/>
        <family val="2"/>
        <charset val="134"/>
        <scheme val="minor"/>
      </rPr>
      <t>，是“名”的加持。二者同会，则</t>
    </r>
    <r>
      <rPr>
        <b/>
        <sz val="11"/>
        <color theme="1"/>
        <rFont val="等线"/>
        <family val="3"/>
        <charset val="134"/>
        <scheme val="minor"/>
      </rPr>
      <t>名实相副</t>
    </r>
    <r>
      <rPr>
        <sz val="11"/>
        <color theme="1"/>
        <rFont val="等线"/>
        <family val="2"/>
        <charset val="134"/>
        <scheme val="minor"/>
      </rPr>
      <t>。</t>
    </r>
  </si>
  <si>
    <r>
      <t>2. 与“左辅”、“右弼”的区别</t>
    </r>
    <r>
      <rPr>
        <sz val="11"/>
        <color theme="1"/>
        <rFont val="等线"/>
        <family val="2"/>
        <charset val="134"/>
        <scheme val="minor"/>
      </rPr>
      <t>：</t>
    </r>
    <r>
      <rPr>
        <b/>
        <sz val="11"/>
        <color theme="1"/>
        <rFont val="等线"/>
        <family val="3"/>
        <charset val="134"/>
        <scheme val="minor"/>
      </rPr>
      <t>台辅的助力更偏向“制度化”和“文书化”</t>
    </r>
    <r>
      <rPr>
        <sz val="11"/>
        <color theme="1"/>
        <rFont val="等线"/>
        <family val="2"/>
        <charset val="134"/>
        <scheme val="minor"/>
      </rPr>
      <t>，来自职位、契约或正式关系（如同事、同学）。</t>
    </r>
    <r>
      <rPr>
        <b/>
        <sz val="11"/>
        <color theme="1"/>
        <rFont val="等线"/>
        <family val="3"/>
        <charset val="134"/>
        <scheme val="minor"/>
      </rPr>
      <t>左辅、右弼的助力更偏向“人情化”和“随机性”</t>
    </r>
    <r>
      <rPr>
        <sz val="11"/>
        <color theme="1"/>
        <rFont val="等线"/>
        <family val="2"/>
        <charset val="134"/>
        <scheme val="minor"/>
      </rPr>
      <t>，来自四面八方的人际关系。台辅是“职位上的副手”，左辅右弼是“生活中的贵人”。</t>
    </r>
  </si>
  <si>
    <r>
      <t>3. 宫位定领域</t>
    </r>
    <r>
      <rPr>
        <sz val="11"/>
        <color theme="1"/>
        <rFont val="等线"/>
        <family val="2"/>
        <charset val="134"/>
        <scheme val="minor"/>
      </rPr>
      <t>：台辅星所在宫位，指示在人生的哪个领域最容易获得同辈或下属的实际帮助，或哪些事务需要倚重文书、契约来达成。</t>
    </r>
  </si>
  <si>
    <r>
      <t>4. 四化引动</t>
    </r>
    <r>
      <rPr>
        <sz val="11"/>
        <color theme="1"/>
        <rFont val="等线"/>
        <family val="2"/>
        <charset val="134"/>
        <scheme val="minor"/>
      </rPr>
      <t>：见</t>
    </r>
    <r>
      <rPr>
        <b/>
        <sz val="11"/>
        <color theme="1"/>
        <rFont val="等线"/>
        <family val="3"/>
        <charset val="134"/>
        <scheme val="minor"/>
      </rPr>
      <t>化禄</t>
    </r>
    <r>
      <rPr>
        <sz val="11"/>
        <color theme="1"/>
        <rFont val="等线"/>
        <family val="2"/>
        <charset val="134"/>
        <scheme val="minor"/>
      </rPr>
      <t>，助力能直接带来财富收益，合作生财。见</t>
    </r>
    <r>
      <rPr>
        <b/>
        <sz val="11"/>
        <color theme="1"/>
        <rFont val="等线"/>
        <family val="3"/>
        <charset val="134"/>
        <scheme val="minor"/>
      </rPr>
      <t>化权</t>
    </r>
    <r>
      <rPr>
        <sz val="11"/>
        <color theme="1"/>
        <rFont val="等线"/>
        <family val="2"/>
        <charset val="134"/>
        <scheme val="minor"/>
      </rPr>
      <t>，助手能力强或有实权，本人对辅助力量掌控力强。见</t>
    </r>
    <r>
      <rPr>
        <b/>
        <sz val="11"/>
        <color theme="1"/>
        <rFont val="等线"/>
        <family val="3"/>
        <charset val="134"/>
        <scheme val="minor"/>
      </rPr>
      <t>化科</t>
    </r>
    <r>
      <rPr>
        <sz val="11"/>
        <color theme="1"/>
        <rFont val="等线"/>
        <family val="2"/>
        <charset val="134"/>
        <scheme val="minor"/>
      </rPr>
      <t>，助手名声好、专业，文书漂亮得体。见</t>
    </r>
    <r>
      <rPr>
        <b/>
        <sz val="11"/>
        <color theme="1"/>
        <rFont val="等线"/>
        <family val="3"/>
        <charset val="134"/>
        <scheme val="minor"/>
      </rPr>
      <t>化忌</t>
    </r>
    <r>
      <rPr>
        <sz val="11"/>
        <color theme="1"/>
        <rFont val="等线"/>
        <family val="2"/>
        <charset val="134"/>
        <scheme val="minor"/>
      </rPr>
      <t>，助力不得力、文书出错、合作破裂，或为助手所累。</t>
    </r>
  </si>
  <si>
    <t>一、封诰定义</t>
  </si>
  <si>
    <t>名誉、封赏、证书、头衔、荣誉、虚衔</t>
  </si>
  <si>
    <t>象征名誉上的嘉奖、正式的称号与头衔、荣誉证书、资格认证以及一切带来社会声誉和名望的虚衔。</t>
  </si>
  <si>
    <t>乙级星，属阳土。主吉，为贵气、名誉之星。其力量在于增添光彩与声誉，需依附于主星及整体格局方能显贵。</t>
  </si>
  <si>
    <r>
      <t>名誉封赏</t>
    </r>
    <r>
      <rPr>
        <sz val="11"/>
        <color theme="1"/>
        <rFont val="等线"/>
        <family val="2"/>
        <charset val="134"/>
        <scheme val="minor"/>
      </rPr>
      <t>​</t>
    </r>
  </si>
  <si>
    <t>易获得奖项、荣誉称号、社会表彰、公众认可。</t>
  </si>
  <si>
    <t>在官禄宫、迁移宫时尤为明显。</t>
  </si>
  <si>
    <r>
      <t>证书文凭</t>
    </r>
    <r>
      <rPr>
        <sz val="11"/>
        <color theme="1"/>
        <rFont val="等线"/>
        <family val="2"/>
        <charset val="134"/>
        <scheme val="minor"/>
      </rPr>
      <t>​</t>
    </r>
  </si>
  <si>
    <t>与学历证书、职业资格证、获奖证书、官方文件相关。</t>
  </si>
  <si>
    <t>在父母宫、官禄宫时力量强。</t>
  </si>
  <si>
    <r>
      <t>虚衔名望</t>
    </r>
    <r>
      <rPr>
        <sz val="11"/>
        <color theme="1"/>
        <rFont val="等线"/>
        <family val="2"/>
        <charset val="134"/>
        <scheme val="minor"/>
      </rPr>
      <t>​</t>
    </r>
  </si>
  <si>
    <t>拥有社长、会长、顾问等社会头衔，或拥有良好的口碑与名声。</t>
  </si>
  <si>
    <t>与天魁、天钺同度时显著。</t>
  </si>
  <si>
    <t>为所会照的主星或宫位带来荣誉感、正式性与社会地位提升。</t>
  </si>
  <si>
    <r>
      <t>精神荣誉</t>
    </r>
    <r>
      <rPr>
        <sz val="11"/>
        <color theme="1"/>
        <rFont val="等线"/>
        <family val="2"/>
        <charset val="134"/>
        <scheme val="minor"/>
      </rPr>
      <t>​</t>
    </r>
  </si>
  <si>
    <t>所获荣誉多为精神层面，带来满足感与尊重，但不一定伴随实权或实利。</t>
  </si>
  <si>
    <t>在福德宫、命宫时体现。</t>
  </si>
  <si>
    <t>注重名誉与形象，一生易获荣誉或头衔，社会评价高。</t>
  </si>
  <si>
    <t>兄弟姐妹或同事、同学中有名誉良好者；在团队中易因表现获表彰。</t>
  </si>
  <si>
    <t>配偶有名望或获得过荣誉；婚姻关系受外界认可与称赞。</t>
  </si>
  <si>
    <t>子女有荣誉感或获得奖项；在创作、合作项目中易获得好评。</t>
  </si>
  <si>
    <t>钱财来源正当且有名声，或因名誉、品牌效应得财。</t>
  </si>
  <si>
    <t>获得权威医疗诊断或名医治疗；病情得到社会关怀（如募捐）。</t>
  </si>
  <si>
    <t>在外名声好，易获得异地荣誉或头衔；出行受礼遇。</t>
  </si>
  <si>
    <t>朋友多为有名望、有地位之人；社交圈能提升个人声誉。</t>
  </si>
  <si>
    <r>
      <t>核心宫位</t>
    </r>
    <r>
      <rPr>
        <sz val="11"/>
        <color theme="1"/>
        <rFont val="等线"/>
        <family val="2"/>
        <charset val="134"/>
        <scheme val="minor"/>
      </rPr>
      <t>。事业上易获表彰、升职、职称评定；职业声望高。</t>
    </r>
  </si>
  <si>
    <t>家族有名望；家中悬挂奖状、证书；所居社区有声誉。</t>
  </si>
  <si>
    <t>内心重视荣誉与道德，精神世界以获得社会认可为满足。</t>
  </si>
  <si>
    <t>父母或长辈有名望；易获得官方、学校的嘉奖或文凭。</t>
  </si>
  <si>
    <t>1. 增强名誉贵气组合</t>
  </si>
  <si>
    <r>
      <t>封诰+紫微</t>
    </r>
    <r>
      <rPr>
        <sz val="11"/>
        <color theme="1"/>
        <rFont val="等线"/>
        <family val="2"/>
        <charset val="134"/>
        <scheme val="minor"/>
      </rPr>
      <t>​</t>
    </r>
  </si>
  <si>
    <t>获得极高的社会地位与官方荣誉，如爵位、领导头衔、重大奖项。</t>
  </si>
  <si>
    <t>获得国家勋章；被授予终身成就奖。</t>
  </si>
  <si>
    <r>
      <t>封诰+太阳</t>
    </r>
    <r>
      <rPr>
        <sz val="11"/>
        <color theme="1"/>
        <rFont val="等线"/>
        <family val="2"/>
        <charset val="134"/>
        <scheme val="minor"/>
      </rPr>
      <t>​</t>
    </r>
  </si>
  <si>
    <t>名声远播，获得公众性荣誉，如“人民艺术家”、“劳动模范”等称号。</t>
  </si>
  <si>
    <t>成为知名公众人物并获得表彰。</t>
  </si>
  <si>
    <r>
      <t>封诰+天同</t>
    </r>
    <r>
      <rPr>
        <sz val="11"/>
        <color theme="1"/>
        <rFont val="等线"/>
        <family val="2"/>
        <charset val="134"/>
        <scheme val="minor"/>
      </rPr>
      <t>​</t>
    </r>
  </si>
  <si>
    <t>因福气、亲和力获得荣誉，或荣誉带来安逸与享受。</t>
  </si>
  <si>
    <t>被评为“慈善大使”；获得荣誉后生活更舒适。</t>
  </si>
  <si>
    <r>
      <t>封诰+天府</t>
    </r>
    <r>
      <rPr>
        <sz val="11"/>
        <color theme="1"/>
        <rFont val="等线"/>
        <family val="2"/>
        <charset val="134"/>
        <scheme val="minor"/>
      </rPr>
      <t>​</t>
    </r>
  </si>
  <si>
    <t>获得稳健、持久的荣誉与头衔，如终身教授、名誉会长。</t>
  </si>
  <si>
    <t>被授予名誉博士学位；担任某基金会永久名誉理事。</t>
  </si>
  <si>
    <r>
      <t>封诰+天相</t>
    </r>
    <r>
      <rPr>
        <sz val="11"/>
        <color theme="1"/>
        <rFont val="等线"/>
        <family val="2"/>
        <charset val="134"/>
        <scheme val="minor"/>
      </rPr>
      <t>​</t>
    </r>
  </si>
  <si>
    <t>因忠诚、辅佐得力获得嘉奖，证书、文件规范且具权威性。</t>
  </si>
  <si>
    <t>获得“优秀助理”奖；取得官方认证证书。</t>
  </si>
  <si>
    <t>2. 专业化与学术名誉组合</t>
  </si>
  <si>
    <r>
      <t>封诰+天机</t>
    </r>
    <r>
      <rPr>
        <sz val="11"/>
        <color theme="1"/>
        <rFont val="等线"/>
        <family val="2"/>
        <charset val="134"/>
        <scheme val="minor"/>
      </rPr>
      <t>​</t>
    </r>
  </si>
  <si>
    <t>因策划、谋略、学术研究获得名誉，如专利证书、学术头衔。</t>
  </si>
  <si>
    <t>获得“杰出青年科学家”称号；取得发明专利证书。</t>
  </si>
  <si>
    <r>
      <t>封诰+武曲</t>
    </r>
    <r>
      <rPr>
        <sz val="11"/>
        <color theme="1"/>
        <rFont val="等线"/>
        <family val="2"/>
        <charset val="134"/>
        <scheme val="minor"/>
      </rPr>
      <t>​</t>
    </r>
  </si>
  <si>
    <t>因财经、管理、工程领域的卓越成就获得职业认证或奖项。</t>
  </si>
  <si>
    <t>获得“注册会计师”资格；被评为“优秀企业家”。</t>
  </si>
  <si>
    <r>
      <t>封诰+廉贞</t>
    </r>
    <r>
      <rPr>
        <sz val="11"/>
        <color theme="1"/>
        <rFont val="等线"/>
        <family val="2"/>
        <charset val="134"/>
        <scheme val="minor"/>
      </rPr>
      <t>​</t>
    </r>
  </si>
  <si>
    <t>在政治、法律、复杂事务处理中获得荣誉，或荣誉带有政治色彩。</t>
  </si>
  <si>
    <t>获得“五一劳动奖章”；被授予“荣誉市民”。</t>
  </si>
  <si>
    <r>
      <t>封诰+太阴</t>
    </r>
    <r>
      <rPr>
        <sz val="11"/>
        <color theme="1"/>
        <rFont val="等线"/>
        <family val="2"/>
        <charset val="134"/>
        <scheme val="minor"/>
      </rPr>
      <t>​</t>
    </r>
  </si>
  <si>
    <t>在文艺、策划、财务领域获得名誉，证书精美，荣誉内敛。</t>
  </si>
  <si>
    <t>获得文学奖；取得“高级会计师”职称。</t>
  </si>
  <si>
    <r>
      <t>封诰+天梁</t>
    </r>
    <r>
      <rPr>
        <sz val="11"/>
        <color theme="1"/>
        <rFont val="等线"/>
        <family val="2"/>
        <charset val="134"/>
        <scheme val="minor"/>
      </rPr>
      <t>​</t>
    </r>
  </si>
  <si>
    <t>因监察、顾问、慈善、传统技艺获得清誉与社会尊重。</t>
  </si>
  <si>
    <t>被评为“德艺双馨艺术家”；获得慈善奖项。</t>
  </si>
  <si>
    <r>
      <t>封诰+台辅</t>
    </r>
    <r>
      <rPr>
        <sz val="11"/>
        <color theme="1"/>
        <rFont val="等线"/>
        <family val="2"/>
        <charset val="134"/>
        <scheme val="minor"/>
      </rPr>
      <t>​</t>
    </r>
  </si>
  <si>
    <r>
      <t>对星，力量倍增</t>
    </r>
    <r>
      <rPr>
        <sz val="11"/>
        <color theme="1"/>
        <rFont val="等线"/>
        <family val="2"/>
        <charset val="134"/>
        <scheme val="minor"/>
      </rPr>
      <t>。既获名誉头衔，又得实际职位与助力，名实相副。</t>
    </r>
  </si>
  <si>
    <t>获得教授职称并担任系主任；获颁奖项同时得到项目资金。</t>
  </si>
  <si>
    <r>
      <t>封诰+文昌/文曲</t>
    </r>
    <r>
      <rPr>
        <sz val="11"/>
        <color theme="1"/>
        <rFont val="等线"/>
        <family val="2"/>
        <charset val="134"/>
        <scheme val="minor"/>
      </rPr>
      <t>​</t>
    </r>
  </si>
  <si>
    <r>
      <t>文星贵气组合</t>
    </r>
    <r>
      <rPr>
        <sz val="11"/>
        <color theme="1"/>
        <rFont val="等线"/>
        <family val="2"/>
        <charset val="134"/>
        <scheme val="minor"/>
      </rPr>
      <t>。因文化、艺术、考试取得功名，证书含金量高。</t>
    </r>
  </si>
  <si>
    <t>高考状元；获得“金曲奖”最佳作词人。</t>
  </si>
  <si>
    <r>
      <t>封诰+天魁/天钺</t>
    </r>
    <r>
      <rPr>
        <sz val="11"/>
        <color theme="1"/>
        <rFont val="等线"/>
        <family val="2"/>
        <charset val="134"/>
        <scheme val="minor"/>
      </rPr>
      <t>​</t>
    </r>
  </si>
  <si>
    <r>
      <t>贵人提携得名</t>
    </r>
    <r>
      <rPr>
        <sz val="11"/>
        <color theme="1"/>
        <rFont val="等线"/>
        <family val="2"/>
        <charset val="134"/>
        <scheme val="minor"/>
      </rPr>
      <t>。因贵人举荐或提拔而获得荣誉与头衔。</t>
    </r>
  </si>
  <si>
    <t>被领导推荐获得“先进工作者”；因前辈提携获得协会理事头衔。</t>
  </si>
  <si>
    <r>
      <t>封诰+左辅/右弼</t>
    </r>
    <r>
      <rPr>
        <sz val="11"/>
        <color theme="1"/>
        <rFont val="等线"/>
        <family val="2"/>
        <charset val="134"/>
        <scheme val="minor"/>
      </rPr>
      <t>​</t>
    </r>
  </si>
  <si>
    <t>因团队合作或众人支持而获得集体荣誉或个人表彰。</t>
  </si>
  <si>
    <t>带领团队获得“优秀项目组”奖；因群众好评获“服务之星”。</t>
  </si>
  <si>
    <r>
      <t>封诰+禄存</t>
    </r>
    <r>
      <rPr>
        <sz val="11"/>
        <color theme="1"/>
        <rFont val="等线"/>
        <family val="2"/>
        <charset val="134"/>
        <scheme val="minor"/>
      </rPr>
      <t>​</t>
    </r>
  </si>
  <si>
    <t>名誉能带来实际利益或财富，如奖金、品牌溢价。</t>
  </si>
  <si>
    <t>获得比赛冠军及高额奖金；因“老字号”招牌生意兴隆。</t>
  </si>
  <si>
    <r>
      <t>封诰+火星</t>
    </r>
    <r>
      <rPr>
        <sz val="11"/>
        <color theme="1"/>
        <rFont val="等线"/>
        <family val="2"/>
        <charset val="134"/>
        <scheme val="minor"/>
      </rPr>
      <t>​</t>
    </r>
  </si>
  <si>
    <t>名誉来得突然、迅速，或因激烈竞争后获得。</t>
  </si>
  <si>
    <t>在竞赛中爆冷夺冠；因突发事件成为英雄获表彰。</t>
  </si>
  <si>
    <r>
      <t>封诰+铃星</t>
    </r>
    <r>
      <rPr>
        <sz val="11"/>
        <color theme="1"/>
        <rFont val="等线"/>
        <family val="2"/>
        <charset val="134"/>
        <scheme val="minor"/>
      </rPr>
      <t>​</t>
    </r>
  </si>
  <si>
    <t>名誉在计较、努力后获得，或荣誉背后有隐忧、非议。</t>
  </si>
  <si>
    <t>经过长期努力终于评上职称；获奖后遭人嫉妒议论。</t>
  </si>
  <si>
    <r>
      <t>封诰+擎羊</t>
    </r>
    <r>
      <rPr>
        <sz val="11"/>
        <color theme="1"/>
        <rFont val="等线"/>
        <family val="2"/>
        <charset val="134"/>
        <scheme val="minor"/>
      </rPr>
      <t>​</t>
    </r>
  </si>
  <si>
    <t>名誉伴随竞争、压力获得，或荣誉有争议，证书有法律效力。</t>
  </si>
  <si>
    <t>在激烈竞选中胜出；获得的专利涉及产权纠纷。</t>
  </si>
  <si>
    <r>
      <t>封诰+陀罗</t>
    </r>
    <r>
      <rPr>
        <sz val="11"/>
        <color theme="1"/>
        <rFont val="等线"/>
        <family val="2"/>
        <charset val="134"/>
        <scheme val="minor"/>
      </rPr>
      <t>​</t>
    </r>
  </si>
  <si>
    <t>名誉来得迟缓、反复，资格认证过程漫长，旧荣誉被重提。</t>
  </si>
  <si>
    <t>职称评定拖延多年才通过；多年前的奖项再次被表彰。</t>
  </si>
  <si>
    <r>
      <t>封诰+地空/地劫</t>
    </r>
    <r>
      <rPr>
        <sz val="11"/>
        <color theme="1"/>
        <rFont val="等线"/>
        <family val="2"/>
        <charset val="134"/>
        <scheme val="minor"/>
      </rPr>
      <t>​</t>
    </r>
  </si>
  <si>
    <t>名誉落空、虚有其表，或证书失效、头衔不被承认。</t>
  </si>
  <si>
    <t>被评为先进但奖励未兑现；取得的资格证书不被行业认可。</t>
  </si>
  <si>
    <r>
      <t>1. “名”与“实”</t>
    </r>
    <r>
      <rPr>
        <sz val="11"/>
        <color theme="1"/>
        <rFont val="等线"/>
        <family val="2"/>
        <charset val="134"/>
        <scheme val="minor"/>
      </rPr>
      <t>：封诰星主</t>
    </r>
    <r>
      <rPr>
        <b/>
        <sz val="11"/>
        <color theme="1"/>
        <rFont val="等线"/>
        <family val="3"/>
        <charset val="134"/>
        <scheme val="minor"/>
      </rPr>
      <t>名誉、头衔与虚衔</t>
    </r>
    <r>
      <rPr>
        <sz val="11"/>
        <color theme="1"/>
        <rFont val="等线"/>
        <family val="2"/>
        <charset val="134"/>
        <scheme val="minor"/>
      </rPr>
      <t>，是“名”的加持；其对星“台辅”主</t>
    </r>
    <r>
      <rPr>
        <b/>
        <sz val="11"/>
        <color theme="1"/>
        <rFont val="等线"/>
        <family val="3"/>
        <charset val="134"/>
        <scheme val="minor"/>
      </rPr>
      <t>实际助力与文书凭证</t>
    </r>
    <r>
      <rPr>
        <sz val="11"/>
        <color theme="1"/>
        <rFont val="等线"/>
        <family val="2"/>
        <charset val="134"/>
        <scheme val="minor"/>
      </rPr>
      <t>，是“实”的支撑。二者同会，则</t>
    </r>
    <r>
      <rPr>
        <b/>
        <sz val="11"/>
        <color theme="1"/>
        <rFont val="等线"/>
        <family val="3"/>
        <charset val="134"/>
        <scheme val="minor"/>
      </rPr>
      <t>名实兼备</t>
    </r>
    <r>
      <rPr>
        <sz val="11"/>
        <color theme="1"/>
        <rFont val="等线"/>
        <family val="2"/>
        <charset val="134"/>
        <scheme val="minor"/>
      </rPr>
      <t>。单见封诰，可能仅有虚名。</t>
    </r>
  </si>
  <si>
    <r>
      <t>2. 与“文昌”、“文曲”的区别</t>
    </r>
    <r>
      <rPr>
        <sz val="11"/>
        <color theme="1"/>
        <rFont val="等线"/>
        <family val="2"/>
        <charset val="134"/>
        <scheme val="minor"/>
      </rPr>
      <t>：</t>
    </r>
    <r>
      <rPr>
        <b/>
        <sz val="11"/>
        <color theme="1"/>
        <rFont val="等线"/>
        <family val="3"/>
        <charset val="134"/>
        <scheme val="minor"/>
      </rPr>
      <t>文昌、文曲主“才华”与“科甲”</t>
    </r>
    <r>
      <rPr>
        <sz val="11"/>
        <color theme="1"/>
        <rFont val="等线"/>
        <family val="2"/>
        <charset val="134"/>
        <scheme val="minor"/>
      </rPr>
      <t>，是取得名誉的</t>
    </r>
    <r>
      <rPr>
        <b/>
        <sz val="11"/>
        <color theme="1"/>
        <rFont val="等线"/>
        <family val="3"/>
        <charset val="134"/>
        <scheme val="minor"/>
      </rPr>
      <t>能力与途径</t>
    </r>
    <r>
      <rPr>
        <sz val="11"/>
        <color theme="1"/>
        <rFont val="等线"/>
        <family val="2"/>
        <charset val="134"/>
        <scheme val="minor"/>
      </rPr>
      <t>（如考试）。</t>
    </r>
    <r>
      <rPr>
        <b/>
        <sz val="11"/>
        <color theme="1"/>
        <rFont val="等线"/>
        <family val="3"/>
        <charset val="134"/>
        <scheme val="minor"/>
      </rPr>
      <t>封诰主“名誉”本身</t>
    </r>
    <r>
      <rPr>
        <sz val="11"/>
        <color theme="1"/>
        <rFont val="等线"/>
        <family val="2"/>
        <charset val="134"/>
        <scheme val="minor"/>
      </rPr>
      <t>，是才华被社会认可后获得的</t>
    </r>
    <r>
      <rPr>
        <b/>
        <sz val="11"/>
        <color theme="1"/>
        <rFont val="等线"/>
        <family val="3"/>
        <charset val="134"/>
        <scheme val="minor"/>
      </rPr>
      <t>结果与形式</t>
    </r>
    <r>
      <rPr>
        <sz val="11"/>
        <color theme="1"/>
        <rFont val="等线"/>
        <family val="2"/>
        <charset val="134"/>
        <scheme val="minor"/>
      </rPr>
      <t>（如证书、头衔）。文昌文曲是“因”，封诰是“果”。</t>
    </r>
  </si>
  <si>
    <r>
      <t>3. 宫位定领域</t>
    </r>
    <r>
      <rPr>
        <sz val="11"/>
        <color theme="1"/>
        <rFont val="等线"/>
        <family val="2"/>
        <charset val="134"/>
        <scheme val="minor"/>
      </rPr>
      <t>：封诰星所在宫位，指示在人生的哪个领域最容易获得名誉、头衔或证书，或个人在哪些方面注重声誉。</t>
    </r>
  </si>
  <si>
    <r>
      <t>4. 四化引动</t>
    </r>
    <r>
      <rPr>
        <sz val="11"/>
        <color theme="1"/>
        <rFont val="等线"/>
        <family val="2"/>
        <charset val="134"/>
        <scheme val="minor"/>
      </rPr>
      <t>：见</t>
    </r>
    <r>
      <rPr>
        <b/>
        <sz val="11"/>
        <color theme="1"/>
        <rFont val="等线"/>
        <family val="3"/>
        <charset val="134"/>
        <scheme val="minor"/>
      </rPr>
      <t>化禄</t>
    </r>
    <r>
      <rPr>
        <sz val="11"/>
        <color theme="1"/>
        <rFont val="等线"/>
        <family val="2"/>
        <charset val="134"/>
        <scheme val="minor"/>
      </rPr>
      <t>，名誉能带来实际利益或财富，名利双收。见</t>
    </r>
    <r>
      <rPr>
        <b/>
        <sz val="11"/>
        <color theme="1"/>
        <rFont val="等线"/>
        <family val="3"/>
        <charset val="134"/>
        <scheme val="minor"/>
      </rPr>
      <t>化权</t>
    </r>
    <r>
      <rPr>
        <sz val="11"/>
        <color theme="1"/>
        <rFont val="等线"/>
        <family val="2"/>
        <charset val="134"/>
        <scheme val="minor"/>
      </rPr>
      <t>，名誉带来权力或管理职责，头衔具有实权。见</t>
    </r>
    <r>
      <rPr>
        <b/>
        <sz val="11"/>
        <color theme="1"/>
        <rFont val="等线"/>
        <family val="3"/>
        <charset val="134"/>
        <scheme val="minor"/>
      </rPr>
      <t>化科</t>
    </r>
    <r>
      <rPr>
        <sz val="11"/>
        <color theme="1"/>
        <rFont val="等线"/>
        <family val="2"/>
        <charset val="134"/>
        <scheme val="minor"/>
      </rPr>
      <t>，名誉广为人知，声名远播，证书具权威性。见</t>
    </r>
    <r>
      <rPr>
        <b/>
        <sz val="11"/>
        <color theme="1"/>
        <rFont val="等线"/>
        <family val="3"/>
        <charset val="134"/>
        <scheme val="minor"/>
      </rPr>
      <t>化忌</t>
    </r>
    <r>
      <rPr>
        <sz val="11"/>
        <color theme="1"/>
        <rFont val="等线"/>
        <family val="2"/>
        <charset val="134"/>
        <scheme val="minor"/>
      </rPr>
      <t>，</t>
    </r>
    <r>
      <rPr>
        <b/>
        <sz val="11"/>
        <color theme="1"/>
        <rFont val="等线"/>
        <family val="3"/>
        <charset val="134"/>
        <scheme val="minor"/>
      </rPr>
      <t>名誉受损</t>
    </r>
    <r>
      <rPr>
        <sz val="11"/>
        <color theme="1"/>
        <rFont val="等线"/>
        <family val="2"/>
        <charset val="134"/>
        <scheme val="minor"/>
      </rPr>
      <t>，证书无效，头衔被撤，或为虚名所累。</t>
    </r>
  </si>
  <si>
    <t>一、三台定义</t>
  </si>
  <si>
    <t>台阶、阶梯、晋升、地位、贵气、辅助</t>
  </si>
  <si>
    <t>象征阶梯式的上升、循序渐进的晋升过程、社会地位的提升、以及作为辅助力量或垫脚石的角色。其性质强调过程性与层级性。</t>
  </si>
  <si>
    <t>乙级星，属阳土。主吉，为贵气、地位之星。喜与八座同会，力量倍增。单独力量较弱，需依附主星及吉星方能显贵。</t>
  </si>
  <si>
    <r>
      <t>阶梯晋升</t>
    </r>
    <r>
      <rPr>
        <sz val="11"/>
        <color theme="1"/>
        <rFont val="等线"/>
        <family val="2"/>
        <charset val="134"/>
        <scheme val="minor"/>
      </rPr>
      <t>​</t>
    </r>
  </si>
  <si>
    <t>事业、学业、社会地位呈台阶式逐步提升，非一蹴而就。</t>
  </si>
  <si>
    <r>
      <t>地位象征</t>
    </r>
    <r>
      <rPr>
        <sz val="11"/>
        <color theme="1"/>
        <rFont val="等线"/>
        <family val="2"/>
        <charset val="134"/>
        <scheme val="minor"/>
      </rPr>
      <t>​</t>
    </r>
  </si>
  <si>
    <t>代表一定的社会地位、职位层级或身份台阶。</t>
  </si>
  <si>
    <t>与紫微、太阳等贵星同度时力量强。</t>
  </si>
  <si>
    <r>
      <t>辅助台阶</t>
    </r>
    <r>
      <rPr>
        <sz val="11"/>
        <color theme="1"/>
        <rFont val="等线"/>
        <family val="2"/>
        <charset val="134"/>
        <scheme val="minor"/>
      </rPr>
      <t>​</t>
    </r>
  </si>
  <si>
    <t>作为他人或事物的辅助力量、基础或上升的垫脚石。</t>
  </si>
  <si>
    <r>
      <t>实际高度</t>
    </r>
    <r>
      <rPr>
        <sz val="11"/>
        <color theme="1"/>
        <rFont val="等线"/>
        <family val="2"/>
        <charset val="134"/>
        <scheme val="minor"/>
      </rPr>
      <t>​</t>
    </r>
  </si>
  <si>
    <t>可引申为实际的高处、高楼、高台、讲台等具象事物。</t>
  </si>
  <si>
    <t>在田宅宫、父母宫时体现。</t>
  </si>
  <si>
    <t>易得长辈、上司提携，但其提携是逐步、有过程的。</t>
  </si>
  <si>
    <t>与天魁、天钺同会时显现。</t>
  </si>
  <si>
    <t>为人稳重，有上进心，人生发展循序渐进，易获社会地位。</t>
  </si>
  <si>
    <t>兄弟姐妹或同事中有地位较高者；在团队中能逐步晋升。</t>
  </si>
  <si>
    <t>配偶社会地位或家庭背景优于自己，或婚姻能提升自身地位。</t>
  </si>
  <si>
    <t>子女有出息，能逐步取得成就；合作项目能稳步推进。</t>
  </si>
  <si>
    <t>钱财通过稳步积累或职位晋升而增加，收入有层级性。</t>
  </si>
  <si>
    <t>病情呈阶段性发展；宜寻访阶梯式（如分级诊疗）的医疗资源。</t>
  </si>
  <si>
    <t>在外发展能逐步提升社会地位；出行多涉足高地、高楼场所。</t>
  </si>
  <si>
    <t>朋友、同事中有地位逐步上升者；社交圈能提升自身层次。</t>
  </si>
  <si>
    <r>
      <t>核心宫位</t>
    </r>
    <r>
      <rPr>
        <sz val="11"/>
        <color theme="1"/>
        <rFont val="等线"/>
        <family val="2"/>
        <charset val="134"/>
        <scheme val="minor"/>
      </rPr>
      <t>。事业上能逐步升迁，有明确的职位阶梯。</t>
    </r>
  </si>
  <si>
    <t>居住于高处、楼房；家族社会地位逐步提升；家中有楼梯、台阶。</t>
  </si>
  <si>
    <t>内心有追求地位、层次的欲望，精神世界注重循序渐进。</t>
  </si>
  <si>
    <t>父母或长辈社会地位较高；易得长辈提携，但需一步步来。</t>
  </si>
  <si>
    <t>1. 增强贵气地位组合</t>
  </si>
  <si>
    <r>
      <t>三台+紫微</t>
    </r>
    <r>
      <rPr>
        <sz val="11"/>
        <color theme="1"/>
        <rFont val="等线"/>
        <family val="2"/>
        <charset val="134"/>
        <scheme val="minor"/>
      </rPr>
      <t>​</t>
    </r>
  </si>
  <si>
    <t>地位尊崇，有明确的权力阶梯，易在政府、大型机构中逐步升至高位。</t>
  </si>
  <si>
    <t>公务员体系内逐级晋升至领导岗位。</t>
  </si>
  <si>
    <r>
      <t>三台+太阳</t>
    </r>
    <r>
      <rPr>
        <sz val="11"/>
        <color theme="1"/>
        <rFont val="等线"/>
        <family val="2"/>
        <charset val="134"/>
        <scheme val="minor"/>
      </rPr>
      <t>​</t>
    </r>
  </si>
  <si>
    <t>名声与地位同步提升，在公众视野中逐步获得更高声望与职位。</t>
  </si>
  <si>
    <t>从地方媒体工作者逐步成为全国知名主持人。</t>
  </si>
  <si>
    <r>
      <t>三台+天府</t>
    </r>
    <r>
      <rPr>
        <sz val="11"/>
        <color theme="1"/>
        <rFont val="等线"/>
        <family val="2"/>
        <charset val="134"/>
        <scheme val="minor"/>
      </rPr>
      <t>​</t>
    </r>
  </si>
  <si>
    <t>地位稳固且能逐步积累，在金融、管理领域层级分明地上升。</t>
  </si>
  <si>
    <t>在银行体系中从职员逐步升至分行行长。</t>
  </si>
  <si>
    <r>
      <t>三台+天相</t>
    </r>
    <r>
      <rPr>
        <sz val="11"/>
        <color theme="1"/>
        <rFont val="等线"/>
        <family val="2"/>
        <charset val="134"/>
        <scheme val="minor"/>
      </rPr>
      <t>​</t>
    </r>
  </si>
  <si>
    <t>因忠诚、辅佐得力而获得稳步提拔，职位与声誉同步增长。</t>
  </si>
  <si>
    <t>从领导秘书逐步晋升为办公室主任、助理。</t>
  </si>
  <si>
    <r>
      <t>三台+天梁</t>
    </r>
    <r>
      <rPr>
        <sz val="11"/>
        <color theme="1"/>
        <rFont val="等线"/>
        <family val="2"/>
        <charset val="134"/>
        <scheme val="minor"/>
      </rPr>
      <t>​</t>
    </r>
  </si>
  <si>
    <t>因清望、资历或专业能力而获得社会地位，晋升过程合乎传统与规矩。</t>
  </si>
  <si>
    <t>老中医因医术和口碑逐步成为国医大师。</t>
  </si>
  <si>
    <t>2. 专业化与过程性晋升组合</t>
  </si>
  <si>
    <r>
      <t>三台+天机</t>
    </r>
    <r>
      <rPr>
        <sz val="11"/>
        <color theme="1"/>
        <rFont val="等线"/>
        <family val="2"/>
        <charset val="134"/>
        <scheme val="minor"/>
      </rPr>
      <t>​</t>
    </r>
  </si>
  <si>
    <t>通过策划、谋略或技术专长逐步晋升，职位变动有清晰的路径。</t>
  </si>
  <si>
    <t>技术员-&gt;工程师-&gt;高级工程师-&gt;总工程师。</t>
  </si>
  <si>
    <r>
      <t>三台+武曲</t>
    </r>
    <r>
      <rPr>
        <sz val="11"/>
        <color theme="1"/>
        <rFont val="等线"/>
        <family val="2"/>
        <charset val="134"/>
        <scheme val="minor"/>
      </rPr>
      <t>​</t>
    </r>
  </si>
  <si>
    <t>在财经、军事、工程领域通过实干与业绩逐步获得更高职位。</t>
  </si>
  <si>
    <t>从基层财务人员逐步晋升为财务总监。</t>
  </si>
  <si>
    <r>
      <t>三台+廉贞</t>
    </r>
    <r>
      <rPr>
        <sz val="11"/>
        <color theme="1"/>
        <rFont val="等线"/>
        <family val="2"/>
        <charset val="134"/>
        <scheme val="minor"/>
      </rPr>
      <t>​</t>
    </r>
  </si>
  <si>
    <t>在政治、法律、复杂人际网络中通过权谋与能力阶梯式上升。</t>
  </si>
  <si>
    <t>从科员-&gt;科长-&gt;处长-&gt;局长的政界晋升。</t>
  </si>
  <si>
    <r>
      <t>三台+太阴</t>
    </r>
    <r>
      <rPr>
        <sz val="11"/>
        <color theme="1"/>
        <rFont val="等线"/>
        <family val="2"/>
        <charset val="134"/>
        <scheme val="minor"/>
      </rPr>
      <t>​</t>
    </r>
  </si>
  <si>
    <t>在文艺、策划、财务领域通过细腻与积累逐步获得地位与名声。</t>
  </si>
  <si>
    <t>从小编剧逐步成为知名编剧、制片人。</t>
  </si>
  <si>
    <r>
      <t>三台+天同</t>
    </r>
    <r>
      <rPr>
        <sz val="11"/>
        <color theme="1"/>
        <rFont val="等线"/>
        <family val="2"/>
        <charset val="134"/>
        <scheme val="minor"/>
      </rPr>
      <t>​</t>
    </r>
  </si>
  <si>
    <t>因福气、人缘好而获得平顺的晋升，过程轻松，压力较小。</t>
  </si>
  <si>
    <t>在福利好的单位按资历平稳晋升。</t>
  </si>
  <si>
    <r>
      <t>三台+八座</t>
    </r>
    <r>
      <rPr>
        <sz val="11"/>
        <color theme="1"/>
        <rFont val="等线"/>
        <family val="2"/>
        <charset val="134"/>
        <scheme val="minor"/>
      </rPr>
      <t>​</t>
    </r>
  </si>
  <si>
    <r>
      <t>对星，力量倍增</t>
    </r>
    <r>
      <rPr>
        <sz val="11"/>
        <color theme="1"/>
        <rFont val="等线"/>
        <family val="2"/>
        <charset val="134"/>
        <scheme val="minor"/>
      </rPr>
      <t>。形成“公卿之象”，地位显赫，晋升顺利，有车有楼，贵气十足。</t>
    </r>
  </si>
  <si>
    <t>在政府或大企业中担任高级别领导职务。</t>
  </si>
  <si>
    <r>
      <t>三台+左辅/右弼</t>
    </r>
    <r>
      <rPr>
        <sz val="11"/>
        <color theme="1"/>
        <rFont val="等线"/>
        <family val="2"/>
        <charset val="134"/>
        <scheme val="minor"/>
      </rPr>
      <t>​</t>
    </r>
  </si>
  <si>
    <t>晋升过程中得众人相助，台阶稳固，上升之路顺畅。</t>
  </si>
  <si>
    <t>团队支持，每升一级都有得力助手。</t>
  </si>
  <si>
    <r>
      <t>三台+文昌/文曲</t>
    </r>
    <r>
      <rPr>
        <sz val="11"/>
        <color theme="1"/>
        <rFont val="等线"/>
        <family val="2"/>
        <charset val="134"/>
        <scheme val="minor"/>
      </rPr>
      <t>​</t>
    </r>
  </si>
  <si>
    <t>通过考试、文凭、文化才华获得阶梯式晋升，职称评定顺利。</t>
  </si>
  <si>
    <t>凭学历和论文从讲师升至教授。</t>
  </si>
  <si>
    <r>
      <t>三台+天魁/天钺</t>
    </r>
    <r>
      <rPr>
        <sz val="11"/>
        <color theme="1"/>
        <rFont val="等线"/>
        <family val="2"/>
        <charset val="134"/>
        <scheme val="minor"/>
      </rPr>
      <t>​</t>
    </r>
  </si>
  <si>
    <t>得贵人提携而获得晋升机会，每一步都有上级关照。</t>
  </si>
  <si>
    <t>被领导赏识，从下属逐步培养成接班人。</t>
  </si>
  <si>
    <r>
      <t>三台+禄存</t>
    </r>
    <r>
      <rPr>
        <sz val="11"/>
        <color theme="1"/>
        <rFont val="等线"/>
        <family val="2"/>
        <charset val="134"/>
        <scheme val="minor"/>
      </rPr>
      <t>​</t>
    </r>
  </si>
  <si>
    <t>地位提升伴随财富增长，升职即加薪，台阶稳固且实惠。</t>
  </si>
  <si>
    <t>每晋升一个职位，薪资和福利都相应提高。</t>
  </si>
  <si>
    <r>
      <t>三台+火星</t>
    </r>
    <r>
      <rPr>
        <sz val="11"/>
        <color theme="1"/>
        <rFont val="等线"/>
        <family val="2"/>
        <charset val="134"/>
        <scheme val="minor"/>
      </rPr>
      <t>​</t>
    </r>
  </si>
  <si>
    <t>晋升过程突然加速或带有竞争性，台阶陡峭，升得快但可能不稳。</t>
  </si>
  <si>
    <t>因突发事件或竞争被破格提拔。</t>
  </si>
  <si>
    <r>
      <t>三台+铃星</t>
    </r>
    <r>
      <rPr>
        <sz val="11"/>
        <color theme="1"/>
        <rFont val="等线"/>
        <family val="2"/>
        <charset val="134"/>
        <scheme val="minor"/>
      </rPr>
      <t>​</t>
    </r>
  </si>
  <si>
    <t>晋升过程有计较、拖延，需经一番努力或等待才能更上一层。</t>
  </si>
  <si>
    <t>职称评定因名额问题拖延数年才通过。</t>
  </si>
  <si>
    <r>
      <t>三台+擎羊</t>
    </r>
    <r>
      <rPr>
        <sz val="11"/>
        <color theme="1"/>
        <rFont val="等线"/>
        <family val="2"/>
        <charset val="134"/>
        <scheme val="minor"/>
      </rPr>
      <t>​</t>
    </r>
  </si>
  <si>
    <t>晋升伴随竞争、压力或冲突，台阶有阻力，需奋力争取。</t>
  </si>
  <si>
    <t>在激烈的岗位竞聘中胜出获得晋升。</t>
  </si>
  <si>
    <r>
      <t>三台+陀罗</t>
    </r>
    <r>
      <rPr>
        <sz val="11"/>
        <color theme="1"/>
        <rFont val="等线"/>
        <family val="2"/>
        <charset val="134"/>
        <scheme val="minor"/>
      </rPr>
      <t>​</t>
    </r>
  </si>
  <si>
    <t>晋升过程反复、拖延，台阶漫长，旧职位问题影响新职位。</t>
  </si>
  <si>
    <t>升迁过程一波三折，多次考核才通过。</t>
  </si>
  <si>
    <r>
      <t>三台+地空/地劫</t>
    </r>
    <r>
      <rPr>
        <sz val="11"/>
        <color theme="1"/>
        <rFont val="等线"/>
        <family val="2"/>
        <charset val="134"/>
        <scheme val="minor"/>
      </rPr>
      <t>​</t>
    </r>
  </si>
  <si>
    <t>晋升台阶落空，地位不稳，或虽有职位但无实权，高处不胜寒。</t>
  </si>
  <si>
    <t>被提拔至闲职；晋升后发现自己无法胜任。</t>
  </si>
  <si>
    <r>
      <t>1. “台”与“座”</t>
    </r>
    <r>
      <rPr>
        <sz val="11"/>
        <color theme="1"/>
        <rFont val="等线"/>
        <family val="2"/>
        <charset val="134"/>
        <scheme val="minor"/>
      </rPr>
      <t>：</t>
    </r>
    <r>
      <rPr>
        <b/>
        <sz val="11"/>
        <color theme="1"/>
        <rFont val="等线"/>
        <family val="3"/>
        <charset val="134"/>
        <scheme val="minor"/>
      </rPr>
      <t>三台星主“台阶”</t>
    </r>
    <r>
      <rPr>
        <sz val="11"/>
        <color theme="1"/>
        <rFont val="等线"/>
        <family val="2"/>
        <charset val="134"/>
        <scheme val="minor"/>
      </rPr>
      <t>，象征</t>
    </r>
    <r>
      <rPr>
        <b/>
        <sz val="11"/>
        <color theme="1"/>
        <rFont val="等线"/>
        <family val="3"/>
        <charset val="134"/>
        <scheme val="minor"/>
      </rPr>
      <t>上升的过程与阶梯</t>
    </r>
    <r>
      <rPr>
        <sz val="11"/>
        <color theme="1"/>
        <rFont val="等线"/>
        <family val="2"/>
        <charset val="134"/>
        <scheme val="minor"/>
      </rPr>
      <t>；其对星</t>
    </r>
    <r>
      <rPr>
        <b/>
        <sz val="11"/>
        <color theme="1"/>
        <rFont val="等线"/>
        <family val="3"/>
        <charset val="134"/>
        <scheme val="minor"/>
      </rPr>
      <t>八座星主“座位”</t>
    </r>
    <r>
      <rPr>
        <sz val="11"/>
        <color theme="1"/>
        <rFont val="等线"/>
        <family val="2"/>
        <charset val="134"/>
        <scheme val="minor"/>
      </rPr>
      <t>，象征</t>
    </r>
    <r>
      <rPr>
        <b/>
        <sz val="11"/>
        <color theme="1"/>
        <rFont val="等线"/>
        <family val="3"/>
        <charset val="134"/>
        <scheme val="minor"/>
      </rPr>
      <t>到达高位后拥有的地位与资源</t>
    </r>
    <r>
      <rPr>
        <sz val="11"/>
        <color theme="1"/>
        <rFont val="等线"/>
        <family val="2"/>
        <charset val="134"/>
        <scheme val="minor"/>
      </rPr>
      <t>。二者同会，方为完整的“登台入座”，过程与结果俱佳。</t>
    </r>
  </si>
  <si>
    <r>
      <t>2. 与“台辅”、“封诰”的区别</t>
    </r>
    <r>
      <rPr>
        <sz val="11"/>
        <color theme="1"/>
        <rFont val="等线"/>
        <family val="2"/>
        <charset val="134"/>
        <scheme val="minor"/>
      </rPr>
      <t>：</t>
    </r>
    <r>
      <rPr>
        <b/>
        <sz val="11"/>
        <color theme="1"/>
        <rFont val="等线"/>
        <family val="3"/>
        <charset val="134"/>
        <scheme val="minor"/>
      </rPr>
      <t>三台主“地位晋升的过程”</t>
    </r>
    <r>
      <rPr>
        <sz val="11"/>
        <color theme="1"/>
        <rFont val="等线"/>
        <family val="2"/>
        <charset val="134"/>
        <scheme val="minor"/>
      </rPr>
      <t>，是动态的“向上爬”。</t>
    </r>
    <r>
      <rPr>
        <b/>
        <sz val="11"/>
        <color theme="1"/>
        <rFont val="等线"/>
        <family val="3"/>
        <charset val="134"/>
        <scheme val="minor"/>
      </rPr>
      <t>台辅主“实际辅佐与文书”</t>
    </r>
    <r>
      <rPr>
        <sz val="11"/>
        <color theme="1"/>
        <rFont val="等线"/>
        <family val="2"/>
        <charset val="134"/>
        <scheme val="minor"/>
      </rPr>
      <t>，是静态的“帮手和凭证”。</t>
    </r>
    <r>
      <rPr>
        <b/>
        <sz val="11"/>
        <color theme="1"/>
        <rFont val="等线"/>
        <family val="3"/>
        <charset val="134"/>
        <scheme val="minor"/>
      </rPr>
      <t>封诰主“名誉与头衔”</t>
    </r>
    <r>
      <rPr>
        <sz val="11"/>
        <color theme="1"/>
        <rFont val="等线"/>
        <family val="2"/>
        <charset val="134"/>
        <scheme val="minor"/>
      </rPr>
      <t>，是结果性的“名号”。三台是“爬楼梯”，台辅是“扶梯子的人”，封诰是“楼顶的匾额”。</t>
    </r>
  </si>
  <si>
    <r>
      <t>3. 宫位定领域</t>
    </r>
    <r>
      <rPr>
        <sz val="11"/>
        <color theme="1"/>
        <rFont val="等线"/>
        <family val="2"/>
        <charset val="134"/>
        <scheme val="minor"/>
      </rPr>
      <t>：三台星所在宫位，指示在人生的哪个领域最容易获得阶梯式的进步与提升，或个人在哪些方面注重层级与地位。</t>
    </r>
  </si>
  <si>
    <r>
      <t>4. 四化引动</t>
    </r>
    <r>
      <rPr>
        <sz val="11"/>
        <color theme="1"/>
        <rFont val="等线"/>
        <family val="2"/>
        <charset val="134"/>
        <scheme val="minor"/>
      </rPr>
      <t>：见</t>
    </r>
    <r>
      <rPr>
        <b/>
        <sz val="11"/>
        <color theme="1"/>
        <rFont val="等线"/>
        <family val="3"/>
        <charset val="134"/>
        <scheme val="minor"/>
      </rPr>
      <t>化禄</t>
    </r>
    <r>
      <rPr>
        <sz val="11"/>
        <color theme="1"/>
        <rFont val="等线"/>
        <family val="2"/>
        <charset val="134"/>
        <scheme val="minor"/>
      </rPr>
      <t>，晋升带来实际利益与财富，台阶稳固且实惠。见</t>
    </r>
    <r>
      <rPr>
        <b/>
        <sz val="11"/>
        <color theme="1"/>
        <rFont val="等线"/>
        <family val="3"/>
        <charset val="134"/>
        <scheme val="minor"/>
      </rPr>
      <t>化权</t>
    </r>
    <r>
      <rPr>
        <sz val="11"/>
        <color theme="1"/>
        <rFont val="等线"/>
        <family val="2"/>
        <charset val="134"/>
        <scheme val="minor"/>
      </rPr>
      <t>，晋升过程主动且掌控力强，台阶更高，权力更大。见</t>
    </r>
    <r>
      <rPr>
        <b/>
        <sz val="11"/>
        <color theme="1"/>
        <rFont val="等线"/>
        <family val="3"/>
        <charset val="134"/>
        <scheme val="minor"/>
      </rPr>
      <t>化科</t>
    </r>
    <r>
      <rPr>
        <sz val="11"/>
        <color theme="1"/>
        <rFont val="等线"/>
        <family val="2"/>
        <charset val="134"/>
        <scheme val="minor"/>
      </rPr>
      <t>，晋升过程顺利且名声好，台阶光彩。见</t>
    </r>
    <r>
      <rPr>
        <b/>
        <sz val="11"/>
        <color theme="1"/>
        <rFont val="等线"/>
        <family val="3"/>
        <charset val="134"/>
        <scheme val="minor"/>
      </rPr>
      <t>化忌</t>
    </r>
    <r>
      <rPr>
        <sz val="11"/>
        <color theme="1"/>
        <rFont val="等线"/>
        <family val="2"/>
        <charset val="134"/>
        <scheme val="minor"/>
      </rPr>
      <t>，</t>
    </r>
    <r>
      <rPr>
        <b/>
        <sz val="11"/>
        <color theme="1"/>
        <rFont val="等线"/>
        <family val="3"/>
        <charset val="134"/>
        <scheme val="minor"/>
      </rPr>
      <t>晋升受阻</t>
    </r>
    <r>
      <rPr>
        <sz val="11"/>
        <color theme="1"/>
        <rFont val="等线"/>
        <family val="2"/>
        <charset val="134"/>
        <scheme val="minor"/>
      </rPr>
      <t>，台阶不稳，地位动摇，或为地位所累。</t>
    </r>
  </si>
  <si>
    <t>一、八座定义</t>
  </si>
  <si>
    <t>座位、地位、安稳、辅助、车驾</t>
  </si>
  <si>
    <t>象征到达一定高度后所拥有的位置、安稳的状态、实际的享受以及作为辅助性资源（如车、座驾）。其性质强调结果性的拥有与安稳。</t>
  </si>
  <si>
    <t>乙级星，属阴土。主吉，为贵气、安稳之星。喜与三台同会，力量倍增。单独力量较弱，需依附主星及吉星方能显贵。</t>
  </si>
  <si>
    <r>
      <t>地位座位</t>
    </r>
    <r>
      <rPr>
        <sz val="11"/>
        <color theme="1"/>
        <rFont val="等线"/>
        <family val="2"/>
        <charset val="134"/>
        <scheme val="minor"/>
      </rPr>
      <t>​</t>
    </r>
  </si>
  <si>
    <t>代表实际拥有的职位、地位、席位，或引申为交通工具中的座位。</t>
  </si>
  <si>
    <r>
      <t>安稳状态</t>
    </r>
    <r>
      <rPr>
        <sz val="11"/>
        <color theme="1"/>
        <rFont val="等线"/>
        <family val="2"/>
        <charset val="134"/>
        <scheme val="minor"/>
      </rPr>
      <t>​</t>
    </r>
  </si>
  <si>
    <t>象征一种安稳、受尊重的状态，拥有自己的“一席之地”。</t>
  </si>
  <si>
    <t>与天同、天梁等星同度时力量强。</t>
  </si>
  <si>
    <r>
      <t>辅助资源</t>
    </r>
    <r>
      <rPr>
        <sz val="11"/>
        <color theme="1"/>
        <rFont val="等线"/>
        <family val="2"/>
        <charset val="134"/>
        <scheme val="minor"/>
      </rPr>
      <t>​</t>
    </r>
  </si>
  <si>
    <t>代表辅助性的享受与资源，如私人车驾、专属座位等。</t>
  </si>
  <si>
    <r>
      <t>实际拥有</t>
    </r>
    <r>
      <rPr>
        <sz val="11"/>
        <color theme="1"/>
        <rFont val="等线"/>
        <family val="2"/>
        <charset val="134"/>
        <scheme val="minor"/>
      </rPr>
      <t>​</t>
    </r>
  </si>
  <si>
    <t>可引申为实际拥有的物品或空间，如沙发、椅子、车位。</t>
  </si>
  <si>
    <t>在田宅宫、财帛宫时体现。</t>
  </si>
  <si>
    <r>
      <t>受人尊重</t>
    </r>
    <r>
      <rPr>
        <sz val="11"/>
        <color theme="1"/>
        <rFont val="等线"/>
        <family val="2"/>
        <charset val="134"/>
        <scheme val="minor"/>
      </rPr>
      <t>​</t>
    </r>
  </si>
  <si>
    <t>因地位或资历而受人礼遇，在场合中拥有固定或尊贵的位置。</t>
  </si>
  <si>
    <t>为人稳重，安于其位，易获得一定的社会地位并受人尊重。</t>
  </si>
  <si>
    <t>兄弟姐妹或同事中有人拥有稳定职位；在团队中有固定角色。</t>
  </si>
  <si>
    <t>配偶有稳定职业或社会地位；婚姻关系安稳，各安其位。</t>
  </si>
  <si>
    <t>子女安稳，有固定发展；合作项目有稳定的架构和席位分配。</t>
  </si>
  <si>
    <t>钱财来源稳定，拥有固定资产或稳定的理财座位（如股权）。</t>
  </si>
  <si>
    <t>病情稳定，有固定的病床或疗养位置；身体需要安稳休养。</t>
  </si>
  <si>
    <t>在外有地位，出行有车驾代步，在异地有固定落脚点或职位。</t>
  </si>
  <si>
    <t>朋友、同事多拥有稳定职位；社交圈能提供安稳的支持。</t>
  </si>
  <si>
    <r>
      <t>核心宫位</t>
    </r>
    <r>
      <rPr>
        <sz val="11"/>
        <color theme="1"/>
        <rFont val="等线"/>
        <family val="2"/>
        <charset val="134"/>
        <scheme val="minor"/>
      </rPr>
      <t>。事业上有稳固的职位，工作环境安稳，有专属办公室或工位。</t>
    </r>
  </si>
  <si>
    <r>
      <t>核心宫位</t>
    </r>
    <r>
      <rPr>
        <sz val="11"/>
        <color theme="1"/>
        <rFont val="等线"/>
        <family val="2"/>
        <charset val="134"/>
        <scheme val="minor"/>
      </rPr>
      <t>。家宅安稳，拥有自己的房产；家中座位、家具齐全。</t>
    </r>
  </si>
  <si>
    <t>内心追求安稳与受尊重的感觉，精神世界满足于现有地位。</t>
  </si>
  <si>
    <t>父母有稳定职业或社会地位；家庭给予安稳的依靠。</t>
  </si>
  <si>
    <t>1. 增强地位安稳组合</t>
  </si>
  <si>
    <r>
      <t>八座+紫微</t>
    </r>
    <r>
      <rPr>
        <sz val="11"/>
        <color theme="1"/>
        <rFont val="等线"/>
        <family val="2"/>
        <charset val="134"/>
        <scheme val="minor"/>
      </rPr>
      <t>​</t>
    </r>
  </si>
  <si>
    <t>地位尊崇且稳固，拥有权威的座位（如主席位），受人朝拜。</t>
  </si>
  <si>
    <t>企业董事会主席；机构最高领导人。</t>
  </si>
  <si>
    <r>
      <t>八座+太阳</t>
    </r>
    <r>
      <rPr>
        <sz val="11"/>
        <color theme="1"/>
        <rFont val="等线"/>
        <family val="2"/>
        <charset val="134"/>
        <scheme val="minor"/>
      </rPr>
      <t>​</t>
    </r>
  </si>
  <si>
    <t>名声与地位相匹配，拥有公开、受瞩目的职位，如发言人、代表。</t>
  </si>
  <si>
    <t>联合国常驻代表；公司新闻发言人。</t>
  </si>
  <si>
    <r>
      <t>八座+天府</t>
    </r>
    <r>
      <rPr>
        <sz val="11"/>
        <color theme="1"/>
        <rFont val="等线"/>
        <family val="2"/>
        <charset val="134"/>
        <scheme val="minor"/>
      </rPr>
      <t>​</t>
    </r>
  </si>
  <si>
    <t>库藏丰盈，地位稳固且能享受成果，拥有舒适的座位和资源。</t>
  </si>
  <si>
    <t>银行行长；大型企业财务总监。</t>
  </si>
  <si>
    <r>
      <t>八座+天相</t>
    </r>
    <r>
      <rPr>
        <sz val="11"/>
        <color theme="1"/>
        <rFont val="等线"/>
        <family val="2"/>
        <charset val="134"/>
        <scheme val="minor"/>
      </rPr>
      <t>​</t>
    </r>
  </si>
  <si>
    <t>因忠诚、辅佐而获得稳定且受信任的职位，如秘书长、首席助理。</t>
  </si>
  <si>
    <t>政府秘书长；总裁特别助理。</t>
  </si>
  <si>
    <r>
      <t>八座+天梁</t>
    </r>
    <r>
      <rPr>
        <sz val="11"/>
        <color theme="1"/>
        <rFont val="等线"/>
        <family val="2"/>
        <charset val="134"/>
        <scheme val="minor"/>
      </rPr>
      <t>​</t>
    </r>
  </si>
  <si>
    <t>因清望、资历而获得受人尊敬的闲职或顾问席位。</t>
  </si>
  <si>
    <t>学术委员会名誉主席；公司高级顾问。</t>
  </si>
  <si>
    <t>2. 专业化与安稳享受组合</t>
  </si>
  <si>
    <r>
      <t>八座+天同</t>
    </r>
    <r>
      <rPr>
        <sz val="11"/>
        <color theme="1"/>
        <rFont val="等线"/>
        <family val="2"/>
        <charset val="134"/>
        <scheme val="minor"/>
      </rPr>
      <t>​</t>
    </r>
  </si>
  <si>
    <t>福气安稳，拥有享受生活的条件和位置，工作轻松有保障。</t>
  </si>
  <si>
    <t>福利待遇优厚的国企职员；退休老干部。</t>
  </si>
  <si>
    <r>
      <t>八座+太阴</t>
    </r>
    <r>
      <rPr>
        <sz val="11"/>
        <color theme="1"/>
        <rFont val="等线"/>
        <family val="2"/>
        <charset val="134"/>
        <scheme val="minor"/>
      </rPr>
      <t>​</t>
    </r>
  </si>
  <si>
    <t>在文艺、策划、财务领域拥有稳定且内敛的职位，环境舒适。</t>
  </si>
  <si>
    <t>出版社资深编辑；会计师事务所合伙人。</t>
  </si>
  <si>
    <r>
      <t>八座+天机</t>
    </r>
    <r>
      <rPr>
        <sz val="11"/>
        <color theme="1"/>
        <rFont val="等线"/>
        <family val="2"/>
        <charset val="134"/>
        <scheme val="minor"/>
      </rPr>
      <t>​</t>
    </r>
  </si>
  <si>
    <t>通过智慧、技术拥有稳定的策划或顾问席位，思维有落脚点。</t>
  </si>
  <si>
    <t>公司战略规划部主管；智库研究员。</t>
  </si>
  <si>
    <r>
      <t>八座+武曲</t>
    </r>
    <r>
      <rPr>
        <sz val="11"/>
        <color theme="1"/>
        <rFont val="等线"/>
        <family val="2"/>
        <charset val="134"/>
        <scheme val="minor"/>
      </rPr>
      <t>​</t>
    </r>
  </si>
  <si>
    <t>在财经、执行领域拥有实权且稳固的职位，如财务主管、项目经理。</t>
  </si>
  <si>
    <t>军队中的师长；工程公司项目经理。</t>
  </si>
  <si>
    <r>
      <t>八座+廉贞</t>
    </r>
    <r>
      <rPr>
        <sz val="11"/>
        <color theme="1"/>
        <rFont val="等线"/>
        <family val="2"/>
        <charset val="134"/>
        <scheme val="minor"/>
      </rPr>
      <t>​</t>
    </r>
  </si>
  <si>
    <t>在政治、法律领域拥有复杂但稳固的职位，如法官、政要。</t>
  </si>
  <si>
    <t>法院院长；政党核心成员。</t>
  </si>
  <si>
    <r>
      <t>八座+三台</t>
    </r>
    <r>
      <rPr>
        <sz val="11"/>
        <color theme="1"/>
        <rFont val="等线"/>
        <family val="2"/>
        <charset val="134"/>
        <scheme val="minor"/>
      </rPr>
      <t>​</t>
    </r>
  </si>
  <si>
    <r>
      <t>对星，力量倍增</t>
    </r>
    <r>
      <rPr>
        <sz val="11"/>
        <color theme="1"/>
        <rFont val="等线"/>
        <family val="2"/>
        <charset val="134"/>
        <scheme val="minor"/>
      </rPr>
      <t>。形成“公卿之象”，既有晋升台阶（三台），又有高位座位（八座），地位显赫，过程与结果俱佳。</t>
    </r>
  </si>
  <si>
    <t>在大型企业中从基层稳步晋升至高管并拥有独立办公室。</t>
  </si>
  <si>
    <r>
      <t>八座+左辅/右弼</t>
    </r>
    <r>
      <rPr>
        <sz val="11"/>
        <color theme="1"/>
        <rFont val="等线"/>
        <family val="2"/>
        <charset val="134"/>
        <scheme val="minor"/>
      </rPr>
      <t>​</t>
    </r>
  </si>
  <si>
    <t>座位稳固，得众人拥护与辅助，资源丰富，地位安稳。</t>
  </si>
  <si>
    <t>部门主管有得力团队支持，位置稳固。</t>
  </si>
  <si>
    <r>
      <t>八座+文昌/文曲</t>
    </r>
    <r>
      <rPr>
        <sz val="11"/>
        <color theme="1"/>
        <rFont val="等线"/>
        <family val="2"/>
        <charset val="134"/>
        <scheme val="minor"/>
      </rPr>
      <t>​</t>
    </r>
  </si>
  <si>
    <t>因文化、才华获得稳定的职位或职称，座位与文化相关。</t>
  </si>
  <si>
    <t>大学终身教授；博物馆馆长。</t>
  </si>
  <si>
    <r>
      <t>八座+天魁/天钺</t>
    </r>
    <r>
      <rPr>
        <sz val="11"/>
        <color theme="1"/>
        <rFont val="等线"/>
        <family val="2"/>
        <charset val="134"/>
        <scheme val="minor"/>
      </rPr>
      <t>​</t>
    </r>
  </si>
  <si>
    <t>因贵人提携而获得安稳尊贵的职位，座位来自上层安排。</t>
  </si>
  <si>
    <t>被领导任命为某部门负责人。</t>
  </si>
  <si>
    <r>
      <t>八座+禄存</t>
    </r>
    <r>
      <rPr>
        <sz val="11"/>
        <color theme="1"/>
        <rFont val="等线"/>
        <family val="2"/>
        <charset val="134"/>
        <scheme val="minor"/>
      </rPr>
      <t>​</t>
    </r>
  </si>
  <si>
    <t>地位安稳且能带来持续财富，座位就是“金交椅”。</t>
  </si>
  <si>
    <t>拥有公司股份的董事；收租的房东。</t>
  </si>
  <si>
    <r>
      <t>八座+火星</t>
    </r>
    <r>
      <rPr>
        <sz val="11"/>
        <color theme="1"/>
        <rFont val="等线"/>
        <family val="2"/>
        <charset val="134"/>
        <scheme val="minor"/>
      </rPr>
      <t>​</t>
    </r>
  </si>
  <si>
    <t>座位得来突然或不稳，可能因变动获得职位，但易有冲突。</t>
  </si>
  <si>
    <t>因部门重组突然被任命为经理，但下属不服。</t>
  </si>
  <si>
    <r>
      <t>八座+铃星</t>
    </r>
    <r>
      <rPr>
        <sz val="11"/>
        <color theme="1"/>
        <rFont val="等线"/>
        <family val="2"/>
        <charset val="134"/>
        <scheme val="minor"/>
      </rPr>
      <t>​</t>
    </r>
  </si>
  <si>
    <t>获得安稳职位的过程有计较、拖延，座位坐得不安心。</t>
  </si>
  <si>
    <t>经过长期谈判才获得的合伙人席位，但权益有争议。</t>
  </si>
  <si>
    <r>
      <t>八座+擎羊</t>
    </r>
    <r>
      <rPr>
        <sz val="11"/>
        <color theme="1"/>
        <rFont val="等线"/>
        <family val="2"/>
        <charset val="134"/>
        <scheme val="minor"/>
      </rPr>
      <t>​</t>
    </r>
  </si>
  <si>
    <t>座位伴随竞争或压力获得，位置有挑战性，需奋力维护。</t>
  </si>
  <si>
    <t>通过竞聘上岗的岗位，工作压力大。</t>
  </si>
  <si>
    <r>
      <t>八座+陀罗</t>
    </r>
    <r>
      <rPr>
        <sz val="11"/>
        <color theme="1"/>
        <rFont val="等线"/>
        <family val="2"/>
        <charset val="134"/>
        <scheme val="minor"/>
      </rPr>
      <t>​</t>
    </r>
  </si>
  <si>
    <t>座位得来迟缓、反复，旧职位影响新职位，安于现状难变动。</t>
  </si>
  <si>
    <t>等待多年才获得的晋升，但新职位被旧问题困扰。</t>
  </si>
  <si>
    <r>
      <t>八座+地空/地劫</t>
    </r>
    <r>
      <rPr>
        <sz val="11"/>
        <color theme="1"/>
        <rFont val="等线"/>
        <family val="2"/>
        <charset val="134"/>
        <scheme val="minor"/>
      </rPr>
      <t>​</t>
    </r>
  </si>
  <si>
    <t>座位落空、不稳，有名无实，或突然失去位置。</t>
  </si>
  <si>
    <t>被任命为虚职；公司裁员失去职位。</t>
  </si>
  <si>
    <r>
      <t>1. “座”与“台”</t>
    </r>
    <r>
      <rPr>
        <sz val="11"/>
        <color theme="1"/>
        <rFont val="等线"/>
        <family val="2"/>
        <charset val="134"/>
        <scheme val="minor"/>
      </rPr>
      <t>：</t>
    </r>
    <r>
      <rPr>
        <b/>
        <sz val="11"/>
        <color theme="1"/>
        <rFont val="等线"/>
        <family val="3"/>
        <charset val="134"/>
        <scheme val="minor"/>
      </rPr>
      <t>八座星主“座位”</t>
    </r>
    <r>
      <rPr>
        <sz val="11"/>
        <color theme="1"/>
        <rFont val="等线"/>
        <family val="2"/>
        <charset val="134"/>
        <scheme val="minor"/>
      </rPr>
      <t>，象征</t>
    </r>
    <r>
      <rPr>
        <b/>
        <sz val="11"/>
        <color theme="1"/>
        <rFont val="等线"/>
        <family val="3"/>
        <charset val="134"/>
        <scheme val="minor"/>
      </rPr>
      <t>到达高位后拥有的位置与安稳状态</t>
    </r>
    <r>
      <rPr>
        <sz val="11"/>
        <color theme="1"/>
        <rFont val="等线"/>
        <family val="2"/>
        <charset val="134"/>
        <scheme val="minor"/>
      </rPr>
      <t>；其对星</t>
    </r>
    <r>
      <rPr>
        <b/>
        <sz val="11"/>
        <color theme="1"/>
        <rFont val="等线"/>
        <family val="3"/>
        <charset val="134"/>
        <scheme val="minor"/>
      </rPr>
      <t>三台星主“台阶”</t>
    </r>
    <r>
      <rPr>
        <sz val="11"/>
        <color theme="1"/>
        <rFont val="等线"/>
        <family val="2"/>
        <charset val="134"/>
        <scheme val="minor"/>
      </rPr>
      <t>，象征</t>
    </r>
    <r>
      <rPr>
        <b/>
        <sz val="11"/>
        <color theme="1"/>
        <rFont val="等线"/>
        <family val="3"/>
        <charset val="134"/>
        <scheme val="minor"/>
      </rPr>
      <t>上升的过程与阶梯</t>
    </r>
    <r>
      <rPr>
        <sz val="11"/>
        <color theme="1"/>
        <rFont val="等线"/>
        <family val="2"/>
        <charset val="134"/>
        <scheme val="minor"/>
      </rPr>
      <t>。二者同会，方为完整的“登台入座”，有过程有结果。单见八座，可能安于现状，缺乏进取。</t>
    </r>
  </si>
  <si>
    <r>
      <t>2. 与“台辅”、“封诰”的区别</t>
    </r>
    <r>
      <rPr>
        <sz val="11"/>
        <color theme="1"/>
        <rFont val="等线"/>
        <family val="2"/>
        <charset val="134"/>
        <scheme val="minor"/>
      </rPr>
      <t>：</t>
    </r>
    <r>
      <rPr>
        <b/>
        <sz val="11"/>
        <color theme="1"/>
        <rFont val="等线"/>
        <family val="3"/>
        <charset val="134"/>
        <scheme val="minor"/>
      </rPr>
      <t>八座主“实际的位置与安稳”</t>
    </r>
    <r>
      <rPr>
        <sz val="11"/>
        <color theme="1"/>
        <rFont val="等线"/>
        <family val="2"/>
        <charset val="134"/>
        <scheme val="minor"/>
      </rPr>
      <t>，是静态的“拥有”。</t>
    </r>
    <r>
      <rPr>
        <b/>
        <sz val="11"/>
        <color theme="1"/>
        <rFont val="等线"/>
        <family val="3"/>
        <charset val="134"/>
        <scheme val="minor"/>
      </rPr>
      <t>台辅主“实际的辅佐与文书”</t>
    </r>
    <r>
      <rPr>
        <sz val="11"/>
        <color theme="1"/>
        <rFont val="等线"/>
        <family val="2"/>
        <charset val="134"/>
        <scheme val="minor"/>
      </rPr>
      <t>，是动态的“帮助”。</t>
    </r>
    <r>
      <rPr>
        <b/>
        <sz val="11"/>
        <color theme="1"/>
        <rFont val="等线"/>
        <family val="3"/>
        <charset val="134"/>
        <scheme val="minor"/>
      </rPr>
      <t>封诰主“名誉与头衔”</t>
    </r>
    <r>
      <rPr>
        <sz val="11"/>
        <color theme="1"/>
        <rFont val="等线"/>
        <family val="2"/>
        <charset val="134"/>
        <scheme val="minor"/>
      </rPr>
      <t>，是精神性的“名号”。八座是“坐在哪里”，台辅是“谁在帮你”，封诰是“墙上挂的奖状”。</t>
    </r>
  </si>
  <si>
    <r>
      <t>3. 宫位定领域</t>
    </r>
    <r>
      <rPr>
        <sz val="11"/>
        <color theme="1"/>
        <rFont val="等线"/>
        <family val="2"/>
        <charset val="134"/>
        <scheme val="minor"/>
      </rPr>
      <t>：八座星所在宫位，指示在人生的哪个领域最容易获得安稳的位置与资源，或个人在哪些方面注重安稳与受尊重。</t>
    </r>
  </si>
  <si>
    <r>
      <t>4. 四化引动</t>
    </r>
    <r>
      <rPr>
        <sz val="11"/>
        <color theme="1"/>
        <rFont val="等线"/>
        <family val="2"/>
        <charset val="134"/>
        <scheme val="minor"/>
      </rPr>
      <t>：见</t>
    </r>
    <r>
      <rPr>
        <b/>
        <sz val="11"/>
        <color theme="1"/>
        <rFont val="等线"/>
        <family val="3"/>
        <charset val="134"/>
        <scheme val="minor"/>
      </rPr>
      <t>化禄</t>
    </r>
    <r>
      <rPr>
        <sz val="11"/>
        <color theme="1"/>
        <rFont val="等线"/>
        <family val="2"/>
        <charset val="134"/>
        <scheme val="minor"/>
      </rPr>
      <t>，座位能带来实际利益与享受，位置是“肥缺”。见</t>
    </r>
    <r>
      <rPr>
        <b/>
        <sz val="11"/>
        <color theme="1"/>
        <rFont val="等线"/>
        <family val="3"/>
        <charset val="134"/>
        <scheme val="minor"/>
      </rPr>
      <t>化权</t>
    </r>
    <r>
      <rPr>
        <sz val="11"/>
        <color theme="1"/>
        <rFont val="等线"/>
        <family val="2"/>
        <charset val="134"/>
        <scheme val="minor"/>
      </rPr>
      <t>，对座位掌控力强，职位有实权，位置稳固。见</t>
    </r>
    <r>
      <rPr>
        <b/>
        <sz val="11"/>
        <color theme="1"/>
        <rFont val="等线"/>
        <family val="3"/>
        <charset val="134"/>
        <scheme val="minor"/>
      </rPr>
      <t>化科</t>
    </r>
    <r>
      <rPr>
        <sz val="11"/>
        <color theme="1"/>
        <rFont val="等线"/>
        <family val="2"/>
        <charset val="134"/>
        <scheme val="minor"/>
      </rPr>
      <t>，座位受人尊重，名声好，位置光彩。见</t>
    </r>
    <r>
      <rPr>
        <b/>
        <sz val="11"/>
        <color theme="1"/>
        <rFont val="等线"/>
        <family val="3"/>
        <charset val="134"/>
        <scheme val="minor"/>
      </rPr>
      <t>化忌</t>
    </r>
    <r>
      <rPr>
        <sz val="11"/>
        <color theme="1"/>
        <rFont val="等线"/>
        <family val="2"/>
        <charset val="134"/>
        <scheme val="minor"/>
      </rPr>
      <t>，</t>
    </r>
    <r>
      <rPr>
        <b/>
        <sz val="11"/>
        <color theme="1"/>
        <rFont val="等线"/>
        <family val="3"/>
        <charset val="134"/>
        <scheme val="minor"/>
      </rPr>
      <t>座位不稳</t>
    </r>
    <r>
      <rPr>
        <sz val="11"/>
        <color theme="1"/>
        <rFont val="等线"/>
        <family val="2"/>
        <charset val="134"/>
        <scheme val="minor"/>
      </rPr>
      <t>，失去位置，为职位所累，或安于现状不愿进取。</t>
    </r>
  </si>
  <si>
    <t>一、天贵定义</t>
  </si>
  <si>
    <t>贵气、尊崇、得宠、长辈缘、上级赏识</t>
  </si>
  <si>
    <t>象征天生的贵气、受人尊崇的地位、易得长辈或上级的喜爱与提携，以及因品德、家世或行为而获得的优待。</t>
  </si>
  <si>
    <t>乙级星，属阳土。主吉，为贵气、受宠之星。喜与天钺同会，力量增强。其贵气多来自先天或长辈，需与主星配合方能显贵。</t>
  </si>
  <si>
    <r>
      <t>长辈贵气</t>
    </r>
    <r>
      <rPr>
        <sz val="11"/>
        <color theme="1"/>
        <rFont val="等线"/>
        <family val="2"/>
        <charset val="134"/>
        <scheme val="minor"/>
      </rPr>
      <t>​</t>
    </r>
  </si>
  <si>
    <t>易得父母、长辈、上级的宠爱、赏识与实质性帮助。</t>
  </si>
  <si>
    <t>在父母宫、官禄宫时尤为明显。</t>
  </si>
  <si>
    <r>
      <t>受人尊崇</t>
    </r>
    <r>
      <rPr>
        <sz val="11"/>
        <color theme="1"/>
        <rFont val="等线"/>
        <family val="2"/>
        <charset val="134"/>
        <scheme val="minor"/>
      </rPr>
      <t>​</t>
    </r>
  </si>
  <si>
    <t>天生带有贵气，举止得体，易受人尊重与礼遇。</t>
  </si>
  <si>
    <t>与天相、天府等星同度时力量强。</t>
  </si>
  <si>
    <r>
      <t>得宠优待</t>
    </r>
    <r>
      <rPr>
        <sz val="11"/>
        <color theme="1"/>
        <rFont val="等线"/>
        <family val="2"/>
        <charset val="134"/>
        <scheme val="minor"/>
      </rPr>
      <t>​</t>
    </r>
  </si>
  <si>
    <t>在环境中易得特殊照顾、优待或豁免权。</t>
  </si>
  <si>
    <t>与天同、太阴同度时显著。</t>
  </si>
  <si>
    <t>为所会照的主星或宫位增添贵气与受尊崇的感觉。</t>
  </si>
  <si>
    <r>
      <t>品德贵气</t>
    </r>
    <r>
      <rPr>
        <sz val="11"/>
        <color theme="1"/>
        <rFont val="等线"/>
        <family val="2"/>
        <charset val="134"/>
        <scheme val="minor"/>
      </rPr>
      <t>​</t>
    </r>
  </si>
  <si>
    <t>因品行端正、守规矩、有教养而获得贵气与好评。</t>
  </si>
  <si>
    <t>在命宫、福德宫时体现。</t>
  </si>
  <si>
    <t>为人端庄有礼，天生有贵气，易得长辈疼爱，一生受人尊重。</t>
  </si>
  <si>
    <t>兄弟姐妹中有贵气或受长辈宠爱者；在团队中易受领导偏爱。</t>
  </si>
  <si>
    <t>配偶家世好或有贵气，得配偶家族关爱；婚姻受长辈祝福。</t>
  </si>
  <si>
    <t>子女有贵气，得长辈宠爱；在合作中易得对方优待。</t>
  </si>
  <si>
    <t>钱财来源正派，易因长辈赠与、遗产或上级嘉奖得财。</t>
  </si>
  <si>
    <t>能得到贵重的医疗资源或名医诊治；病情受关照。</t>
  </si>
  <si>
    <t>在外易得长辈或当地人士的照顾与尊重，出行受礼遇。</t>
  </si>
  <si>
    <t>朋友、同事多出身良好或品行端正，社交圈能提升个人贵气。</t>
  </si>
  <si>
    <r>
      <t>核心宫位</t>
    </r>
    <r>
      <rPr>
        <sz val="11"/>
        <color theme="1"/>
        <rFont val="等线"/>
        <family val="2"/>
        <charset val="134"/>
        <scheme val="minor"/>
      </rPr>
      <t>。事业上易得上级赏识与提拔，工作环境受尊重。</t>
    </r>
  </si>
  <si>
    <t>家庭有贵气，家宅受邻里尊重；易得祖产或长辈赠房。</t>
  </si>
  <si>
    <t>内心崇尚高贵品德，精神世界以受尊重为乐，有福气。</t>
  </si>
  <si>
    <r>
      <t>核心宫位</t>
    </r>
    <r>
      <rPr>
        <sz val="11"/>
        <color theme="1"/>
        <rFont val="等线"/>
        <family val="2"/>
        <charset val="134"/>
        <scheme val="minor"/>
      </rPr>
      <t>。父母有贵气或社会地位，得父母极度宠爱与庇荫。</t>
    </r>
  </si>
  <si>
    <t>1. 增强贵气受宠组合</t>
  </si>
  <si>
    <r>
      <t>天贵+紫微</t>
    </r>
    <r>
      <rPr>
        <sz val="11"/>
        <color theme="1"/>
        <rFont val="等线"/>
        <family val="2"/>
        <charset val="134"/>
        <scheme val="minor"/>
      </rPr>
      <t>​</t>
    </r>
  </si>
  <si>
    <t>贵气逼人，有帝王般的尊崇，易得最高层长辈或权威人士的极度赏识与宠爱。</t>
  </si>
  <si>
    <t>世家子弟；被公司创始人视为接班人培养。</t>
  </si>
  <si>
    <r>
      <t>天贵+太阳</t>
    </r>
    <r>
      <rPr>
        <sz val="11"/>
        <color theme="1"/>
        <rFont val="等线"/>
        <family val="2"/>
        <charset val="134"/>
        <scheme val="minor"/>
      </rPr>
      <t>​</t>
    </r>
  </si>
  <si>
    <t>贵气公开而光明，受人广泛尊重，易得男性长辈或公众人物的提携。</t>
  </si>
  <si>
    <t>公众人物之子；受行业泰斗公开赞赏。</t>
  </si>
  <si>
    <r>
      <t>天贵+天同</t>
    </r>
    <r>
      <rPr>
        <sz val="11"/>
        <color theme="1"/>
        <rFont val="等线"/>
        <family val="2"/>
        <charset val="134"/>
        <scheme val="minor"/>
      </rPr>
      <t>​</t>
    </r>
  </si>
  <si>
    <t>福气与贵气兼备，天生受宠，生活优渥，得长辈无微不至的关爱。</t>
  </si>
  <si>
    <t>备受宠爱的幼子；在宽松受赏识的环境中工作。</t>
  </si>
  <si>
    <r>
      <t>天贵+天府</t>
    </r>
    <r>
      <rPr>
        <sz val="11"/>
        <color theme="1"/>
        <rFont val="等线"/>
        <family val="2"/>
        <charset val="134"/>
        <scheme val="minor"/>
      </rPr>
      <t>​</t>
    </r>
  </si>
  <si>
    <t>稳重而有贵气，易得家族或实力派长辈的庇荫与资源支持。</t>
  </si>
  <si>
    <t>家族企业继承人；得资深元老扶持。</t>
  </si>
  <si>
    <r>
      <t>天贵+天相</t>
    </r>
    <r>
      <rPr>
        <sz val="11"/>
        <color theme="1"/>
        <rFont val="等线"/>
        <family val="2"/>
        <charset val="134"/>
        <scheme val="minor"/>
      </rPr>
      <t>​</t>
    </r>
  </si>
  <si>
    <t>品行端正而显贵，易得信任，成为长辈或上级的心腹与宠臣。</t>
  </si>
  <si>
    <t>领导最信任的秘书；被导师偏爱的好学生。</t>
  </si>
  <si>
    <t>2. 专业化与受赏识组合</t>
  </si>
  <si>
    <r>
      <t>天贵+天机</t>
    </r>
    <r>
      <rPr>
        <sz val="11"/>
        <color theme="1"/>
        <rFont val="等线"/>
        <family val="2"/>
        <charset val="134"/>
        <scheme val="minor"/>
      </rPr>
      <t>​</t>
    </r>
  </si>
  <si>
    <t>因聪明、机巧而得长辈喜爱，易得师长、前辈的智慧点拨与提携。</t>
  </si>
  <si>
    <t>老师的得意门生；被技术前辈收为徒弟。</t>
  </si>
  <si>
    <r>
      <t>天贵+武曲</t>
    </r>
    <r>
      <rPr>
        <sz val="11"/>
        <color theme="1"/>
        <rFont val="等线"/>
        <family val="2"/>
        <charset val="134"/>
        <scheme val="minor"/>
      </rPr>
      <t>​</t>
    </r>
  </si>
  <si>
    <t>因刚毅、实干而受上级赏识，在财经、军事领域得实力派长辈提拔。</t>
  </si>
  <si>
    <t>被将军赏识的军官；得财务总监重用的下属。</t>
  </si>
  <si>
    <r>
      <t>天贵+廉贞</t>
    </r>
    <r>
      <rPr>
        <sz val="11"/>
        <color theme="1"/>
        <rFont val="等线"/>
        <family val="2"/>
        <charset val="134"/>
        <scheme val="minor"/>
      </rPr>
      <t>​</t>
    </r>
  </si>
  <si>
    <t>在复杂局面中因能力而得宠，易得政治型长辈或上级的暗中扶持。</t>
  </si>
  <si>
    <t>政要的得力亲信；得幕后大佬支持。</t>
  </si>
  <si>
    <r>
      <t>天贵+太阴</t>
    </r>
    <r>
      <rPr>
        <sz val="11"/>
        <color theme="1"/>
        <rFont val="等线"/>
        <family val="2"/>
        <charset val="134"/>
        <scheme val="minor"/>
      </rPr>
      <t>​</t>
    </r>
  </si>
  <si>
    <t>因细腻、文雅而得女性长辈或上级的宠爱与资源支持。</t>
  </si>
  <si>
    <t>受母亲家族宠爱的孩子；得女上司栽培。</t>
  </si>
  <si>
    <r>
      <t>天贵+天梁</t>
    </r>
    <r>
      <rPr>
        <sz val="11"/>
        <color theme="1"/>
        <rFont val="等线"/>
        <family val="2"/>
        <charset val="134"/>
        <scheme val="minor"/>
      </rPr>
      <t>​</t>
    </r>
  </si>
  <si>
    <t>因清高、耿直或专业能力而受尊重，易得传统型、学术型长辈的青睐。</t>
  </si>
  <si>
    <t>被老教授看中的学生；得行业前辈清誉提携。</t>
  </si>
  <si>
    <r>
      <t>天贵+天钺</t>
    </r>
    <r>
      <rPr>
        <sz val="11"/>
        <color theme="1"/>
        <rFont val="等线"/>
        <family val="2"/>
        <charset val="134"/>
        <scheme val="minor"/>
      </rPr>
      <t>​</t>
    </r>
  </si>
  <si>
    <r>
      <t>对星，力量倍增</t>
    </r>
    <r>
      <rPr>
        <sz val="11"/>
        <color theme="1"/>
        <rFont val="等线"/>
        <family val="2"/>
        <charset val="134"/>
        <scheme val="minor"/>
      </rPr>
      <t>。形成“天乙贵人”组合，贵气十足，得长辈、异性贵人鼎力相助，受宠非常。</t>
    </r>
  </si>
  <si>
    <t>同时得到父母双方家族资源与异性上级的提拔。</t>
  </si>
  <si>
    <r>
      <t>天贵+文昌/文曲</t>
    </r>
    <r>
      <rPr>
        <sz val="11"/>
        <color theme="1"/>
        <rFont val="等线"/>
        <family val="2"/>
        <charset val="134"/>
        <scheme val="minor"/>
      </rPr>
      <t>​</t>
    </r>
  </si>
  <si>
    <r>
      <t>文贵组合</t>
    </r>
    <r>
      <rPr>
        <sz val="11"/>
        <color theme="1"/>
        <rFont val="等线"/>
        <family val="2"/>
        <charset val="134"/>
        <scheme val="minor"/>
      </rPr>
      <t>。因才华、学识而受尊崇，易得文人型长辈或教育界人士的赏识。</t>
    </r>
  </si>
  <si>
    <t>因文采被文学大家收为弟子；因成绩好被校长偏爱。</t>
  </si>
  <si>
    <r>
      <t>天贵+左辅/右弼</t>
    </r>
    <r>
      <rPr>
        <sz val="11"/>
        <color theme="1"/>
        <rFont val="等线"/>
        <family val="2"/>
        <charset val="134"/>
        <scheme val="minor"/>
      </rPr>
      <t>​</t>
    </r>
  </si>
  <si>
    <t>贵气中带有众人拥护，得宠的同时也有同辈支持，地位稳固。</t>
  </si>
  <si>
    <t>被领导指定为团队负责人，且团队成员服气。</t>
  </si>
  <si>
    <r>
      <t>天贵+天魁</t>
    </r>
    <r>
      <rPr>
        <sz val="11"/>
        <color theme="1"/>
        <rFont val="等线"/>
        <family val="2"/>
        <charset val="134"/>
        <scheme val="minor"/>
      </rPr>
      <t>​</t>
    </r>
  </si>
  <si>
    <t>阳贵与阴贵齐聚，贵人运极强，无论男女长辈皆能提携，受宠程度高。</t>
  </si>
  <si>
    <t>同时得到父亲和母亲方面贵人的帮助。</t>
  </si>
  <si>
    <r>
      <t>天贵+禄存</t>
    </r>
    <r>
      <rPr>
        <sz val="11"/>
        <color theme="1"/>
        <rFont val="等线"/>
        <family val="2"/>
        <charset val="134"/>
        <scheme val="minor"/>
      </rPr>
      <t>​</t>
    </r>
  </si>
  <si>
    <t>受宠能带来实际财富，长辈赠与钱财，或因受赏识而获得高薪厚禄。</t>
  </si>
  <si>
    <t>获得长辈大额红包；因受器重获得公司股权激励。</t>
  </si>
  <si>
    <r>
      <t>天贵+火星</t>
    </r>
    <r>
      <rPr>
        <sz val="11"/>
        <color theme="1"/>
        <rFont val="等线"/>
        <family val="2"/>
        <charset val="134"/>
        <scheme val="minor"/>
      </rPr>
      <t>​</t>
    </r>
  </si>
  <si>
    <t>得宠来得突然或带有冲动性，长辈关照热烈但可能短暂，或受宠时引发他人嫉妒。</t>
  </si>
  <si>
    <t>因突发事件被上级破格赏识；得宠但与其他同事关系紧张。</t>
  </si>
  <si>
    <r>
      <t>天贵+铃星</t>
    </r>
    <r>
      <rPr>
        <sz val="11"/>
        <color theme="1"/>
        <rFont val="等线"/>
        <family val="2"/>
        <charset val="134"/>
        <scheme val="minor"/>
      </rPr>
      <t>​</t>
    </r>
  </si>
  <si>
    <t>得宠过程有计较或隐情，受宠但内心不安，或优待背后有条件。</t>
  </si>
  <si>
    <t>因某种利益交换得到长辈关照；受宠但需承担额外责任。</t>
  </si>
  <si>
    <r>
      <t>天贵+擎羊</t>
    </r>
    <r>
      <rPr>
        <sz val="11"/>
        <color theme="1"/>
        <rFont val="等线"/>
        <family val="2"/>
        <charset val="134"/>
        <scheme val="minor"/>
      </rPr>
      <t>​</t>
    </r>
  </si>
  <si>
    <t>受宠伴随竞争或压力，得长辈赏识但也招致同辈嫉妒与挑战。</t>
  </si>
  <si>
    <t>被老板钦点为项目负责人，但团队内老员工不服。</t>
  </si>
  <si>
    <r>
      <t>天贵+陀罗</t>
    </r>
    <r>
      <rPr>
        <sz val="11"/>
        <color theme="1"/>
        <rFont val="等线"/>
        <family val="2"/>
        <charset val="134"/>
        <scheme val="minor"/>
      </rPr>
      <t>​</t>
    </r>
  </si>
  <si>
    <t>得宠过程迟缓、反复，长辈关照犹豫不决，或旧有的宠爱关系产生困扰。</t>
  </si>
  <si>
    <t>长期考察后才被认可；与长辈的旧关系成为负担。</t>
  </si>
  <si>
    <r>
      <t>天贵+地空/地劫</t>
    </r>
    <r>
      <rPr>
        <sz val="11"/>
        <color theme="1"/>
        <rFont val="等线"/>
        <family val="2"/>
        <charset val="134"/>
        <scheme val="minor"/>
      </rPr>
      <t>​</t>
    </r>
  </si>
  <si>
    <t>贵气落空，受宠不得力或难以持久，长辈承诺未能兑现。</t>
  </si>
  <si>
    <t>看似受领导喜欢但无实际好处；长辈的庇荫中途失效。</t>
  </si>
  <si>
    <r>
      <t>1. “贵”与“助”</t>
    </r>
    <r>
      <rPr>
        <sz val="11"/>
        <color theme="1"/>
        <rFont val="等线"/>
        <family val="2"/>
        <charset val="134"/>
        <scheme val="minor"/>
      </rPr>
      <t>：</t>
    </r>
    <r>
      <rPr>
        <b/>
        <sz val="11"/>
        <color theme="1"/>
        <rFont val="等线"/>
        <family val="3"/>
        <charset val="134"/>
        <scheme val="minor"/>
      </rPr>
      <t>天贵星主“贵气”与“受宠”</t>
    </r>
    <r>
      <rPr>
        <sz val="11"/>
        <color theme="1"/>
        <rFont val="等线"/>
        <family val="2"/>
        <charset val="134"/>
        <scheme val="minor"/>
      </rPr>
      <t>，核心在于</t>
    </r>
    <r>
      <rPr>
        <b/>
        <sz val="11"/>
        <color theme="1"/>
        <rFont val="等线"/>
        <family val="3"/>
        <charset val="134"/>
        <scheme val="minor"/>
      </rPr>
      <t>受尊崇和得长辈上级喜爱</t>
    </r>
    <r>
      <rPr>
        <sz val="11"/>
        <color theme="1"/>
        <rFont val="等线"/>
        <family val="2"/>
        <charset val="134"/>
        <scheme val="minor"/>
      </rPr>
      <t>。其对星</t>
    </r>
    <r>
      <rPr>
        <b/>
        <sz val="11"/>
        <color theme="1"/>
        <rFont val="等线"/>
        <family val="3"/>
        <charset val="134"/>
        <scheme val="minor"/>
      </rPr>
      <t>天钺星主“阴贵助力”</t>
    </r>
    <r>
      <rPr>
        <sz val="11"/>
        <color theme="1"/>
        <rFont val="等线"/>
        <family val="2"/>
        <charset val="134"/>
        <scheme val="minor"/>
      </rPr>
      <t>，核心在于</t>
    </r>
    <r>
      <rPr>
        <b/>
        <sz val="11"/>
        <color theme="1"/>
        <rFont val="等线"/>
        <family val="3"/>
        <charset val="134"/>
        <scheme val="minor"/>
      </rPr>
      <t>得异性、暗中的实质性帮助</t>
    </r>
    <r>
      <rPr>
        <sz val="11"/>
        <color theme="1"/>
        <rFont val="等线"/>
        <family val="2"/>
        <charset val="134"/>
        <scheme val="minor"/>
      </rPr>
      <t>。二者同会，则</t>
    </r>
    <r>
      <rPr>
        <b/>
        <sz val="11"/>
        <color theme="1"/>
        <rFont val="等线"/>
        <family val="3"/>
        <charset val="134"/>
        <scheme val="minor"/>
      </rPr>
      <t>既受尊崇又得实助</t>
    </r>
    <r>
      <rPr>
        <sz val="11"/>
        <color theme="1"/>
        <rFont val="等线"/>
        <family val="2"/>
        <charset val="134"/>
        <scheme val="minor"/>
      </rPr>
      <t>，贵气落到实处。</t>
    </r>
  </si>
  <si>
    <r>
      <t>2. 与“天魁”、“台辅”的区别</t>
    </r>
    <r>
      <rPr>
        <sz val="11"/>
        <color theme="1"/>
        <rFont val="等线"/>
        <family val="2"/>
        <charset val="134"/>
        <scheme val="minor"/>
      </rPr>
      <t>：</t>
    </r>
    <r>
      <rPr>
        <b/>
        <sz val="11"/>
        <color theme="1"/>
        <rFont val="等线"/>
        <family val="3"/>
        <charset val="134"/>
        <scheme val="minor"/>
      </rPr>
      <t>天魁是“阳贵”</t>
    </r>
    <r>
      <rPr>
        <sz val="11"/>
        <color theme="1"/>
        <rFont val="等线"/>
        <family val="2"/>
        <charset val="134"/>
        <scheme val="minor"/>
      </rPr>
      <t>，提携直接、公开，多来自同性、显性贵人。</t>
    </r>
    <r>
      <rPr>
        <b/>
        <sz val="11"/>
        <color theme="1"/>
        <rFont val="等线"/>
        <family val="3"/>
        <charset val="134"/>
        <scheme val="minor"/>
      </rPr>
      <t>天贵是“宠贵”</t>
    </r>
    <r>
      <rPr>
        <sz val="11"/>
        <color theme="1"/>
        <rFont val="等线"/>
        <family val="2"/>
        <charset val="134"/>
        <scheme val="minor"/>
      </rPr>
      <t>，核心是“受宠爱”，关系更亲密，多来自血缘、情感或长期赏识。</t>
    </r>
    <r>
      <rPr>
        <b/>
        <sz val="11"/>
        <color theme="1"/>
        <rFont val="等线"/>
        <family val="3"/>
        <charset val="134"/>
        <scheme val="minor"/>
      </rPr>
      <t>台辅是“同辈之助”</t>
    </r>
    <r>
      <rPr>
        <sz val="11"/>
        <color theme="1"/>
        <rFont val="等线"/>
        <family val="2"/>
        <charset val="134"/>
        <scheme val="minor"/>
      </rPr>
      <t>，来自同事、朋友的实际帮助。天贵是“长辈疼你”，天魁是“贵人帮你”，台辅是“同事扶你”。</t>
    </r>
  </si>
  <si>
    <r>
      <t>3. 宫位定领域</t>
    </r>
    <r>
      <rPr>
        <sz val="11"/>
        <color theme="1"/>
        <rFont val="等线"/>
        <family val="2"/>
        <charset val="134"/>
        <scheme val="minor"/>
      </rPr>
      <t>：天贵星所在宫位，指示在人生的哪个领域最容易获得长辈、上级的宠爱与尊崇，或个人在哪些方面天生带有贵气。</t>
    </r>
  </si>
  <si>
    <r>
      <t>4. 四化引动</t>
    </r>
    <r>
      <rPr>
        <sz val="11"/>
        <color theme="1"/>
        <rFont val="等线"/>
        <family val="2"/>
        <charset val="134"/>
        <scheme val="minor"/>
      </rPr>
      <t>：见</t>
    </r>
    <r>
      <rPr>
        <b/>
        <sz val="11"/>
        <color theme="1"/>
        <rFont val="等线"/>
        <family val="3"/>
        <charset val="134"/>
        <scheme val="minor"/>
      </rPr>
      <t>化禄</t>
    </r>
    <r>
      <rPr>
        <sz val="11"/>
        <color theme="1"/>
        <rFont val="等线"/>
        <family val="2"/>
        <charset val="134"/>
        <scheme val="minor"/>
      </rPr>
      <t>，受宠能直接带来财富与利益，宠爱有实质回报。见</t>
    </r>
    <r>
      <rPr>
        <b/>
        <sz val="11"/>
        <color theme="1"/>
        <rFont val="等线"/>
        <family val="3"/>
        <charset val="134"/>
        <scheme val="minor"/>
      </rPr>
      <t>化权</t>
    </r>
    <r>
      <rPr>
        <sz val="11"/>
        <color theme="1"/>
        <rFont val="等线"/>
        <family val="2"/>
        <charset val="134"/>
        <scheme val="minor"/>
      </rPr>
      <t>，因受宠而获得权力或管理职责，宠爱转化为权威。见</t>
    </r>
    <r>
      <rPr>
        <b/>
        <sz val="11"/>
        <color theme="1"/>
        <rFont val="等线"/>
        <family val="3"/>
        <charset val="134"/>
        <scheme val="minor"/>
      </rPr>
      <t>化科</t>
    </r>
    <r>
      <rPr>
        <sz val="11"/>
        <color theme="1"/>
        <rFont val="等线"/>
        <family val="2"/>
        <charset val="134"/>
        <scheme val="minor"/>
      </rPr>
      <t>，受宠之事名声在外，贵气文雅，受人称道。见</t>
    </r>
    <r>
      <rPr>
        <b/>
        <sz val="11"/>
        <color theme="1"/>
        <rFont val="等线"/>
        <family val="3"/>
        <charset val="134"/>
        <scheme val="minor"/>
      </rPr>
      <t>化忌</t>
    </r>
    <r>
      <rPr>
        <sz val="11"/>
        <color theme="1"/>
        <rFont val="等线"/>
        <family val="2"/>
        <charset val="134"/>
        <scheme val="minor"/>
      </rPr>
      <t>，</t>
    </r>
    <r>
      <rPr>
        <b/>
        <sz val="11"/>
        <color theme="1"/>
        <rFont val="等线"/>
        <family val="3"/>
        <charset val="134"/>
        <scheme val="minor"/>
      </rPr>
      <t>宠爱成空</t>
    </r>
    <r>
      <rPr>
        <sz val="11"/>
        <color theme="1"/>
        <rFont val="等线"/>
        <family val="2"/>
        <charset val="134"/>
        <scheme val="minor"/>
      </rPr>
      <t>，与长辈上级关系失和，或因受宠而骄纵致祸。</t>
    </r>
  </si>
  <si>
    <t>一、天使定义</t>
  </si>
  <si>
    <t>疾病、灾厄、口舌、是非、困扰</t>
  </si>
  <si>
    <t>象征小的疾病、灾厄、口舌是非、以及令人困扰的琐碎麻烦。其性质主凶，带来阻滞与不安。</t>
  </si>
  <si>
    <t>乙级星，属阴水。主凶，为灾病、是非之星。常与天伤星并论，但天使主“小灾小病”，天伤主“大灾大伤”。</t>
  </si>
  <si>
    <r>
      <t>疾病灾厄</t>
    </r>
    <r>
      <rPr>
        <sz val="11"/>
        <color theme="1"/>
        <rFont val="等线"/>
        <family val="2"/>
        <charset val="134"/>
        <scheme val="minor"/>
      </rPr>
      <t>​</t>
    </r>
  </si>
  <si>
    <t>主小的疾病、伤痛、意外之灾，或慢性、反复发作的病症。</t>
  </si>
  <si>
    <t>在疾厄宫、命宫时尤为明显。</t>
  </si>
  <si>
    <r>
      <t>口舌是非</t>
    </r>
    <r>
      <rPr>
        <sz val="11"/>
        <color theme="1"/>
        <rFont val="等线"/>
        <family val="2"/>
        <charset val="134"/>
        <scheme val="minor"/>
      </rPr>
      <t>​</t>
    </r>
  </si>
  <si>
    <t>易惹口舌争执、官非诉讼、流言蜚语、人际关系的是非困扰。</t>
  </si>
  <si>
    <t>在迁移宫、交友宫时力量强。</t>
  </si>
  <si>
    <r>
      <t>拖延困扰</t>
    </r>
    <r>
      <rPr>
        <sz val="11"/>
        <color theme="1"/>
        <rFont val="等线"/>
        <family val="2"/>
        <charset val="134"/>
        <scheme val="minor"/>
      </rPr>
      <t>​</t>
    </r>
  </si>
  <si>
    <t>导致事情进展拖延、过程反复、出现各种小麻烦与阻碍。</t>
  </si>
  <si>
    <t>与陀罗、铃星同度时显著。</t>
  </si>
  <si>
    <r>
      <t>精神压力</t>
    </r>
    <r>
      <rPr>
        <sz val="11"/>
        <color theme="1"/>
        <rFont val="等线"/>
        <family val="2"/>
        <charset val="134"/>
        <scheme val="minor"/>
      </rPr>
      <t>​</t>
    </r>
  </si>
  <si>
    <t>带来精神上的烦恼、焦虑、抑郁等情绪困扰。</t>
  </si>
  <si>
    <r>
      <t>小人暗算</t>
    </r>
    <r>
      <rPr>
        <sz val="11"/>
        <color theme="1"/>
        <rFont val="等线"/>
        <family val="2"/>
        <charset val="134"/>
        <scheme val="minor"/>
      </rPr>
      <t>​</t>
    </r>
  </si>
  <si>
    <t>易遭遇小人暗中作梗、诽谤或制造麻烦。</t>
  </si>
  <si>
    <t>与阴煞、擎羊同会时显现。</t>
  </si>
  <si>
    <t>一生易受小病小灾困扰，多口舌是非，心性易烦忧。</t>
  </si>
  <si>
    <t>兄弟姐妹间易有是非争执，或兄弟姐妹多病灾。</t>
  </si>
  <si>
    <t>婚姻中多口角、误会，配偶身体欠佳或带来是非。</t>
  </si>
  <si>
    <t>子女多病灾，或与子女、合作对象易生是非。</t>
  </si>
  <si>
    <t>钱财易因疾病、官司、是非而损耗，求财多困扰。</t>
  </si>
  <si>
    <r>
      <t>核心宫位</t>
    </r>
    <r>
      <rPr>
        <sz val="11"/>
        <color theme="1"/>
        <rFont val="等线"/>
        <family val="2"/>
        <charset val="134"/>
        <scheme val="minor"/>
      </rPr>
      <t>。身体多病，易有慢性病、疑难杂症或意外小伤。</t>
    </r>
  </si>
  <si>
    <t>在外易惹是非口舌，出行多小麻烦，易遇小人。</t>
  </si>
  <si>
    <t>朋友、同事中多是非之人，易受其牵连或与之发生争执。</t>
  </si>
  <si>
    <t>事业上多小人阻碍，工作过程麻烦不断，易有官非。</t>
  </si>
  <si>
    <t>家宅不宁，多琐事纷扰；家族中人多病或口舌。</t>
  </si>
  <si>
    <t>内心多忧多虑，精神压力大，常感烦恼困扰。</t>
  </si>
  <si>
    <t>父母多病灾，或与父母长辈关系不睦，易有口舌。</t>
  </si>
  <si>
    <t>1. 增强灾病是非组合</t>
  </si>
  <si>
    <r>
      <t>天使+紫微</t>
    </r>
    <r>
      <rPr>
        <sz val="11"/>
        <color theme="1"/>
        <rFont val="等线"/>
        <family val="2"/>
        <charset val="134"/>
        <scheme val="minor"/>
      </rPr>
      <t>​</t>
    </r>
  </si>
  <si>
    <t>因地位、权力招致是非与暗算，或患有需要权威诊治的慢性病。</t>
  </si>
  <si>
    <t>企业高管被流言中伤；患有需长期调理的贵族病。</t>
  </si>
  <si>
    <r>
      <t>天使+太阳</t>
    </r>
    <r>
      <rPr>
        <sz val="11"/>
        <color theme="1"/>
        <rFont val="等线"/>
        <family val="2"/>
        <charset val="134"/>
        <scheme val="minor"/>
      </rPr>
      <t>​</t>
    </r>
  </si>
  <si>
    <t>是非公开化，易因言行惹争议，或患有与心脏、头部相关的疾病。</t>
  </si>
  <si>
    <t>公众人物因发言失当引发舆论风波；患有高血压、偏头痛。</t>
  </si>
  <si>
    <r>
      <t>天使+天同</t>
    </r>
    <r>
      <rPr>
        <sz val="11"/>
        <color theme="1"/>
        <rFont val="等线"/>
        <family val="2"/>
        <charset val="134"/>
        <scheme val="minor"/>
      </rPr>
      <t>​</t>
    </r>
  </si>
  <si>
    <t>福气受损，因享受或懒散致病，或因不愿争执而内心郁结成疾。</t>
  </si>
  <si>
    <t>因饮食不节导致肠胃病；因忍气吞声导致抑郁。</t>
  </si>
  <si>
    <r>
      <t>天使+天府</t>
    </r>
    <r>
      <rPr>
        <sz val="11"/>
        <color theme="1"/>
        <rFont val="等线"/>
        <family val="2"/>
        <charset val="134"/>
        <scheme val="minor"/>
      </rPr>
      <t>​</t>
    </r>
  </si>
  <si>
    <t>稳定的局面出现小麻烦，库藏因疾病、是非而消耗，或患有慢性胃病。</t>
  </si>
  <si>
    <t>稳健的财务因诉讼产生额外支出；患有胃溃疡。</t>
  </si>
  <si>
    <r>
      <t>天使+天相</t>
    </r>
    <r>
      <rPr>
        <sz val="11"/>
        <color theme="1"/>
        <rFont val="等线"/>
        <family val="2"/>
        <charset val="134"/>
        <scheme val="minor"/>
      </rPr>
      <t>​</t>
    </r>
  </si>
  <si>
    <t>因文书、合约、承诺惹是非，或患有需要长期调理的免疫系统疾病。</t>
  </si>
  <si>
    <t>因合同细节纠纷被告；患有慢性皮肤病或过敏。</t>
  </si>
  <si>
    <t>2. 专业化与困扰组合</t>
  </si>
  <si>
    <r>
      <t>天使+天机</t>
    </r>
    <r>
      <rPr>
        <sz val="11"/>
        <color theme="1"/>
        <rFont val="等线"/>
        <family val="2"/>
        <charset val="134"/>
        <scheme val="minor"/>
      </rPr>
      <t>​</t>
    </r>
  </si>
  <si>
    <t>因思虑过多导致神经衰弱、失眠，或因计划不周惹来麻烦。</t>
  </si>
  <si>
    <t>因过度焦虑导致神经官能症；策划案出错引发客户投诉。</t>
  </si>
  <si>
    <r>
      <t>天使+武曲</t>
    </r>
    <r>
      <rPr>
        <sz val="11"/>
        <color theme="1"/>
        <rFont val="等线"/>
        <family val="2"/>
        <charset val="134"/>
        <scheme val="minor"/>
      </rPr>
      <t>​</t>
    </r>
  </si>
  <si>
    <t>因钱财、金属导致伤害或官司，或患有呼吸系统、骨骼方面的疾病。</t>
  </si>
  <si>
    <t>因财务纠纷对簿公堂；患有肺炎、骨折。</t>
  </si>
  <si>
    <r>
      <t>天使+廉贞</t>
    </r>
    <r>
      <rPr>
        <sz val="11"/>
        <color theme="1"/>
        <rFont val="等线"/>
        <family val="2"/>
        <charset val="134"/>
        <scheme val="minor"/>
      </rPr>
      <t>​</t>
    </r>
  </si>
  <si>
    <t>因感情、政治、法律问题惹上官非口舌，或患有血液、生殖系统疾病。</t>
  </si>
  <si>
    <t>因感情纠纷被告；患有妇科病、性病。</t>
  </si>
  <si>
    <r>
      <t>天使+太阴</t>
    </r>
    <r>
      <rPr>
        <sz val="11"/>
        <color theme="1"/>
        <rFont val="等线"/>
        <family val="2"/>
        <charset val="134"/>
        <scheme val="minor"/>
      </rPr>
      <t>​</t>
    </r>
  </si>
  <si>
    <t>因女性、暗财、隐私惹是非，或患有妇科、内分泌、情绪病。</t>
  </si>
  <si>
    <t>因私下借贷引发纠纷；患有月经不调、抑郁症。</t>
  </si>
  <si>
    <r>
      <t>天使+天梁</t>
    </r>
    <r>
      <rPr>
        <sz val="11"/>
        <color theme="1"/>
        <rFont val="等线"/>
        <family val="2"/>
        <charset val="134"/>
        <scheme val="minor"/>
      </rPr>
      <t>​</t>
    </r>
  </si>
  <si>
    <t>因清高、直言惹人非议，或患有需要中医调理的陈旧性疾病。</t>
  </si>
  <si>
    <t>因批评他人而遭排挤；患有风湿、慢性关节炎。</t>
  </si>
  <si>
    <r>
      <t>天使+天伤</t>
    </r>
    <r>
      <rPr>
        <sz val="11"/>
        <color theme="1"/>
        <rFont val="等线"/>
        <family val="2"/>
        <charset val="134"/>
        <scheme val="minor"/>
      </rPr>
      <t>​</t>
    </r>
  </si>
  <si>
    <r>
      <t>对星，凶力倍增</t>
    </r>
    <r>
      <rPr>
        <sz val="11"/>
        <color theme="1"/>
        <rFont val="等线"/>
        <family val="2"/>
        <charset val="134"/>
        <scheme val="minor"/>
      </rPr>
      <t>。形成“伤病交加”之象，大小灾病、是非困扰不断，需格外注意健康与安全。</t>
    </r>
  </si>
  <si>
    <t>连续遭遇小病小伤，同时官司缠身。</t>
  </si>
  <si>
    <r>
      <t>天使+火星</t>
    </r>
    <r>
      <rPr>
        <sz val="11"/>
        <color theme="1"/>
        <rFont val="等线"/>
        <family val="2"/>
        <charset val="134"/>
        <scheme val="minor"/>
      </rPr>
      <t>​</t>
    </r>
  </si>
  <si>
    <t>灾病、是非突然爆发，来势急猛，如急性炎症、突发争吵、意外小伤。</t>
  </si>
  <si>
    <t>突然发烧入院；因小事与人激烈冲突。</t>
  </si>
  <si>
    <r>
      <t>天使+铃星</t>
    </r>
    <r>
      <rPr>
        <sz val="11"/>
        <color theme="1"/>
        <rFont val="等线"/>
        <family val="2"/>
        <charset val="134"/>
        <scheme val="minor"/>
      </rPr>
      <t>​</t>
    </r>
  </si>
  <si>
    <t>灾病、是非拖延反复，暗中滋生，如慢性炎症、长期口舌、隐伏的小人。</t>
  </si>
  <si>
    <t>慢性咽喉炎反复发作；长期遭同事暗中诋毁。</t>
  </si>
  <si>
    <r>
      <t>天使+擎羊</t>
    </r>
    <r>
      <rPr>
        <sz val="11"/>
        <color theme="1"/>
        <rFont val="等线"/>
        <family val="2"/>
        <charset val="134"/>
        <scheme val="minor"/>
      </rPr>
      <t>​</t>
    </r>
  </si>
  <si>
    <t>灾病、是非带有伤害性与冲突，如手术、外伤、公开的激烈争执。</t>
  </si>
  <si>
    <t>因打架受伤需缝针；因利益冲突与人公开决裂。</t>
  </si>
  <si>
    <r>
      <t>天使+陀罗</t>
    </r>
    <r>
      <rPr>
        <sz val="11"/>
        <color theme="1"/>
        <rFont val="等线"/>
        <family val="2"/>
        <charset val="134"/>
        <scheme val="minor"/>
      </rPr>
      <t>​</t>
    </r>
  </si>
  <si>
    <t>灾病、是非拖延难愈，反复纠缠，旧病复发，旧怨重提。</t>
  </si>
  <si>
    <t>腰肌劳损久治不愈；多年前的是非被人再次翻出。</t>
  </si>
  <si>
    <r>
      <t>天使+地空</t>
    </r>
    <r>
      <rPr>
        <sz val="11"/>
        <color theme="1"/>
        <rFont val="等线"/>
        <family val="2"/>
        <charset val="134"/>
        <scheme val="minor"/>
      </rPr>
      <t>​</t>
    </r>
  </si>
  <si>
    <t>灾病、是非莫名而来，虚惊一场，或病情古怪难以诊断。</t>
  </si>
  <si>
    <t>突然晕厥查无实因；被不实谣言中伤但很快澄清。</t>
  </si>
  <si>
    <r>
      <t>天使+地劫</t>
    </r>
    <r>
      <rPr>
        <sz val="11"/>
        <color theme="1"/>
        <rFont val="等线"/>
        <family val="2"/>
        <charset val="134"/>
        <scheme val="minor"/>
      </rPr>
      <t>​</t>
    </r>
  </si>
  <si>
    <t>灾病、是非造成实际损失与破坏，病情反复，是非破财。</t>
  </si>
  <si>
    <t>因病反复请假导致失业；因官司赔偿损失。</t>
  </si>
  <si>
    <r>
      <t>天使+文昌/文曲</t>
    </r>
    <r>
      <rPr>
        <sz val="11"/>
        <color theme="1"/>
        <rFont val="等线"/>
        <family val="2"/>
        <charset val="134"/>
        <scheme val="minor"/>
      </rPr>
      <t>​</t>
    </r>
  </si>
  <si>
    <t>因文书、言辞、考试惹是非，或患有与神经系统、呼吸系统相关的文明病。</t>
  </si>
  <si>
    <t>因论文抄袭被举报；患有神经性头痛、哮喘。</t>
  </si>
  <si>
    <r>
      <t>天使+左辅/右弼</t>
    </r>
    <r>
      <rPr>
        <sz val="11"/>
        <color theme="1"/>
        <rFont val="等线"/>
        <family val="2"/>
        <charset val="134"/>
        <scheme val="minor"/>
      </rPr>
      <t>​</t>
    </r>
  </si>
  <si>
    <t>灾病、是非涉及多人，或通过朋友、同事传播与扩大。</t>
  </si>
  <si>
    <t>全家轮流感冒；团队内部出现纷争牵连自身。</t>
  </si>
  <si>
    <r>
      <t>天使+天魁/天钺</t>
    </r>
    <r>
      <rPr>
        <sz val="11"/>
        <color theme="1"/>
        <rFont val="等线"/>
        <family val="2"/>
        <charset val="134"/>
        <scheme val="minor"/>
      </rPr>
      <t>​</t>
    </r>
  </si>
  <si>
    <t>虽有灾病是非，但易得贵人调解或介绍良医，减轻其害。</t>
  </si>
  <si>
    <t>生病时遇良医；官司中有贵人出面调解。</t>
  </si>
  <si>
    <r>
      <t>1. “使”与“伤”</t>
    </r>
    <r>
      <rPr>
        <sz val="11"/>
        <color theme="1"/>
        <rFont val="等线"/>
        <family val="2"/>
        <charset val="134"/>
        <scheme val="minor"/>
      </rPr>
      <t>：</t>
    </r>
    <r>
      <rPr>
        <b/>
        <sz val="11"/>
        <color theme="1"/>
        <rFont val="等线"/>
        <family val="3"/>
        <charset val="134"/>
        <scheme val="minor"/>
      </rPr>
      <t>天使星主“小灾小病”与“口舌是非”</t>
    </r>
    <r>
      <rPr>
        <sz val="11"/>
        <color theme="1"/>
        <rFont val="等线"/>
        <family val="2"/>
        <charset val="134"/>
        <scheme val="minor"/>
      </rPr>
      <t>，其害如“使者”传信，多为烦扰、阻滞。其对星</t>
    </r>
    <r>
      <rPr>
        <b/>
        <sz val="11"/>
        <color theme="1"/>
        <rFont val="等线"/>
        <family val="3"/>
        <charset val="134"/>
        <scheme val="minor"/>
      </rPr>
      <t>天伤星主“大灾大伤”与“身体破损”</t>
    </r>
    <r>
      <rPr>
        <sz val="11"/>
        <color theme="1"/>
        <rFont val="等线"/>
        <family val="2"/>
        <charset val="134"/>
        <scheme val="minor"/>
      </rPr>
      <t>，其害直接而严重。二者同会，则伤病交加，祸不单行。</t>
    </r>
  </si>
  <si>
    <r>
      <t>2. 与“阴煞”、“劫煞”的区别</t>
    </r>
    <r>
      <rPr>
        <sz val="11"/>
        <color theme="1"/>
        <rFont val="等线"/>
        <family val="2"/>
        <charset val="134"/>
        <scheme val="minor"/>
      </rPr>
      <t>：</t>
    </r>
    <r>
      <rPr>
        <b/>
        <sz val="11"/>
        <color theme="1"/>
        <rFont val="等线"/>
        <family val="3"/>
        <charset val="134"/>
        <scheme val="minor"/>
      </rPr>
      <t>天使是显性的、持续的烦扰</t>
    </r>
    <r>
      <rPr>
        <sz val="11"/>
        <color theme="1"/>
        <rFont val="等线"/>
        <family val="2"/>
        <charset val="134"/>
        <scheme val="minor"/>
      </rPr>
      <t>（如慢性病、口舌）。</t>
    </r>
    <r>
      <rPr>
        <b/>
        <sz val="11"/>
        <color theme="1"/>
        <rFont val="等线"/>
        <family val="3"/>
        <charset val="134"/>
        <scheme val="minor"/>
      </rPr>
      <t>阴煞是隐性的、阴性的侵害</t>
    </r>
    <r>
      <rPr>
        <sz val="11"/>
        <color theme="1"/>
        <rFont val="等线"/>
        <family val="2"/>
        <charset val="134"/>
        <scheme val="minor"/>
      </rPr>
      <t>（如灵异、暗算）。</t>
    </r>
    <r>
      <rPr>
        <b/>
        <sz val="11"/>
        <color theme="1"/>
        <rFont val="等线"/>
        <family val="3"/>
        <charset val="134"/>
        <scheme val="minor"/>
      </rPr>
      <t>劫煞是突发性的、外来的灾劫</t>
    </r>
    <r>
      <rPr>
        <sz val="11"/>
        <color theme="1"/>
        <rFont val="等线"/>
        <family val="2"/>
        <charset val="134"/>
        <scheme val="minor"/>
      </rPr>
      <t>（如抢劫、意外）。天使是“烦人的苍蝇”，阴煞是“暗处的冷箭”，劫煞是“路上的劫匪”。</t>
    </r>
  </si>
  <si>
    <r>
      <t>3. 宫位定领域</t>
    </r>
    <r>
      <rPr>
        <sz val="11"/>
        <color theme="1"/>
        <rFont val="等线"/>
        <family val="2"/>
        <charset val="134"/>
        <scheme val="minor"/>
      </rPr>
      <t>：天使星所在宫位，指示在人生的哪个领域最容易出现疾病、是非与烦心琐事。</t>
    </r>
  </si>
  <si>
    <r>
      <t>4. 四化引动</t>
    </r>
    <r>
      <rPr>
        <sz val="11"/>
        <color theme="1"/>
        <rFont val="等线"/>
        <family val="2"/>
        <charset val="134"/>
        <scheme val="minor"/>
      </rPr>
      <t>：见</t>
    </r>
    <r>
      <rPr>
        <b/>
        <sz val="11"/>
        <color theme="1"/>
        <rFont val="等线"/>
        <family val="3"/>
        <charset val="134"/>
        <scheme val="minor"/>
      </rPr>
      <t>化禄</t>
    </r>
    <r>
      <rPr>
        <sz val="11"/>
        <color theme="1"/>
        <rFont val="等线"/>
        <family val="2"/>
        <charset val="134"/>
        <scheme val="minor"/>
      </rPr>
      <t>，疾病、是非能因祸得福，或通过处理麻烦获得利益（如保险理赔）。见</t>
    </r>
    <r>
      <rPr>
        <b/>
        <sz val="11"/>
        <color theme="1"/>
        <rFont val="等线"/>
        <family val="3"/>
        <charset val="134"/>
        <scheme val="minor"/>
      </rPr>
      <t>化权</t>
    </r>
    <r>
      <rPr>
        <sz val="11"/>
        <color theme="1"/>
        <rFont val="等线"/>
        <family val="2"/>
        <charset val="134"/>
        <scheme val="minor"/>
      </rPr>
      <t>，能主动控制或解决疾病与是非，但过程强势。见</t>
    </r>
    <r>
      <rPr>
        <b/>
        <sz val="11"/>
        <color theme="1"/>
        <rFont val="等线"/>
        <family val="3"/>
        <charset val="134"/>
        <scheme val="minor"/>
      </rPr>
      <t>化科</t>
    </r>
    <r>
      <rPr>
        <sz val="11"/>
        <color theme="1"/>
        <rFont val="等线"/>
        <family val="2"/>
        <charset val="134"/>
        <scheme val="minor"/>
      </rPr>
      <t>，疾病、是非能妥善解决，名声无损，或病情得到明确诊断。见</t>
    </r>
    <r>
      <rPr>
        <b/>
        <sz val="11"/>
        <color theme="1"/>
        <rFont val="等线"/>
        <family val="3"/>
        <charset val="134"/>
        <scheme val="minor"/>
      </rPr>
      <t>化忌</t>
    </r>
    <r>
      <rPr>
        <sz val="11"/>
        <color theme="1"/>
        <rFont val="等线"/>
        <family val="2"/>
        <charset val="134"/>
        <scheme val="minor"/>
      </rPr>
      <t>，</t>
    </r>
    <r>
      <rPr>
        <b/>
        <sz val="11"/>
        <color theme="1"/>
        <rFont val="等线"/>
        <family val="3"/>
        <charset val="134"/>
        <scheme val="minor"/>
      </rPr>
      <t>灾病是非加重</t>
    </r>
    <r>
      <rPr>
        <sz val="11"/>
        <color theme="1"/>
        <rFont val="等线"/>
        <family val="2"/>
        <charset val="134"/>
        <scheme val="minor"/>
      </rPr>
      <t>，困扰倍增，难以摆脱。</t>
    </r>
  </si>
  <si>
    <t>一、天才定义</t>
  </si>
  <si>
    <t>智慧、才华、天赋、聪明、领悟力</t>
  </si>
  <si>
    <t>象征与生俱来的聪明才智、特殊天赋、学习能力和领悟力。其性质主吉，代表智力层面的优越性。</t>
  </si>
  <si>
    <t>乙级星，属阳木。主吉，为智慧、才华之星。喜与天寿同会，力量增强。其才华需与主星配合方能发挥最大效用。</t>
  </si>
  <si>
    <r>
      <t>天赋异禀</t>
    </r>
    <r>
      <rPr>
        <sz val="11"/>
        <color theme="1"/>
        <rFont val="等线"/>
        <family val="2"/>
        <charset val="134"/>
        <scheme val="minor"/>
      </rPr>
      <t>​</t>
    </r>
  </si>
  <si>
    <t>拥有某方面与生俱来的才能或高超的领悟力。</t>
  </si>
  <si>
    <r>
      <t>聪明才智</t>
    </r>
    <r>
      <rPr>
        <sz val="11"/>
        <color theme="1"/>
        <rFont val="等线"/>
        <family val="2"/>
        <charset val="134"/>
        <scheme val="minor"/>
      </rPr>
      <t>​</t>
    </r>
  </si>
  <si>
    <t>头脑灵活，思维敏捷，学习能力强，一点即通。</t>
  </si>
  <si>
    <t>与天机、文昌等星同度时力量强。</t>
  </si>
  <si>
    <r>
      <t>学习能力</t>
    </r>
    <r>
      <rPr>
        <sz val="11"/>
        <color theme="1"/>
        <rFont val="等线"/>
        <family val="2"/>
        <charset val="134"/>
        <scheme val="minor"/>
      </rPr>
      <t>​</t>
    </r>
  </si>
  <si>
    <t>擅长学习、模仿与掌握新知识、新技能。</t>
  </si>
  <si>
    <t>在父母宫（学业宫）时显著。</t>
  </si>
  <si>
    <r>
      <t>领悟力强</t>
    </r>
    <r>
      <rPr>
        <sz val="11"/>
        <color theme="1"/>
        <rFont val="等线"/>
        <family val="2"/>
        <charset val="134"/>
        <scheme val="minor"/>
      </rPr>
      <t>​</t>
    </r>
  </si>
  <si>
    <t>对事物本质、深层规律有独到的理解和洞察。</t>
  </si>
  <si>
    <t>与天梁、太阴同度时体现。</t>
  </si>
  <si>
    <r>
      <t>才华外显</t>
    </r>
    <r>
      <rPr>
        <sz val="11"/>
        <color theme="1"/>
        <rFont val="等线"/>
        <family val="2"/>
        <charset val="134"/>
        <scheme val="minor"/>
      </rPr>
      <t>​</t>
    </r>
  </si>
  <si>
    <t>才华容易被人发现和认可，在特定领域表现出色。</t>
  </si>
  <si>
    <t>与太阳、文曲同会时显现。</t>
  </si>
  <si>
    <t>天生聪明，悟性高，学习能力强，多才多艺。</t>
  </si>
  <si>
    <t>兄弟姐妹聪明有才华；在团队中能与聪明人为伍。</t>
  </si>
  <si>
    <t>配偶聪明或有特殊才华；婚姻中注重精神交流。</t>
  </si>
  <si>
    <t>子女聪明伶俐，有艺术或学术天赋；合作方有创意。</t>
  </si>
  <si>
    <t>以智慧、才华、创意赚钱，适合脑力劳动或技术行业。</t>
  </si>
  <si>
    <t>头脑聪慧，但易思虑过度导致神经衰弱、失眠等问题。</t>
  </si>
  <si>
    <t>在外能展现才华，获得赏识；出行遇智者。</t>
  </si>
  <si>
    <t>朋友、同事多聪明有才之士；社交圈能激发灵感。</t>
  </si>
  <si>
    <r>
      <t>核心宫位</t>
    </r>
    <r>
      <rPr>
        <sz val="11"/>
        <color theme="1"/>
        <rFont val="等线"/>
        <family val="2"/>
        <charset val="134"/>
        <scheme val="minor"/>
      </rPr>
      <t>。事业上依靠智慧与专长，适合策划、研究、技术类工作。</t>
    </r>
  </si>
  <si>
    <t>家人聪明；家庭氛围重教育；家中可能有藏书或艺术品。</t>
  </si>
  <si>
    <t>思想活跃，精神世界丰富，对哲学、玄学有领悟力。</t>
  </si>
  <si>
    <t>父母聪明，重视教育；遗传到良好的智力与学习天赋。</t>
  </si>
  <si>
    <t>1. 增强智慧才华组合</t>
  </si>
  <si>
    <r>
      <t>天才+紫微</t>
    </r>
    <r>
      <rPr>
        <sz val="11"/>
        <color theme="1"/>
        <rFont val="等线"/>
        <family val="2"/>
        <charset val="134"/>
        <scheme val="minor"/>
      </rPr>
      <t>​</t>
    </r>
  </si>
  <si>
    <t>拥有领导型智慧，格局大，有战略眼光，能统筹全局。</t>
  </si>
  <si>
    <t>企业战略家；政府智囊团核心。</t>
  </si>
  <si>
    <r>
      <t>天才+太阳</t>
    </r>
    <r>
      <rPr>
        <sz val="11"/>
        <color theme="1"/>
        <rFont val="等线"/>
        <family val="2"/>
        <charset val="134"/>
        <scheme val="minor"/>
      </rPr>
      <t>​</t>
    </r>
  </si>
  <si>
    <t>才华光明正大，善于传播与教育，有公开演讲、教学的天赋。</t>
  </si>
  <si>
    <t>知名教授；大众科普作家。</t>
  </si>
  <si>
    <r>
      <t>天才+天机</t>
    </r>
    <r>
      <rPr>
        <sz val="11"/>
        <color theme="1"/>
        <rFont val="等线"/>
        <family val="2"/>
        <charset val="134"/>
        <scheme val="minor"/>
      </rPr>
      <t>​</t>
    </r>
  </si>
  <si>
    <r>
      <t>核心组合</t>
    </r>
    <r>
      <rPr>
        <sz val="11"/>
        <color theme="1"/>
        <rFont val="等线"/>
        <family val="2"/>
        <charset val="134"/>
        <scheme val="minor"/>
      </rPr>
      <t>。思维极度敏捷，擅长策划、计算、信息技术，是“智多星”。</t>
    </r>
  </si>
  <si>
    <t>顶级程序员；金融分析师；军师。</t>
  </si>
  <si>
    <r>
      <t>天才+武曲</t>
    </r>
    <r>
      <rPr>
        <sz val="11"/>
        <color theme="1"/>
        <rFont val="等线"/>
        <family val="2"/>
        <charset val="134"/>
        <scheme val="minor"/>
      </rPr>
      <t>​</t>
    </r>
  </si>
  <si>
    <t>将才智用于实务与执行，在金融、工程、技术领域有实干才华。</t>
  </si>
  <si>
    <t>精算师；机械工程师；投资高手。</t>
  </si>
  <si>
    <r>
      <t>天才+天同</t>
    </r>
    <r>
      <rPr>
        <sz val="11"/>
        <color theme="1"/>
        <rFont val="等线"/>
        <family val="2"/>
        <charset val="134"/>
        <scheme val="minor"/>
      </rPr>
      <t>​</t>
    </r>
  </si>
  <si>
    <t>福慧双修，聪明且懂得享受，才华多用于文艺、娱乐、生活美学。</t>
  </si>
  <si>
    <t>美食家；休闲游戏设计师；生活博主。</t>
  </si>
  <si>
    <t>2. 专业化与领悟力组合</t>
  </si>
  <si>
    <r>
      <t>天才+廉贞</t>
    </r>
    <r>
      <rPr>
        <sz val="11"/>
        <color theme="1"/>
        <rFont val="等线"/>
        <family val="2"/>
        <charset val="134"/>
        <scheme val="minor"/>
      </rPr>
      <t>​</t>
    </r>
  </si>
  <si>
    <t>才华用于复杂人际、政治或艺术领域，心思缜密，有创作或谋略天赋。</t>
  </si>
  <si>
    <t>政治家；复杂系统设计师；画家。</t>
  </si>
  <si>
    <r>
      <t>天才+太阴</t>
    </r>
    <r>
      <rPr>
        <sz val="11"/>
        <color theme="1"/>
        <rFont val="等线"/>
        <family val="2"/>
        <charset val="134"/>
        <scheme val="minor"/>
      </rPr>
      <t>​</t>
    </r>
  </si>
  <si>
    <t>拥有细腻、内敛的才华，在文学、艺术、心理学、财务规划方面有天赋。</t>
  </si>
  <si>
    <t>诗人；心理咨询师；财务规划师。</t>
  </si>
  <si>
    <r>
      <t>天才+天府</t>
    </r>
    <r>
      <rPr>
        <sz val="11"/>
        <color theme="1"/>
        <rFont val="等线"/>
        <family val="2"/>
        <charset val="134"/>
        <scheme val="minor"/>
      </rPr>
      <t>​</t>
    </r>
  </si>
  <si>
    <t>才华稳重，善于管理与积累，能将知识系统化、库藏化。</t>
  </si>
  <si>
    <t>图书馆馆长；知识管理专家；博物馆策展人。</t>
  </si>
  <si>
    <r>
      <t>天才+天相</t>
    </r>
    <r>
      <rPr>
        <sz val="11"/>
        <color theme="1"/>
        <rFont val="等线"/>
        <family val="2"/>
        <charset val="134"/>
        <scheme val="minor"/>
      </rPr>
      <t>​</t>
    </r>
  </si>
  <si>
    <t>才华体现在协调、文书、设计方面，做事有章法，注重形象与规范。</t>
  </si>
  <si>
    <t>律师；服装设计师；标准化工程师。</t>
  </si>
  <si>
    <r>
      <t>天才+天梁</t>
    </r>
    <r>
      <rPr>
        <sz val="11"/>
        <color theme="1"/>
        <rFont val="等线"/>
        <family val="2"/>
        <charset val="134"/>
        <scheme val="minor"/>
      </rPr>
      <t>​</t>
    </r>
  </si>
  <si>
    <t>拥有哲学、医学、法律方面的智慧，领悟力高，能洞察事物本质。</t>
  </si>
  <si>
    <t>中医师；哲学家；法官。</t>
  </si>
  <si>
    <r>
      <t>天才+天寿</t>
    </r>
    <r>
      <rPr>
        <sz val="11"/>
        <color theme="1"/>
        <rFont val="等线"/>
        <family val="2"/>
        <charset val="134"/>
        <scheme val="minor"/>
      </rPr>
      <t>​</t>
    </r>
  </si>
  <si>
    <r>
      <t>对星，力量倍增</t>
    </r>
    <r>
      <rPr>
        <sz val="11"/>
        <color theme="1"/>
        <rFont val="等线"/>
        <family val="2"/>
        <charset val="134"/>
        <scheme val="minor"/>
      </rPr>
      <t>。形成“智寿双全”之象，聪明且长寿，才华能持续发挥并积累。</t>
    </r>
  </si>
  <si>
    <t>老科学家；长寿的国学大师。</t>
  </si>
  <si>
    <r>
      <t>天才+文昌/文曲</t>
    </r>
    <r>
      <rPr>
        <sz val="11"/>
        <color theme="1"/>
        <rFont val="等线"/>
        <family val="2"/>
        <charset val="134"/>
        <scheme val="minor"/>
      </rPr>
      <t>​</t>
    </r>
  </si>
  <si>
    <r>
      <t>文星汇聚</t>
    </r>
    <r>
      <rPr>
        <sz val="11"/>
        <color theme="1"/>
        <rFont val="等线"/>
        <family val="2"/>
        <charset val="134"/>
        <scheme val="minor"/>
      </rPr>
      <t>。才华横溢，尤其在文学、艺术、学术领域天赋异禀，易取得功名。</t>
    </r>
  </si>
  <si>
    <t>天才作家；音乐神童；高考状元。</t>
  </si>
  <si>
    <r>
      <t>天才+左辅/右弼</t>
    </r>
    <r>
      <rPr>
        <sz val="11"/>
        <color theme="1"/>
        <rFont val="等线"/>
        <family val="2"/>
        <charset val="134"/>
        <scheme val="minor"/>
      </rPr>
      <t>​</t>
    </r>
  </si>
  <si>
    <t>才华得众人相助，能将智慧转化为实际的成果与影响力。</t>
  </si>
  <si>
    <t>研发团队带头人；开源项目核心贡献者。</t>
  </si>
  <si>
    <r>
      <t>天才+天魁/天钺</t>
    </r>
    <r>
      <rPr>
        <sz val="11"/>
        <color theme="1"/>
        <rFont val="等线"/>
        <family val="2"/>
        <charset val="134"/>
        <scheme val="minor"/>
      </rPr>
      <t>​</t>
    </r>
  </si>
  <si>
    <t>因聪明才智而得贵人赏识与提携，智慧是通往贵人的桥梁。</t>
  </si>
  <si>
    <t>因竞赛获奖被名校破格录取；因方案出色被大佬看中。</t>
  </si>
  <si>
    <r>
      <t>天才+禄存</t>
    </r>
    <r>
      <rPr>
        <sz val="11"/>
        <color theme="1"/>
        <rFont val="等线"/>
        <family val="2"/>
        <charset val="134"/>
        <scheme val="minor"/>
      </rPr>
      <t>​</t>
    </r>
  </si>
  <si>
    <t>智慧能直接转化为财富，靠专利、技术、咨询赚钱。</t>
  </si>
  <si>
    <t>软件专利持有者；知名咨询顾问。</t>
  </si>
  <si>
    <r>
      <t>天才+火星</t>
    </r>
    <r>
      <rPr>
        <sz val="11"/>
        <color theme="1"/>
        <rFont val="等线"/>
        <family val="2"/>
        <charset val="134"/>
        <scheme val="minor"/>
      </rPr>
      <t>​</t>
    </r>
  </si>
  <si>
    <t>才华爆发突然，思维敏捷但可能急躁，灵感来得快去得也快。</t>
  </si>
  <si>
    <t>即兴演讲高手；突发奇想的发明家。</t>
  </si>
  <si>
    <r>
      <t>天才+铃星</t>
    </r>
    <r>
      <rPr>
        <sz val="11"/>
        <color theme="1"/>
        <rFont val="等线"/>
        <family val="2"/>
        <charset val="134"/>
        <scheme val="minor"/>
      </rPr>
      <t>​</t>
    </r>
  </si>
  <si>
    <t>才华深藏不露，或需经一番计较、酝酿才能展现，擅长精密计算。</t>
  </si>
  <si>
    <t>密码学家；需要长期打磨的工艺大师。</t>
  </si>
  <si>
    <t>才华带有竞争性与攻击性，思维尖锐，善于辩论、攻坚。</t>
  </si>
  <si>
    <t>顶尖辩论手；攻克技术难题的工程师。</t>
  </si>
  <si>
    <r>
      <t>天才+陀罗</t>
    </r>
    <r>
      <rPr>
        <sz val="11"/>
        <color theme="1"/>
        <rFont val="等线"/>
        <family val="2"/>
        <charset val="134"/>
        <scheme val="minor"/>
      </rPr>
      <t>​</t>
    </r>
  </si>
  <si>
    <t>才华展现缓慢、反复，思维钻牛角尖，但可能在某一点上有极致钻研。</t>
  </si>
  <si>
    <t>研究冷门学科的学者；反复修改作品的艺术家。</t>
  </si>
  <si>
    <r>
      <t>天才+地空/地劫</t>
    </r>
    <r>
      <rPr>
        <sz val="11"/>
        <color theme="1"/>
        <rFont val="等线"/>
        <family val="2"/>
        <charset val="134"/>
        <scheme val="minor"/>
      </rPr>
      <t>​</t>
    </r>
  </si>
  <si>
    <t>才华奇特、超越常规，但可能不切实际或难以被世俗理解，有天才的孤独感。</t>
  </si>
  <si>
    <t>科幻小说家；超前理论物理学家；古怪发明家。</t>
  </si>
  <si>
    <r>
      <t>1. “才”与“寿”</t>
    </r>
    <r>
      <rPr>
        <sz val="11"/>
        <color theme="1"/>
        <rFont val="等线"/>
        <family val="2"/>
        <charset val="134"/>
        <scheme val="minor"/>
      </rPr>
      <t>：</t>
    </r>
    <r>
      <rPr>
        <b/>
        <sz val="11"/>
        <color theme="1"/>
        <rFont val="等线"/>
        <family val="3"/>
        <charset val="134"/>
        <scheme val="minor"/>
      </rPr>
      <t>天才星主“智慧才华”</t>
    </r>
    <r>
      <rPr>
        <sz val="11"/>
        <color theme="1"/>
        <rFont val="等线"/>
        <family val="2"/>
        <charset val="134"/>
        <scheme val="minor"/>
      </rPr>
      <t>，是</t>
    </r>
    <r>
      <rPr>
        <b/>
        <sz val="11"/>
        <color theme="1"/>
        <rFont val="等线"/>
        <family val="3"/>
        <charset val="134"/>
        <scheme val="minor"/>
      </rPr>
      <t>智力与天赋的体现</t>
    </r>
    <r>
      <rPr>
        <sz val="11"/>
        <color theme="1"/>
        <rFont val="等线"/>
        <family val="2"/>
        <charset val="134"/>
        <scheme val="minor"/>
      </rPr>
      <t>；其对星</t>
    </r>
    <r>
      <rPr>
        <b/>
        <sz val="11"/>
        <color theme="1"/>
        <rFont val="等线"/>
        <family val="3"/>
        <charset val="134"/>
        <scheme val="minor"/>
      </rPr>
      <t>天寿星主“寿命福寿”</t>
    </r>
    <r>
      <rPr>
        <sz val="11"/>
        <color theme="1"/>
        <rFont val="等线"/>
        <family val="2"/>
        <charset val="134"/>
        <scheme val="minor"/>
      </rPr>
      <t>，是</t>
    </r>
    <r>
      <rPr>
        <b/>
        <sz val="11"/>
        <color theme="1"/>
        <rFont val="等线"/>
        <family val="3"/>
        <charset val="134"/>
        <scheme val="minor"/>
      </rPr>
      <t>生命力与持续性的体现</t>
    </r>
    <r>
      <rPr>
        <sz val="11"/>
        <color theme="1"/>
        <rFont val="等线"/>
        <family val="2"/>
        <charset val="134"/>
        <scheme val="minor"/>
      </rPr>
      <t>。二者同会，则</t>
    </r>
    <r>
      <rPr>
        <b/>
        <sz val="11"/>
        <color theme="1"/>
        <rFont val="等线"/>
        <family val="3"/>
        <charset val="134"/>
        <scheme val="minor"/>
      </rPr>
      <t>才华有足够的时间去发展与沉淀</t>
    </r>
    <r>
      <rPr>
        <sz val="11"/>
        <color theme="1"/>
        <rFont val="等线"/>
        <family val="2"/>
        <charset val="134"/>
        <scheme val="minor"/>
      </rPr>
      <t>，是为“智寿双全”。</t>
    </r>
  </si>
  <si>
    <r>
      <t>2. 与“文昌”、“文曲”的区别</t>
    </r>
    <r>
      <rPr>
        <sz val="11"/>
        <color theme="1"/>
        <rFont val="等线"/>
        <family val="2"/>
        <charset val="134"/>
        <scheme val="minor"/>
      </rPr>
      <t>：</t>
    </r>
    <r>
      <rPr>
        <b/>
        <sz val="11"/>
        <color theme="1"/>
        <rFont val="等线"/>
        <family val="3"/>
        <charset val="134"/>
        <scheme val="minor"/>
      </rPr>
      <t>文昌、文曲是“文化星”、“科甲星”</t>
    </r>
    <r>
      <rPr>
        <sz val="11"/>
        <color theme="1"/>
        <rFont val="等线"/>
        <family val="2"/>
        <charset val="134"/>
        <scheme val="minor"/>
      </rPr>
      <t>，主</t>
    </r>
    <r>
      <rPr>
        <b/>
        <sz val="11"/>
        <color theme="1"/>
        <rFont val="等线"/>
        <family val="3"/>
        <charset val="134"/>
        <scheme val="minor"/>
      </rPr>
      <t>通过后天学习获得的文学、艺术才能与功名</t>
    </r>
    <r>
      <rPr>
        <sz val="11"/>
        <color theme="1"/>
        <rFont val="等线"/>
        <family val="2"/>
        <charset val="134"/>
        <scheme val="minor"/>
      </rPr>
      <t>。</t>
    </r>
    <r>
      <rPr>
        <b/>
        <sz val="11"/>
        <color theme="1"/>
        <rFont val="等线"/>
        <family val="3"/>
        <charset val="134"/>
        <scheme val="minor"/>
      </rPr>
      <t>天才是“天赋星”</t>
    </r>
    <r>
      <rPr>
        <sz val="11"/>
        <color theme="1"/>
        <rFont val="等线"/>
        <family val="2"/>
        <charset val="134"/>
        <scheme val="minor"/>
      </rPr>
      <t>，主</t>
    </r>
    <r>
      <rPr>
        <b/>
        <sz val="11"/>
        <color theme="1"/>
        <rFont val="等线"/>
        <family val="3"/>
        <charset val="134"/>
        <scheme val="minor"/>
      </rPr>
      <t>与生俱来的聪明才智和领悟力</t>
    </r>
    <r>
      <rPr>
        <sz val="11"/>
        <color theme="1"/>
        <rFont val="等线"/>
        <family val="2"/>
        <charset val="134"/>
        <scheme val="minor"/>
      </rPr>
      <t>。文昌文曲是“读书厉害”，天才是“天生聪明”。天才更重先天禀赋，文昌文曲更重后天成就。</t>
    </r>
  </si>
  <si>
    <r>
      <t>3. 宫位定领域</t>
    </r>
    <r>
      <rPr>
        <sz val="11"/>
        <color theme="1"/>
        <rFont val="等线"/>
        <family val="2"/>
        <charset val="134"/>
        <scheme val="minor"/>
      </rPr>
      <t>：天才星所在宫位，指示在人生的哪个领域拥有特殊的天赋与聪明才智，或个人最擅长运用智慧的方面。</t>
    </r>
  </si>
  <si>
    <r>
      <t>4. 四化引动</t>
    </r>
    <r>
      <rPr>
        <sz val="11"/>
        <color theme="1"/>
        <rFont val="等线"/>
        <family val="2"/>
        <charset val="134"/>
        <scheme val="minor"/>
      </rPr>
      <t>：见</t>
    </r>
    <r>
      <rPr>
        <b/>
        <sz val="11"/>
        <color theme="1"/>
        <rFont val="等线"/>
        <family val="3"/>
        <charset val="134"/>
        <scheme val="minor"/>
      </rPr>
      <t>化禄</t>
    </r>
    <r>
      <rPr>
        <sz val="11"/>
        <color theme="1"/>
        <rFont val="等线"/>
        <family val="2"/>
        <charset val="134"/>
        <scheme val="minor"/>
      </rPr>
      <t>，智慧能生财，靠创意、点子赚钱，才华带来实际利益。见</t>
    </r>
    <r>
      <rPr>
        <b/>
        <sz val="11"/>
        <color theme="1"/>
        <rFont val="等线"/>
        <family val="3"/>
        <charset val="134"/>
        <scheme val="minor"/>
      </rPr>
      <t>化权</t>
    </r>
    <r>
      <rPr>
        <sz val="11"/>
        <color theme="1"/>
        <rFont val="等线"/>
        <family val="2"/>
        <charset val="134"/>
        <scheme val="minor"/>
      </rPr>
      <t>，智慧能掌权，成为技术权威、智囊首领，才华转化为权力。见</t>
    </r>
    <r>
      <rPr>
        <b/>
        <sz val="11"/>
        <color theme="1"/>
        <rFont val="等线"/>
        <family val="3"/>
        <charset val="134"/>
        <scheme val="minor"/>
      </rPr>
      <t>化科</t>
    </r>
    <r>
      <rPr>
        <sz val="11"/>
        <color theme="1"/>
        <rFont val="等线"/>
        <family val="2"/>
        <charset val="134"/>
        <scheme val="minor"/>
      </rPr>
      <t>，智慧能扬名，因才华获得声誉与认可，声名远播。见</t>
    </r>
    <r>
      <rPr>
        <b/>
        <sz val="11"/>
        <color theme="1"/>
        <rFont val="等线"/>
        <family val="3"/>
        <charset val="134"/>
        <scheme val="minor"/>
      </rPr>
      <t>化忌</t>
    </r>
    <r>
      <rPr>
        <sz val="11"/>
        <color theme="1"/>
        <rFont val="等线"/>
        <family val="2"/>
        <charset val="134"/>
        <scheme val="minor"/>
      </rPr>
      <t>，</t>
    </r>
    <r>
      <rPr>
        <b/>
        <sz val="11"/>
        <color theme="1"/>
        <rFont val="等线"/>
        <family val="3"/>
        <charset val="134"/>
        <scheme val="minor"/>
      </rPr>
      <t>聪明反被聪明误</t>
    </r>
    <r>
      <rPr>
        <sz val="11"/>
        <color theme="1"/>
        <rFont val="等线"/>
        <family val="2"/>
        <charset val="134"/>
        <scheme val="minor"/>
      </rPr>
      <t>，才华用错地方，思虑过度成疾，或恃才傲物招祸。</t>
    </r>
  </si>
  <si>
    <t>一、天官定义</t>
  </si>
  <si>
    <t>官职、官方、正式职位、体制内身份</t>
  </si>
  <si>
    <t>象征正式的官职、官方身份、体制内的地位与任命。其性质主吉，代表获得官方认可、拥有正式职位或与政府、大型机构相关的身份。</t>
  </si>
  <si>
    <t>乙级星，属阳土。主吉，为官贵之星。喜与天福同会，力量增强。其官贵需依附有力主星及吉星方能稳固。</t>
  </si>
  <si>
    <r>
      <t>官方职位</t>
    </r>
    <r>
      <rPr>
        <sz val="11"/>
        <color theme="1"/>
        <rFont val="等线"/>
        <family val="2"/>
        <charset val="134"/>
        <scheme val="minor"/>
      </rPr>
      <t>​</t>
    </r>
  </si>
  <si>
    <t>代表在政府、公家单位、大型企业中的正式职务、职称。</t>
  </si>
  <si>
    <t>在官禄宫、命宫时尤为明显。</t>
  </si>
  <si>
    <r>
      <t>正式任命</t>
    </r>
    <r>
      <rPr>
        <sz val="11"/>
        <color theme="1"/>
        <rFont val="等线"/>
        <family val="2"/>
        <charset val="134"/>
        <scheme val="minor"/>
      </rPr>
      <t>​</t>
    </r>
  </si>
  <si>
    <t>象征通过正式程序（如选举、任命、考取）获得的职位。</t>
  </si>
  <si>
    <t>与太阳、天梁等星同度时力量强。</t>
  </si>
  <si>
    <r>
      <t>体制内身份</t>
    </r>
    <r>
      <rPr>
        <sz val="11"/>
        <color theme="1"/>
        <rFont val="等线"/>
        <family val="2"/>
        <charset val="134"/>
        <scheme val="minor"/>
      </rPr>
      <t>​</t>
    </r>
  </si>
  <si>
    <t>拥有公务员、事业单位人员、国企员工等体制内身份。</t>
  </si>
  <si>
    <t>与紫微、天府同度时显著。</t>
  </si>
  <si>
    <r>
      <t>官方认可</t>
    </r>
    <r>
      <rPr>
        <sz val="11"/>
        <color theme="1"/>
        <rFont val="等线"/>
        <family val="2"/>
        <charset val="134"/>
        <scheme val="minor"/>
      </rPr>
      <t>​</t>
    </r>
  </si>
  <si>
    <t>获得官方颁发的资格、执照、认证或授权。</t>
  </si>
  <si>
    <t>在迁移宫、父母宫时体现。</t>
  </si>
  <si>
    <r>
      <t>稳定职位</t>
    </r>
    <r>
      <rPr>
        <sz val="11"/>
        <color theme="1"/>
        <rFont val="等线"/>
        <family val="2"/>
        <charset val="134"/>
        <scheme val="minor"/>
      </rPr>
      <t>​</t>
    </r>
  </si>
  <si>
    <t>职位稳定，有编制、有保障，不易变动。</t>
  </si>
  <si>
    <t>与天同、天相同会时显现。</t>
  </si>
  <si>
    <t>有官运，易获得正式职位，为人稳重，遵守规章制度。</t>
  </si>
  <si>
    <t>兄弟姐妹中有任职公职者；在团队中处于正式编制岗位。</t>
  </si>
  <si>
    <t>配偶有官方职务或工作稳定；婚姻关系受法律保护。</t>
  </si>
  <si>
    <t>子女未来易从事公职；合作项目有正式合同与官方背景。</t>
  </si>
  <si>
    <t>钱财来自稳定薪资、官方补贴或与政府相关的项目。</t>
  </si>
  <si>
    <t>享受公费医疗或体制内医疗保障；病情需按规程治疗。</t>
  </si>
  <si>
    <t>在外易与官方机构打交道，或因公出差，有正式外派身份。</t>
  </si>
  <si>
    <t>朋友、同事多公务员或体制内人员；社交圈正规。</t>
  </si>
  <si>
    <r>
      <t>核心宫位</t>
    </r>
    <r>
      <rPr>
        <sz val="11"/>
        <color theme="1"/>
        <rFont val="等线"/>
        <family val="2"/>
        <charset val="134"/>
        <scheme val="minor"/>
      </rPr>
      <t>。事业上易获得正式官职，在体制内或大机构发展顺利。</t>
    </r>
  </si>
  <si>
    <t>家宅靠近政府机关、学校等官方机构；房产证照齐全。</t>
  </si>
  <si>
    <t>内心认同体制与规则，追求安稳、有保障的生活状态。</t>
  </si>
  <si>
    <t>父母有公职或官方身份；家庭背景正统，重视规矩。</t>
  </si>
  <si>
    <t>1. 增强官贵地位组合</t>
  </si>
  <si>
    <r>
      <t>天官+紫微</t>
    </r>
    <r>
      <rPr>
        <sz val="11"/>
        <color theme="1"/>
        <rFont val="等线"/>
        <family val="2"/>
        <charset val="134"/>
        <scheme val="minor"/>
      </rPr>
      <t>​</t>
    </r>
  </si>
  <si>
    <t>官高权重，在核心权力部门或大型机构担任重要领导职务。</t>
  </si>
  <si>
    <t>政府部长；央企董事长。</t>
  </si>
  <si>
    <r>
      <t>天官+太阳</t>
    </r>
    <r>
      <rPr>
        <sz val="11"/>
        <color theme="1"/>
        <rFont val="等线"/>
        <family val="2"/>
        <charset val="134"/>
        <scheme val="minor"/>
      </rPr>
      <t>​</t>
    </r>
  </si>
  <si>
    <t>官职公开、显赫，负责宣传、外交、司法等阳光下的公务。</t>
  </si>
  <si>
    <t>外交部发言人；法院院长；教育局局长。</t>
  </si>
  <si>
    <r>
      <t>天官+天梁</t>
    </r>
    <r>
      <rPr>
        <sz val="11"/>
        <color theme="1"/>
        <rFont val="等线"/>
        <family val="2"/>
        <charset val="134"/>
        <scheme val="minor"/>
      </rPr>
      <t>​</t>
    </r>
  </si>
  <si>
    <t>清贵之官，担任监察、审计、学术或司法领域的职务，有清望。</t>
  </si>
  <si>
    <t>纪检委干部；大学校长；法官。</t>
  </si>
  <si>
    <r>
      <t>天官+天府</t>
    </r>
    <r>
      <rPr>
        <sz val="11"/>
        <color theme="1"/>
        <rFont val="等线"/>
        <family val="2"/>
        <charset val="134"/>
        <scheme val="minor"/>
      </rPr>
      <t>​</t>
    </r>
  </si>
  <si>
    <t>财库之官，担任财政、金融、资源管理部门的职务，职位稳固。</t>
  </si>
  <si>
    <t>财政局局长；央行官员；国企总会计师。</t>
  </si>
  <si>
    <r>
      <t>天官+天相</t>
    </r>
    <r>
      <rPr>
        <sz val="11"/>
        <color theme="1"/>
        <rFont val="等线"/>
        <family val="2"/>
        <charset val="134"/>
        <scheme val="minor"/>
      </rPr>
      <t>​</t>
    </r>
  </si>
  <si>
    <t>佐贰之官，担任秘书长、助理、文书等辅佐型正式职位。</t>
  </si>
  <si>
    <t>政府办公厅主任；公司董事会秘书。</t>
  </si>
  <si>
    <t>2. 专业化与公职组合</t>
  </si>
  <si>
    <r>
      <t>天官+天机</t>
    </r>
    <r>
      <rPr>
        <sz val="11"/>
        <color theme="1"/>
        <rFont val="等线"/>
        <family val="2"/>
        <charset val="134"/>
        <scheme val="minor"/>
      </rPr>
      <t>​</t>
    </r>
  </si>
  <si>
    <t>谋士之官，担任策划、调研、信息技术等部门的公职。</t>
  </si>
  <si>
    <t>政策研究室研究员；统计局官员。</t>
  </si>
  <si>
    <r>
      <t>天官+武曲</t>
    </r>
    <r>
      <rPr>
        <sz val="11"/>
        <color theme="1"/>
        <rFont val="等线"/>
        <family val="2"/>
        <charset val="134"/>
        <scheme val="minor"/>
      </rPr>
      <t>​</t>
    </r>
  </si>
  <si>
    <t>武职、财经之官，在军队、警察、金融、税务系统任职。</t>
  </si>
  <si>
    <t>军官；税务局局长；证监会官员。</t>
  </si>
  <si>
    <r>
      <t>天官+廉贞</t>
    </r>
    <r>
      <rPr>
        <sz val="11"/>
        <color theme="1"/>
        <rFont val="等线"/>
        <family val="2"/>
        <charset val="134"/>
        <scheme val="minor"/>
      </rPr>
      <t>​</t>
    </r>
  </si>
  <si>
    <t>政务、司法之官，在政治、法律、纪律检查部门任职。</t>
  </si>
  <si>
    <t>政法委干部；检察官；政党官员。</t>
  </si>
  <si>
    <r>
      <t>天官+太阴</t>
    </r>
    <r>
      <rPr>
        <sz val="11"/>
        <color theme="1"/>
        <rFont val="等线"/>
        <family val="2"/>
        <charset val="134"/>
        <scheme val="minor"/>
      </rPr>
      <t>​</t>
    </r>
  </si>
  <si>
    <t>文职、内务之官，担任文化、教育、财政、内勤等职务。</t>
  </si>
  <si>
    <t>文化局局长；学校校长；国库官员。</t>
  </si>
  <si>
    <r>
      <t>天官+天同</t>
    </r>
    <r>
      <rPr>
        <sz val="11"/>
        <color theme="1"/>
        <rFont val="等线"/>
        <family val="2"/>
        <charset val="134"/>
        <scheme val="minor"/>
      </rPr>
      <t>​</t>
    </r>
  </si>
  <si>
    <t>福气之官，职位清闲、福利好，如工会、文史馆等闲职。</t>
  </si>
  <si>
    <t>政协文史委员；机关工会主席。</t>
  </si>
  <si>
    <r>
      <t>天官+天福</t>
    </r>
    <r>
      <rPr>
        <sz val="11"/>
        <color theme="1"/>
        <rFont val="等线"/>
        <family val="2"/>
        <charset val="134"/>
        <scheme val="minor"/>
      </rPr>
      <t>​</t>
    </r>
  </si>
  <si>
    <r>
      <t>对星，力量倍增</t>
    </r>
    <r>
      <rPr>
        <sz val="11"/>
        <color theme="1"/>
        <rFont val="等线"/>
        <family val="2"/>
        <charset val="134"/>
        <scheme val="minor"/>
      </rPr>
      <t>。形成“官福双全”之象，既有官职又有福气，职位安稳且享受优厚待遇。</t>
    </r>
  </si>
  <si>
    <t>在福利待遇极好的政府部门担任领导。</t>
  </si>
  <si>
    <r>
      <t>天官+左辅/右弼</t>
    </r>
    <r>
      <rPr>
        <sz val="11"/>
        <color theme="1"/>
        <rFont val="等线"/>
        <family val="2"/>
        <charset val="134"/>
        <scheme val="minor"/>
      </rPr>
      <t>​</t>
    </r>
  </si>
  <si>
    <t>官职得众人辅佐，手下有得力团队，职位稳固，政令畅通。</t>
  </si>
  <si>
    <t>部门主管有精干的下属团队支持。</t>
  </si>
  <si>
    <r>
      <t>天官+文昌/文曲</t>
    </r>
    <r>
      <rPr>
        <sz val="11"/>
        <color theme="1"/>
        <rFont val="等线"/>
        <family val="2"/>
        <charset val="134"/>
        <scheme val="minor"/>
      </rPr>
      <t>​</t>
    </r>
  </si>
  <si>
    <r>
      <t>文贵之官</t>
    </r>
    <r>
      <rPr>
        <sz val="11"/>
        <color theme="1"/>
        <rFont val="等线"/>
        <family val="2"/>
        <charset val="134"/>
        <scheme val="minor"/>
      </rPr>
      <t>。通过考试、文书获得官职，担任文化、教育、宣传类公职。</t>
    </r>
  </si>
  <si>
    <t>通过国考进入部委；教育局官员。</t>
  </si>
  <si>
    <r>
      <t>天官+天魁/天钺</t>
    </r>
    <r>
      <rPr>
        <sz val="11"/>
        <color theme="1"/>
        <rFont val="等线"/>
        <family val="2"/>
        <charset val="134"/>
        <scheme val="minor"/>
      </rPr>
      <t>​</t>
    </r>
  </si>
  <si>
    <t>因贵人提携获得官职，或职位来自上级的直接任命。</t>
  </si>
  <si>
    <t>被领导赏识破格提拔为处长。</t>
  </si>
  <si>
    <r>
      <t>天官+禄存</t>
    </r>
    <r>
      <rPr>
        <sz val="11"/>
        <color theme="1"/>
        <rFont val="等线"/>
        <family val="2"/>
        <charset val="134"/>
        <scheme val="minor"/>
      </rPr>
      <t>​</t>
    </r>
  </si>
  <si>
    <t>官职带来稳定丰厚的俸禄，是“金饭碗”，职位与财富挂钩。</t>
  </si>
  <si>
    <t>高薪公务员；垄断国企高管。</t>
  </si>
  <si>
    <r>
      <t>天官+火星</t>
    </r>
    <r>
      <rPr>
        <sz val="11"/>
        <color theme="1"/>
        <rFont val="等线"/>
        <family val="2"/>
        <charset val="134"/>
        <scheme val="minor"/>
      </rPr>
      <t>​</t>
    </r>
  </si>
  <si>
    <t>官职得来突然，或因突发事件获得任命，职位变动快，易有冲突。</t>
  </si>
  <si>
    <t>因危机事件被火线提拔；官场上与人激烈竞争。</t>
  </si>
  <si>
    <r>
      <t>天官+铃星</t>
    </r>
    <r>
      <rPr>
        <sz val="11"/>
        <color theme="1"/>
        <rFont val="等线"/>
        <family val="2"/>
        <charset val="134"/>
        <scheme val="minor"/>
      </rPr>
      <t>​</t>
    </r>
  </si>
  <si>
    <t>获得官职的过程有计较、拖延或暗中操作，职位坐得不安稳。</t>
  </si>
  <si>
    <t>经过长期博弈才获得的职位；职位有潜在风险。</t>
  </si>
  <si>
    <r>
      <t>天官+擎羊</t>
    </r>
    <r>
      <rPr>
        <sz val="11"/>
        <color theme="1"/>
        <rFont val="等线"/>
        <family val="2"/>
        <charset val="134"/>
        <scheme val="minor"/>
      </rPr>
      <t>​</t>
    </r>
  </si>
  <si>
    <t>官职伴随竞争、压力获得，职位有挑战性，需用强硬手段管理。</t>
  </si>
  <si>
    <t>通过竞聘上岗的岗位；执法部门长官。</t>
  </si>
  <si>
    <r>
      <t>天官+陀罗</t>
    </r>
    <r>
      <rPr>
        <sz val="11"/>
        <color theme="1"/>
        <rFont val="等线"/>
        <family val="2"/>
        <charset val="134"/>
        <scheme val="minor"/>
      </rPr>
      <t>​</t>
    </r>
  </si>
  <si>
    <t>官职得来迟缓、反复，旧职位影响新职位，或职位晋升缓慢。</t>
  </si>
  <si>
    <t>多年才获得晋升；新职位被历史遗留问题困扰。</t>
  </si>
  <si>
    <r>
      <t>天官+地空/地劫</t>
    </r>
    <r>
      <rPr>
        <sz val="11"/>
        <color theme="1"/>
        <rFont val="等线"/>
        <family val="2"/>
        <charset val="134"/>
        <scheme val="minor"/>
      </rPr>
      <t>​</t>
    </r>
  </si>
  <si>
    <t>官职落空，有名无实，或被架空，或突然失去职位。</t>
  </si>
  <si>
    <t>被任命为闲职；机构改革中职位被裁撤。</t>
  </si>
  <si>
    <r>
      <t>1. “官”与“福”</t>
    </r>
    <r>
      <rPr>
        <sz val="11"/>
        <color theme="1"/>
        <rFont val="等线"/>
        <family val="2"/>
        <charset val="134"/>
        <scheme val="minor"/>
      </rPr>
      <t>：</t>
    </r>
    <r>
      <rPr>
        <b/>
        <sz val="11"/>
        <color theme="1"/>
        <rFont val="等线"/>
        <family val="3"/>
        <charset val="134"/>
        <scheme val="minor"/>
      </rPr>
      <t>天官星主“官职”</t>
    </r>
    <r>
      <rPr>
        <sz val="11"/>
        <color theme="1"/>
        <rFont val="等线"/>
        <family val="2"/>
        <charset val="134"/>
        <scheme val="minor"/>
      </rPr>
      <t>，象征</t>
    </r>
    <r>
      <rPr>
        <b/>
        <sz val="11"/>
        <color theme="1"/>
        <rFont val="等线"/>
        <family val="3"/>
        <charset val="134"/>
        <scheme val="minor"/>
      </rPr>
      <t>正式的职位与官方身份</t>
    </r>
    <r>
      <rPr>
        <sz val="11"/>
        <color theme="1"/>
        <rFont val="等线"/>
        <family val="2"/>
        <charset val="134"/>
        <scheme val="minor"/>
      </rPr>
      <t>；其对星</t>
    </r>
    <r>
      <rPr>
        <b/>
        <sz val="11"/>
        <color theme="1"/>
        <rFont val="等线"/>
        <family val="3"/>
        <charset val="134"/>
        <scheme val="minor"/>
      </rPr>
      <t>天福星主“福气”</t>
    </r>
    <r>
      <rPr>
        <sz val="11"/>
        <color theme="1"/>
        <rFont val="等线"/>
        <family val="2"/>
        <charset val="134"/>
        <scheme val="minor"/>
      </rPr>
      <t>，象征</t>
    </r>
    <r>
      <rPr>
        <b/>
        <sz val="11"/>
        <color theme="1"/>
        <rFont val="等线"/>
        <family val="3"/>
        <charset val="134"/>
        <scheme val="minor"/>
      </rPr>
      <t>享受与福报</t>
    </r>
    <r>
      <rPr>
        <sz val="11"/>
        <color theme="1"/>
        <rFont val="等线"/>
        <family val="2"/>
        <charset val="134"/>
        <scheme val="minor"/>
      </rPr>
      <t>。二者同会，则</t>
    </r>
    <r>
      <rPr>
        <b/>
        <sz val="11"/>
        <color theme="1"/>
        <rFont val="等线"/>
        <family val="3"/>
        <charset val="134"/>
        <scheme val="minor"/>
      </rPr>
      <t>既有官位又有福享</t>
    </r>
    <r>
      <rPr>
        <sz val="11"/>
        <color theme="1"/>
        <rFont val="等线"/>
        <family val="2"/>
        <charset val="134"/>
        <scheme val="minor"/>
      </rPr>
      <t>，是为“官福双全”。单见天官，可能仅有职位而少福享。</t>
    </r>
  </si>
  <si>
    <r>
      <t>2. 与“天贵”、“台辅”、“封诰”的区别</t>
    </r>
    <r>
      <rPr>
        <sz val="11"/>
        <color theme="1"/>
        <rFont val="等线"/>
        <family val="2"/>
        <charset val="134"/>
        <scheme val="minor"/>
      </rPr>
      <t>：</t>
    </r>
    <r>
      <rPr>
        <b/>
        <sz val="11"/>
        <color theme="1"/>
        <rFont val="等线"/>
        <family val="3"/>
        <charset val="134"/>
        <scheme val="minor"/>
      </rPr>
      <t>天官是“实职”</t>
    </r>
    <r>
      <rPr>
        <sz val="11"/>
        <color theme="1"/>
        <rFont val="等线"/>
        <family val="2"/>
        <charset val="134"/>
        <scheme val="minor"/>
      </rPr>
      <t>，核心是</t>
    </r>
    <r>
      <rPr>
        <b/>
        <sz val="11"/>
        <color theme="1"/>
        <rFont val="等线"/>
        <family val="3"/>
        <charset val="134"/>
        <scheme val="minor"/>
      </rPr>
      <t>正式的官方职位与权力</t>
    </r>
    <r>
      <rPr>
        <sz val="11"/>
        <color theme="1"/>
        <rFont val="等线"/>
        <family val="2"/>
        <charset val="134"/>
        <scheme val="minor"/>
      </rPr>
      <t>。</t>
    </r>
    <r>
      <rPr>
        <b/>
        <sz val="11"/>
        <color theme="1"/>
        <rFont val="等线"/>
        <family val="3"/>
        <charset val="134"/>
        <scheme val="minor"/>
      </rPr>
      <t>天贵是“贵气”与“受宠”</t>
    </r>
    <r>
      <rPr>
        <sz val="11"/>
        <color theme="1"/>
        <rFont val="等线"/>
        <family val="2"/>
        <charset val="134"/>
        <scheme val="minor"/>
      </rPr>
      <t>，核心是</t>
    </r>
    <r>
      <rPr>
        <b/>
        <sz val="11"/>
        <color theme="1"/>
        <rFont val="等线"/>
        <family val="3"/>
        <charset val="134"/>
        <scheme val="minor"/>
      </rPr>
      <t>受尊崇和得长辈上级喜爱</t>
    </r>
    <r>
      <rPr>
        <sz val="11"/>
        <color theme="1"/>
        <rFont val="等线"/>
        <family val="2"/>
        <charset val="134"/>
        <scheme val="minor"/>
      </rPr>
      <t>，不一定是官职。</t>
    </r>
    <r>
      <rPr>
        <b/>
        <sz val="11"/>
        <color theme="1"/>
        <rFont val="等线"/>
        <family val="3"/>
        <charset val="134"/>
        <scheme val="minor"/>
      </rPr>
      <t>台辅是“同辈辅佐”</t>
    </r>
    <r>
      <rPr>
        <sz val="11"/>
        <color theme="1"/>
        <rFont val="等线"/>
        <family val="2"/>
        <charset val="134"/>
        <scheme val="minor"/>
      </rPr>
      <t>，是</t>
    </r>
    <r>
      <rPr>
        <b/>
        <sz val="11"/>
        <color theme="1"/>
        <rFont val="等线"/>
        <family val="3"/>
        <charset val="134"/>
        <scheme val="minor"/>
      </rPr>
      <t>实际的帮助与支持</t>
    </r>
    <r>
      <rPr>
        <sz val="11"/>
        <color theme="1"/>
        <rFont val="等线"/>
        <family val="2"/>
        <charset val="134"/>
        <scheme val="minor"/>
      </rPr>
      <t>。</t>
    </r>
    <r>
      <rPr>
        <b/>
        <sz val="11"/>
        <color theme="1"/>
        <rFont val="等线"/>
        <family val="3"/>
        <charset val="134"/>
        <scheme val="minor"/>
      </rPr>
      <t>封诰是“名誉头衔”</t>
    </r>
    <r>
      <rPr>
        <sz val="11"/>
        <color theme="1"/>
        <rFont val="等线"/>
        <family val="2"/>
        <charset val="134"/>
        <scheme val="minor"/>
      </rPr>
      <t>，是</t>
    </r>
    <r>
      <rPr>
        <b/>
        <sz val="11"/>
        <color theme="1"/>
        <rFont val="等线"/>
        <family val="3"/>
        <charset val="134"/>
        <scheme val="minor"/>
      </rPr>
      <t>精神性的荣誉与称号</t>
    </r>
    <r>
      <rPr>
        <sz val="11"/>
        <color theme="1"/>
        <rFont val="等线"/>
        <family val="2"/>
        <charset val="134"/>
        <scheme val="minor"/>
      </rPr>
      <t>。天官是“坐在办公室里的处长”，天贵是“受领导宠爱的红人”，台辅是“帮你干活的同事”，封诰是“墙上挂的劳模奖状”。</t>
    </r>
  </si>
  <si>
    <r>
      <t>3. 宫位定领域</t>
    </r>
    <r>
      <rPr>
        <sz val="11"/>
        <color theme="1"/>
        <rFont val="等线"/>
        <family val="2"/>
        <charset val="134"/>
        <scheme val="minor"/>
      </rPr>
      <t>：天官星所在宫位，指示在人生的哪个领域最容易获得官方身份或正式职位，或个人在哪些方面注重规则与体制。</t>
    </r>
  </si>
  <si>
    <r>
      <t>4. 四化引动</t>
    </r>
    <r>
      <rPr>
        <sz val="11"/>
        <color theme="1"/>
        <rFont val="等线"/>
        <family val="2"/>
        <charset val="134"/>
        <scheme val="minor"/>
      </rPr>
      <t>：见</t>
    </r>
    <r>
      <rPr>
        <b/>
        <sz val="11"/>
        <color theme="1"/>
        <rFont val="等线"/>
        <family val="3"/>
        <charset val="134"/>
        <scheme val="minor"/>
      </rPr>
      <t>化禄</t>
    </r>
    <r>
      <rPr>
        <sz val="11"/>
        <color theme="1"/>
        <rFont val="等线"/>
        <family val="2"/>
        <charset val="134"/>
        <scheme val="minor"/>
      </rPr>
      <t>，官职能带来实际财富与利益，是“肥差”。见</t>
    </r>
    <r>
      <rPr>
        <b/>
        <sz val="11"/>
        <color theme="1"/>
        <rFont val="等线"/>
        <family val="3"/>
        <charset val="134"/>
        <scheme val="minor"/>
      </rPr>
      <t>化权</t>
    </r>
    <r>
      <rPr>
        <sz val="11"/>
        <color theme="1"/>
        <rFont val="等线"/>
        <family val="2"/>
        <charset val="134"/>
        <scheme val="minor"/>
      </rPr>
      <t>，对官职掌控力强，职位有实权，官威显赫。见</t>
    </r>
    <r>
      <rPr>
        <b/>
        <sz val="11"/>
        <color theme="1"/>
        <rFont val="等线"/>
        <family val="3"/>
        <charset val="134"/>
        <scheme val="minor"/>
      </rPr>
      <t>化科</t>
    </r>
    <r>
      <rPr>
        <sz val="11"/>
        <color theme="1"/>
        <rFont val="等线"/>
        <family val="2"/>
        <charset val="134"/>
        <scheme val="minor"/>
      </rPr>
      <t>，官职带来好名声，为官清正，受人爱戴。见</t>
    </r>
    <r>
      <rPr>
        <b/>
        <sz val="11"/>
        <color theme="1"/>
        <rFont val="等线"/>
        <family val="3"/>
        <charset val="134"/>
        <scheme val="minor"/>
      </rPr>
      <t>化忌</t>
    </r>
    <r>
      <rPr>
        <sz val="11"/>
        <color theme="1"/>
        <rFont val="等线"/>
        <family val="2"/>
        <charset val="134"/>
        <scheme val="minor"/>
      </rPr>
      <t>，</t>
    </r>
    <r>
      <rPr>
        <b/>
        <sz val="11"/>
        <color theme="1"/>
        <rFont val="等线"/>
        <family val="3"/>
        <charset val="134"/>
        <scheme val="minor"/>
      </rPr>
      <t>官职不稳</t>
    </r>
    <r>
      <rPr>
        <sz val="11"/>
        <color theme="1"/>
        <rFont val="等线"/>
        <family val="2"/>
        <charset val="134"/>
        <scheme val="minor"/>
      </rPr>
      <t>，官非缠身，失去职位，或为官职所累。</t>
    </r>
  </si>
  <si>
    <t>一、天福定义</t>
  </si>
  <si>
    <t>福气、享受、福报、安逸、好运</t>
  </si>
  <si>
    <t>象征天生的福气、享受生活的能力、安逸的状态以及来自先天的好运。其性质主吉，代表福报与顺遂。</t>
  </si>
  <si>
    <t>乙级星，属阳土。主吉，为福气、享受之星。喜与天官同会，力量增强。其福气多属先天带来，需与主星配合方能享福长久。</t>
  </si>
  <si>
    <r>
      <t>天生福气</t>
    </r>
    <r>
      <rPr>
        <sz val="11"/>
        <color theme="1"/>
        <rFont val="等线"/>
        <family val="2"/>
        <charset val="134"/>
        <scheme val="minor"/>
      </rPr>
      <t>​</t>
    </r>
  </si>
  <si>
    <t>与生俱来的福报，一生相对顺遂，少劳多获，易逢凶化吉。</t>
  </si>
  <si>
    <r>
      <t>享受生活</t>
    </r>
    <r>
      <rPr>
        <sz val="11"/>
        <color theme="1"/>
        <rFont val="等线"/>
        <family val="2"/>
        <charset val="134"/>
        <scheme val="minor"/>
      </rPr>
      <t>​</t>
    </r>
  </si>
  <si>
    <t>懂得并能够享受生活，追求安逸、舒适、有品味的生活方式。</t>
  </si>
  <si>
    <t>与天同、太阴等星同度时力量强。</t>
  </si>
  <si>
    <r>
      <t>安逸少灾</t>
    </r>
    <r>
      <rPr>
        <sz val="11"/>
        <color theme="1"/>
        <rFont val="等线"/>
        <family val="2"/>
        <charset val="134"/>
        <scheme val="minor"/>
      </rPr>
      <t>​</t>
    </r>
  </si>
  <si>
    <t>人生波折较少，生活平稳安逸，不易遭遇大灾大难。</t>
  </si>
  <si>
    <t>在疾厄宫、迁移宫时显著。</t>
  </si>
  <si>
    <r>
      <t>好运常伴</t>
    </r>
    <r>
      <rPr>
        <sz val="11"/>
        <color theme="1"/>
        <rFont val="等线"/>
        <family val="2"/>
        <charset val="134"/>
        <scheme val="minor"/>
      </rPr>
      <t>​</t>
    </r>
  </si>
  <si>
    <t>常有意外之喜、小幸运，关键时刻易得他人帮助或出现转机。</t>
  </si>
  <si>
    <r>
      <t>心态乐观</t>
    </r>
    <r>
      <rPr>
        <sz val="11"/>
        <color theme="1"/>
        <rFont val="等线"/>
        <family val="2"/>
        <charset val="134"/>
        <scheme val="minor"/>
      </rPr>
      <t>​</t>
    </r>
  </si>
  <si>
    <t>天性乐观，知足常乐，烦恼少，内心满足感强。</t>
  </si>
  <si>
    <t>天生有福，一生安逸，心态乐观，常得贵人相助，逢凶化吉。</t>
  </si>
  <si>
    <t>兄弟姐妹有福或能享福；在团队中处境安逸，受照顾。</t>
  </si>
  <si>
    <t>配偶有福气，能享受婚姻生活；婚姻关系和谐安逸。</t>
  </si>
  <si>
    <t>子女有福，少让父母操心；在合作、投资中易获意外之利。</t>
  </si>
  <si>
    <t>钱财来得轻松，易有意外之财，不愁吃穿，消费注重享受。</t>
  </si>
  <si>
    <t>身体健康，少病少灾，即使生病也易遇良医，康复快。</t>
  </si>
  <si>
    <t>在外顺利，出行平安，易遇好事，环境舒适。</t>
  </si>
  <si>
    <t>朋友、同事多是有福之人，相处轻松愉快，能从朋友处得好处。</t>
  </si>
  <si>
    <t>工作轻松、安逸，压力小，或从事休闲、享受相关的行业。</t>
  </si>
  <si>
    <t>家庭和睦，家宅舒适，居住环境好，能享家庭之福。</t>
  </si>
  <si>
    <r>
      <t>核心宫位</t>
    </r>
    <r>
      <rPr>
        <sz val="11"/>
        <color theme="1"/>
        <rFont val="等线"/>
        <family val="2"/>
        <charset val="134"/>
        <scheme val="minor"/>
      </rPr>
      <t>。内心满足，精神世界富足，懂得享受生活，福泽深厚。</t>
    </r>
  </si>
  <si>
    <t>父母有福，家境不错，得父母福荫，童年生活安逸。</t>
  </si>
  <si>
    <t>1. 增强福气享受组合</t>
  </si>
  <si>
    <r>
      <t>天福+紫微</t>
    </r>
    <r>
      <rPr>
        <sz val="11"/>
        <color theme="1"/>
        <rFont val="等线"/>
        <family val="2"/>
        <charset val="134"/>
        <scheme val="minor"/>
      </rPr>
      <t>​</t>
    </r>
  </si>
  <si>
    <t>有帝王之福，生活尊贵奢华，受人服侍，一生大方向顺遂。</t>
  </si>
  <si>
    <t>世家子弟，一生无忧；大型企业高管，享受顶级待遇。</t>
  </si>
  <si>
    <r>
      <t>天福+太阳</t>
    </r>
    <r>
      <rPr>
        <sz val="11"/>
        <color theme="1"/>
        <rFont val="等线"/>
        <family val="2"/>
        <charset val="134"/>
        <scheme val="minor"/>
      </rPr>
      <t>​</t>
    </r>
  </si>
  <si>
    <t>福气光明正大，乐于分享，享受受人瞩目的生活，社交运佳。</t>
  </si>
  <si>
    <t>社交名流；公益慈善家，在奉献中享受快乐。</t>
  </si>
  <si>
    <r>
      <t>天福+天同</t>
    </r>
    <r>
      <rPr>
        <sz val="11"/>
        <color theme="1"/>
        <rFont val="等线"/>
        <family val="2"/>
        <charset val="134"/>
        <scheme val="minor"/>
      </rPr>
      <t>​</t>
    </r>
  </si>
  <si>
    <r>
      <t>核心组合</t>
    </r>
    <r>
      <rPr>
        <sz val="11"/>
        <color theme="1"/>
        <rFont val="等线"/>
        <family val="2"/>
        <charset val="134"/>
        <scheme val="minor"/>
      </rPr>
      <t>。福寿双全，极度懂得享受生活，心态豁达，一生安逸少忧。</t>
    </r>
  </si>
  <si>
    <t>退休的富家翁；从事休闲娱乐行业的成功者。</t>
  </si>
  <si>
    <r>
      <t>天福+天府</t>
    </r>
    <r>
      <rPr>
        <sz val="11"/>
        <color theme="1"/>
        <rFont val="等线"/>
        <family val="2"/>
        <charset val="134"/>
        <scheme val="minor"/>
      </rPr>
      <t>​</t>
    </r>
  </si>
  <si>
    <t>库藏丰足之福，享受稳定富足的生活，注重物质积累与品质。</t>
  </si>
  <si>
    <t>收藏家；拥有多处房产的收租者。</t>
  </si>
  <si>
    <r>
      <t>天福+天相</t>
    </r>
    <r>
      <rPr>
        <sz val="11"/>
        <color theme="1"/>
        <rFont val="等线"/>
        <family val="2"/>
        <charset val="134"/>
        <scheme val="minor"/>
      </rPr>
      <t>​</t>
    </r>
  </si>
  <si>
    <t>福气体面有格调，享受和谐、有秩序、有品味的生活方式。</t>
  </si>
  <si>
    <t>生活美学家；在稳定机构中担任清闲要职。</t>
  </si>
  <si>
    <t>2. 专业化与福气组合</t>
  </si>
  <si>
    <r>
      <t>天福+天机</t>
    </r>
    <r>
      <rPr>
        <sz val="11"/>
        <color theme="1"/>
        <rFont val="等线"/>
        <family val="2"/>
        <charset val="134"/>
        <scheme val="minor"/>
      </rPr>
      <t>​</t>
    </r>
  </si>
  <si>
    <t>福气体现在心智的安逸与灵活，享受思考、学习、旅行的乐趣。</t>
  </si>
  <si>
    <t>周游世界的学者；以创意为生的自由职业者。</t>
  </si>
  <si>
    <r>
      <t>天福+武曲</t>
    </r>
    <r>
      <rPr>
        <sz val="11"/>
        <color theme="1"/>
        <rFont val="等线"/>
        <family val="2"/>
        <charset val="134"/>
        <scheme val="minor"/>
      </rPr>
      <t>​</t>
    </r>
  </si>
  <si>
    <t>通过努力赚钱来享受，福气体现在财务自由后的物质享受。</t>
  </si>
  <si>
    <t>退休的金融家；享受高品质生活的技术专家。</t>
  </si>
  <si>
    <r>
      <t>天福+廉贞</t>
    </r>
    <r>
      <rPr>
        <sz val="11"/>
        <color theme="1"/>
        <rFont val="等线"/>
        <family val="2"/>
        <charset val="134"/>
        <scheme val="minor"/>
      </rPr>
      <t>​</t>
    </r>
  </si>
  <si>
    <t>在复杂人际或艺术创作中找到享受，福气带有些许放纵与激情。</t>
  </si>
  <si>
    <t>享受掌声的艺术家；在权力游戏中游刃有余的政客。</t>
  </si>
  <si>
    <r>
      <t>天福+太阴</t>
    </r>
    <r>
      <rPr>
        <sz val="11"/>
        <color theme="1"/>
        <rFont val="等线"/>
        <family val="2"/>
        <charset val="134"/>
        <scheme val="minor"/>
      </rPr>
      <t>​</t>
    </r>
  </si>
  <si>
    <t>福气体现在内心的宁静与物质的丰盈，享受家庭、艺术与财富。</t>
  </si>
  <si>
    <t>隐居的富豪；享受创作过程的作家或画家。</t>
  </si>
  <si>
    <r>
      <t>天福+天梁</t>
    </r>
    <r>
      <rPr>
        <sz val="11"/>
        <color theme="1"/>
        <rFont val="等线"/>
        <family val="2"/>
        <charset val="134"/>
        <scheme val="minor"/>
      </rPr>
      <t>​</t>
    </r>
  </si>
  <si>
    <t>清福，享受精神世界的充实与助人之乐，福气体现在健康与长寿。</t>
  </si>
  <si>
    <t>修行者；享受退休生活的老中医。</t>
  </si>
  <si>
    <r>
      <t>天福+天官</t>
    </r>
    <r>
      <rPr>
        <sz val="11"/>
        <color theme="1"/>
        <rFont val="等线"/>
        <family val="2"/>
        <charset val="134"/>
        <scheme val="minor"/>
      </rPr>
      <t>​</t>
    </r>
  </si>
  <si>
    <r>
      <t>对星，力量倍增</t>
    </r>
    <r>
      <rPr>
        <sz val="11"/>
        <color theme="1"/>
        <rFont val="等线"/>
        <family val="2"/>
        <charset val="134"/>
        <scheme val="minor"/>
      </rPr>
      <t>。形成“官福双全”之象，既有官职地位，又有福气享受，人生圆满。</t>
    </r>
  </si>
  <si>
    <t>位高权重且退休生活极其优渥的官员。</t>
  </si>
  <si>
    <r>
      <t>天福+文昌/文曲</t>
    </r>
    <r>
      <rPr>
        <sz val="11"/>
        <color theme="1"/>
        <rFont val="等线"/>
        <family val="2"/>
        <charset val="134"/>
        <scheme val="minor"/>
      </rPr>
      <t>​</t>
    </r>
  </si>
  <si>
    <r>
      <t>文福组合</t>
    </r>
    <r>
      <rPr>
        <sz val="11"/>
        <color theme="1"/>
        <rFont val="等线"/>
        <family val="2"/>
        <charset val="134"/>
        <scheme val="minor"/>
      </rPr>
      <t>。享受文化与艺术带来的乐趣，福气体现在精神生活的丰盛。</t>
    </r>
  </si>
  <si>
    <t>享受读书、创作生活的文人；艺术鉴赏家。</t>
  </si>
  <si>
    <r>
      <t>天福+左辅/右弼</t>
    </r>
    <r>
      <rPr>
        <sz val="11"/>
        <color theme="1"/>
        <rFont val="等线"/>
        <family val="2"/>
        <charset val="134"/>
        <scheme val="minor"/>
      </rPr>
      <t>​</t>
    </r>
  </si>
  <si>
    <t>福气有众人分享与拱卫，生活安逸且得人照顾，享清福。</t>
  </si>
  <si>
    <t>儿孙绕膝、安享晚年的长辈；有助理处理琐事的老板。</t>
  </si>
  <si>
    <r>
      <t>天福+天魁/天钺</t>
    </r>
    <r>
      <rPr>
        <sz val="11"/>
        <color theme="1"/>
        <rFont val="等线"/>
        <family val="2"/>
        <charset val="134"/>
        <scheme val="minor"/>
      </rPr>
      <t>​</t>
    </r>
  </si>
  <si>
    <t>福气常伴贵人，遇事总有人帮忙，化险为夷，坐享其成。</t>
  </si>
  <si>
    <t>关键时刻总有朋友伸出援手的幸运儿。</t>
  </si>
  <si>
    <r>
      <t>天福+禄存</t>
    </r>
    <r>
      <rPr>
        <sz val="11"/>
        <color theme="1"/>
        <rFont val="等线"/>
        <family val="2"/>
        <charset val="134"/>
        <scheme val="minor"/>
      </rPr>
      <t>​</t>
    </r>
  </si>
  <si>
    <r>
      <t>福禄双全</t>
    </r>
    <r>
      <rPr>
        <sz val="11"/>
        <color theme="1"/>
        <rFont val="等线"/>
        <family val="2"/>
        <charset val="134"/>
        <scheme val="minor"/>
      </rPr>
      <t>。福气直接转化为财富，不劳而获，或轻松得财。</t>
    </r>
  </si>
  <si>
    <t>继承遗产者；中彩票者。</t>
  </si>
  <si>
    <r>
      <t>天福+火星</t>
    </r>
    <r>
      <rPr>
        <sz val="11"/>
        <color theme="1"/>
        <rFont val="等线"/>
        <family val="2"/>
        <charset val="134"/>
        <scheme val="minor"/>
      </rPr>
      <t>​</t>
    </r>
  </si>
  <si>
    <t>福气来得突然、热烈，但可能去得也快，享受带有冲动性。</t>
  </si>
  <si>
    <t>突然获得一笔横财并迅速挥霍；一场说走就走的奢华旅行。</t>
  </si>
  <si>
    <r>
      <t>天福+铃星</t>
    </r>
    <r>
      <rPr>
        <sz val="11"/>
        <color theme="1"/>
        <rFont val="等线"/>
        <family val="2"/>
        <charset val="134"/>
        <scheme val="minor"/>
      </rPr>
      <t>​</t>
    </r>
  </si>
  <si>
    <t>福气在计较、酝酿后获得，享受带有计划性，或暗中有福。</t>
  </si>
  <si>
    <t>经过精心规划获得的完美假期；私下享受不为人知的爱好。</t>
  </si>
  <si>
    <r>
      <t>天福+擎羊</t>
    </r>
    <r>
      <rPr>
        <sz val="11"/>
        <color theme="1"/>
        <rFont val="等线"/>
        <family val="2"/>
        <charset val="134"/>
        <scheme val="minor"/>
      </rPr>
      <t>​</t>
    </r>
  </si>
  <si>
    <t>福气伴随竞争或短暂压力而来，享受的过程可能有些波折。</t>
  </si>
  <si>
    <t>通过激烈竞争赢得的奖励之旅；先苦后甜的享受。</t>
  </si>
  <si>
    <r>
      <t>天福+陀罗</t>
    </r>
    <r>
      <rPr>
        <sz val="11"/>
        <color theme="1"/>
        <rFont val="等线"/>
        <family val="2"/>
        <charset val="134"/>
        <scheme val="minor"/>
      </rPr>
      <t>​</t>
    </r>
  </si>
  <si>
    <t>福气来得迟缓、反复，旧福延续，享受慢生活或怀旧。</t>
  </si>
  <si>
    <t>延迟满足后的大享受；一直保持的古老生活习惯。</t>
  </si>
  <si>
    <r>
      <t>天福+地空/地劫</t>
    </r>
    <r>
      <rPr>
        <sz val="11"/>
        <color theme="1"/>
        <rFont val="等线"/>
        <family val="2"/>
        <charset val="134"/>
        <scheme val="minor"/>
      </rPr>
      <t>​</t>
    </r>
  </si>
  <si>
    <t>福气落空，享受不持久或难以实现，精神享受高于物质。</t>
  </si>
  <si>
    <t>理想中的退休生活未能实现；崇尚极简主义的修行者。</t>
  </si>
  <si>
    <r>
      <t>1. “福”与“官”</t>
    </r>
    <r>
      <rPr>
        <sz val="11"/>
        <color theme="1"/>
        <rFont val="等线"/>
        <family val="2"/>
        <charset val="134"/>
        <scheme val="minor"/>
      </rPr>
      <t>：</t>
    </r>
    <r>
      <rPr>
        <b/>
        <sz val="11"/>
        <color theme="1"/>
        <rFont val="等线"/>
        <family val="3"/>
        <charset val="134"/>
        <scheme val="minor"/>
      </rPr>
      <t>天福星主“福气享受”</t>
    </r>
    <r>
      <rPr>
        <sz val="11"/>
        <color theme="1"/>
        <rFont val="等线"/>
        <family val="2"/>
        <charset val="134"/>
        <scheme val="minor"/>
      </rPr>
      <t>，是</t>
    </r>
    <r>
      <rPr>
        <b/>
        <sz val="11"/>
        <color theme="1"/>
        <rFont val="等线"/>
        <family val="3"/>
        <charset val="134"/>
        <scheme val="minor"/>
      </rPr>
      <t>福报与安逸的体现</t>
    </r>
    <r>
      <rPr>
        <sz val="11"/>
        <color theme="1"/>
        <rFont val="等线"/>
        <family val="2"/>
        <charset val="134"/>
        <scheme val="minor"/>
      </rPr>
      <t>；其对星</t>
    </r>
    <r>
      <rPr>
        <b/>
        <sz val="11"/>
        <color theme="1"/>
        <rFont val="等线"/>
        <family val="3"/>
        <charset val="134"/>
        <scheme val="minor"/>
      </rPr>
      <t>天官星主“官职地位”</t>
    </r>
    <r>
      <rPr>
        <sz val="11"/>
        <color theme="1"/>
        <rFont val="等线"/>
        <family val="2"/>
        <charset val="134"/>
        <scheme val="minor"/>
      </rPr>
      <t>，是</t>
    </r>
    <r>
      <rPr>
        <b/>
        <sz val="11"/>
        <color theme="1"/>
        <rFont val="等线"/>
        <family val="3"/>
        <charset val="134"/>
        <scheme val="minor"/>
      </rPr>
      <t>权力与责任的体现</t>
    </r>
    <r>
      <rPr>
        <sz val="11"/>
        <color theme="1"/>
        <rFont val="等线"/>
        <family val="2"/>
        <charset val="134"/>
        <scheme val="minor"/>
      </rPr>
      <t>。二者同会，则</t>
    </r>
    <r>
      <rPr>
        <b/>
        <sz val="11"/>
        <color theme="1"/>
        <rFont val="等线"/>
        <family val="3"/>
        <charset val="134"/>
        <scheme val="minor"/>
      </rPr>
      <t>既有地位可享福，又有福气支撑官运</t>
    </r>
    <r>
      <rPr>
        <sz val="11"/>
        <color theme="1"/>
        <rFont val="等线"/>
        <family val="2"/>
        <charset val="134"/>
        <scheme val="minor"/>
      </rPr>
      <t>，是为“官福双全”。单见天福，可能仅享清福而无实权。</t>
    </r>
  </si>
  <si>
    <r>
      <t>2. 与“天同”、“天寿”的区别</t>
    </r>
    <r>
      <rPr>
        <sz val="11"/>
        <color theme="1"/>
        <rFont val="等线"/>
        <family val="2"/>
        <charset val="134"/>
        <scheme val="minor"/>
      </rPr>
      <t>：</t>
    </r>
    <r>
      <rPr>
        <b/>
        <sz val="11"/>
        <color theme="1"/>
        <rFont val="等线"/>
        <family val="3"/>
        <charset val="134"/>
        <scheme val="minor"/>
      </rPr>
      <t>天同是“福星”</t>
    </r>
    <r>
      <rPr>
        <sz val="11"/>
        <color theme="1"/>
        <rFont val="等线"/>
        <family val="2"/>
        <charset val="134"/>
        <scheme val="minor"/>
      </rPr>
      <t>，主</t>
    </r>
    <r>
      <rPr>
        <b/>
        <sz val="11"/>
        <color theme="1"/>
        <rFont val="等线"/>
        <family val="3"/>
        <charset val="134"/>
        <scheme val="minor"/>
      </rPr>
      <t>天生的乐观性格与福分</t>
    </r>
    <r>
      <rPr>
        <sz val="11"/>
        <color theme="1"/>
        <rFont val="等线"/>
        <family val="2"/>
        <charset val="134"/>
        <scheme val="minor"/>
      </rPr>
      <t>，更偏向精神与性格。</t>
    </r>
    <r>
      <rPr>
        <b/>
        <sz val="11"/>
        <color theme="1"/>
        <rFont val="等线"/>
        <family val="3"/>
        <charset val="134"/>
        <scheme val="minor"/>
      </rPr>
      <t>天福是“福气星”</t>
    </r>
    <r>
      <rPr>
        <sz val="11"/>
        <color theme="1"/>
        <rFont val="等线"/>
        <family val="2"/>
        <charset val="134"/>
        <scheme val="minor"/>
      </rPr>
      <t>，主</t>
    </r>
    <r>
      <rPr>
        <b/>
        <sz val="11"/>
        <color theme="1"/>
        <rFont val="等线"/>
        <family val="3"/>
        <charset val="134"/>
        <scheme val="minor"/>
      </rPr>
      <t>具体的福报、享受与好运事件</t>
    </r>
    <r>
      <rPr>
        <sz val="11"/>
        <color theme="1"/>
        <rFont val="等线"/>
        <family val="2"/>
        <charset val="134"/>
        <scheme val="minor"/>
      </rPr>
      <t>。</t>
    </r>
    <r>
      <rPr>
        <b/>
        <sz val="11"/>
        <color theme="1"/>
        <rFont val="等线"/>
        <family val="3"/>
        <charset val="134"/>
        <scheme val="minor"/>
      </rPr>
      <t>天寿是“寿命星”</t>
    </r>
    <r>
      <rPr>
        <sz val="11"/>
        <color theme="1"/>
        <rFont val="等线"/>
        <family val="2"/>
        <charset val="134"/>
        <scheme val="minor"/>
      </rPr>
      <t>，主</t>
    </r>
    <r>
      <rPr>
        <b/>
        <sz val="11"/>
        <color theme="1"/>
        <rFont val="等线"/>
        <family val="3"/>
        <charset val="134"/>
        <scheme val="minor"/>
      </rPr>
      <t>生命的长度与健康</t>
    </r>
    <r>
      <rPr>
        <sz val="11"/>
        <color theme="1"/>
        <rFont val="等线"/>
        <family val="2"/>
        <charset val="134"/>
        <scheme val="minor"/>
      </rPr>
      <t>。天同是“乐天派”，天福是“幸运儿”，天寿是“长寿者”。三者同会，则为“福寿双全”的极致。</t>
    </r>
  </si>
  <si>
    <r>
      <t>3. 宫位定领域</t>
    </r>
    <r>
      <rPr>
        <sz val="11"/>
        <color theme="1"/>
        <rFont val="等线"/>
        <family val="2"/>
        <charset val="134"/>
        <scheme val="minor"/>
      </rPr>
      <t>：天福星所在宫位，指示在人生的哪个领域最有福气、最懂得享受、最易获得好运。</t>
    </r>
  </si>
  <si>
    <r>
      <t>4. 四化引动</t>
    </r>
    <r>
      <rPr>
        <sz val="11"/>
        <color theme="1"/>
        <rFont val="等线"/>
        <family val="2"/>
        <charset val="134"/>
        <scheme val="minor"/>
      </rPr>
      <t>：见</t>
    </r>
    <r>
      <rPr>
        <b/>
        <sz val="11"/>
        <color theme="1"/>
        <rFont val="等线"/>
        <family val="3"/>
        <charset val="134"/>
        <scheme val="minor"/>
      </rPr>
      <t>化禄</t>
    </r>
    <r>
      <rPr>
        <sz val="11"/>
        <color theme="1"/>
        <rFont val="等线"/>
        <family val="2"/>
        <charset val="134"/>
        <scheme val="minor"/>
      </rPr>
      <t>，福气直接带来财富，享受物质生活，福泽深厚。见</t>
    </r>
    <r>
      <rPr>
        <b/>
        <sz val="11"/>
        <color theme="1"/>
        <rFont val="等线"/>
        <family val="3"/>
        <charset val="134"/>
        <scheme val="minor"/>
      </rPr>
      <t>化权</t>
    </r>
    <r>
      <rPr>
        <sz val="11"/>
        <color theme="1"/>
        <rFont val="等线"/>
        <family val="2"/>
        <charset val="134"/>
        <scheme val="minor"/>
      </rPr>
      <t>，能主动掌控和安排自己的享受，福气转化为支配力。见</t>
    </r>
    <r>
      <rPr>
        <b/>
        <sz val="11"/>
        <color theme="1"/>
        <rFont val="等线"/>
        <family val="3"/>
        <charset val="134"/>
        <scheme val="minor"/>
      </rPr>
      <t>化科</t>
    </r>
    <r>
      <rPr>
        <sz val="11"/>
        <color theme="1"/>
        <rFont val="等线"/>
        <family val="2"/>
        <charset val="134"/>
        <scheme val="minor"/>
      </rPr>
      <t>，福气体面，享受有格调，因福气得好名声。见</t>
    </r>
    <r>
      <rPr>
        <b/>
        <sz val="11"/>
        <color theme="1"/>
        <rFont val="等线"/>
        <family val="3"/>
        <charset val="134"/>
        <scheme val="minor"/>
      </rPr>
      <t>化忌</t>
    </r>
    <r>
      <rPr>
        <sz val="11"/>
        <color theme="1"/>
        <rFont val="等线"/>
        <family val="2"/>
        <charset val="134"/>
        <scheme val="minor"/>
      </rPr>
      <t>，</t>
    </r>
    <r>
      <rPr>
        <b/>
        <sz val="11"/>
        <color theme="1"/>
        <rFont val="等线"/>
        <family val="3"/>
        <charset val="134"/>
        <scheme val="minor"/>
      </rPr>
      <t>福气受损</t>
    </r>
    <r>
      <rPr>
        <sz val="11"/>
        <color theme="1"/>
        <rFont val="等线"/>
        <family val="2"/>
        <charset val="134"/>
        <scheme val="minor"/>
      </rPr>
      <t>，乐极生悲，享受成为负担，或难以享福。</t>
    </r>
  </si>
  <si>
    <t>一、龙池定义</t>
  </si>
  <si>
    <t>才华、技艺、清贵、科甲、艺术</t>
  </si>
  <si>
    <t>象征高雅的艺术才华、特殊的专业技能、清贵的品格气质以及在科考、学术方面的天赋。其性质主吉，代表才艺与清贵之气。</t>
  </si>
  <si>
    <t>乙级星，属阳水。主吉，为才华、技艺、清贵之星。喜与凤阁同会，力量增强。其才华需遇吉星方能显贵，遇煞则才华难伸。</t>
  </si>
  <si>
    <t>拥有音乐、绘画、书法、舞蹈等艺术方面的天赋与造诣。</t>
  </si>
  <si>
    <r>
      <t>专业技能</t>
    </r>
    <r>
      <rPr>
        <sz val="11"/>
        <color theme="1"/>
        <rFont val="等线"/>
        <family val="2"/>
        <charset val="134"/>
        <scheme val="minor"/>
      </rPr>
      <t>​</t>
    </r>
  </si>
  <si>
    <t>在特定技术、工艺、学术领域有深厚的专业能力。</t>
  </si>
  <si>
    <t>与武曲、天机等星同度时力量强。</t>
  </si>
  <si>
    <r>
      <t>清贵气质</t>
    </r>
    <r>
      <rPr>
        <sz val="11"/>
        <color theme="1"/>
        <rFont val="等线"/>
        <family val="2"/>
        <charset val="134"/>
        <scheme val="minor"/>
      </rPr>
      <t>​</t>
    </r>
  </si>
  <si>
    <t>为人清高、雅致，有品味，不落俗套，有文人雅士之风。</t>
  </si>
  <si>
    <t>与天梁、太阴同度时显著。</t>
  </si>
  <si>
    <r>
      <t>科甲功名</t>
    </r>
    <r>
      <rPr>
        <sz val="11"/>
        <color theme="1"/>
        <rFont val="等线"/>
        <family val="2"/>
        <charset val="134"/>
        <scheme val="minor"/>
      </rPr>
      <t>​</t>
    </r>
  </si>
  <si>
    <t>利于考试、竞赛、学术研究，易在正规考核中脱颖而出。</t>
  </si>
  <si>
    <t>在父母宫（学业宫）、官禄宫时体现。</t>
  </si>
  <si>
    <r>
      <t>优雅品味</t>
    </r>
    <r>
      <rPr>
        <sz val="11"/>
        <color theme="1"/>
        <rFont val="等线"/>
        <family val="2"/>
        <charset val="134"/>
        <scheme val="minor"/>
      </rPr>
      <t>​</t>
    </r>
  </si>
  <si>
    <t>对生活品质、美学有较高要求，注重细节与格调。</t>
  </si>
  <si>
    <t>与天府、天相同会时显现。</t>
  </si>
  <si>
    <t>天生有艺术气质或特殊才华，为人清雅，品味不俗。</t>
  </si>
  <si>
    <t>兄弟姐妹有才华；在团队中与有才艺之人共事。</t>
  </si>
  <si>
    <t>配偶有才华或艺术气质，婚姻生活注重精神交流与情趣。</t>
  </si>
  <si>
    <t>子女聪明有艺术天赋；合作项目具有创意与技术含量。</t>
  </si>
  <si>
    <t>以才华、技艺赚钱，适合从事专业性强、有技术门槛的行业。</t>
  </si>
  <si>
    <t>气质清雅，但易有因思虑、用脑过度导致的神经衰弱。</t>
  </si>
  <si>
    <t>在外能展现才华，获得赏识；出行遇高雅场所或人士。</t>
  </si>
  <si>
    <t>朋友、同事多才多艺或有专业技能；社交圈有品味。</t>
  </si>
  <si>
    <r>
      <t>核心宫位</t>
    </r>
    <r>
      <rPr>
        <sz val="11"/>
        <color theme="1"/>
        <rFont val="等线"/>
        <family val="2"/>
        <charset val="134"/>
        <scheme val="minor"/>
      </rPr>
      <t>。事业上依靠专业技艺或艺术才能，适合技术、艺术、学术类工作。</t>
    </r>
  </si>
  <si>
    <t>家宅布置雅致，可能有艺术品收藏；家庭氛围有文化气息。</t>
  </si>
  <si>
    <t>精神世界丰富，追求高雅的艺术与精神享受。</t>
  </si>
  <si>
    <t>父母有才华或重视教育；遗传到良好的艺术或学术天赋。</t>
  </si>
  <si>
    <t>1. 增强才华清贵组合</t>
  </si>
  <si>
    <r>
      <t>龙池+紫微</t>
    </r>
    <r>
      <rPr>
        <sz val="11"/>
        <color theme="1"/>
        <rFont val="等线"/>
        <family val="2"/>
        <charset val="134"/>
        <scheme val="minor"/>
      </rPr>
      <t>​</t>
    </r>
  </si>
  <si>
    <t>帝王之侧的才华，技艺达到权威水平，或在大型机构担任技术权威。</t>
  </si>
  <si>
    <t>宫廷乐师；国家级工艺美术大师；央企总工程师。</t>
  </si>
  <si>
    <r>
      <t>龙池+太阳</t>
    </r>
    <r>
      <rPr>
        <sz val="11"/>
        <color theme="1"/>
        <rFont val="等线"/>
        <family val="2"/>
        <charset val="134"/>
        <scheme val="minor"/>
      </rPr>
      <t>​</t>
    </r>
  </si>
  <si>
    <t>才华显耀，公开表演或展示，在公众领域获得声誉，如舞台艺术家。</t>
  </si>
  <si>
    <t>著名钢琴家；电视节目主持人；公开课名师。</t>
  </si>
  <si>
    <r>
      <t>龙池+天梁</t>
    </r>
    <r>
      <rPr>
        <sz val="11"/>
        <color theme="1"/>
        <rFont val="等线"/>
        <family val="2"/>
        <charset val="134"/>
        <scheme val="minor"/>
      </rPr>
      <t>​</t>
    </r>
  </si>
  <si>
    <t>清流之才，才华用于学术、医学、法律等清高领域，品格受尊崇。</t>
  </si>
  <si>
    <t>大学教授；老中医；法官。</t>
  </si>
  <si>
    <r>
      <t>龙池+天府</t>
    </r>
    <r>
      <rPr>
        <sz val="11"/>
        <color theme="1"/>
        <rFont val="等线"/>
        <family val="2"/>
        <charset val="134"/>
        <scheme val="minor"/>
      </rPr>
      <t>​</t>
    </r>
  </si>
  <si>
    <t>才华稳重且能积累，技艺精湛并能转化为实际价值与收藏。</t>
  </si>
  <si>
    <t>古董鉴定家；博物馆修复专家；资深架构师。</t>
  </si>
  <si>
    <r>
      <t>龙池+天相</t>
    </r>
    <r>
      <rPr>
        <sz val="11"/>
        <color theme="1"/>
        <rFont val="等线"/>
        <family val="2"/>
        <charset val="134"/>
        <scheme val="minor"/>
      </rPr>
      <t>​</t>
    </r>
  </si>
  <si>
    <t>才华得体、规范，适合设计、策划、文书等需要章法与品味的领域。</t>
  </si>
  <si>
    <t>服装设计师；礼仪导师；标准化制定专家。</t>
  </si>
  <si>
    <t>2. 专业化与技艺组合</t>
  </si>
  <si>
    <r>
      <t>龙池+天机</t>
    </r>
    <r>
      <rPr>
        <sz val="11"/>
        <color theme="1"/>
        <rFont val="等线"/>
        <family val="2"/>
        <charset val="134"/>
        <scheme val="minor"/>
      </rPr>
      <t>​</t>
    </r>
  </si>
  <si>
    <t>灵动之才，思维敏捷，才华体现在策划、编程、精密计算等领域。</t>
  </si>
  <si>
    <t>软件算法专家；战略顾问；围棋国手。</t>
  </si>
  <si>
    <r>
      <t>龙池+武曲</t>
    </r>
    <r>
      <rPr>
        <sz val="11"/>
        <color theme="1"/>
        <rFont val="等线"/>
        <family val="2"/>
        <charset val="134"/>
        <scheme val="minor"/>
      </rPr>
      <t>​</t>
    </r>
  </si>
  <si>
    <t>实干之才，将技艺用于金融、工程、制造等实务领域，技术过硬。</t>
  </si>
  <si>
    <t>外科手术专家；精密机械师；金融交易员。</t>
  </si>
  <si>
    <r>
      <t>龙池+廉贞</t>
    </r>
    <r>
      <rPr>
        <sz val="11"/>
        <color theme="1"/>
        <rFont val="等线"/>
        <family val="2"/>
        <charset val="134"/>
        <scheme val="minor"/>
      </rPr>
      <t>​</t>
    </r>
  </si>
  <si>
    <t>复杂之才，才华用于艺术创作、政治谋略或复杂系统，心思缜密。</t>
  </si>
  <si>
    <t>作曲家；外交家；加密算法专家。</t>
  </si>
  <si>
    <r>
      <t>龙池+太阴</t>
    </r>
    <r>
      <rPr>
        <sz val="11"/>
        <color theme="1"/>
        <rFont val="等线"/>
        <family val="2"/>
        <charset val="134"/>
        <scheme val="minor"/>
      </rPr>
      <t>​</t>
    </r>
  </si>
  <si>
    <t>阴柔之才，才华内敛、细腻，在文学、艺术、心理学、财务分析方面出色。</t>
  </si>
  <si>
    <t>诗人；心理咨询师；珠宝设计师。</t>
  </si>
  <si>
    <r>
      <t>龙池+天同</t>
    </r>
    <r>
      <rPr>
        <sz val="11"/>
        <color theme="1"/>
        <rFont val="等线"/>
        <family val="2"/>
        <charset val="134"/>
        <scheme val="minor"/>
      </rPr>
      <t>​</t>
    </r>
  </si>
  <si>
    <t>享受之才，才华与享受结合，从事休闲、娱乐、美食等让人愉悦的行业。</t>
  </si>
  <si>
    <t>美食家；游戏设计师；旅游体验师。</t>
  </si>
  <si>
    <r>
      <t>龙池+凤阁</t>
    </r>
    <r>
      <rPr>
        <sz val="11"/>
        <color theme="1"/>
        <rFont val="等线"/>
        <family val="2"/>
        <charset val="134"/>
        <scheme val="minor"/>
      </rPr>
      <t>​</t>
    </r>
  </si>
  <si>
    <r>
      <t>对星，力量倍增</t>
    </r>
    <r>
      <rPr>
        <sz val="11"/>
        <color theme="1"/>
        <rFont val="等线"/>
        <family val="2"/>
        <charset val="134"/>
        <scheme val="minor"/>
      </rPr>
      <t>。形成“龙凤呈祥”之象，才华与形象俱佳，技艺与品味兼修，大吉之兆。</t>
    </r>
  </si>
  <si>
    <t>才貌双全的艺术家；产品设计与功能俱佳的首席设计师。</t>
  </si>
  <si>
    <r>
      <t>龙池+文昌/文曲</t>
    </r>
    <r>
      <rPr>
        <sz val="11"/>
        <color theme="1"/>
        <rFont val="等线"/>
        <family val="2"/>
        <charset val="134"/>
        <scheme val="minor"/>
      </rPr>
      <t>​</t>
    </r>
  </si>
  <si>
    <r>
      <t>文华汇聚</t>
    </r>
    <r>
      <rPr>
        <sz val="11"/>
        <color theme="1"/>
        <rFont val="等线"/>
        <family val="2"/>
        <charset val="134"/>
        <scheme val="minor"/>
      </rPr>
      <t>。才华横溢，尤其在文学、艺术、学术领域成就斐然，科甲成名。</t>
    </r>
  </si>
  <si>
    <t>文学奖得主；书法大家；学术权威。</t>
  </si>
  <si>
    <r>
      <t>龙池+左辅/右弼</t>
    </r>
    <r>
      <rPr>
        <sz val="11"/>
        <color theme="1"/>
        <rFont val="等线"/>
        <family val="2"/>
        <charset val="134"/>
        <scheme val="minor"/>
      </rPr>
      <t>​</t>
    </r>
  </si>
  <si>
    <t>才华得众人赏识与辅助，能将技艺发扬光大，形成流派或团队。</t>
  </si>
  <si>
    <t>学派创始人；研发团队核心；艺术工作室主理人。</t>
  </si>
  <si>
    <r>
      <t>龙池+天魁/天钺</t>
    </r>
    <r>
      <rPr>
        <sz val="11"/>
        <color theme="1"/>
        <rFont val="等线"/>
        <family val="2"/>
        <charset val="134"/>
        <scheme val="minor"/>
      </rPr>
      <t>​</t>
    </r>
  </si>
  <si>
    <t>因才华而得贵人赏识与提携，在关键比赛中被看中，或得前辈真传。</t>
  </si>
  <si>
    <t>被大师收为关门弟子；在竞赛中被评委破格录取。</t>
  </si>
  <si>
    <r>
      <t>龙池+禄存</t>
    </r>
    <r>
      <rPr>
        <sz val="11"/>
        <color theme="1"/>
        <rFont val="等线"/>
        <family val="2"/>
        <charset val="134"/>
        <scheme val="minor"/>
      </rPr>
      <t>​</t>
    </r>
  </si>
  <si>
    <r>
      <t>技艺生财</t>
    </r>
    <r>
      <rPr>
        <sz val="11"/>
        <color theme="1"/>
        <rFont val="等线"/>
        <family val="2"/>
        <charset val="134"/>
        <scheme val="minor"/>
      </rPr>
      <t>。才华能直接、稳定地转化为财富，靠手艺、专利赚钱。</t>
    </r>
  </si>
  <si>
    <t>知名手工艺人；专利发明人；顶级顾问。</t>
  </si>
  <si>
    <r>
      <t>龙池+火星</t>
    </r>
    <r>
      <rPr>
        <sz val="11"/>
        <color theme="1"/>
        <rFont val="等线"/>
        <family val="2"/>
        <charset val="134"/>
        <scheme val="minor"/>
      </rPr>
      <t>​</t>
    </r>
  </si>
  <si>
    <t>才华爆发力强，表演或创作充满激情，但可能不够持久稳定。</t>
  </si>
  <si>
    <t>即兴演奏家；爆发式创作的画家。</t>
  </si>
  <si>
    <r>
      <t>龙池+铃星</t>
    </r>
    <r>
      <rPr>
        <sz val="11"/>
        <color theme="1"/>
        <rFont val="等线"/>
        <family val="2"/>
        <charset val="134"/>
        <scheme val="minor"/>
      </rPr>
      <t>​</t>
    </r>
  </si>
  <si>
    <t>才华深藏不露，或需经长期磨练、精雕细琢方能显现，擅长精密工艺。</t>
  </si>
  <si>
    <t>潜心多年的匠人；需要反复打磨的雕塑家。</t>
  </si>
  <si>
    <r>
      <t>龙池+擎羊</t>
    </r>
    <r>
      <rPr>
        <sz val="11"/>
        <color theme="1"/>
        <rFont val="等线"/>
        <family val="2"/>
        <charset val="134"/>
        <scheme val="minor"/>
      </rPr>
      <t>​</t>
    </r>
  </si>
  <si>
    <t>才华带有竞争性与锋芒，在竞技、对抗性强的艺术或技术领域出色。</t>
  </si>
  <si>
    <t>竞技围棋手；外科手术专家（需要果断）。</t>
  </si>
  <si>
    <r>
      <t>龙池+陀罗</t>
    </r>
    <r>
      <rPr>
        <sz val="11"/>
        <color theme="1"/>
        <rFont val="等线"/>
        <family val="2"/>
        <charset val="134"/>
        <scheme val="minor"/>
      </rPr>
      <t>​</t>
    </r>
  </si>
  <si>
    <t>才华展现缓慢，但功底深厚，擅长需要反复练习、慢工出细活的领域。</t>
  </si>
  <si>
    <t>书法家（练字数十年）；传统工艺传承人。</t>
  </si>
  <si>
    <r>
      <t>龙池+地空/地劫</t>
    </r>
    <r>
      <rPr>
        <sz val="11"/>
        <color theme="1"/>
        <rFont val="等线"/>
        <family val="2"/>
        <charset val="134"/>
        <scheme val="minor"/>
      </rPr>
      <t>​</t>
    </r>
  </si>
  <si>
    <t>才华奇特、超越时代，但可能不被世俗理解，或技艺有失传风险。</t>
  </si>
  <si>
    <t>实验艺术家；研究冷门古技艺的学者。</t>
  </si>
  <si>
    <r>
      <t>1. “龙”与“凤”</t>
    </r>
    <r>
      <rPr>
        <sz val="11"/>
        <color theme="1"/>
        <rFont val="等线"/>
        <family val="2"/>
        <charset val="134"/>
        <scheme val="minor"/>
      </rPr>
      <t>：</t>
    </r>
    <r>
      <rPr>
        <b/>
        <sz val="11"/>
        <color theme="1"/>
        <rFont val="等线"/>
        <family val="3"/>
        <charset val="134"/>
        <scheme val="minor"/>
      </rPr>
      <t>龙池星主“内在才华与技艺”</t>
    </r>
    <r>
      <rPr>
        <sz val="11"/>
        <color theme="1"/>
        <rFont val="等线"/>
        <family val="2"/>
        <charset val="134"/>
        <scheme val="minor"/>
      </rPr>
      <t>，是</t>
    </r>
    <r>
      <rPr>
        <b/>
        <sz val="11"/>
        <color theme="1"/>
        <rFont val="等线"/>
        <family val="3"/>
        <charset val="134"/>
        <scheme val="minor"/>
      </rPr>
      <t>才能、功底、专业性的体现</t>
    </r>
    <r>
      <rPr>
        <sz val="11"/>
        <color theme="1"/>
        <rFont val="等线"/>
        <family val="2"/>
        <charset val="134"/>
        <scheme val="minor"/>
      </rPr>
      <t>；其对星</t>
    </r>
    <r>
      <rPr>
        <b/>
        <sz val="11"/>
        <color theme="1"/>
        <rFont val="等线"/>
        <family val="3"/>
        <charset val="134"/>
        <scheme val="minor"/>
      </rPr>
      <t>凤阁星主“外在形象与装饰”</t>
    </r>
    <r>
      <rPr>
        <sz val="11"/>
        <color theme="1"/>
        <rFont val="等线"/>
        <family val="2"/>
        <charset val="134"/>
        <scheme val="minor"/>
      </rPr>
      <t>，是</t>
    </r>
    <r>
      <rPr>
        <b/>
        <sz val="11"/>
        <color theme="1"/>
        <rFont val="等线"/>
        <family val="3"/>
        <charset val="134"/>
        <scheme val="minor"/>
      </rPr>
      <t>外貌、打扮、表现力的体现</t>
    </r>
    <r>
      <rPr>
        <sz val="11"/>
        <color theme="1"/>
        <rFont val="等线"/>
        <family val="2"/>
        <charset val="134"/>
        <scheme val="minor"/>
      </rPr>
      <t>。二者同会，则</t>
    </r>
    <r>
      <rPr>
        <b/>
        <sz val="11"/>
        <color theme="1"/>
        <rFont val="等线"/>
        <family val="3"/>
        <charset val="134"/>
        <scheme val="minor"/>
      </rPr>
      <t>内外兼修，才貌双全</t>
    </r>
    <r>
      <rPr>
        <sz val="11"/>
        <color theme="1"/>
        <rFont val="等线"/>
        <family val="2"/>
        <charset val="134"/>
        <scheme val="minor"/>
      </rPr>
      <t>，是为“龙凤呈祥”。单见龙池，可能有才而不擅表现。</t>
    </r>
  </si>
  <si>
    <r>
      <t>2. 与“天才”、“文昌文曲”的区别</t>
    </r>
    <r>
      <rPr>
        <sz val="11"/>
        <color theme="1"/>
        <rFont val="等线"/>
        <family val="2"/>
        <charset val="134"/>
        <scheme val="minor"/>
      </rPr>
      <t>：</t>
    </r>
    <r>
      <rPr>
        <b/>
        <sz val="11"/>
        <color theme="1"/>
        <rFont val="等线"/>
        <family val="3"/>
        <charset val="134"/>
        <scheme val="minor"/>
      </rPr>
      <t>天才是“天赋星”</t>
    </r>
    <r>
      <rPr>
        <sz val="11"/>
        <color theme="1"/>
        <rFont val="等线"/>
        <family val="2"/>
        <charset val="134"/>
        <scheme val="minor"/>
      </rPr>
      <t>，主</t>
    </r>
    <r>
      <rPr>
        <b/>
        <sz val="11"/>
        <color theme="1"/>
        <rFont val="等线"/>
        <family val="3"/>
        <charset val="134"/>
        <scheme val="minor"/>
      </rPr>
      <t>与生俱来的聪明才智和领悟力</t>
    </r>
    <r>
      <rPr>
        <sz val="11"/>
        <color theme="1"/>
        <rFont val="等线"/>
        <family val="2"/>
        <charset val="134"/>
        <scheme val="minor"/>
      </rPr>
      <t>，偏重智力。</t>
    </r>
    <r>
      <rPr>
        <b/>
        <sz val="11"/>
        <color theme="1"/>
        <rFont val="等线"/>
        <family val="3"/>
        <charset val="134"/>
        <scheme val="minor"/>
      </rPr>
      <t>龙池是“才艺星”</t>
    </r>
    <r>
      <rPr>
        <sz val="11"/>
        <color theme="1"/>
        <rFont val="等线"/>
        <family val="2"/>
        <charset val="134"/>
        <scheme val="minor"/>
      </rPr>
      <t>，主</t>
    </r>
    <r>
      <rPr>
        <b/>
        <sz val="11"/>
        <color theme="1"/>
        <rFont val="等线"/>
        <family val="3"/>
        <charset val="134"/>
        <scheme val="minor"/>
      </rPr>
      <t>后天可修炼的高雅技艺与专业能力</t>
    </r>
    <r>
      <rPr>
        <sz val="11"/>
        <color theme="1"/>
        <rFont val="等线"/>
        <family val="2"/>
        <charset val="134"/>
        <scheme val="minor"/>
      </rPr>
      <t>，偏重技能。</t>
    </r>
    <r>
      <rPr>
        <b/>
        <sz val="11"/>
        <color theme="1"/>
        <rFont val="等线"/>
        <family val="3"/>
        <charset val="134"/>
        <scheme val="minor"/>
      </rPr>
      <t>文昌、文曲是“文化星”</t>
    </r>
    <r>
      <rPr>
        <sz val="11"/>
        <color theme="1"/>
        <rFont val="等线"/>
        <family val="2"/>
        <charset val="134"/>
        <scheme val="minor"/>
      </rPr>
      <t>，主</t>
    </r>
    <r>
      <rPr>
        <b/>
        <sz val="11"/>
        <color theme="1"/>
        <rFont val="等线"/>
        <family val="3"/>
        <charset val="134"/>
        <scheme val="minor"/>
      </rPr>
      <t>通过学习获得的文学艺术才能与功名</t>
    </r>
    <r>
      <rPr>
        <sz val="11"/>
        <color theme="1"/>
        <rFont val="等线"/>
        <family val="2"/>
        <charset val="134"/>
        <scheme val="minor"/>
      </rPr>
      <t>。天才更重“慧根”，龙池更重“手艺”，文昌文曲更重“学问”。</t>
    </r>
  </si>
  <si>
    <r>
      <t>3. 宫位定领域</t>
    </r>
    <r>
      <rPr>
        <sz val="11"/>
        <color theme="1"/>
        <rFont val="等线"/>
        <family val="2"/>
        <charset val="134"/>
        <scheme val="minor"/>
      </rPr>
      <t>：龙池星所在宫位，指示在人生的哪个领域拥有特殊的才华或技艺，或个人最擅长发挥其专业能力的方面。</t>
    </r>
  </si>
  <si>
    <r>
      <t>4. 四化引动</t>
    </r>
    <r>
      <rPr>
        <sz val="11"/>
        <color theme="1"/>
        <rFont val="等线"/>
        <family val="2"/>
        <charset val="134"/>
        <scheme val="minor"/>
      </rPr>
      <t>：见</t>
    </r>
    <r>
      <rPr>
        <b/>
        <sz val="11"/>
        <color theme="1"/>
        <rFont val="等线"/>
        <family val="3"/>
        <charset val="134"/>
        <scheme val="minor"/>
      </rPr>
      <t>化禄</t>
    </r>
    <r>
      <rPr>
        <sz val="11"/>
        <color theme="1"/>
        <rFont val="等线"/>
        <family val="2"/>
        <charset val="134"/>
        <scheme val="minor"/>
      </rPr>
      <t>，才华能生财，技艺带来丰厚收入，作品畅销。见</t>
    </r>
    <r>
      <rPr>
        <b/>
        <sz val="11"/>
        <color theme="1"/>
        <rFont val="等线"/>
        <family val="3"/>
        <charset val="134"/>
        <scheme val="minor"/>
      </rPr>
      <t>化权</t>
    </r>
    <r>
      <rPr>
        <sz val="11"/>
        <color theme="1"/>
        <rFont val="等线"/>
        <family val="2"/>
        <charset val="134"/>
        <scheme val="minor"/>
      </rPr>
      <t>，才华能掌权，成为技术权威、艺术领袖，技艺精湛到可制定标准。见</t>
    </r>
    <r>
      <rPr>
        <b/>
        <sz val="11"/>
        <color theme="1"/>
        <rFont val="等线"/>
        <family val="3"/>
        <charset val="134"/>
        <scheme val="minor"/>
      </rPr>
      <t>化科</t>
    </r>
    <r>
      <rPr>
        <sz val="11"/>
        <color theme="1"/>
        <rFont val="等线"/>
        <family val="2"/>
        <charset val="134"/>
        <scheme val="minor"/>
      </rPr>
      <t>，才华能扬名，因技艺获得声誉、奖项与广泛认可。见</t>
    </r>
    <r>
      <rPr>
        <b/>
        <sz val="11"/>
        <color theme="1"/>
        <rFont val="等线"/>
        <family val="3"/>
        <charset val="134"/>
        <scheme val="minor"/>
      </rPr>
      <t>化忌</t>
    </r>
    <r>
      <rPr>
        <sz val="11"/>
        <color theme="1"/>
        <rFont val="等线"/>
        <family val="2"/>
        <charset val="134"/>
        <scheme val="minor"/>
      </rPr>
      <t>，</t>
    </r>
    <r>
      <rPr>
        <b/>
        <sz val="11"/>
        <color theme="1"/>
        <rFont val="等线"/>
        <family val="3"/>
        <charset val="134"/>
        <scheme val="minor"/>
      </rPr>
      <t>怀才不遇</t>
    </r>
    <r>
      <rPr>
        <sz val="11"/>
        <color theme="1"/>
        <rFont val="等线"/>
        <family val="2"/>
        <charset val="134"/>
        <scheme val="minor"/>
      </rPr>
      <t>，才华受挫，技艺生疏，或因才招妒。</t>
    </r>
  </si>
  <si>
    <t>一、凤阁定义</t>
  </si>
  <si>
    <t>外貌、装饰、建筑、艺术、品味</t>
  </si>
  <si>
    <t>象征外在的形象、装饰、建筑艺术、审美品味以及一切美化、修饰的事物。其性质主吉，代表美观、优雅与格调。</t>
  </si>
  <si>
    <t>乙级星，属阳土。主吉，为外貌、装饰、艺术之星。喜与龙池同会，力量增强。其美需有实质（吉星）支撑，否则易流于虚浮。</t>
  </si>
  <si>
    <r>
      <t>外貌俊美</t>
    </r>
    <r>
      <rPr>
        <sz val="11"/>
        <color theme="1"/>
        <rFont val="等线"/>
        <family val="2"/>
        <charset val="134"/>
        <scheme val="minor"/>
      </rPr>
      <t>​</t>
    </r>
  </si>
  <si>
    <t>长相清秀、端庄、有气质，注重仪表，给人良好的第一印象。</t>
  </si>
  <si>
    <t>在命宫、迁移宫时尤为明显。</t>
  </si>
  <si>
    <r>
      <t>装饰美化</t>
    </r>
    <r>
      <rPr>
        <sz val="11"/>
        <color theme="1"/>
        <rFont val="等线"/>
        <family val="2"/>
        <charset val="134"/>
        <scheme val="minor"/>
      </rPr>
      <t>​</t>
    </r>
  </si>
  <si>
    <t>擅长装饰、打扮、设计，能使事物或环境变得美观、有格调。</t>
  </si>
  <si>
    <t>与太阴、天相同度时力量强。</t>
  </si>
  <si>
    <r>
      <t>建筑艺术</t>
    </r>
    <r>
      <rPr>
        <sz val="11"/>
        <color theme="1"/>
        <rFont val="等线"/>
        <family val="2"/>
        <charset val="134"/>
        <scheme val="minor"/>
      </rPr>
      <t>​</t>
    </r>
  </si>
  <si>
    <t>对建筑、空间、造型有审美和才能，可能从事相关行业。</t>
  </si>
  <si>
    <t>在田宅宫、官禄宫时显著。</t>
  </si>
  <si>
    <r>
      <t>审美品味</t>
    </r>
    <r>
      <rPr>
        <sz val="11"/>
        <color theme="1"/>
        <rFont val="等线"/>
        <family val="2"/>
        <charset val="134"/>
        <scheme val="minor"/>
      </rPr>
      <t>​</t>
    </r>
  </si>
  <si>
    <t>对美有独到见解，追求生活品味，喜爱艺术、收藏。</t>
  </si>
  <si>
    <t>与天府、天梁同会时显现。</t>
  </si>
  <si>
    <r>
      <t>外在形象</t>
    </r>
    <r>
      <rPr>
        <sz val="11"/>
        <color theme="1"/>
        <rFont val="等线"/>
        <family val="2"/>
        <charset val="134"/>
        <scheme val="minor"/>
      </rPr>
      <t>​</t>
    </r>
  </si>
  <si>
    <t>注重个人形象与社会评价，言行举止得体、优雅。</t>
  </si>
  <si>
    <t>在交友宫、父母宫时体现。</t>
  </si>
  <si>
    <t>相貌端正，气质优雅，注重外表与礼仪，有艺术天赋。</t>
  </si>
  <si>
    <t>兄弟姐妹外貌好或有品味；在团队中负责形象、设计工作。</t>
  </si>
  <si>
    <t>配偶相貌出众，或注重生活情调与家居布置。</t>
  </si>
  <si>
    <t>子女长相可爱；合作项目具有美观性或设计感。</t>
  </si>
  <si>
    <t>钱财用于装饰、美容、艺术消费，或通过设计、美容行业赚钱。</t>
  </si>
  <si>
    <t>注重身体保养与美容，气质好，但易有皮肤、外貌相关的小疾。</t>
  </si>
  <si>
    <t>在外形象佳，易给人好印象，出入高雅场所。</t>
  </si>
  <si>
    <t>朋友、同事多外貌出众或有品味之人；社交圈注重形象。</t>
  </si>
  <si>
    <r>
      <t>核心宫位</t>
    </r>
    <r>
      <rPr>
        <sz val="11"/>
        <color theme="1"/>
        <rFont val="等线"/>
        <family val="2"/>
        <charset val="134"/>
        <scheme val="minor"/>
      </rPr>
      <t>。事业与设计、建筑、美容、艺术、装饰等行业相关。</t>
    </r>
  </si>
  <si>
    <t>家宅美观、装修雅致，可能靠近地标建筑或风景优美处。</t>
  </si>
  <si>
    <t>精神追求美与艺术，享受视觉与感官的愉悦。</t>
  </si>
  <si>
    <t>父母相貌好或有品味；家庭环境布置优雅，重视形象教育。</t>
  </si>
  <si>
    <t>1. 增强外貌品味组合</t>
  </si>
  <si>
    <r>
      <t>凤阁+紫微</t>
    </r>
    <r>
      <rPr>
        <sz val="11"/>
        <color theme="1"/>
        <rFont val="等线"/>
        <family val="2"/>
        <charset val="134"/>
        <scheme val="minor"/>
      </rPr>
      <t>​</t>
    </r>
  </si>
  <si>
    <t>尊贵之美，相貌堂堂，有威仪，或从事权威性、大型的建筑设计。</t>
  </si>
  <si>
    <t>帝王之相；国家大剧院的设计师；大型地产项目总规划。</t>
  </si>
  <si>
    <r>
      <t>凤阁+太阳</t>
    </r>
    <r>
      <rPr>
        <sz val="11"/>
        <color theme="1"/>
        <rFont val="等线"/>
        <family val="2"/>
        <charset val="134"/>
        <scheme val="minor"/>
      </rPr>
      <t>​</t>
    </r>
  </si>
  <si>
    <t>光彩照人之美，形象阳光、开朗，或从事需要公开露面的光鲜行业。</t>
  </si>
  <si>
    <t>明星；主持人；形象阳光的公众人物。</t>
  </si>
  <si>
    <r>
      <t>凤阁+天梁</t>
    </r>
    <r>
      <rPr>
        <sz val="11"/>
        <color theme="1"/>
        <rFont val="等线"/>
        <family val="2"/>
        <charset val="134"/>
        <scheme val="minor"/>
      </rPr>
      <t>​</t>
    </r>
  </si>
  <si>
    <t>清秀脱俗之美，气质清高，有古典或学术气质，或从事古建修复、文物设计。</t>
  </si>
  <si>
    <t>有书卷气的学者；古建筑设计师；博物馆陈列设计师。</t>
  </si>
  <si>
    <r>
      <t>凤阁+天府</t>
    </r>
    <r>
      <rPr>
        <sz val="11"/>
        <color theme="1"/>
        <rFont val="等线"/>
        <family val="2"/>
        <charset val="134"/>
        <scheme val="minor"/>
      </rPr>
      <t>​</t>
    </r>
  </si>
  <si>
    <t>雍容华贵之美，形象稳重富态，品味高雅，或从事高端室内设计、奢侈品行业。</t>
  </si>
  <si>
    <t>贵妇人形象；高端会所设计师；珠宝设计师。</t>
  </si>
  <si>
    <r>
      <t>凤阁+天相</t>
    </r>
    <r>
      <rPr>
        <sz val="11"/>
        <color theme="1"/>
        <rFont val="等线"/>
        <family val="2"/>
        <charset val="134"/>
        <scheme val="minor"/>
      </rPr>
      <t>​</t>
    </r>
  </si>
  <si>
    <t>得体和谐之美，形象端庄，打扮得体，或从事服装设计、形象顾问行业。</t>
  </si>
  <si>
    <t>外交官形象；高级定制服装设计师；礼仪培训师。</t>
  </si>
  <si>
    <t>2. 专业化与艺术组合</t>
  </si>
  <si>
    <r>
      <t>凤阁+天机</t>
    </r>
    <r>
      <rPr>
        <sz val="11"/>
        <color theme="1"/>
        <rFont val="等线"/>
        <family val="2"/>
        <charset val="134"/>
        <scheme val="minor"/>
      </rPr>
      <t>​</t>
    </r>
  </si>
  <si>
    <t>灵动精巧之美，形象机敏，或从事时尚、广告、新媒体等需要快速审美的行业。</t>
  </si>
  <si>
    <t>时尚买手；广告创意总监；UI/UX设计师。</t>
  </si>
  <si>
    <r>
      <t>凤阁+武曲</t>
    </r>
    <r>
      <rPr>
        <sz val="11"/>
        <color theme="1"/>
        <rFont val="等线"/>
        <family val="2"/>
        <charset val="134"/>
        <scheme val="minor"/>
      </rPr>
      <t>​</t>
    </r>
  </si>
  <si>
    <t>冷峻干练之美，形象硬朗，或从事工业设计、机械造型、金融领域的形象工作。</t>
  </si>
  <si>
    <t>汽车设计师；硬朗风格的模特；银行形象代言人。</t>
  </si>
  <si>
    <r>
      <t>凤阁+廉贞</t>
    </r>
    <r>
      <rPr>
        <sz val="11"/>
        <color theme="1"/>
        <rFont val="等线"/>
        <family val="2"/>
        <charset val="134"/>
        <scheme val="minor"/>
      </rPr>
      <t>​</t>
    </r>
  </si>
  <si>
    <t>艳丽精致之美，形象出众且带魅力，或从事彩妆、艺术、复杂图案设计。</t>
  </si>
  <si>
    <t>化妆师；画家；纹身设计师。</t>
  </si>
  <si>
    <r>
      <t>凤阁+太阴</t>
    </r>
    <r>
      <rPr>
        <sz val="11"/>
        <color theme="1"/>
        <rFont val="等线"/>
        <family val="2"/>
        <charset val="134"/>
        <scheme val="minor"/>
      </rPr>
      <t>​</t>
    </r>
  </si>
  <si>
    <t>阴柔婉约之美，形象温婉，或从事家居软装、女性用品设计、月光相关艺术。</t>
  </si>
  <si>
    <t>室内软装设计师；女性品牌创始人；夜景灯光设计师。</t>
  </si>
  <si>
    <r>
      <t>凤阁+天同</t>
    </r>
    <r>
      <rPr>
        <sz val="11"/>
        <color theme="1"/>
        <rFont val="等线"/>
        <family val="2"/>
        <charset val="134"/>
        <scheme val="minor"/>
      </rPr>
      <t>​</t>
    </r>
  </si>
  <si>
    <t>福气可爱之美，形象亲和，或从事童装、玩具、休闲娱乐空间设计。</t>
  </si>
  <si>
    <t>卡通形象设计师；游乐场设计师；甜品店老板（注重店面美观）。</t>
  </si>
  <si>
    <r>
      <t>凤阁+龙池</t>
    </r>
    <r>
      <rPr>
        <sz val="11"/>
        <color theme="1"/>
        <rFont val="等线"/>
        <family val="2"/>
        <charset val="134"/>
        <scheme val="minor"/>
      </rPr>
      <t>​</t>
    </r>
  </si>
  <si>
    <r>
      <t>对星，力量倍增</t>
    </r>
    <r>
      <rPr>
        <sz val="11"/>
        <color theme="1"/>
        <rFont val="等线"/>
        <family val="2"/>
        <charset val="134"/>
        <scheme val="minor"/>
      </rPr>
      <t>。形成“龙凤呈祥”之象，才貌双全，技艺与品味兼备，大吉之兆。</t>
    </r>
  </si>
  <si>
    <t>既是建筑大师又是美学大师；产品功能与外观俱佳的设计师。</t>
  </si>
  <si>
    <r>
      <t>凤阁+文昌/文曲</t>
    </r>
    <r>
      <rPr>
        <sz val="11"/>
        <color theme="1"/>
        <rFont val="等线"/>
        <family val="2"/>
        <charset val="134"/>
        <scheme val="minor"/>
      </rPr>
      <t>​</t>
    </r>
  </si>
  <si>
    <r>
      <t>文采风流</t>
    </r>
    <r>
      <rPr>
        <sz val="11"/>
        <color theme="1"/>
        <rFont val="等线"/>
        <family val="2"/>
        <charset val="134"/>
        <scheme val="minor"/>
      </rPr>
      <t>。外貌与才华并重，有书卷气，在文学、艺术领域形象与内涵俱佳。</t>
    </r>
  </si>
  <si>
    <t>文人雅士；形象好又有才华的作家或艺术家。</t>
  </si>
  <si>
    <r>
      <t>凤阁+左辅/右弼</t>
    </r>
    <r>
      <rPr>
        <sz val="11"/>
        <color theme="1"/>
        <rFont val="等线"/>
        <family val="2"/>
        <charset val="134"/>
        <scheme val="minor"/>
      </rPr>
      <t>​</t>
    </r>
  </si>
  <si>
    <t>形象得众人赞美与扶持，能引领潮流或成为公众喜爱的形象代表。</t>
  </si>
  <si>
    <t>受欢迎的偶像；形象良好的品牌代言人。</t>
  </si>
  <si>
    <r>
      <t>凤阁+天魁/天钺</t>
    </r>
    <r>
      <rPr>
        <sz val="11"/>
        <color theme="1"/>
        <rFont val="等线"/>
        <family val="2"/>
        <charset val="134"/>
        <scheme val="minor"/>
      </rPr>
      <t>​</t>
    </r>
  </si>
  <si>
    <t>因外貌气质佳而得贵人赏识，或因形象好获得机遇。</t>
  </si>
  <si>
    <t>因形象好被选为模特或演员；因仪表堂堂被领导提拔为公关。</t>
  </si>
  <si>
    <r>
      <t>凤阁+禄存</t>
    </r>
    <r>
      <rPr>
        <sz val="11"/>
        <color theme="1"/>
        <rFont val="等线"/>
        <family val="2"/>
        <charset val="134"/>
        <scheme val="minor"/>
      </rPr>
      <t>​</t>
    </r>
  </si>
  <si>
    <r>
      <t>美貌生财</t>
    </r>
    <r>
      <rPr>
        <sz val="11"/>
        <color theme="1"/>
        <rFont val="等线"/>
        <family val="2"/>
        <charset val="134"/>
        <scheme val="minor"/>
      </rPr>
      <t>。形象能直接带来财富，适合靠外貌、形象吃饭的行业。</t>
    </r>
  </si>
  <si>
    <t>超模；形象顾问；美容院老板。</t>
  </si>
  <si>
    <r>
      <t>凤阁+火星</t>
    </r>
    <r>
      <rPr>
        <sz val="11"/>
        <color theme="1"/>
        <rFont val="等线"/>
        <family val="2"/>
        <charset val="134"/>
        <scheme val="minor"/>
      </rPr>
      <t>​</t>
    </r>
  </si>
  <si>
    <t>形象鲜明、热烈，打扮时尚前卫，但可能变化快或不稳定。</t>
  </si>
  <si>
    <t>潮流先锋；造型夸张的摇滚歌手。</t>
  </si>
  <si>
    <r>
      <t>凤阁+铃星</t>
    </r>
    <r>
      <rPr>
        <sz val="11"/>
        <color theme="1"/>
        <rFont val="等线"/>
        <family val="2"/>
        <charset val="134"/>
        <scheme val="minor"/>
      </rPr>
      <t>​</t>
    </r>
  </si>
  <si>
    <t>形象精致、注重细节，打扮有巧思，或风格独特、小众。</t>
  </si>
  <si>
    <t>注重细节的造型师；复古或哥特风格爱好者。</t>
  </si>
  <si>
    <r>
      <t>凤阁+擎羊</t>
    </r>
    <r>
      <rPr>
        <sz val="11"/>
        <color theme="1"/>
        <rFont val="等线"/>
        <family val="2"/>
        <charset val="134"/>
        <scheme val="minor"/>
      </rPr>
      <t>​</t>
    </r>
  </si>
  <si>
    <t>形象有锋芒、有个性，可能带有侵略性或醒目特征，如明显疤痕（装饰性）。</t>
  </si>
  <si>
    <t>纹身很多的潮人；形象硬朗的军人或运动员。</t>
  </si>
  <si>
    <r>
      <t>凤阁+陀罗</t>
    </r>
    <r>
      <rPr>
        <sz val="11"/>
        <color theme="1"/>
        <rFont val="等线"/>
        <family val="2"/>
        <charset val="134"/>
        <scheme val="minor"/>
      </rPr>
      <t>​</t>
    </r>
  </si>
  <si>
    <t>形象风格转变慢，怀旧，或打扮上有些过时但自成一体。</t>
  </si>
  <si>
    <t>一直保持某种经典风格的人；古着爱好者。</t>
  </si>
  <si>
    <r>
      <t>凤阁+地空/地劫</t>
    </r>
    <r>
      <rPr>
        <sz val="11"/>
        <color theme="1"/>
        <rFont val="等线"/>
        <family val="2"/>
        <charset val="134"/>
        <scheme val="minor"/>
      </rPr>
      <t>​</t>
    </r>
  </si>
  <si>
    <t>形象奇特、超越常规，审美与众不同，或打扮不修边幅但别有风格。</t>
  </si>
  <si>
    <t>前卫艺术家；崇尚自然、不刻意打扮的修行者。</t>
  </si>
  <si>
    <r>
      <t>1. “凤”与“龙”</t>
    </r>
    <r>
      <rPr>
        <sz val="11"/>
        <color theme="1"/>
        <rFont val="等线"/>
        <family val="2"/>
        <charset val="134"/>
        <scheme val="minor"/>
      </rPr>
      <t>：</t>
    </r>
    <r>
      <rPr>
        <b/>
        <sz val="11"/>
        <color theme="1"/>
        <rFont val="等线"/>
        <family val="3"/>
        <charset val="134"/>
        <scheme val="minor"/>
      </rPr>
      <t>凤阁星主“外在形象与装饰”</t>
    </r>
    <r>
      <rPr>
        <sz val="11"/>
        <color theme="1"/>
        <rFont val="等线"/>
        <family val="2"/>
        <charset val="134"/>
        <scheme val="minor"/>
      </rPr>
      <t>，是</t>
    </r>
    <r>
      <rPr>
        <b/>
        <sz val="11"/>
        <color theme="1"/>
        <rFont val="等线"/>
        <family val="3"/>
        <charset val="134"/>
        <scheme val="minor"/>
      </rPr>
      <t>外貌、打扮、表现力、美观度的体现</t>
    </r>
    <r>
      <rPr>
        <sz val="11"/>
        <color theme="1"/>
        <rFont val="等线"/>
        <family val="2"/>
        <charset val="134"/>
        <scheme val="minor"/>
      </rPr>
      <t>；其对星</t>
    </r>
    <r>
      <rPr>
        <b/>
        <sz val="11"/>
        <color theme="1"/>
        <rFont val="等线"/>
        <family val="3"/>
        <charset val="134"/>
        <scheme val="minor"/>
      </rPr>
      <t>龙池星主“内在才华与技艺”</t>
    </r>
    <r>
      <rPr>
        <sz val="11"/>
        <color theme="1"/>
        <rFont val="等线"/>
        <family val="2"/>
        <charset val="134"/>
        <scheme val="minor"/>
      </rPr>
      <t>，是</t>
    </r>
    <r>
      <rPr>
        <b/>
        <sz val="11"/>
        <color theme="1"/>
        <rFont val="等线"/>
        <family val="3"/>
        <charset val="134"/>
        <scheme val="minor"/>
      </rPr>
      <t>才能、功底、专业性的体现</t>
    </r>
    <r>
      <rPr>
        <sz val="11"/>
        <color theme="1"/>
        <rFont val="等线"/>
        <family val="2"/>
        <charset val="134"/>
        <scheme val="minor"/>
      </rPr>
      <t>。二者同会，则</t>
    </r>
    <r>
      <rPr>
        <b/>
        <sz val="11"/>
        <color theme="1"/>
        <rFont val="等线"/>
        <family val="3"/>
        <charset val="134"/>
        <scheme val="minor"/>
      </rPr>
      <t>内外兼修，才貌双全</t>
    </r>
    <r>
      <rPr>
        <sz val="11"/>
        <color theme="1"/>
        <rFont val="等线"/>
        <family val="2"/>
        <charset val="134"/>
        <scheme val="minor"/>
      </rPr>
      <t>，是为“龙凤呈祥”。单见凤阁，可能重外表而内才稍欠。</t>
    </r>
  </si>
  <si>
    <r>
      <t>2. 与“天相”、“文昌文曲”的区别</t>
    </r>
    <r>
      <rPr>
        <sz val="11"/>
        <color theme="1"/>
        <rFont val="等线"/>
        <family val="2"/>
        <charset val="134"/>
        <scheme val="minor"/>
      </rPr>
      <t>：</t>
    </r>
    <r>
      <rPr>
        <b/>
        <sz val="11"/>
        <color theme="1"/>
        <rFont val="等线"/>
        <family val="3"/>
        <charset val="134"/>
        <scheme val="minor"/>
      </rPr>
      <t>天相是“印星”</t>
    </r>
    <r>
      <rPr>
        <sz val="11"/>
        <color theme="1"/>
        <rFont val="等线"/>
        <family val="2"/>
        <charset val="134"/>
        <scheme val="minor"/>
      </rPr>
      <t>，主</t>
    </r>
    <r>
      <rPr>
        <b/>
        <sz val="11"/>
        <color theme="1"/>
        <rFont val="等线"/>
        <family val="3"/>
        <charset val="134"/>
        <scheme val="minor"/>
      </rPr>
      <t>得体的举止、可靠的形象与协调能力</t>
    </r>
    <r>
      <rPr>
        <sz val="11"/>
        <color theme="1"/>
        <rFont val="等线"/>
        <family val="2"/>
        <charset val="134"/>
        <scheme val="minor"/>
      </rPr>
      <t>，更偏向内在气质与办事能力。</t>
    </r>
    <r>
      <rPr>
        <b/>
        <sz val="11"/>
        <color theme="1"/>
        <rFont val="等线"/>
        <family val="3"/>
        <charset val="134"/>
        <scheme val="minor"/>
      </rPr>
      <t>凤阁是“装饰星”</t>
    </r>
    <r>
      <rPr>
        <sz val="11"/>
        <color theme="1"/>
        <rFont val="等线"/>
        <family val="2"/>
        <charset val="134"/>
        <scheme val="minor"/>
      </rPr>
      <t>，主</t>
    </r>
    <r>
      <rPr>
        <b/>
        <sz val="11"/>
        <color theme="1"/>
        <rFont val="等线"/>
        <family val="3"/>
        <charset val="134"/>
        <scheme val="minor"/>
      </rPr>
      <t>外在的美丽、装饰艺术与审美</t>
    </r>
    <r>
      <rPr>
        <sz val="11"/>
        <color theme="1"/>
        <rFont val="等线"/>
        <family val="2"/>
        <charset val="134"/>
        <scheme val="minor"/>
      </rPr>
      <t>，更偏向视觉表现。</t>
    </r>
    <r>
      <rPr>
        <b/>
        <sz val="11"/>
        <color theme="1"/>
        <rFont val="等线"/>
        <family val="3"/>
        <charset val="134"/>
        <scheme val="minor"/>
      </rPr>
      <t>文昌、文曲是“文化星”</t>
    </r>
    <r>
      <rPr>
        <sz val="11"/>
        <color theme="1"/>
        <rFont val="等线"/>
        <family val="2"/>
        <charset val="134"/>
        <scheme val="minor"/>
      </rPr>
      <t>，主</t>
    </r>
    <r>
      <rPr>
        <b/>
        <sz val="11"/>
        <color theme="1"/>
        <rFont val="等线"/>
        <family val="3"/>
        <charset val="134"/>
        <scheme val="minor"/>
      </rPr>
      <t>书卷气与文化内涵</t>
    </r>
    <r>
      <rPr>
        <sz val="11"/>
        <color theme="1"/>
        <rFont val="等线"/>
        <family val="2"/>
        <charset val="134"/>
        <scheme val="minor"/>
      </rPr>
      <t>。天相是“端庄可靠”，凤阁是“漂亮好看”，文昌文曲是“文雅有才”。</t>
    </r>
  </si>
  <si>
    <r>
      <t>3. 宫位定领域</t>
    </r>
    <r>
      <rPr>
        <sz val="11"/>
        <color theme="1"/>
        <rFont val="等线"/>
        <family val="2"/>
        <charset val="134"/>
        <scheme val="minor"/>
      </rPr>
      <t>：凤阁星所在宫位，指示在人生的哪个领域注重形象与美观，或个人最擅长发挥其审美与装饰能力的方面。</t>
    </r>
  </si>
  <si>
    <r>
      <t>4. 四化引动</t>
    </r>
    <r>
      <rPr>
        <sz val="11"/>
        <color theme="1"/>
        <rFont val="等线"/>
        <family val="2"/>
        <charset val="134"/>
        <scheme val="minor"/>
      </rPr>
      <t>：见</t>
    </r>
    <r>
      <rPr>
        <b/>
        <sz val="11"/>
        <color theme="1"/>
        <rFont val="等线"/>
        <family val="3"/>
        <charset val="134"/>
        <scheme val="minor"/>
      </rPr>
      <t>化禄</t>
    </r>
    <r>
      <rPr>
        <sz val="11"/>
        <color theme="1"/>
        <rFont val="等线"/>
        <family val="2"/>
        <charset val="134"/>
        <scheme val="minor"/>
      </rPr>
      <t>，形象带来财富，靠外貌、设计赚钱，审美有市场价值。见</t>
    </r>
    <r>
      <rPr>
        <b/>
        <sz val="11"/>
        <color theme="1"/>
        <rFont val="等线"/>
        <family val="3"/>
        <charset val="134"/>
        <scheme val="minor"/>
      </rPr>
      <t>化权</t>
    </r>
    <r>
      <rPr>
        <sz val="11"/>
        <color theme="1"/>
        <rFont val="等线"/>
        <family val="2"/>
        <charset val="134"/>
        <scheme val="minor"/>
      </rPr>
      <t>，对形象有主导权，能定义审美标准，成为时尚权威。见</t>
    </r>
    <r>
      <rPr>
        <b/>
        <sz val="11"/>
        <color theme="1"/>
        <rFont val="等线"/>
        <family val="3"/>
        <charset val="134"/>
        <scheme val="minor"/>
      </rPr>
      <t>化科</t>
    </r>
    <r>
      <rPr>
        <sz val="11"/>
        <color theme="1"/>
        <rFont val="等线"/>
        <family val="2"/>
        <charset val="134"/>
        <scheme val="minor"/>
      </rPr>
      <t>，形象好带来名声，以美貌或设计闻名，受人追捧。见</t>
    </r>
    <r>
      <rPr>
        <b/>
        <sz val="11"/>
        <color theme="1"/>
        <rFont val="等线"/>
        <family val="3"/>
        <charset val="134"/>
        <scheme val="minor"/>
      </rPr>
      <t>化忌</t>
    </r>
    <r>
      <rPr>
        <sz val="11"/>
        <color theme="1"/>
        <rFont val="等线"/>
        <family val="2"/>
        <charset val="134"/>
        <scheme val="minor"/>
      </rPr>
      <t>，</t>
    </r>
    <r>
      <rPr>
        <b/>
        <sz val="11"/>
        <color theme="1"/>
        <rFont val="等线"/>
        <family val="3"/>
        <charset val="134"/>
        <scheme val="minor"/>
      </rPr>
      <t>为形象所累</t>
    </r>
    <r>
      <rPr>
        <sz val="11"/>
        <color theme="1"/>
        <rFont val="等线"/>
        <family val="2"/>
        <charset val="134"/>
        <scheme val="minor"/>
      </rPr>
      <t>，过度在意外表，或形象受损，审美不被认可。</t>
    </r>
  </si>
  <si>
    <t>一、孤辰定义</t>
  </si>
  <si>
    <t>孤独、孤僻、分离、独立</t>
  </si>
  <si>
    <t>象征性格上的孤僻、喜欢独处、不喜热闹，以及际遇上的分离、独居、缘分淡薄。其性质主凶，带来孤独感与疏离。</t>
  </si>
  <si>
    <t>乙级星，属阳火。主凶，为孤独、分离、刑克之星。喜与天喜、红鸾等桃花星同度化解，也喜与积极主星（如太阳、七杀）同会以主动破孤。</t>
  </si>
  <si>
    <r>
      <t>性格孤僻</t>
    </r>
    <r>
      <rPr>
        <sz val="11"/>
        <color theme="1"/>
        <rFont val="等线"/>
        <family val="2"/>
        <charset val="134"/>
        <scheme val="minor"/>
      </rPr>
      <t>​</t>
    </r>
  </si>
  <si>
    <t>性格内向、沉默寡言、不喜交际、习惯独来独往。</t>
  </si>
  <si>
    <r>
      <t>喜欢独处</t>
    </r>
    <r>
      <rPr>
        <sz val="11"/>
        <color theme="1"/>
        <rFont val="等线"/>
        <family val="2"/>
        <charset val="134"/>
        <scheme val="minor"/>
      </rPr>
      <t>​</t>
    </r>
  </si>
  <si>
    <t>享受一个人的时光，在独处时感到自在，厌恶嘈杂环境。</t>
  </si>
  <si>
    <t>与天梁、巨门等星同度时力量强。</t>
  </si>
  <si>
    <r>
      <t>容易分离</t>
    </r>
    <r>
      <rPr>
        <sz val="11"/>
        <color theme="1"/>
        <rFont val="等线"/>
        <family val="2"/>
        <charset val="134"/>
        <scheme val="minor"/>
      </rPr>
      <t>​</t>
    </r>
  </si>
  <si>
    <t>人生易与亲人、朋友、伴侣产生地理或心理上的疏离。</t>
  </si>
  <si>
    <t>在六亲宫位（夫妻、子女、兄弟）时显著。</t>
  </si>
  <si>
    <r>
      <t>独立自主</t>
    </r>
    <r>
      <rPr>
        <sz val="11"/>
        <color theme="1"/>
        <rFont val="等线"/>
        <family val="2"/>
        <charset val="134"/>
        <scheme val="minor"/>
      </rPr>
      <t>​</t>
    </r>
  </si>
  <si>
    <t>凡事喜欢靠自己，不轻易依赖他人，有强烈的独立性。</t>
  </si>
  <si>
    <t>与武曲、紫微等星同会时显现。</t>
  </si>
  <si>
    <r>
      <t>思考深入</t>
    </r>
    <r>
      <rPr>
        <sz val="11"/>
        <color theme="1"/>
        <rFont val="等线"/>
        <family val="2"/>
        <charset val="134"/>
        <scheme val="minor"/>
      </rPr>
      <t>​</t>
    </r>
  </si>
  <si>
    <t>因孤独而善于思考，思想可能较常人深刻或独特。</t>
  </si>
  <si>
    <t>与天机、太阴同度时体现。</t>
  </si>
  <si>
    <t>性格孤高，不喜迎合，一生心态上常有孤独感，朋友少。</t>
  </si>
  <si>
    <t>与兄弟姐妹缘薄，感情疏远，或各自独立发展，少有助力。</t>
  </si>
  <si>
    <t>配偶性格孤僻，或夫妻聚少离多，沟通不畅，易感孤独。</t>
  </si>
  <si>
    <t>子女数目少，或与子女缘分浅，子女长大后远离自己。</t>
  </si>
  <si>
    <t>喜欢独立经营，不喜与人合伙求财，钱财来源多靠一己之力。</t>
  </si>
  <si>
    <t>易有孤僻导致的情绪病，如抑郁症、自闭倾向，或喜静不喜动。</t>
  </si>
  <si>
    <t>在外独来独往，不喜应酬，外出时易感到孤单。</t>
  </si>
  <si>
    <t>朋友稀少，知己难求，人际关系疏淡，社交圈狭窄。</t>
  </si>
  <si>
    <t>适合独立作业、研究、幕后或不需与人密切配合的工作。</t>
  </si>
  <si>
    <t>家庭人口简单，喜欢清静的居住环境，或常独自在家。</t>
  </si>
  <si>
    <r>
      <t>核心宫位</t>
    </r>
    <r>
      <rPr>
        <sz val="11"/>
        <color theme="1"/>
        <rFont val="等线"/>
        <family val="2"/>
        <charset val="134"/>
        <scheme val="minor"/>
      </rPr>
      <t>。内心世界孤独，精神独立，享受独处的精神生活。</t>
    </r>
  </si>
  <si>
    <t>与父母缘分较淡，可能早年离家，或与父母有代沟、疏离。</t>
  </si>
  <si>
    <t>1. 增强孤独倾向组合</t>
  </si>
  <si>
    <r>
      <t>孤辰+紫微</t>
    </r>
    <r>
      <rPr>
        <sz val="11"/>
        <color theme="1"/>
        <rFont val="等线"/>
        <family val="2"/>
        <charset val="134"/>
        <scheme val="minor"/>
      </rPr>
      <t>​</t>
    </r>
  </si>
  <si>
    <t>孤高的帝王，位高权重但内心孤独，高处不胜寒。</t>
  </si>
  <si>
    <t>孤独的领导者；离群索居的权威学者。</t>
  </si>
  <si>
    <r>
      <t>孤辰+天机</t>
    </r>
    <r>
      <rPr>
        <sz val="11"/>
        <color theme="1"/>
        <rFont val="等线"/>
        <family val="2"/>
        <charset val="134"/>
        <scheme val="minor"/>
      </rPr>
      <t>​</t>
    </r>
  </si>
  <si>
    <t>孤独的思考者，思维活跃但不愿与人分享，喜独自钻研。</t>
  </si>
  <si>
    <t>隐居的科学家；独自旅行的哲学家。</t>
  </si>
  <si>
    <r>
      <t>孤辰+太阳</t>
    </r>
    <r>
      <rPr>
        <sz val="11"/>
        <color theme="1"/>
        <rFont val="等线"/>
        <family val="2"/>
        <charset val="134"/>
        <scheme val="minor"/>
      </rPr>
      <t>​</t>
    </r>
  </si>
  <si>
    <t>外表热情，内心孤独（“阳中孤”），奉献付出却感无人理解。</t>
  </si>
  <si>
    <t>热心公益却感到孤独的志愿者；忙碌的明星私下很孤单。</t>
  </si>
  <si>
    <r>
      <t>孤辰+武曲</t>
    </r>
    <r>
      <rPr>
        <sz val="11"/>
        <color theme="1"/>
        <rFont val="等线"/>
        <family val="2"/>
        <charset val="134"/>
        <scheme val="minor"/>
      </rPr>
      <t>​</t>
    </r>
  </si>
  <si>
    <t>孤刚的实干者，做事独断，不喜求人，在金钱事业上独立。</t>
  </si>
  <si>
    <t>独自创业的企业家；喜欢单干的技术专家。</t>
  </si>
  <si>
    <r>
      <t>孤辰+天同</t>
    </r>
    <r>
      <rPr>
        <sz val="11"/>
        <color theme="1"/>
        <rFont val="等线"/>
        <family val="2"/>
        <charset val="134"/>
        <scheme val="minor"/>
      </rPr>
      <t>​</t>
    </r>
  </si>
  <si>
    <t>孤独的享乐者，虽追求福乐，但更享受一个人的清福。</t>
  </si>
  <si>
    <t>独自品茶赏花的退休者；喜欢单人旅行的背包客。</t>
  </si>
  <si>
    <r>
      <t>孤辰+廉贞</t>
    </r>
    <r>
      <rPr>
        <sz val="11"/>
        <color theme="1"/>
        <rFont val="等线"/>
        <family val="2"/>
        <charset val="134"/>
        <scheme val="minor"/>
      </rPr>
      <t>​</t>
    </r>
  </si>
  <si>
    <t>孤独的囚徒，心思复杂深沉，感情上自我封闭，难与人交心。</t>
  </si>
  <si>
    <t>深居简出的艺术家；内心纠结的谋士。</t>
  </si>
  <si>
    <r>
      <t>孤辰+天府</t>
    </r>
    <r>
      <rPr>
        <sz val="11"/>
        <color theme="1"/>
        <rFont val="等线"/>
        <family val="2"/>
        <charset val="134"/>
        <scheme val="minor"/>
      </rPr>
      <t>​</t>
    </r>
  </si>
  <si>
    <t>孤独的守成者，享受一个人的富足与安稳，不喜被打扰。</t>
  </si>
  <si>
    <t>独自管理庞大资产的富翁；喜欢宅在家里的收藏家。</t>
  </si>
  <si>
    <r>
      <t>孤辰+太阴</t>
    </r>
    <r>
      <rPr>
        <sz val="11"/>
        <color theme="1"/>
        <rFont val="等线"/>
        <family val="2"/>
        <charset val="134"/>
        <scheme val="minor"/>
      </rPr>
      <t>​</t>
    </r>
  </si>
  <si>
    <t>孤独的隐士，内心细腻敏感，喜静，逃避喧嚣人群。</t>
  </si>
  <si>
    <t>隐居的作家；夜间独自工作的程序员。</t>
  </si>
  <si>
    <r>
      <t>孤辰+贪狼</t>
    </r>
    <r>
      <rPr>
        <sz val="11"/>
        <color theme="1"/>
        <rFont val="等线"/>
        <family val="2"/>
        <charset val="134"/>
        <scheme val="minor"/>
      </rPr>
      <t>​</t>
    </r>
  </si>
  <si>
    <t>孤独的欲望者，外表热闹，内心空虚，狂欢后的孤独感更甚。</t>
  </si>
  <si>
    <t>在社交场合活跃，回家后倍感孤单的人。</t>
  </si>
  <si>
    <r>
      <t>孤辰+巨门</t>
    </r>
    <r>
      <rPr>
        <sz val="11"/>
        <color theme="1"/>
        <rFont val="等线"/>
        <family val="2"/>
        <charset val="134"/>
        <scheme val="minor"/>
      </rPr>
      <t>​</t>
    </r>
  </si>
  <si>
    <t>孤独的暗星，因口舌是非或思想阴暗而主动疏离人群。</t>
  </si>
  <si>
    <t>因言论被孤立者；喜欢研究神秘学的独行者。</t>
  </si>
  <si>
    <r>
      <t>孤辰+天相</t>
    </r>
    <r>
      <rPr>
        <sz val="11"/>
        <color theme="1"/>
        <rFont val="等线"/>
        <family val="2"/>
        <charset val="134"/>
        <scheme val="minor"/>
      </rPr>
      <t>​</t>
    </r>
  </si>
  <si>
    <t>孤独的辅佐者，虽善于协调，但内心感到无人真正理解自己。</t>
  </si>
  <si>
    <t>独自处理大量协调工作的秘书长。</t>
  </si>
  <si>
    <r>
      <t>孤辰+天梁</t>
    </r>
    <r>
      <rPr>
        <sz val="11"/>
        <color theme="1"/>
        <rFont val="等线"/>
        <family val="2"/>
        <charset val="134"/>
        <scheme val="minor"/>
      </rPr>
      <t>​</t>
    </r>
  </si>
  <si>
    <t>孤独的荫星，喜欢孤芳自赏，清高孤傲，乐于助人但保持距离。</t>
  </si>
  <si>
    <t>离群索居的修行者；独来独往的老中医。</t>
  </si>
  <si>
    <r>
      <t>孤辰+七杀</t>
    </r>
    <r>
      <rPr>
        <sz val="11"/>
        <color theme="1"/>
        <rFont val="等线"/>
        <family val="2"/>
        <charset val="134"/>
        <scheme val="minor"/>
      </rPr>
      <t>​</t>
    </r>
  </si>
  <si>
    <t>孤独的将军，习惯独当一面，冲锋陷阵，不屑与庸人为伍。</t>
  </si>
  <si>
    <t>独自负责重要项目的经理；喜欢单人冒险的探险家。</t>
  </si>
  <si>
    <r>
      <t>孤辰+破军</t>
    </r>
    <r>
      <rPr>
        <sz val="11"/>
        <color theme="1"/>
        <rFont val="等线"/>
        <family val="2"/>
        <charset val="134"/>
        <scheme val="minor"/>
      </rPr>
      <t>​</t>
    </r>
  </si>
  <si>
    <t>孤独的先锋，喜破旧立新，但行动常不被人理解，感到孤立。</t>
  </si>
  <si>
    <t>独自进行激进改革的先锋；特立独行的发明家。</t>
  </si>
  <si>
    <r>
      <t>孤辰+寡宿</t>
    </r>
    <r>
      <rPr>
        <sz val="11"/>
        <color theme="1"/>
        <rFont val="等线"/>
        <family val="2"/>
        <charset val="134"/>
        <scheme val="minor"/>
      </rPr>
      <t>​</t>
    </r>
  </si>
  <si>
    <r>
      <t>对星，孤独倍增</t>
    </r>
    <r>
      <rPr>
        <sz val="11"/>
        <color theme="1"/>
        <rFont val="等线"/>
        <family val="2"/>
        <charset val="134"/>
        <scheme val="minor"/>
      </rPr>
      <t>。形成“孤寡双星”之象，内心与际遇皆孤，六亲缘薄，独处倾向极强。</t>
    </r>
  </si>
  <si>
    <t>终身未婚的独居者；远离家人的修行僧道。</t>
  </si>
  <si>
    <r>
      <t>孤辰+左辅/右弼</t>
    </r>
    <r>
      <rPr>
        <sz val="11"/>
        <color theme="1"/>
        <rFont val="等线"/>
        <family val="2"/>
        <charset val="134"/>
        <scheme val="minor"/>
      </rPr>
      <t>​</t>
    </r>
  </si>
  <si>
    <t>表面有助力，内心仍感孤独，或助手虽多却难交心。</t>
  </si>
  <si>
    <t>被下属环绕但无真心朋友的老板。</t>
  </si>
  <si>
    <r>
      <t>孤辰+文昌/文曲</t>
    </r>
    <r>
      <rPr>
        <sz val="11"/>
        <color theme="1"/>
        <rFont val="等线"/>
        <family val="2"/>
        <charset val="134"/>
        <scheme val="minor"/>
      </rPr>
      <t>​</t>
    </r>
  </si>
  <si>
    <t>孤独的文人，在文学、艺术创作中享受孤独，思想独特。</t>
  </si>
  <si>
    <t>离群索居的作家；独自创作的画家。</t>
  </si>
  <si>
    <r>
      <t>孤辰+天魁/天钺</t>
    </r>
    <r>
      <rPr>
        <sz val="11"/>
        <color theme="1"/>
        <rFont val="等线"/>
        <family val="2"/>
        <charset val="134"/>
        <scheme val="minor"/>
      </rPr>
      <t>​</t>
    </r>
  </si>
  <si>
    <t>虽有贵人，但关系疏淡，或贵人帮助后便各自分开，缘分不深。</t>
  </si>
  <si>
    <t>得到关键帮助后便不再联系的创业者。</t>
  </si>
  <si>
    <r>
      <t>孤辰+禄存</t>
    </r>
    <r>
      <rPr>
        <sz val="11"/>
        <color theme="1"/>
        <rFont val="等线"/>
        <family val="2"/>
        <charset val="134"/>
        <scheme val="minor"/>
      </rPr>
      <t>​</t>
    </r>
  </si>
  <si>
    <t>孤独的富人，喜欢独自管理财富，或因孤独而积累财富。</t>
  </si>
  <si>
    <t>独自经营产业的富翁；守财奴。</t>
  </si>
  <si>
    <r>
      <t>孤辰+火星</t>
    </r>
    <r>
      <rPr>
        <sz val="11"/>
        <color theme="1"/>
        <rFont val="等线"/>
        <family val="2"/>
        <charset val="134"/>
        <scheme val="minor"/>
      </rPr>
      <t>​</t>
    </r>
  </si>
  <si>
    <t>孤独带暴烈，因脾气暴躁、冲动而与人冲突，导致孤立。</t>
  </si>
  <si>
    <t>因易怒而众叛亲离的人。</t>
  </si>
  <si>
    <r>
      <t>孤辰+铃星</t>
    </r>
    <r>
      <rPr>
        <sz val="11"/>
        <color theme="1"/>
        <rFont val="等线"/>
        <family val="2"/>
        <charset val="134"/>
        <scheme val="minor"/>
      </rPr>
      <t>​</t>
    </r>
  </si>
  <si>
    <t>孤独带计较，因心思细密、计较得失而与人疏远。</t>
  </si>
  <si>
    <t>因算计而失去朋友的人。</t>
  </si>
  <si>
    <r>
      <t>孤辰+擎羊</t>
    </r>
    <r>
      <rPr>
        <sz val="11"/>
        <color theme="1"/>
        <rFont val="等线"/>
        <family val="2"/>
        <charset val="134"/>
        <scheme val="minor"/>
      </rPr>
      <t>​</t>
    </r>
  </si>
  <si>
    <t>孤独带伤害，因个性尖锐、直接而伤害他人，导致关系破裂。</t>
  </si>
  <si>
    <t>因言语刻薄而孤独的人。</t>
  </si>
  <si>
    <r>
      <t>孤辰+陀罗</t>
    </r>
    <r>
      <rPr>
        <sz val="11"/>
        <color theme="1"/>
        <rFont val="等线"/>
        <family val="2"/>
        <charset val="134"/>
        <scheme val="minor"/>
      </rPr>
      <t>​</t>
    </r>
  </si>
  <si>
    <t>孤独带纠缠，过去的孤独感反复萦绕，难以摆脱，或与人分离后纠缠不清。</t>
  </si>
  <si>
    <t>长期沉浸在过去孤独中的人；离婚后仍纠缠的前夫/妻。</t>
  </si>
  <si>
    <r>
      <t>孤辰+地空/地劫</t>
    </r>
    <r>
      <rPr>
        <sz val="11"/>
        <color theme="1"/>
        <rFont val="等线"/>
        <family val="2"/>
        <charset val="134"/>
        <scheme val="minor"/>
      </rPr>
      <t>​</t>
    </r>
  </si>
  <si>
    <t>孤独带空幻，思想脱离现实，感到世人皆醉我独醒，精神上极度孤独。</t>
  </si>
  <si>
    <t>行为怪异的隐士；研究超现实理论的孤独学者。</t>
  </si>
  <si>
    <r>
      <t>1. “孤”与“寡”</t>
    </r>
    <r>
      <rPr>
        <sz val="11"/>
        <color theme="1"/>
        <rFont val="等线"/>
        <family val="2"/>
        <charset val="134"/>
        <scheme val="minor"/>
      </rPr>
      <t>：</t>
    </r>
    <r>
      <rPr>
        <b/>
        <sz val="11"/>
        <color theme="1"/>
        <rFont val="等线"/>
        <family val="3"/>
        <charset val="134"/>
        <scheme val="minor"/>
      </rPr>
      <t>孤辰星主“内在孤独”</t>
    </r>
    <r>
      <rPr>
        <sz val="11"/>
        <color theme="1"/>
        <rFont val="等线"/>
        <family val="2"/>
        <charset val="134"/>
        <scheme val="minor"/>
      </rPr>
      <t>，核心是</t>
    </r>
    <r>
      <rPr>
        <b/>
        <sz val="11"/>
        <color theme="1"/>
        <rFont val="等线"/>
        <family val="3"/>
        <charset val="134"/>
        <scheme val="minor"/>
      </rPr>
      <t>性格的孤僻与内心的孤独感</t>
    </r>
    <r>
      <rPr>
        <sz val="11"/>
        <color theme="1"/>
        <rFont val="等线"/>
        <family val="2"/>
        <charset val="134"/>
        <scheme val="minor"/>
      </rPr>
      <t>；其对星</t>
    </r>
    <r>
      <rPr>
        <b/>
        <sz val="11"/>
        <color theme="1"/>
        <rFont val="等线"/>
        <family val="3"/>
        <charset val="134"/>
        <scheme val="minor"/>
      </rPr>
      <t>寡宿星主“外在孤寡”</t>
    </r>
    <r>
      <rPr>
        <sz val="11"/>
        <color theme="1"/>
        <rFont val="等线"/>
        <family val="2"/>
        <charset val="134"/>
        <scheme val="minor"/>
      </rPr>
      <t>，核心是</t>
    </r>
    <r>
      <rPr>
        <b/>
        <sz val="11"/>
        <color theme="1"/>
        <rFont val="等线"/>
        <family val="3"/>
        <charset val="134"/>
        <scheme val="minor"/>
      </rPr>
      <t>际遇上的分离与独居状态</t>
    </r>
    <r>
      <rPr>
        <sz val="11"/>
        <color theme="1"/>
        <rFont val="等线"/>
        <family val="2"/>
        <charset val="134"/>
        <scheme val="minor"/>
      </rPr>
      <t>。二者同会，则</t>
    </r>
    <r>
      <rPr>
        <b/>
        <sz val="11"/>
        <color theme="1"/>
        <rFont val="等线"/>
        <family val="3"/>
        <charset val="134"/>
        <scheme val="minor"/>
      </rPr>
      <t>内心孤寂且实际独处</t>
    </r>
    <r>
      <rPr>
        <sz val="11"/>
        <color theme="1"/>
        <rFont val="等线"/>
        <family val="2"/>
        <charset val="134"/>
        <scheme val="minor"/>
      </rPr>
      <t>，孤独感最为深重。单见孤辰，可能内心孤独但未必独居。</t>
    </r>
  </si>
  <si>
    <r>
      <t>2. 与“天梁”、“巨门”的区别</t>
    </r>
    <r>
      <rPr>
        <sz val="11"/>
        <color theme="1"/>
        <rFont val="等线"/>
        <family val="2"/>
        <charset val="134"/>
        <scheme val="minor"/>
      </rPr>
      <t>：</t>
    </r>
    <r>
      <rPr>
        <b/>
        <sz val="11"/>
        <color theme="1"/>
        <rFont val="等线"/>
        <family val="3"/>
        <charset val="134"/>
        <scheme val="minor"/>
      </rPr>
      <t>天梁是“孤克星”</t>
    </r>
    <r>
      <rPr>
        <sz val="11"/>
        <color theme="1"/>
        <rFont val="等线"/>
        <family val="2"/>
        <charset val="134"/>
        <scheme val="minor"/>
      </rPr>
      <t>，主</t>
    </r>
    <r>
      <rPr>
        <b/>
        <sz val="11"/>
        <color theme="1"/>
        <rFont val="等线"/>
        <family val="3"/>
        <charset val="134"/>
        <scheme val="minor"/>
      </rPr>
      <t>清高、孤芳自赏带来的距离感</t>
    </r>
    <r>
      <rPr>
        <sz val="11"/>
        <color theme="1"/>
        <rFont val="等线"/>
        <family val="2"/>
        <charset val="134"/>
        <scheme val="minor"/>
      </rPr>
      <t>，有宗教、哲学色彩。</t>
    </r>
    <r>
      <rPr>
        <b/>
        <sz val="11"/>
        <color theme="1"/>
        <rFont val="等线"/>
        <family val="3"/>
        <charset val="134"/>
        <scheme val="minor"/>
      </rPr>
      <t>巨门是“暗星”</t>
    </r>
    <r>
      <rPr>
        <sz val="11"/>
        <color theme="1"/>
        <rFont val="等线"/>
        <family val="2"/>
        <charset val="134"/>
        <scheme val="minor"/>
      </rPr>
      <t>，主</t>
    </r>
    <r>
      <rPr>
        <b/>
        <sz val="11"/>
        <color theme="1"/>
        <rFont val="等线"/>
        <family val="3"/>
        <charset val="134"/>
        <scheme val="minor"/>
      </rPr>
      <t>因是非、口舌、怀疑导致的隔阂与孤立</t>
    </r>
    <r>
      <rPr>
        <sz val="11"/>
        <color theme="1"/>
        <rFont val="等线"/>
        <family val="2"/>
        <charset val="134"/>
        <scheme val="minor"/>
      </rPr>
      <t>。</t>
    </r>
    <r>
      <rPr>
        <b/>
        <sz val="11"/>
        <color theme="1"/>
        <rFont val="等线"/>
        <family val="3"/>
        <charset val="134"/>
        <scheme val="minor"/>
      </rPr>
      <t>孤辰是“孤独星”</t>
    </r>
    <r>
      <rPr>
        <sz val="11"/>
        <color theme="1"/>
        <rFont val="等线"/>
        <family val="2"/>
        <charset val="134"/>
        <scheme val="minor"/>
      </rPr>
      <t>，主</t>
    </r>
    <r>
      <rPr>
        <b/>
        <sz val="11"/>
        <color theme="1"/>
        <rFont val="等线"/>
        <family val="3"/>
        <charset val="134"/>
        <scheme val="minor"/>
      </rPr>
      <t>天性喜静、不喜热闹带来的主动或被动疏离</t>
    </r>
    <r>
      <rPr>
        <sz val="11"/>
        <color theme="1"/>
        <rFont val="等线"/>
        <family val="2"/>
        <charset val="134"/>
        <scheme val="minor"/>
      </rPr>
      <t>。天梁是“我看世人皆俗”，巨门是“我怕世人害我”，孤辰是“我嫌世人太吵”。</t>
    </r>
  </si>
  <si>
    <r>
      <t>3. 宫位定领域</t>
    </r>
    <r>
      <rPr>
        <sz val="11"/>
        <color theme="1"/>
        <rFont val="等线"/>
        <family val="2"/>
        <charset val="134"/>
        <scheme val="minor"/>
      </rPr>
      <t>：孤辰星所在宫位，指示在人生的哪个领域最容易感到孤独或产生疏离感，或个人在哪些方面倾向于独立行事。</t>
    </r>
  </si>
  <si>
    <r>
      <t>4. 四化引动</t>
    </r>
    <r>
      <rPr>
        <sz val="11"/>
        <color theme="1"/>
        <rFont val="等线"/>
        <family val="2"/>
        <charset val="134"/>
        <scheme val="minor"/>
      </rPr>
      <t>：见</t>
    </r>
    <r>
      <rPr>
        <b/>
        <sz val="11"/>
        <color theme="1"/>
        <rFont val="等线"/>
        <family val="3"/>
        <charset val="134"/>
        <scheme val="minor"/>
      </rPr>
      <t>化禄</t>
    </r>
    <r>
      <rPr>
        <sz val="11"/>
        <color theme="1"/>
        <rFont val="等线"/>
        <family val="2"/>
        <charset val="134"/>
        <scheme val="minor"/>
      </rPr>
      <t>，因孤独而获利（如独立研究成功），或享受孤独带来的精神财富。见</t>
    </r>
    <r>
      <rPr>
        <b/>
        <sz val="11"/>
        <color theme="1"/>
        <rFont val="等线"/>
        <family val="3"/>
        <charset val="134"/>
        <scheme val="minor"/>
      </rPr>
      <t>化权</t>
    </r>
    <r>
      <rPr>
        <sz val="11"/>
        <color theme="1"/>
        <rFont val="等线"/>
        <family val="2"/>
        <charset val="134"/>
        <scheme val="minor"/>
      </rPr>
      <t>，主动选择孤独，以孤独为力量（如闭关修炼）。见</t>
    </r>
    <r>
      <rPr>
        <b/>
        <sz val="11"/>
        <color theme="1"/>
        <rFont val="等线"/>
        <family val="3"/>
        <charset val="134"/>
        <scheme val="minor"/>
      </rPr>
      <t>化科</t>
    </r>
    <r>
      <rPr>
        <sz val="11"/>
        <color theme="1"/>
        <rFont val="等线"/>
        <family val="2"/>
        <charset val="134"/>
        <scheme val="minor"/>
      </rPr>
      <t>，因孤独的品格或成就获得名声（如隐士闻名）。见</t>
    </r>
    <r>
      <rPr>
        <b/>
        <sz val="11"/>
        <color theme="1"/>
        <rFont val="等线"/>
        <family val="3"/>
        <charset val="134"/>
        <scheme val="minor"/>
      </rPr>
      <t>化忌</t>
    </r>
    <r>
      <rPr>
        <sz val="11"/>
        <color theme="1"/>
        <rFont val="等线"/>
        <family val="2"/>
        <charset val="134"/>
        <scheme val="minor"/>
      </rPr>
      <t>，</t>
    </r>
    <r>
      <rPr>
        <b/>
        <sz val="11"/>
        <color theme="1"/>
        <rFont val="等线"/>
        <family val="3"/>
        <charset val="134"/>
        <scheme val="minor"/>
      </rPr>
      <t>孤独感加剧</t>
    </r>
    <r>
      <rPr>
        <sz val="11"/>
        <color theme="1"/>
        <rFont val="等线"/>
        <family val="2"/>
        <charset val="134"/>
        <scheme val="minor"/>
      </rPr>
      <t>，为孤独所苦，产生严重心理问题，或遭遇被迫分离。</t>
    </r>
  </si>
  <si>
    <t>一、寡宿定义</t>
  </si>
  <si>
    <t>孤寡、独居、分离、缘薄</t>
  </si>
  <si>
    <t>象征际遇上的孤寡、独居状态、与亲人朋友的分离以及缘分淡薄。其性质主凶，带来实际生活上的孤独与疏离。</t>
  </si>
  <si>
    <t>乙级星，属阴火。主凶，为孤寡、分离、刑克之星。喜与天喜、红鸾等桃花星同度化解，也喜与积极主星（如七杀、破军）同会以行动破寡。</t>
  </si>
  <si>
    <r>
      <t>喜欢独居</t>
    </r>
    <r>
      <rPr>
        <sz val="11"/>
        <color theme="1"/>
        <rFont val="等线"/>
        <family val="2"/>
        <charset val="134"/>
        <scheme val="minor"/>
      </rPr>
      <t>​</t>
    </r>
  </si>
  <si>
    <t>偏好一个人生活，享受独处的空间，不喜与人同住。</t>
  </si>
  <si>
    <t>在命宫、田宅宫时尤为明显。</t>
  </si>
  <si>
    <r>
      <t>缘分淡薄</t>
    </r>
    <r>
      <rPr>
        <sz val="11"/>
        <color theme="1"/>
        <rFont val="等线"/>
        <family val="2"/>
        <charset val="134"/>
        <scheme val="minor"/>
      </rPr>
      <t>​</t>
    </r>
  </si>
  <si>
    <t>与配偶、子女、朋友等六亲缘分较浅，关系疏远或聚少离多。</t>
  </si>
  <si>
    <t>在六亲宫位（夫妻、子女、兄弟）时力量强。</t>
  </si>
  <si>
    <r>
      <t>晚婚或独身</t>
    </r>
    <r>
      <rPr>
        <sz val="11"/>
        <color theme="1"/>
        <rFont val="等线"/>
        <family val="2"/>
        <charset val="134"/>
        <scheme val="minor"/>
      </rPr>
      <t>​</t>
    </r>
  </si>
  <si>
    <t>婚姻较晚，或倾向于不婚，感情路上较为孤单。</t>
  </si>
  <si>
    <t>在夫妻宫、福德宫时显著。</t>
  </si>
  <si>
    <r>
      <t>独立性强</t>
    </r>
    <r>
      <rPr>
        <sz val="11"/>
        <color theme="1"/>
        <rFont val="等线"/>
        <family val="2"/>
        <charset val="134"/>
        <scheme val="minor"/>
      </rPr>
      <t>​</t>
    </r>
  </si>
  <si>
    <t>生活、事业上必须独立自主，难以依靠他人。</t>
  </si>
  <si>
    <r>
      <t>思考冷静</t>
    </r>
    <r>
      <rPr>
        <sz val="11"/>
        <color theme="1"/>
        <rFont val="等线"/>
        <family val="2"/>
        <charset val="134"/>
        <scheme val="minor"/>
      </rPr>
      <t>​</t>
    </r>
  </si>
  <si>
    <t>因独处而能冷静、客观地思考问题，不易受外界干扰。</t>
  </si>
  <si>
    <t>与天机、天梁同度时体现。</t>
  </si>
  <si>
    <t>性格孤僻，喜静，一生易处于独居或心理上的孤寡状态。</t>
  </si>
  <si>
    <t>兄弟姐妹稀少，或各自独立，关系冷淡，少有往来。</t>
  </si>
  <si>
    <t>配偶常不在身边（如异地），或晚婚、婚姻关系冷淡，易独身。</t>
  </si>
  <si>
    <t>子女数目少，或无子女，与子女缘分浅，子女远离。</t>
  </si>
  <si>
    <t>钱财需独自打理，不适宜与人合伙，易因独立经营得财或破财。</t>
  </si>
  <si>
    <t>体质偏寒，易有孤僻导致的慢性病，或喜静养。</t>
  </si>
  <si>
    <t>在外独行，少伴，出行多独自一人，或在外地感到孤单。</t>
  </si>
  <si>
    <t>朋友少，知己难寻，人际关系疏离，社交活动稀少。</t>
  </si>
  <si>
    <t>适合独立工作、自由职业、研究工作等不需团队协作的岗位。</t>
  </si>
  <si>
    <r>
      <t>核心宫位</t>
    </r>
    <r>
      <rPr>
        <sz val="11"/>
        <color theme="1"/>
        <rFont val="等线"/>
        <family val="2"/>
        <charset val="134"/>
        <scheme val="minor"/>
      </rPr>
      <t>。家庭人口少，居住环境冷清，或常独自居住。</t>
    </r>
  </si>
  <si>
    <t>内心享受孤独，精神世界独立，但易有孤寂感。</t>
  </si>
  <si>
    <t>与父母缘分较淡，可能早年离家独立，或父母一方早逝/不在身边。</t>
  </si>
  <si>
    <t>1. 增强孤寡倾向组合</t>
  </si>
  <si>
    <r>
      <t>寡宿+紫微</t>
    </r>
    <r>
      <rPr>
        <sz val="11"/>
        <color theme="1"/>
        <rFont val="等线"/>
        <family val="2"/>
        <charset val="134"/>
        <scheme val="minor"/>
      </rPr>
      <t>​</t>
    </r>
  </si>
  <si>
    <t>孤君在野，虽有权势但身边无人，晚年孤独。</t>
  </si>
  <si>
    <t>独居的退休高官；没有子嗣的企业创始人。</t>
  </si>
  <si>
    <r>
      <t>寡宿+天机</t>
    </r>
    <r>
      <rPr>
        <sz val="11"/>
        <color theme="1"/>
        <rFont val="等线"/>
        <family val="2"/>
        <charset val="134"/>
        <scheme val="minor"/>
      </rPr>
      <t>​</t>
    </r>
  </si>
  <si>
    <t>独行谋士，喜独自筹划、旅行，与家人朋友疏于联络。</t>
  </si>
  <si>
    <t>常年出差在外的顾问；独自修行的道士。</t>
  </si>
  <si>
    <r>
      <t>寡宿+太阳</t>
    </r>
    <r>
      <rPr>
        <sz val="11"/>
        <color theme="1"/>
        <rFont val="等线"/>
        <family val="2"/>
        <charset val="134"/>
        <scheme val="minor"/>
      </rPr>
      <t>​</t>
    </r>
  </si>
  <si>
    <t>独明，虽发光发热但照耀不到身边人，与亲人关系疏远。</t>
  </si>
  <si>
    <t>热心公益却顾不上家庭的慈善家；公众人物但家庭冷清。</t>
  </si>
  <si>
    <r>
      <t>寡宿+武曲</t>
    </r>
    <r>
      <rPr>
        <sz val="11"/>
        <color theme="1"/>
        <rFont val="等线"/>
        <family val="2"/>
        <charset val="134"/>
        <scheme val="minor"/>
      </rPr>
      <t>​</t>
    </r>
  </si>
  <si>
    <t>孤军奋战，在事业、求财路上独自拼搏，六亲助力少。</t>
  </si>
  <si>
    <t>独自经营工厂的老板；单打独斗的销售人员。</t>
  </si>
  <si>
    <r>
      <t>寡宿+天同</t>
    </r>
    <r>
      <rPr>
        <sz val="11"/>
        <color theme="1"/>
        <rFont val="等线"/>
        <family val="2"/>
        <charset val="134"/>
        <scheme val="minor"/>
      </rPr>
      <t>​</t>
    </r>
  </si>
  <si>
    <t>独享清福，喜欢一个人享受生活，不喜家庭琐事牵绊。</t>
  </si>
  <si>
    <t>独自周游世界的退休者；享受单身生活的美食家。</t>
  </si>
  <si>
    <r>
      <t>寡宿+廉贞</t>
    </r>
    <r>
      <rPr>
        <sz val="11"/>
        <color theme="1"/>
        <rFont val="等线"/>
        <family val="2"/>
        <charset val="134"/>
        <scheme val="minor"/>
      </rPr>
      <t>​</t>
    </r>
  </si>
  <si>
    <t>独囚，感情自我封闭，或身处复杂环境而被迫独处。</t>
  </si>
  <si>
    <t>独居的艺术家；在监狱或封闭环境中的人。</t>
  </si>
  <si>
    <r>
      <t>寡宿+天府</t>
    </r>
    <r>
      <rPr>
        <sz val="11"/>
        <color theme="1"/>
        <rFont val="等线"/>
        <family val="2"/>
        <charset val="134"/>
        <scheme val="minor"/>
      </rPr>
      <t>​</t>
    </r>
  </si>
  <si>
    <t>独守财库，财富丰厚但独自享用，家庭人丁不旺。</t>
  </si>
  <si>
    <t>拥有多处房产的独居者；守财的单身富翁。</t>
  </si>
  <si>
    <r>
      <t>寡宿+太阴</t>
    </r>
    <r>
      <rPr>
        <sz val="11"/>
        <color theme="1"/>
        <rFont val="等线"/>
        <family val="2"/>
        <charset val="134"/>
        <scheme val="minor"/>
      </rPr>
      <t>​</t>
    </r>
  </si>
  <si>
    <t>独居隐士，喜欢安静、私密的个人空间，逃避人群。</t>
  </si>
  <si>
    <t>隐居山林的作家；夜间独自工作的程序员。</t>
  </si>
  <si>
    <r>
      <t>寡宿+贪狼</t>
    </r>
    <r>
      <rPr>
        <sz val="11"/>
        <color theme="1"/>
        <rFont val="等线"/>
        <family val="2"/>
        <charset val="134"/>
        <scheme val="minor"/>
      </rPr>
      <t>​</t>
    </r>
  </si>
  <si>
    <t>独酌，表面交际广泛，内心空虚，最终常回归独处。</t>
  </si>
  <si>
    <t>社交达人回家后面对空房；沉迷个人嗜好的独身者。</t>
  </si>
  <si>
    <r>
      <t>寡宿+巨门</t>
    </r>
    <r>
      <rPr>
        <sz val="11"/>
        <color theme="1"/>
        <rFont val="等线"/>
        <family val="2"/>
        <charset val="134"/>
        <scheme val="minor"/>
      </rPr>
      <t>​</t>
    </r>
  </si>
  <si>
    <t>独暗，因是非、口角而与家人朋友疏远，主动选择隔离。</t>
  </si>
  <si>
    <t>与家人吵架后独居；因言论被孤立而离群索居。</t>
  </si>
  <si>
    <r>
      <t>寡宿+天相</t>
    </r>
    <r>
      <rPr>
        <sz val="11"/>
        <color theme="1"/>
        <rFont val="等线"/>
        <family val="2"/>
        <charset val="134"/>
        <scheme val="minor"/>
      </rPr>
      <t>​</t>
    </r>
  </si>
  <si>
    <t>独辅，虽善于协调他人，但自己的事却无人可依，独自承担。</t>
  </si>
  <si>
    <t>独自处理所有事务的秘书长；没有助理的协调者。</t>
  </si>
  <si>
    <r>
      <t>寡宿+天梁</t>
    </r>
    <r>
      <rPr>
        <sz val="11"/>
        <color theme="1"/>
        <rFont val="等线"/>
        <family val="2"/>
        <charset val="134"/>
        <scheme val="minor"/>
      </rPr>
      <t>​</t>
    </r>
  </si>
  <si>
    <t>独荫，清高孤傲，乐于助人但自身孤独，有宗教性孤独。</t>
  </si>
  <si>
    <t>独自修行的僧侣；离群索居的义诊医生。</t>
  </si>
  <si>
    <r>
      <t>寡宿+七杀</t>
    </r>
    <r>
      <rPr>
        <sz val="11"/>
        <color theme="1"/>
        <rFont val="等线"/>
        <family val="2"/>
        <charset val="134"/>
        <scheme val="minor"/>
      </rPr>
      <t>​</t>
    </r>
  </si>
  <si>
    <t>独将，习惯单枪匹马完成任务，不屑与人合作。</t>
  </si>
  <si>
    <r>
      <t>寡宿+破军</t>
    </r>
    <r>
      <rPr>
        <sz val="11"/>
        <color theme="1"/>
        <rFont val="等线"/>
        <family val="2"/>
        <charset val="134"/>
        <scheme val="minor"/>
      </rPr>
      <t>​</t>
    </r>
  </si>
  <si>
    <t>独破，喜独自进行改革、破坏，行动常不被人理解而孤立。</t>
  </si>
  <si>
    <r>
      <t>寡宿+孤辰</t>
    </r>
    <r>
      <rPr>
        <sz val="11"/>
        <color theme="1"/>
        <rFont val="等线"/>
        <family val="2"/>
        <charset val="134"/>
        <scheme val="minor"/>
      </rPr>
      <t>​</t>
    </r>
  </si>
  <si>
    <r>
      <t>对星，孤寡倍增</t>
    </r>
    <r>
      <rPr>
        <sz val="11"/>
        <color theme="1"/>
        <rFont val="等线"/>
        <family val="2"/>
        <charset val="134"/>
        <scheme val="minor"/>
      </rPr>
      <t>。形成“孤寡双星”之象，内心孤独且实际独居，六亲缘份极其淡薄，孤独感最为深重。</t>
    </r>
  </si>
  <si>
    <t>终身未婚且远离家人的独居老人；出家修行的僧道。</t>
  </si>
  <si>
    <r>
      <t>寡宿+左辅/右弼</t>
    </r>
    <r>
      <rPr>
        <sz val="11"/>
        <color theme="1"/>
        <rFont val="等线"/>
        <family val="2"/>
        <charset val="134"/>
        <scheme val="minor"/>
      </rPr>
      <t>​</t>
    </r>
  </si>
  <si>
    <t>表面有助手或伴侣，但内心仍有强烈的孤独感，或关系有名无实。</t>
  </si>
  <si>
    <t>有下属或配偶但感情疏远、各自独立的企业家。</t>
  </si>
  <si>
    <r>
      <t>寡宿+文昌/文曲</t>
    </r>
    <r>
      <rPr>
        <sz val="11"/>
        <color theme="1"/>
        <rFont val="等线"/>
        <family val="2"/>
        <charset val="134"/>
        <scheme val="minor"/>
      </rPr>
      <t>​</t>
    </r>
  </si>
  <si>
    <t>孤独的学者/艺术家，在独处中从事创作或研究，作品可能带有孤寂感。</t>
  </si>
  <si>
    <t>离群索居进行创作的作家；独自在实验室研究的科学家。</t>
  </si>
  <si>
    <r>
      <t>寡宿+天魁/天钺</t>
    </r>
    <r>
      <rPr>
        <sz val="11"/>
        <color theme="1"/>
        <rFont val="等线"/>
        <family val="2"/>
        <charset val="134"/>
        <scheme val="minor"/>
      </rPr>
      <t>​</t>
    </r>
  </si>
  <si>
    <t>虽有贵人相助，但贵人关系短暂或疏远，无法改变其孤寡的本质状态。</t>
  </si>
  <si>
    <t>关键时期得到帮助，但事后与贵人再无往来的创业者。</t>
  </si>
  <si>
    <r>
      <t>寡宿+禄存</t>
    </r>
    <r>
      <rPr>
        <sz val="11"/>
        <color theme="1"/>
        <rFont val="等线"/>
        <family val="2"/>
        <charset val="134"/>
        <scheme val="minor"/>
      </rPr>
      <t>​</t>
    </r>
  </si>
  <si>
    <t>独富，独自拥有和享受财富，或因孤独而积累财富。</t>
  </si>
  <si>
    <t>独自管理巨额资产的单身富翁；因节俭独居而存下钱的老人。</t>
  </si>
  <si>
    <r>
      <t>寡宿+火星</t>
    </r>
    <r>
      <rPr>
        <sz val="11"/>
        <color theme="1"/>
        <rFont val="等线"/>
        <family val="2"/>
        <charset val="134"/>
        <scheme val="minor"/>
      </rPr>
      <t>​</t>
    </r>
  </si>
  <si>
    <t>孤寡带暴烈，因脾气暴躁导致关系破裂而独居，或独居生活不平静。</t>
  </si>
  <si>
    <t>因家暴导致离婚独居的人；独居但家中常发生争吵（与同住者）。</t>
  </si>
  <si>
    <r>
      <t>寡宿+铃星</t>
    </r>
    <r>
      <rPr>
        <sz val="11"/>
        <color theme="1"/>
        <rFont val="等线"/>
        <family val="2"/>
        <charset val="134"/>
        <scheme val="minor"/>
      </rPr>
      <t>​</t>
    </r>
  </si>
  <si>
    <t>孤寡带计较，因斤斤计较、疑心重而导致众叛亲离，最终独处。</t>
  </si>
  <si>
    <t>因算计亲人朋友财产而被孤立独居的人。</t>
  </si>
  <si>
    <r>
      <t>寡宿+擎羊</t>
    </r>
    <r>
      <rPr>
        <sz val="11"/>
        <color theme="1"/>
        <rFont val="等线"/>
        <family val="2"/>
        <charset val="134"/>
        <scheme val="minor"/>
      </rPr>
      <t>​</t>
    </r>
  </si>
  <si>
    <t>孤寡带伤害，因冲突、伤害（言语或身体）导致关系决裂而独处。</t>
  </si>
  <si>
    <t>因争斗与子女断绝关系而独居的老人。</t>
  </si>
  <si>
    <r>
      <t>寡宿+陀罗</t>
    </r>
    <r>
      <rPr>
        <sz val="11"/>
        <color theme="1"/>
        <rFont val="等线"/>
        <family val="2"/>
        <charset val="134"/>
        <scheme val="minor"/>
      </rPr>
      <t>​</t>
    </r>
  </si>
  <si>
    <t>孤寡带纠缠，过去的分离反复困扰，或独居状态拖延、反复。</t>
  </si>
  <si>
    <t>离婚后长期无法走出阴影的独居者；反复分居又复合的夫妻。</t>
  </si>
  <si>
    <r>
      <t>寡宿+地空/地劫</t>
    </r>
    <r>
      <rPr>
        <sz val="11"/>
        <color theme="1"/>
        <rFont val="等线"/>
        <family val="2"/>
        <charset val="134"/>
        <scheme val="minor"/>
      </rPr>
      <t>​</t>
    </r>
  </si>
  <si>
    <t>孤寡带空幻，思想脱离世俗，选择精神上的独处，或住所偏僻、不稳定。</t>
  </si>
  <si>
    <t>隐居山林的修行者；经常搬家的独居者。</t>
  </si>
  <si>
    <r>
      <t>1. “寡”与“孤”</t>
    </r>
    <r>
      <rPr>
        <sz val="11"/>
        <color theme="1"/>
        <rFont val="等线"/>
        <family val="2"/>
        <charset val="134"/>
        <scheme val="minor"/>
      </rPr>
      <t>：</t>
    </r>
    <r>
      <rPr>
        <b/>
        <sz val="11"/>
        <color theme="1"/>
        <rFont val="等线"/>
        <family val="3"/>
        <charset val="134"/>
        <scheme val="minor"/>
      </rPr>
      <t>寡宿星主“外在孤寡”</t>
    </r>
    <r>
      <rPr>
        <sz val="11"/>
        <color theme="1"/>
        <rFont val="等线"/>
        <family val="2"/>
        <charset val="134"/>
        <scheme val="minor"/>
      </rPr>
      <t>，核心是</t>
    </r>
    <r>
      <rPr>
        <b/>
        <sz val="11"/>
        <color theme="1"/>
        <rFont val="等线"/>
        <family val="3"/>
        <charset val="134"/>
        <scheme val="minor"/>
      </rPr>
      <t>实际际遇上的分离、独居状态与缘分淡薄</t>
    </r>
    <r>
      <rPr>
        <sz val="11"/>
        <color theme="1"/>
        <rFont val="等线"/>
        <family val="2"/>
        <charset val="134"/>
        <scheme val="minor"/>
      </rPr>
      <t>；其对星</t>
    </r>
    <r>
      <rPr>
        <b/>
        <sz val="11"/>
        <color theme="1"/>
        <rFont val="等线"/>
        <family val="3"/>
        <charset val="134"/>
        <scheme val="minor"/>
      </rPr>
      <t>孤辰星主“内在孤独”</t>
    </r>
    <r>
      <rPr>
        <sz val="11"/>
        <color theme="1"/>
        <rFont val="等线"/>
        <family val="2"/>
        <charset val="134"/>
        <scheme val="minor"/>
      </rPr>
      <t>，核心是</t>
    </r>
    <r>
      <rPr>
        <b/>
        <sz val="11"/>
        <color theme="1"/>
        <rFont val="等线"/>
        <family val="3"/>
        <charset val="134"/>
        <scheme val="minor"/>
      </rPr>
      <t>性格的孤僻与内心的孤独感</t>
    </r>
    <r>
      <rPr>
        <sz val="11"/>
        <color theme="1"/>
        <rFont val="等线"/>
        <family val="2"/>
        <charset val="134"/>
        <scheme val="minor"/>
      </rPr>
      <t>。二者同会，则</t>
    </r>
    <r>
      <rPr>
        <b/>
        <sz val="11"/>
        <color theme="1"/>
        <rFont val="等线"/>
        <family val="3"/>
        <charset val="134"/>
        <scheme val="minor"/>
      </rPr>
      <t>内心孤寂且实际独处</t>
    </r>
    <r>
      <rPr>
        <sz val="11"/>
        <color theme="1"/>
        <rFont val="等线"/>
        <family val="2"/>
        <charset val="134"/>
        <scheme val="minor"/>
      </rPr>
      <t>，孤寡之性最为严重。单见寡宿，可能实际独居但内心未必孤独。</t>
    </r>
  </si>
  <si>
    <r>
      <t>2. 与“天梁”、“巨门”的区别</t>
    </r>
    <r>
      <rPr>
        <sz val="11"/>
        <color theme="1"/>
        <rFont val="等线"/>
        <family val="2"/>
        <charset val="134"/>
        <scheme val="minor"/>
      </rPr>
      <t>：</t>
    </r>
    <r>
      <rPr>
        <b/>
        <sz val="11"/>
        <color theme="1"/>
        <rFont val="等线"/>
        <family val="3"/>
        <charset val="134"/>
        <scheme val="minor"/>
      </rPr>
      <t>天梁是“孤克星”</t>
    </r>
    <r>
      <rPr>
        <sz val="11"/>
        <color theme="1"/>
        <rFont val="等线"/>
        <family val="2"/>
        <charset val="134"/>
        <scheme val="minor"/>
      </rPr>
      <t>，主</t>
    </r>
    <r>
      <rPr>
        <b/>
        <sz val="11"/>
        <color theme="1"/>
        <rFont val="等线"/>
        <family val="3"/>
        <charset val="134"/>
        <scheme val="minor"/>
      </rPr>
      <t>因清高、孤芳自赏带来的实际距离与独处</t>
    </r>
    <r>
      <rPr>
        <sz val="11"/>
        <color theme="1"/>
        <rFont val="等线"/>
        <family val="2"/>
        <charset val="134"/>
        <scheme val="minor"/>
      </rPr>
      <t>，带有宗教、哲学性的离群。</t>
    </r>
    <r>
      <rPr>
        <b/>
        <sz val="11"/>
        <color theme="1"/>
        <rFont val="等线"/>
        <family val="3"/>
        <charset val="134"/>
        <scheme val="minor"/>
      </rPr>
      <t>巨门是“暗星”</t>
    </r>
    <r>
      <rPr>
        <sz val="11"/>
        <color theme="1"/>
        <rFont val="等线"/>
        <family val="2"/>
        <charset val="134"/>
        <scheme val="minor"/>
      </rPr>
      <t>，主</t>
    </r>
    <r>
      <rPr>
        <b/>
        <sz val="11"/>
        <color theme="1"/>
        <rFont val="等线"/>
        <family val="3"/>
        <charset val="134"/>
        <scheme val="minor"/>
      </rPr>
      <t>因是非、口舌、怀疑导致的关系破裂与隔绝</t>
    </r>
    <r>
      <rPr>
        <sz val="11"/>
        <color theme="1"/>
        <rFont val="等线"/>
        <family val="2"/>
        <charset val="134"/>
        <scheme val="minor"/>
      </rPr>
      <t>。</t>
    </r>
    <r>
      <rPr>
        <b/>
        <sz val="11"/>
        <color theme="1"/>
        <rFont val="等线"/>
        <family val="3"/>
        <charset val="134"/>
        <scheme val="minor"/>
      </rPr>
      <t>寡宿是“孤寡星”</t>
    </r>
    <r>
      <rPr>
        <sz val="11"/>
        <color theme="1"/>
        <rFont val="等线"/>
        <family val="2"/>
        <charset val="134"/>
        <scheme val="minor"/>
      </rPr>
      <t>，主</t>
    </r>
    <r>
      <rPr>
        <b/>
        <sz val="11"/>
        <color theme="1"/>
        <rFont val="等线"/>
        <family val="3"/>
        <charset val="134"/>
        <scheme val="minor"/>
      </rPr>
      <t>命运安排或自身选择导致的长期独居、缘分浅薄状态</t>
    </r>
    <r>
      <rPr>
        <sz val="11"/>
        <color theme="1"/>
        <rFont val="等线"/>
        <family val="2"/>
        <charset val="134"/>
        <scheme val="minor"/>
      </rPr>
      <t>。天梁是“主动选择远离俗世”，巨门是“因是非被动隔离”，寡宿是“命运使然或习惯性独处”。</t>
    </r>
  </si>
  <si>
    <r>
      <t>3. 宫位定领域</t>
    </r>
    <r>
      <rPr>
        <sz val="11"/>
        <color theme="1"/>
        <rFont val="等线"/>
        <family val="2"/>
        <charset val="134"/>
        <scheme val="minor"/>
      </rPr>
      <t>：寡宿星所在宫位，指示在人生的哪个领域最容易出现独处、分离、缘分淡薄的实际状况。</t>
    </r>
  </si>
  <si>
    <r>
      <t>4. 四化引动</t>
    </r>
    <r>
      <rPr>
        <sz val="11"/>
        <color theme="1"/>
        <rFont val="等线"/>
        <family val="2"/>
        <charset val="134"/>
        <scheme val="minor"/>
      </rPr>
      <t>：见</t>
    </r>
    <r>
      <rPr>
        <b/>
        <sz val="11"/>
        <color theme="1"/>
        <rFont val="等线"/>
        <family val="3"/>
        <charset val="134"/>
        <scheme val="minor"/>
      </rPr>
      <t>化禄</t>
    </r>
    <r>
      <rPr>
        <sz val="11"/>
        <color theme="1"/>
        <rFont val="等线"/>
        <family val="2"/>
        <charset val="134"/>
        <scheme val="minor"/>
      </rPr>
      <t>，因独处而获利（如独居节省开支、独立研究获成功），或享受孤独带来的清静与自由。见</t>
    </r>
    <r>
      <rPr>
        <b/>
        <sz val="11"/>
        <color theme="1"/>
        <rFont val="等线"/>
        <family val="3"/>
        <charset val="134"/>
        <scheme val="minor"/>
      </rPr>
      <t>化权</t>
    </r>
    <r>
      <rPr>
        <sz val="11"/>
        <color theme="1"/>
        <rFont val="等线"/>
        <family val="2"/>
        <charset val="134"/>
        <scheme val="minor"/>
      </rPr>
      <t>，主动选择独居，将孤寡状态转化为个人空间的控制权。见</t>
    </r>
    <r>
      <rPr>
        <b/>
        <sz val="11"/>
        <color theme="1"/>
        <rFont val="等线"/>
        <family val="3"/>
        <charset val="134"/>
        <scheme val="minor"/>
      </rPr>
      <t>化科</t>
    </r>
    <r>
      <rPr>
        <sz val="11"/>
        <color theme="1"/>
        <rFont val="等线"/>
        <family val="2"/>
        <charset val="134"/>
        <scheme val="minor"/>
      </rPr>
      <t>，因独处的品格或成就获得社会认可（如隐士被尊崇）。见</t>
    </r>
    <r>
      <rPr>
        <b/>
        <sz val="11"/>
        <color theme="1"/>
        <rFont val="等线"/>
        <family val="3"/>
        <charset val="134"/>
        <scheme val="minor"/>
      </rPr>
      <t>化忌</t>
    </r>
    <r>
      <rPr>
        <sz val="11"/>
        <color theme="1"/>
        <rFont val="等线"/>
        <family val="2"/>
        <charset val="134"/>
        <scheme val="minor"/>
      </rPr>
      <t>，</t>
    </r>
    <r>
      <rPr>
        <b/>
        <sz val="11"/>
        <color theme="1"/>
        <rFont val="等线"/>
        <family val="3"/>
        <charset val="134"/>
        <scheme val="minor"/>
      </rPr>
      <t>孤寡加剧</t>
    </r>
    <r>
      <rPr>
        <sz val="11"/>
        <color theme="1"/>
        <rFont val="等线"/>
        <family val="2"/>
        <charset val="134"/>
        <scheme val="minor"/>
      </rPr>
      <t>，为独居所苦，遭遇被迫、痛苦的分离，或产生严重的社会适应问题。</t>
    </r>
  </si>
  <si>
    <t>一、破碎定义</t>
  </si>
  <si>
    <t>破坏、损耗、不完整、琐碎</t>
  </si>
  <si>
    <t>象征事物的破裂、损耗、不完整，以及事情的琐碎、反复与不顺利。其性质主凶，带来破坏性与消耗性。</t>
  </si>
  <si>
    <t>乙级星，属阴火。主凶，为损耗、破坏之星。喜与吉星同会以减轻破坏力，也喜与积极主星（如七杀、破军）同会以主动破旧立新。</t>
  </si>
  <si>
    <t>导致事物破裂、损坏、瓦解，如关系破裂、物品损坏、计划失败。</t>
  </si>
  <si>
    <t>在命宫、夫妻宫、官禄宫时尤为明显。</t>
  </si>
  <si>
    <r>
      <t>损耗性</t>
    </r>
    <r>
      <rPr>
        <sz val="11"/>
        <color theme="1"/>
        <rFont val="等线"/>
        <family val="2"/>
        <charset val="134"/>
        <scheme val="minor"/>
      </rPr>
      <t>​</t>
    </r>
  </si>
  <si>
    <t>造成资源、精力、钱财的不断消耗与流失，事倍功半。</t>
  </si>
  <si>
    <t>在财帛宫、疾厄宫时力量强。</t>
  </si>
  <si>
    <r>
      <t>不完整性</t>
    </r>
    <r>
      <rPr>
        <sz val="11"/>
        <color theme="1"/>
        <rFont val="等线"/>
        <family val="2"/>
        <charset val="134"/>
        <scheme val="minor"/>
      </rPr>
      <t>​</t>
    </r>
  </si>
  <si>
    <t>事物难以圆满，总有缺陷、遗憾，或事情做到一半就中断。</t>
  </si>
  <si>
    <t>在田宅宫、子女宫时显著。</t>
  </si>
  <si>
    <r>
      <t>突发性</t>
    </r>
    <r>
      <rPr>
        <sz val="11"/>
        <color theme="1"/>
        <rFont val="等线"/>
        <family val="2"/>
        <charset val="134"/>
        <scheme val="minor"/>
      </rPr>
      <t>​</t>
    </r>
  </si>
  <si>
    <t>破坏与损耗常突然发生，令人措手不及。</t>
  </si>
  <si>
    <t>与火星、铃星同度时显现。</t>
  </si>
  <si>
    <r>
      <t>琐碎性</t>
    </r>
    <r>
      <rPr>
        <sz val="11"/>
        <color theme="1"/>
        <rFont val="等线"/>
        <family val="2"/>
        <charset val="134"/>
        <scheme val="minor"/>
      </rPr>
      <t>​</t>
    </r>
  </si>
  <si>
    <t>事情繁琐、杂乱，需要反复处理，消耗心神。</t>
  </si>
  <si>
    <t>在福德宫、迁移宫时体现。</t>
  </si>
  <si>
    <t>性格挑剔，做事易有头无尾，人生多波折，计划常半途而废。</t>
  </si>
  <si>
    <t>与兄弟姐妹关系易有裂痕，或助力分散、不持久。</t>
  </si>
  <si>
    <t>感情易破裂，争吵多，婚姻不美，或配偶身体不佳。</t>
  </si>
  <si>
    <t>子女缘薄，或子女身体易有损伤，合作易破局。</t>
  </si>
  <si>
    <t>钱财损耗大，破财频繁，或因琐碎小事不断花钱。</t>
  </si>
  <si>
    <t>身体易有破损（如手术、外伤），或慢性消耗性疾病。</t>
  </si>
  <si>
    <t>外出易有波折、损耗，行程易被打断，在外人际关系易破裂。</t>
  </si>
  <si>
    <t>朋友关系不长久，易因小事翻脸，下属流动性大。</t>
  </si>
  <si>
    <t>事业上多挫折，项目易中断，工作内容琐碎繁杂。</t>
  </si>
  <si>
    <t>家宅不宁，易有损坏，家庭关系易破裂，或住所不完整。</t>
  </si>
  <si>
    <r>
      <t>核心宫位</t>
    </r>
    <r>
      <rPr>
        <sz val="11"/>
        <color theme="1"/>
        <rFont val="等线"/>
        <family val="2"/>
        <charset val="134"/>
        <scheme val="minor"/>
      </rPr>
      <t>。思想消极，精神消耗大，常感烦恼，享受不圆满。</t>
    </r>
  </si>
  <si>
    <t>与父母缘分浅，或父母健康有损，得到遗产不完整。</t>
  </si>
  <si>
    <t>1. 增强破坏损耗组合</t>
  </si>
  <si>
    <r>
      <t>破碎+紫微</t>
    </r>
    <r>
      <rPr>
        <sz val="11"/>
        <color theme="1"/>
        <rFont val="等线"/>
        <family val="2"/>
        <charset val="134"/>
        <scheme val="minor"/>
      </rPr>
      <t>​</t>
    </r>
  </si>
  <si>
    <t>权威破损，地位、名誉易受损，或大型计划/机构出现瓦解危机。</t>
  </si>
  <si>
    <t>企业帝国崩塌；重要项目流产。</t>
  </si>
  <si>
    <r>
      <t>破碎+天机</t>
    </r>
    <r>
      <rPr>
        <sz val="11"/>
        <color theme="1"/>
        <rFont val="等线"/>
        <family val="2"/>
        <charset val="134"/>
        <scheme val="minor"/>
      </rPr>
      <t>​</t>
    </r>
  </si>
  <si>
    <t>谋略破碎，计划常被打乱，思维跳跃不连贯，交通工具易损坏。</t>
  </si>
  <si>
    <t>旅行计划屡次变更；电脑频繁故障。</t>
  </si>
  <si>
    <r>
      <t>破碎+太阳</t>
    </r>
    <r>
      <rPr>
        <sz val="11"/>
        <color theme="1"/>
        <rFont val="等线"/>
        <family val="2"/>
        <charset val="134"/>
        <scheme val="minor"/>
      </rPr>
      <t>​</t>
    </r>
  </si>
  <si>
    <t>光明破损，名声有瑕，公开场合失态，与男性关系易破裂。</t>
  </si>
  <si>
    <t>公众人物丑闻；父子关系决裂。</t>
  </si>
  <si>
    <r>
      <t>破碎+武曲</t>
    </r>
    <r>
      <rPr>
        <sz val="11"/>
        <color theme="1"/>
        <rFont val="等线"/>
        <family val="2"/>
        <charset val="134"/>
        <scheme val="minor"/>
      </rPr>
      <t>​</t>
    </r>
  </si>
  <si>
    <t>财帛破损，钱财损耗严重，金属物品易坏，事业中断。</t>
  </si>
  <si>
    <t>投资失败血本无归；机器设备频繁维修。</t>
  </si>
  <si>
    <r>
      <t>破碎+天同</t>
    </r>
    <r>
      <rPr>
        <sz val="11"/>
        <color theme="1"/>
        <rFont val="等线"/>
        <family val="2"/>
        <charset val="134"/>
        <scheme val="minor"/>
      </rPr>
      <t>​</t>
    </r>
  </si>
  <si>
    <t>福气破损，享受被打断，乐极生悲，安逸生活被琐事扰乱。</t>
  </si>
  <si>
    <t>度假时不断接到工作电话；美食吃到异物。</t>
  </si>
  <si>
    <r>
      <t>破碎+廉贞</t>
    </r>
    <r>
      <rPr>
        <sz val="11"/>
        <color theme="1"/>
        <rFont val="等线"/>
        <family val="2"/>
        <charset val="134"/>
        <scheme val="minor"/>
      </rPr>
      <t>​</t>
    </r>
  </si>
  <si>
    <t>精密破损，复杂关系或精密事物（如电路、感情）易出问题。</t>
  </si>
  <si>
    <t>感情纠葛导致身败名裂；精密仪器失灵。</t>
  </si>
  <si>
    <r>
      <t>破碎+天府</t>
    </r>
    <r>
      <rPr>
        <sz val="11"/>
        <color theme="1"/>
        <rFont val="等线"/>
        <family val="2"/>
        <charset val="134"/>
        <scheme val="minor"/>
      </rPr>
      <t>​</t>
    </r>
  </si>
  <si>
    <t>库藏破损，积蓄被消耗，收藏品损坏，稳定的局面被打破。</t>
  </si>
  <si>
    <t>因意外耗光存款；传家宝被打碎。</t>
  </si>
  <si>
    <r>
      <t>破碎+太阴</t>
    </r>
    <r>
      <rPr>
        <sz val="11"/>
        <color theme="1"/>
        <rFont val="等线"/>
        <family val="2"/>
        <charset val="134"/>
        <scheme val="minor"/>
      </rPr>
      <t>​</t>
    </r>
  </si>
  <si>
    <t>阴柔破损，女性关系不利，内心安全感被破坏，房屋漏水等。</t>
  </si>
  <si>
    <t>母女关系紧张；房屋因水管破裂被淹。</t>
  </si>
  <si>
    <r>
      <t>破碎+贪狼</t>
    </r>
    <r>
      <rPr>
        <sz val="11"/>
        <color theme="1"/>
        <rFont val="等线"/>
        <family val="2"/>
        <charset val="134"/>
        <scheme val="minor"/>
      </rPr>
      <t>​</t>
    </r>
  </si>
  <si>
    <t>欲望破损，所求不得，桃花破裂，嗜好带来损耗。</t>
  </si>
  <si>
    <t>恋情突然告吹；沉迷赌博破财。</t>
  </si>
  <si>
    <r>
      <t>破碎+巨门</t>
    </r>
    <r>
      <rPr>
        <sz val="11"/>
        <color theme="1"/>
        <rFont val="等线"/>
        <family val="2"/>
        <charset val="134"/>
        <scheme val="minor"/>
      </rPr>
      <t>​</t>
    </r>
  </si>
  <si>
    <t>口舌破损，因是非争吵导致关系破裂，合同、文书出问题。</t>
  </si>
  <si>
    <t>因诽谤官司缠身；重要文件丢失部分。</t>
  </si>
  <si>
    <r>
      <t>破碎+天相</t>
    </r>
    <r>
      <rPr>
        <sz val="11"/>
        <color theme="1"/>
        <rFont val="等线"/>
        <family val="2"/>
        <charset val="134"/>
        <scheme val="minor"/>
      </rPr>
      <t>​</t>
    </r>
  </si>
  <si>
    <t>印信破损，凭证、证书出问题，形象受损，协调失败。</t>
  </si>
  <si>
    <t>护照损坏无法登机；因丑闻失去公职。</t>
  </si>
  <si>
    <r>
      <t>破碎+天梁</t>
    </r>
    <r>
      <rPr>
        <sz val="11"/>
        <color theme="1"/>
        <rFont val="等线"/>
        <family val="2"/>
        <charset val="134"/>
        <scheme val="minor"/>
      </rPr>
      <t>​</t>
    </r>
  </si>
  <si>
    <t>荫庇破损，靠山倒塌，长辈健康出问题，宗教寄托破灭。</t>
  </si>
  <si>
    <t>后台倒台；寺庙修缮时佛像受损。</t>
  </si>
  <si>
    <r>
      <t>破碎+七杀</t>
    </r>
    <r>
      <rPr>
        <sz val="11"/>
        <color theme="1"/>
        <rFont val="等线"/>
        <family val="2"/>
        <charset val="134"/>
        <scheme val="minor"/>
      </rPr>
      <t>​</t>
    </r>
  </si>
  <si>
    <r>
      <t>破坏力极强</t>
    </r>
    <r>
      <rPr>
        <sz val="11"/>
        <color theme="1"/>
        <rFont val="等线"/>
        <family val="2"/>
        <charset val="134"/>
        <scheme val="minor"/>
      </rPr>
      <t>。暴力性破损，突然的严重打击，如手术、车祸、事业崩盘。</t>
    </r>
  </si>
  <si>
    <t>突发重大事故；公司突然破产。</t>
  </si>
  <si>
    <r>
      <t>破碎+破军</t>
    </r>
    <r>
      <rPr>
        <sz val="11"/>
        <color theme="1"/>
        <rFont val="等线"/>
        <family val="2"/>
        <charset val="134"/>
        <scheme val="minor"/>
      </rPr>
      <t>​</t>
    </r>
  </si>
  <si>
    <r>
      <t>破坏后重建</t>
    </r>
    <r>
      <rPr>
        <sz val="11"/>
        <color theme="1"/>
        <rFont val="等线"/>
        <family val="2"/>
        <charset val="134"/>
        <scheme val="minor"/>
      </rPr>
      <t>。先破后成，但破坏过程剧烈，如拆迁、改革中的巨大损耗。</t>
    </r>
  </si>
  <si>
    <t>企业重组中大量裁员；旧疾手术切除。</t>
  </si>
  <si>
    <r>
      <t>破碎+蜚廉</t>
    </r>
    <r>
      <rPr>
        <sz val="11"/>
        <color theme="1"/>
        <rFont val="等线"/>
        <family val="2"/>
        <charset val="134"/>
        <scheme val="minor"/>
      </rPr>
      <t>​</t>
    </r>
  </si>
  <si>
    <r>
      <t>对星，破坏倍增</t>
    </r>
    <r>
      <rPr>
        <sz val="11"/>
        <color theme="1"/>
        <rFont val="等线"/>
        <family val="2"/>
        <charset val="134"/>
        <scheme val="minor"/>
      </rPr>
      <t>。形成“破碎蜚廉”之象，主是非、破损交加，事情支离破碎，麻烦不断。</t>
    </r>
  </si>
  <si>
    <t>官司缠身且财产受损；项目不断出问题且流言四起。</t>
  </si>
  <si>
    <r>
      <t>破碎+文昌/文曲</t>
    </r>
    <r>
      <rPr>
        <sz val="11"/>
        <color theme="1"/>
        <rFont val="等线"/>
        <family val="2"/>
        <charset val="134"/>
        <scheme val="minor"/>
      </rPr>
      <t>​</t>
    </r>
  </si>
  <si>
    <t>文书破损，考试失利，证书出问题，艺术创作中断或作品被毁。</t>
  </si>
  <si>
    <t>准考证丢失；画作在运输中损坏。</t>
  </si>
  <si>
    <r>
      <t>破碎+左辅/右弼</t>
    </r>
    <r>
      <rPr>
        <sz val="11"/>
        <color theme="1"/>
        <rFont val="等线"/>
        <family val="2"/>
        <charset val="134"/>
        <scheme val="minor"/>
      </rPr>
      <t>​</t>
    </r>
  </si>
  <si>
    <t>助力被破坏，帮手不得力或中途离开，合作方撤资。</t>
  </si>
  <si>
    <t>创业伙伴突然拆伙；助理失误导致项目失败。</t>
  </si>
  <si>
    <r>
      <t>破碎+天魁/天钺</t>
    </r>
    <r>
      <rPr>
        <sz val="11"/>
        <color theme="1"/>
        <rFont val="等线"/>
        <family val="2"/>
        <charset val="134"/>
        <scheme val="minor"/>
      </rPr>
      <t>​</t>
    </r>
  </si>
  <si>
    <t>贵人助力被中断或打折扣，机遇被破坏。</t>
  </si>
  <si>
    <t>即将谈成的合作因意外告吹；贵人自身难保。</t>
  </si>
  <si>
    <r>
      <t>破碎+禄存</t>
    </r>
    <r>
      <rPr>
        <sz val="11"/>
        <color theme="1"/>
        <rFont val="等线"/>
        <family val="2"/>
        <charset val="134"/>
        <scheme val="minor"/>
      </rPr>
      <t>​</t>
    </r>
  </si>
  <si>
    <t>财富破损，存不住钱，或因破损之事破财。</t>
  </si>
  <si>
    <t>攒钱为了买房，结果房子出现严重质量问题。</t>
  </si>
  <si>
    <r>
      <t>破碎+火星</t>
    </r>
    <r>
      <rPr>
        <sz val="11"/>
        <color theme="1"/>
        <rFont val="等线"/>
        <family val="2"/>
        <charset val="134"/>
        <scheme val="minor"/>
      </rPr>
      <t>​</t>
    </r>
  </si>
  <si>
    <t>突发性猛烈破坏，事情突然崩坏，损坏带有爆炸、火灾性质。</t>
  </si>
  <si>
    <t>突发火灾烧毁店铺；因暴怒砸坏东西。</t>
  </si>
  <si>
    <r>
      <t>破碎+铃星</t>
    </r>
    <r>
      <rPr>
        <sz val="11"/>
        <color theme="1"/>
        <rFont val="等线"/>
        <family val="2"/>
        <charset val="134"/>
        <scheme val="minor"/>
      </rPr>
      <t>​</t>
    </r>
  </si>
  <si>
    <t>慢性、纠缠性的破坏，损耗持续发生，如金属疲劳断裂。</t>
  </si>
  <si>
    <t>车辆不断出现小毛病；慢性疾病消耗身体。</t>
  </si>
  <si>
    <r>
      <t>破碎+擎羊</t>
    </r>
    <r>
      <rPr>
        <sz val="11"/>
        <color theme="1"/>
        <rFont val="等线"/>
        <family val="2"/>
        <charset val="134"/>
        <scheme val="minor"/>
      </rPr>
      <t>​</t>
    </r>
  </si>
  <si>
    <t>破坏带直接伤害，如刀伤、手术、激烈冲突导致的破裂。</t>
  </si>
  <si>
    <t>打架受伤缝针；因竞争激烈导致合作破裂。</t>
  </si>
  <si>
    <r>
      <t>破碎+陀罗</t>
    </r>
    <r>
      <rPr>
        <sz val="11"/>
        <color theme="1"/>
        <rFont val="等线"/>
        <family val="2"/>
        <charset val="134"/>
        <scheme val="minor"/>
      </rPr>
      <t>​</t>
    </r>
  </si>
  <si>
    <t>破坏拖延反复，旧问题不断复发，损耗过程漫长。</t>
  </si>
  <si>
    <t>房屋漏水反复维修；旧伤时常疼痛。</t>
  </si>
  <si>
    <r>
      <t>破碎+地空/地劫</t>
    </r>
    <r>
      <rPr>
        <sz val="11"/>
        <color theme="1"/>
        <rFont val="等线"/>
        <family val="2"/>
        <charset val="134"/>
        <scheme val="minor"/>
      </rPr>
      <t>​</t>
    </r>
  </si>
  <si>
    <t>破坏带空幻性，莫名其妙的损耗，或因理想化导致计划破灭。</t>
  </si>
  <si>
    <t>投资虚无缥缈的项目血本无归；因不切实际的想法导致失败。</t>
  </si>
  <si>
    <r>
      <t>1. “破”与“蜚”</t>
    </r>
    <r>
      <rPr>
        <sz val="11"/>
        <color theme="1"/>
        <rFont val="等线"/>
        <family val="2"/>
        <charset val="134"/>
        <scheme val="minor"/>
      </rPr>
      <t>：</t>
    </r>
    <r>
      <rPr>
        <b/>
        <sz val="11"/>
        <color theme="1"/>
        <rFont val="等线"/>
        <family val="3"/>
        <charset val="134"/>
        <scheme val="minor"/>
      </rPr>
      <t>破碎星主“内部损耗与破坏”</t>
    </r>
    <r>
      <rPr>
        <sz val="11"/>
        <color theme="1"/>
        <rFont val="等线"/>
        <family val="2"/>
        <charset val="134"/>
        <scheme val="minor"/>
      </rPr>
      <t>，核心是</t>
    </r>
    <r>
      <rPr>
        <b/>
        <sz val="11"/>
        <color theme="1"/>
        <rFont val="等线"/>
        <family val="3"/>
        <charset val="134"/>
        <scheme val="minor"/>
      </rPr>
      <t>事物本身的破裂、不完整与资源消耗</t>
    </r>
    <r>
      <rPr>
        <sz val="11"/>
        <color theme="1"/>
        <rFont val="等线"/>
        <family val="2"/>
        <charset val="134"/>
        <scheme val="minor"/>
      </rPr>
      <t>；其对星</t>
    </r>
    <r>
      <rPr>
        <b/>
        <sz val="11"/>
        <color theme="1"/>
        <rFont val="等线"/>
        <family val="3"/>
        <charset val="134"/>
        <scheme val="minor"/>
      </rPr>
      <t>蜚廉星主“外部是非与中伤”</t>
    </r>
    <r>
      <rPr>
        <sz val="11"/>
        <color theme="1"/>
        <rFont val="等线"/>
        <family val="2"/>
        <charset val="134"/>
        <scheme val="minor"/>
      </rPr>
      <t>，核心是</t>
    </r>
    <r>
      <rPr>
        <b/>
        <sz val="11"/>
        <color theme="1"/>
        <rFont val="等线"/>
        <family val="3"/>
        <charset val="134"/>
        <scheme val="minor"/>
      </rPr>
      <t>来自外部的谣言、诽谤与小人侵害</t>
    </r>
    <r>
      <rPr>
        <sz val="11"/>
        <color theme="1"/>
        <rFont val="等线"/>
        <family val="2"/>
        <charset val="134"/>
        <scheme val="minor"/>
      </rPr>
      <t>。二者同会，则</t>
    </r>
    <r>
      <rPr>
        <b/>
        <sz val="11"/>
        <color theme="1"/>
        <rFont val="等线"/>
        <family val="3"/>
        <charset val="134"/>
        <scheme val="minor"/>
      </rPr>
      <t>内外交迫，破损与是非齐来</t>
    </r>
    <r>
      <rPr>
        <sz val="11"/>
        <color theme="1"/>
        <rFont val="等线"/>
        <family val="2"/>
        <charset val="134"/>
        <scheme val="minor"/>
      </rPr>
      <t>，凶性大增。单见破碎，可能只有内部损耗而无严重是非。</t>
    </r>
  </si>
  <si>
    <r>
      <t>2. 与“七杀”、“破军”的区别</t>
    </r>
    <r>
      <rPr>
        <sz val="11"/>
        <color theme="1"/>
        <rFont val="等线"/>
        <family val="2"/>
        <charset val="134"/>
        <scheme val="minor"/>
      </rPr>
      <t>：</t>
    </r>
    <r>
      <rPr>
        <b/>
        <sz val="11"/>
        <color theme="1"/>
        <rFont val="等线"/>
        <family val="3"/>
        <charset val="134"/>
        <scheme val="minor"/>
      </rPr>
      <t>七杀是“将星”</t>
    </r>
    <r>
      <rPr>
        <sz val="11"/>
        <color theme="1"/>
        <rFont val="等线"/>
        <family val="2"/>
        <charset val="134"/>
        <scheme val="minor"/>
      </rPr>
      <t>，主</t>
    </r>
    <r>
      <rPr>
        <b/>
        <sz val="11"/>
        <color theme="1"/>
        <rFont val="等线"/>
        <family val="3"/>
        <charset val="134"/>
        <scheme val="minor"/>
      </rPr>
      <t>猛烈、突然的破坏与变革</t>
    </r>
    <r>
      <rPr>
        <sz val="11"/>
        <color theme="1"/>
        <rFont val="等线"/>
        <family val="2"/>
        <charset val="134"/>
        <scheme val="minor"/>
      </rPr>
      <t>，带有肃杀和权威性。</t>
    </r>
    <r>
      <rPr>
        <b/>
        <sz val="11"/>
        <color theme="1"/>
        <rFont val="等线"/>
        <family val="3"/>
        <charset val="134"/>
        <scheme val="minor"/>
      </rPr>
      <t>破军是“耗星”</t>
    </r>
    <r>
      <rPr>
        <sz val="11"/>
        <color theme="1"/>
        <rFont val="等线"/>
        <family val="2"/>
        <charset val="134"/>
        <scheme val="minor"/>
      </rPr>
      <t>，主</t>
    </r>
    <r>
      <rPr>
        <b/>
        <sz val="11"/>
        <color theme="1"/>
        <rFont val="等线"/>
        <family val="3"/>
        <charset val="134"/>
        <scheme val="minor"/>
      </rPr>
      <t>先破后立、推倒重建</t>
    </r>
    <r>
      <rPr>
        <sz val="11"/>
        <color theme="1"/>
        <rFont val="等线"/>
        <family val="2"/>
        <charset val="134"/>
        <scheme val="minor"/>
      </rPr>
      <t>，破坏是为了创新。</t>
    </r>
    <r>
      <rPr>
        <b/>
        <sz val="11"/>
        <color theme="1"/>
        <rFont val="等线"/>
        <family val="3"/>
        <charset val="134"/>
        <scheme val="minor"/>
      </rPr>
      <t>破碎是“琐碎星”</t>
    </r>
    <r>
      <rPr>
        <sz val="11"/>
        <color theme="1"/>
        <rFont val="等线"/>
        <family val="2"/>
        <charset val="134"/>
        <scheme val="minor"/>
      </rPr>
      <t>，主</t>
    </r>
    <r>
      <rPr>
        <b/>
        <sz val="11"/>
        <color theme="1"/>
        <rFont val="等线"/>
        <family val="3"/>
        <charset val="134"/>
        <scheme val="minor"/>
      </rPr>
      <t>细碎、反复、不彻底的损耗与破坏</t>
    </r>
    <r>
      <rPr>
        <sz val="11"/>
        <color theme="1"/>
        <rFont val="等线"/>
        <family val="2"/>
        <charset val="134"/>
        <scheme val="minor"/>
      </rPr>
      <t>，使事物支离破碎。七杀是“一刀切”，破军是“拆了盖新的”，破碎是“慢慢碎成渣”。</t>
    </r>
  </si>
  <si>
    <r>
      <t>3. 宫位定领域</t>
    </r>
    <r>
      <rPr>
        <sz val="11"/>
        <color theme="1"/>
        <rFont val="等线"/>
        <family val="2"/>
        <charset val="134"/>
        <scheme val="minor"/>
      </rPr>
      <t>：破碎星所在宫位，指示在人生的哪个领域最容易出现损耗、破坏、不完整的情况。</t>
    </r>
  </si>
  <si>
    <r>
      <t>4. 四化引动</t>
    </r>
    <r>
      <rPr>
        <sz val="11"/>
        <color theme="1"/>
        <rFont val="等线"/>
        <family val="2"/>
        <charset val="134"/>
        <scheme val="minor"/>
      </rPr>
      <t>：见</t>
    </r>
    <r>
      <rPr>
        <b/>
        <sz val="11"/>
        <color theme="1"/>
        <rFont val="等线"/>
        <family val="3"/>
        <charset val="134"/>
        <scheme val="minor"/>
      </rPr>
      <t>化禄</t>
    </r>
    <r>
      <rPr>
        <sz val="11"/>
        <color theme="1"/>
        <rFont val="等线"/>
        <family val="2"/>
        <charset val="134"/>
        <scheme val="minor"/>
      </rPr>
      <t>，因破损反而得财（如保险理赔、拆迁补偿），但过程仍有损耗。见</t>
    </r>
    <r>
      <rPr>
        <b/>
        <sz val="11"/>
        <color theme="1"/>
        <rFont val="等线"/>
        <family val="3"/>
        <charset val="134"/>
        <scheme val="minor"/>
      </rPr>
      <t>化权</t>
    </r>
    <r>
      <rPr>
        <sz val="11"/>
        <color theme="1"/>
        <rFont val="等线"/>
        <family val="2"/>
        <charset val="134"/>
        <scheme val="minor"/>
      </rPr>
      <t>，主动进行破坏、切割（如主动终止合同、手术切除），以控制损失。见</t>
    </r>
    <r>
      <rPr>
        <b/>
        <sz val="11"/>
        <color theme="1"/>
        <rFont val="等线"/>
        <family val="3"/>
        <charset val="134"/>
        <scheme val="minor"/>
      </rPr>
      <t>化科</t>
    </r>
    <r>
      <rPr>
        <sz val="11"/>
        <color theme="1"/>
        <rFont val="等线"/>
        <family val="2"/>
        <charset val="134"/>
        <scheme val="minor"/>
      </rPr>
      <t>，破损之事能被修补、掩盖，或因此获得名声（如修复文物成名）。见</t>
    </r>
    <r>
      <rPr>
        <b/>
        <sz val="11"/>
        <color theme="1"/>
        <rFont val="等线"/>
        <family val="3"/>
        <charset val="134"/>
        <scheme val="minor"/>
      </rPr>
      <t>化忌</t>
    </r>
    <r>
      <rPr>
        <sz val="11"/>
        <color theme="1"/>
        <rFont val="等线"/>
        <family val="2"/>
        <charset val="134"/>
        <scheme val="minor"/>
      </rPr>
      <t>，</t>
    </r>
    <r>
      <rPr>
        <b/>
        <sz val="11"/>
        <color theme="1"/>
        <rFont val="等线"/>
        <family val="3"/>
        <charset val="134"/>
        <scheme val="minor"/>
      </rPr>
      <t>破坏性加剧</t>
    </r>
    <r>
      <rPr>
        <sz val="11"/>
        <color theme="1"/>
        <rFont val="等线"/>
        <family val="2"/>
        <charset val="134"/>
        <scheme val="minor"/>
      </rPr>
      <t>，损耗巨大且无法挽回，事情彻底破碎。</t>
    </r>
  </si>
  <si>
    <t>一、龙德定义</t>
  </si>
  <si>
    <t>贵人、阴德、福报、化解凶厄</t>
  </si>
  <si>
    <t>象征来自有权势、地位或体制内的贵人扶助，以及因过去善行积累的阴德福报在关键时刻显现，能化解灾难、诉讼、是非等凶险。其性质主大吉，代表天赐的福佑与贵人运。</t>
  </si>
  <si>
    <t>乙级星，属阳土。主大吉，为贵人、解厄之星。喜与紫微、天府等贵星同度，力量倍增。即使与煞星同会，亦能减轻其凶性，逢凶化吉。</t>
  </si>
  <si>
    <r>
      <t>贵人相助</t>
    </r>
    <r>
      <rPr>
        <sz val="11"/>
        <color theme="1"/>
        <rFont val="等线"/>
        <family val="2"/>
        <charset val="134"/>
        <scheme val="minor"/>
      </rPr>
      <t>​</t>
    </r>
  </si>
  <si>
    <t>易得有权势、地位或来自官方、大型机构的贵人赏识与帮助。</t>
  </si>
  <si>
    <t>在命宫、迁移宫、官禄宫时尤为明显。</t>
  </si>
  <si>
    <r>
      <t>化解凶厄</t>
    </r>
    <r>
      <rPr>
        <sz val="11"/>
        <color theme="1"/>
        <rFont val="等线"/>
        <family val="2"/>
        <charset val="134"/>
        <scheme val="minor"/>
      </rPr>
      <t>​</t>
    </r>
  </si>
  <si>
    <t>能化解官司、是非、灾难、疾病等凶险，转危为安。</t>
  </si>
  <si>
    <t>与天刑、官符等星同度时力量显现。</t>
  </si>
  <si>
    <r>
      <t>积累阴德</t>
    </r>
    <r>
      <rPr>
        <sz val="11"/>
        <color theme="1"/>
        <rFont val="等线"/>
        <family val="2"/>
        <charset val="134"/>
        <scheme val="minor"/>
      </rPr>
      <t>​</t>
    </r>
  </si>
  <si>
    <t>本人或祖上积有阴德，福报在需要时显现，有“天佑”之象。</t>
  </si>
  <si>
    <t>在福德宫、父母宫时显著。</t>
  </si>
  <si>
    <r>
      <t>提升地位</t>
    </r>
    <r>
      <rPr>
        <sz val="11"/>
        <color theme="1"/>
        <rFont val="等线"/>
        <family val="2"/>
        <charset val="134"/>
        <scheme val="minor"/>
      </rPr>
      <t>​</t>
    </r>
  </si>
  <si>
    <t>因贵人提携或个人德行，获得地位、名誉的提升。</t>
  </si>
  <si>
    <r>
      <t>消灾解讼</t>
    </r>
    <r>
      <rPr>
        <sz val="11"/>
        <color theme="1"/>
        <rFont val="等线"/>
        <family val="2"/>
        <charset val="134"/>
        <scheme val="minor"/>
      </rPr>
      <t>​</t>
    </r>
  </si>
  <si>
    <t>特别利于化解法律诉讼、合同纠纷等官非问题。</t>
  </si>
  <si>
    <t>在官禄宫、交友宫时体现。</t>
  </si>
  <si>
    <t>一生有贵人扶持，逢凶化吉，心地善良，有阴德，社会评价高。</t>
  </si>
  <si>
    <t>兄弟姐妹中有贵人，或能得到同辈、同事的有力帮助。</t>
  </si>
  <si>
    <t>配偶是贵人，或能通过婚姻得到配偶家族的庇护与提携。</t>
  </si>
  <si>
    <t>子女有出息，能成为自己的依靠；合作方是贵人，项目顺利。</t>
  </si>
  <si>
    <t>钱财来得正当且顺利，易因贵人提供机会而获利，避免财务纠纷。</t>
  </si>
  <si>
    <t>遇重病危难时能得良医或转机，化解病灾，身体康复能力强。</t>
  </si>
  <si>
    <r>
      <t>核心宫位</t>
    </r>
    <r>
      <rPr>
        <sz val="11"/>
        <color theme="1"/>
        <rFont val="等线"/>
        <family val="2"/>
        <charset val="134"/>
        <scheme val="minor"/>
      </rPr>
      <t>。在外发展易遇贵人，出门逢凶化吉，得外地人提携。</t>
    </r>
  </si>
  <si>
    <t>下属、朋友是贵人，能得众人拥护帮助，化解人际是非。</t>
  </si>
  <si>
    <t>事业上得领导、上级赏识提拔，化解职场危机，升迁顺利。</t>
  </si>
  <si>
    <t>家宅安宁，遇拆迁、纠纷能得妥善解决；家族有德，庇荫后代。</t>
  </si>
  <si>
    <t>祖上或自身积德深厚，心态平和，常有“如有神助”之感。</t>
  </si>
  <si>
    <t>父母是贵人，得长辈荫庇，或父母有德，能化解家庭危机。</t>
  </si>
  <si>
    <t>1. 增强贵气福报组合</t>
  </si>
  <si>
    <r>
      <t>龙德+紫微</t>
    </r>
    <r>
      <rPr>
        <sz val="11"/>
        <color theme="1"/>
        <rFont val="等线"/>
        <family val="2"/>
        <charset val="134"/>
        <scheme val="minor"/>
      </rPr>
      <t>​</t>
    </r>
  </si>
  <si>
    <t>帝王之德，得最高层级贵人（如政府高官、大企业主）扶持，化解重大危机。</t>
  </si>
  <si>
    <t>企业危机时得到政策支持；惹上官司时遇到公正的大法官。</t>
  </si>
  <si>
    <r>
      <t>龙德+天机</t>
    </r>
    <r>
      <rPr>
        <sz val="11"/>
        <color theme="1"/>
        <rFont val="等线"/>
        <family val="2"/>
        <charset val="134"/>
        <scheme val="minor"/>
      </rPr>
      <t>​</t>
    </r>
  </si>
  <si>
    <t>智谋之德，得聪明、谋士型贵人指点迷津，化解计划中的风险。</t>
  </si>
  <si>
    <t>投资前得高人指点避坑；旅行遇困时得当地人巧妙帮助。</t>
  </si>
  <si>
    <r>
      <t>龙德+太阳</t>
    </r>
    <r>
      <rPr>
        <sz val="11"/>
        <color theme="1"/>
        <rFont val="等线"/>
        <family val="2"/>
        <charset val="134"/>
        <scheme val="minor"/>
      </rPr>
      <t>​</t>
    </r>
  </si>
  <si>
    <t>光明之德，得公开、正直的贵人帮助（如媒体、公众人物），洗刷冤屈。</t>
  </si>
  <si>
    <t>被诬陷时得记者曝光真相；事业上得德高望重者公开推荐。</t>
  </si>
  <si>
    <r>
      <t>龙德+武曲</t>
    </r>
    <r>
      <rPr>
        <sz val="11"/>
        <color theme="1"/>
        <rFont val="等线"/>
        <family val="2"/>
        <charset val="134"/>
        <scheme val="minor"/>
      </rPr>
      <t>​</t>
    </r>
  </si>
  <si>
    <t>财帛之德，得金融、军事、工程领域的贵人帮助，化解财务或执行危机。</t>
  </si>
  <si>
    <t>资金链断裂时得银行支持；工程事故时得专家解决难题。</t>
  </si>
  <si>
    <r>
      <t>龙德+天同</t>
    </r>
    <r>
      <rPr>
        <sz val="11"/>
        <color theme="1"/>
        <rFont val="等线"/>
        <family val="2"/>
        <charset val="134"/>
        <scheme val="minor"/>
      </rPr>
      <t>​</t>
    </r>
  </si>
  <si>
    <t>福气之德，得温和、享乐型贵人关照，化解人际矛盾，转祸为福。</t>
  </si>
  <si>
    <t>人际冲突时有和事佬调解；生病时得到贴心照料而康复。</t>
  </si>
  <si>
    <r>
      <t>龙德+廉贞</t>
    </r>
    <r>
      <rPr>
        <sz val="11"/>
        <color theme="1"/>
        <rFont val="等线"/>
        <family val="2"/>
        <charset val="134"/>
        <scheme val="minor"/>
      </rPr>
      <t>​</t>
    </r>
  </si>
  <si>
    <t>政治之德，得政治、法律、复杂关系中的贵人庇护，化解官非与桃花劫。</t>
  </si>
  <si>
    <t>卷入政治风波时得关键人物保护；感情纠纷得律师巧妙解决。</t>
  </si>
  <si>
    <r>
      <t>龙德+天府</t>
    </r>
    <r>
      <rPr>
        <sz val="11"/>
        <color theme="1"/>
        <rFont val="等线"/>
        <family val="2"/>
        <charset val="134"/>
        <scheme val="minor"/>
      </rPr>
      <t>​</t>
    </r>
  </si>
  <si>
    <t>库藏之德，得财力雄厚或保守稳健的贵人支持，化解经济与信任危机。</t>
  </si>
  <si>
    <t>经济危机时得大财团注资；被怀疑时得资深人士担保。</t>
  </si>
  <si>
    <r>
      <t>龙德+太阴</t>
    </r>
    <r>
      <rPr>
        <sz val="11"/>
        <color theme="1"/>
        <rFont val="等线"/>
        <family val="2"/>
        <charset val="134"/>
        <scheme val="minor"/>
      </rPr>
      <t>​</t>
    </r>
  </si>
  <si>
    <t>阴柔之德，得女性、幕后、地产相关贵人帮助，化解暗中的麻烦。</t>
  </si>
  <si>
    <t>房产纠纷得女性调解人解决；幕后操作遇阻时得关键人物疏通。</t>
  </si>
  <si>
    <r>
      <t>龙德+贪狼</t>
    </r>
    <r>
      <rPr>
        <sz val="11"/>
        <color theme="1"/>
        <rFont val="等线"/>
        <family val="2"/>
        <charset val="134"/>
        <scheme val="minor"/>
      </rPr>
      <t>​</t>
    </r>
  </si>
  <si>
    <t>欲望之德，得交际、艺术、娱乐界贵人帮助，化解桃花与欲望引发的麻烦。</t>
  </si>
  <si>
    <t>桃色纠纷得圈内大佬摆平；艺术创作瓶颈得大师点拨。</t>
  </si>
  <si>
    <r>
      <t>龙德+巨门</t>
    </r>
    <r>
      <rPr>
        <sz val="11"/>
        <color theme="1"/>
        <rFont val="等线"/>
        <family val="2"/>
        <charset val="134"/>
        <scheme val="minor"/>
      </rPr>
      <t>​</t>
    </r>
  </si>
  <si>
    <t>口舌之德，得律师、教师、沟通专家帮助，化解是非口舌与合同纠纷。</t>
  </si>
  <si>
    <t>被诽谤时得名律师辩护；合同陷阱得资深法务指出。</t>
  </si>
  <si>
    <r>
      <t>龙德+天相</t>
    </r>
    <r>
      <rPr>
        <sz val="11"/>
        <color theme="1"/>
        <rFont val="等线"/>
        <family val="2"/>
        <charset val="134"/>
        <scheme val="minor"/>
      </rPr>
      <t>​</t>
    </r>
  </si>
  <si>
    <t>印信之德，得公正、协调型贵人（如公务员、秘书）帮助，化解凭证危机。</t>
  </si>
  <si>
    <t>文件丢失时得有关部门补办；形象危机得公关高手处理。</t>
  </si>
  <si>
    <r>
      <t>龙德+天梁</t>
    </r>
    <r>
      <rPr>
        <sz val="11"/>
        <color theme="1"/>
        <rFont val="等线"/>
        <family val="2"/>
        <charset val="134"/>
        <scheme val="minor"/>
      </rPr>
      <t>​</t>
    </r>
  </si>
  <si>
    <t>荫庇之德，得长辈、医疗、宗教界贵人救助，化解病灾与法律问题。</t>
  </si>
  <si>
    <t>重病得名医救治；法律纠纷得长辈调停。</t>
  </si>
  <si>
    <r>
      <t>龙德+七杀</t>
    </r>
    <r>
      <rPr>
        <sz val="11"/>
        <color theme="1"/>
        <rFont val="等线"/>
        <family val="2"/>
        <charset val="134"/>
        <scheme val="minor"/>
      </rPr>
      <t>​</t>
    </r>
  </si>
  <si>
    <t>肃杀之德，得武职、魄力型贵人帮助，以强硬手段化解突发重大危机。</t>
  </si>
  <si>
    <t>遭遇暴力威胁时得警方保护；企业突变时得铁腕人物接手。</t>
  </si>
  <si>
    <r>
      <t>龙德+破军</t>
    </r>
    <r>
      <rPr>
        <sz val="11"/>
        <color theme="1"/>
        <rFont val="等线"/>
        <family val="2"/>
        <charset val="134"/>
        <scheme val="minor"/>
      </rPr>
      <t>​</t>
    </r>
  </si>
  <si>
    <t>破旧之德，得改革、先锋型贵人帮助，在破坏性变革中保障安全与利益。</t>
  </si>
  <si>
    <t>公司裁员潮中得高层保全；拆迁中得合理补偿与安置。</t>
  </si>
  <si>
    <r>
      <t>帝德相佐</t>
    </r>
    <r>
      <rPr>
        <sz val="11"/>
        <color theme="1"/>
        <rFont val="等线"/>
        <family val="2"/>
        <charset val="134"/>
        <scheme val="minor"/>
      </rPr>
      <t>，贵气达到顶峰，能化解帝王级别的危机，福报深厚。</t>
    </r>
  </si>
  <si>
    <t>国家危难时有救世主般的领袖出现；企业濒临破产时得到国家级援助。</t>
  </si>
  <si>
    <r>
      <t>龙德+天德/月德</t>
    </r>
    <r>
      <rPr>
        <sz val="11"/>
        <color theme="1"/>
        <rFont val="等线"/>
        <family val="2"/>
        <charset val="134"/>
        <scheme val="minor"/>
      </rPr>
      <t>​</t>
    </r>
  </si>
  <si>
    <r>
      <t>三德拱照</t>
    </r>
    <r>
      <rPr>
        <sz val="11"/>
        <color theme="1"/>
        <rFont val="等线"/>
        <family val="2"/>
        <charset val="134"/>
        <scheme val="minor"/>
      </rPr>
      <t>，吉星汇聚，阴德福报最强，一生多逢凶化吉，贵人如云。</t>
    </r>
  </si>
  <si>
    <t>一生屡次大难不死，总有贵人及时相助。</t>
  </si>
  <si>
    <r>
      <t>龙德+天魁/天钺</t>
    </r>
    <r>
      <rPr>
        <sz val="11"/>
        <color theme="1"/>
        <rFont val="等线"/>
        <family val="2"/>
        <charset val="134"/>
        <scheme val="minor"/>
      </rPr>
      <t>​</t>
    </r>
  </si>
  <si>
    <r>
      <t>贵人叠加</t>
    </r>
    <r>
      <rPr>
        <sz val="11"/>
        <color theme="1"/>
        <rFont val="等线"/>
        <family val="2"/>
        <charset val="134"/>
        <scheme val="minor"/>
      </rPr>
      <t>，贵人运极强，天降贵人，机会自动上门，易得意想不到的帮助。</t>
    </r>
  </si>
  <si>
    <t>绝境中遇到陌生贵人慷慨解囊；关键时刻总有贵人引荐。</t>
  </si>
  <si>
    <r>
      <t>龙德+文昌/文曲</t>
    </r>
    <r>
      <rPr>
        <sz val="11"/>
        <color theme="1"/>
        <rFont val="等线"/>
        <family val="2"/>
        <charset val="134"/>
        <scheme val="minor"/>
      </rPr>
      <t>​</t>
    </r>
  </si>
  <si>
    <r>
      <t>德才兼备</t>
    </r>
    <r>
      <rPr>
        <sz val="11"/>
        <color theme="1"/>
        <rFont val="等线"/>
        <family val="2"/>
        <charset val="134"/>
        <scheme val="minor"/>
      </rPr>
      <t>，因才华、文采或良好声誉吸引贵人，化解文书、考试方面的危机。</t>
    </r>
  </si>
  <si>
    <t>因学术成果得大师赏识提携；考试失误却因平时表现优秀被破格录取。</t>
  </si>
  <si>
    <r>
      <t>龙德+左辅/右弼</t>
    </r>
    <r>
      <rPr>
        <sz val="11"/>
        <color theme="1"/>
        <rFont val="等线"/>
        <family val="2"/>
        <charset val="134"/>
        <scheme val="minor"/>
      </rPr>
      <t>​</t>
    </r>
  </si>
  <si>
    <r>
      <t>德助广布</t>
    </r>
    <r>
      <rPr>
        <sz val="11"/>
        <color theme="1"/>
        <rFont val="等线"/>
        <family val="2"/>
        <charset val="134"/>
        <scheme val="minor"/>
      </rPr>
      <t>，贵人众多且助力持久，能得众人拥护，化解群体性危机。</t>
    </r>
  </si>
  <si>
    <t>项目出问题时团队齐心协力共渡难关；竞选时得众多支持者力挺。</t>
  </si>
  <si>
    <r>
      <t>龙德+禄存</t>
    </r>
    <r>
      <rPr>
        <sz val="11"/>
        <color theme="1"/>
        <rFont val="等线"/>
        <family val="2"/>
        <charset val="134"/>
        <scheme val="minor"/>
      </rPr>
      <t>​</t>
    </r>
  </si>
  <si>
    <r>
      <t>德禄双全</t>
    </r>
    <r>
      <rPr>
        <sz val="11"/>
        <color theme="1"/>
        <rFont val="等线"/>
        <family val="2"/>
        <charset val="134"/>
        <scheme val="minor"/>
      </rPr>
      <t>，福报直接转化为财富，因贵人得财，或因德行积累财富。</t>
    </r>
  </si>
  <si>
    <t>因帮助他人而获得丰厚回报；诚信经营赢得大客户长期合作。</t>
  </si>
  <si>
    <r>
      <t>龙德+火星</t>
    </r>
    <r>
      <rPr>
        <sz val="11"/>
        <color theme="1"/>
        <rFont val="等线"/>
        <family val="2"/>
        <charset val="134"/>
        <scheme val="minor"/>
      </rPr>
      <t>​</t>
    </r>
  </si>
  <si>
    <r>
      <t>德制暴戾</t>
    </r>
    <r>
      <rPr>
        <sz val="11"/>
        <color theme="1"/>
        <rFont val="等线"/>
        <family val="2"/>
        <charset val="134"/>
        <scheme val="minor"/>
      </rPr>
      <t>，能化解突如其来的冲突、火灾、官司等暴烈凶事。</t>
    </r>
  </si>
  <si>
    <t>即将发生冲突时被权威人士制止；火灾中被勇敢者救出。</t>
  </si>
  <si>
    <r>
      <t>龙德+铃星</t>
    </r>
    <r>
      <rPr>
        <sz val="11"/>
        <color theme="1"/>
        <rFont val="等线"/>
        <family val="2"/>
        <charset val="134"/>
        <scheme val="minor"/>
      </rPr>
      <t>​</t>
    </r>
  </si>
  <si>
    <r>
      <t>德消阴损</t>
    </r>
    <r>
      <rPr>
        <sz val="11"/>
        <color theme="1"/>
        <rFont val="等线"/>
        <family val="2"/>
        <charset val="134"/>
        <scheme val="minor"/>
      </rPr>
      <t>，能化解拖延、纠缠性的小人暗算、慢性官司或疾病。</t>
    </r>
  </si>
  <si>
    <t>被小人长期诬陷终得清白；慢性病找到良方控制。</t>
  </si>
  <si>
    <r>
      <t>龙德+擎羊</t>
    </r>
    <r>
      <rPr>
        <sz val="11"/>
        <color theme="1"/>
        <rFont val="等线"/>
        <family val="2"/>
        <charset val="134"/>
        <scheme val="minor"/>
      </rPr>
      <t>​</t>
    </r>
  </si>
  <si>
    <r>
      <t>德化刀刑</t>
    </r>
    <r>
      <rPr>
        <sz val="11"/>
        <color theme="1"/>
        <rFont val="等线"/>
        <family val="2"/>
        <charset val="134"/>
        <scheme val="minor"/>
      </rPr>
      <t>，能化解手术、伤害、激烈竞争带来的血光与损失。</t>
    </r>
  </si>
  <si>
    <t>手术非常成功，风险被化解；商业竞争中避免了两败俱伤。</t>
  </si>
  <si>
    <r>
      <t>龙德+陀罗</t>
    </r>
    <r>
      <rPr>
        <sz val="11"/>
        <color theme="1"/>
        <rFont val="等线"/>
        <family val="2"/>
        <charset val="134"/>
        <scheme val="minor"/>
      </rPr>
      <t>​</t>
    </r>
  </si>
  <si>
    <r>
      <t>德解纠缠</t>
    </r>
    <r>
      <rPr>
        <sz val="11"/>
        <color theme="1"/>
        <rFont val="等线"/>
        <family val="2"/>
        <charset val="134"/>
        <scheme val="minor"/>
      </rPr>
      <t>，能化解反复拖延、旧账重提等纠缠不休的麻烦。</t>
    </r>
  </si>
  <si>
    <t>多年的债务纠纷得到和解；旧疾复发时得到根治。</t>
  </si>
  <si>
    <r>
      <t>龙德+地空/地劫</t>
    </r>
    <r>
      <rPr>
        <sz val="11"/>
        <color theme="1"/>
        <rFont val="等线"/>
        <family val="2"/>
        <charset val="134"/>
        <scheme val="minor"/>
      </rPr>
      <t>​</t>
    </r>
  </si>
  <si>
    <r>
      <t>德御虚空</t>
    </r>
    <r>
      <rPr>
        <sz val="11"/>
        <color theme="1"/>
        <rFont val="等线"/>
        <family val="2"/>
        <charset val="134"/>
        <scheme val="minor"/>
      </rPr>
      <t>，能化解因理想空幻、投机导致的破败，在困境中看到希望。</t>
    </r>
  </si>
  <si>
    <t>投资失败山穷水尽时得到转机；虚无的理想得到现实支持。</t>
  </si>
  <si>
    <r>
      <t>1. “龙德”与“天德”、“月德”</t>
    </r>
    <r>
      <rPr>
        <sz val="11"/>
        <color theme="1"/>
        <rFont val="等线"/>
        <family val="2"/>
        <charset val="134"/>
        <scheme val="minor"/>
      </rPr>
      <t>：</t>
    </r>
    <r>
      <rPr>
        <b/>
        <sz val="11"/>
        <color theme="1"/>
        <rFont val="等线"/>
        <family val="3"/>
        <charset val="134"/>
        <scheme val="minor"/>
      </rPr>
      <t>龙德星主“权威贵人”与“体制内福报”</t>
    </r>
    <r>
      <rPr>
        <sz val="11"/>
        <color theme="1"/>
        <rFont val="等线"/>
        <family val="2"/>
        <charset val="134"/>
        <scheme val="minor"/>
      </rPr>
      <t>，贵人常具</t>
    </r>
    <r>
      <rPr>
        <b/>
        <sz val="11"/>
        <color theme="1"/>
        <rFont val="等线"/>
        <family val="3"/>
        <charset val="134"/>
        <scheme val="minor"/>
      </rPr>
      <t>权势、地位或来自官方、大型机构</t>
    </r>
    <r>
      <rPr>
        <sz val="11"/>
        <color theme="1"/>
        <rFont val="等线"/>
        <family val="2"/>
        <charset val="134"/>
        <scheme val="minor"/>
      </rPr>
      <t>，福报与</t>
    </r>
    <r>
      <rPr>
        <b/>
        <sz val="11"/>
        <color theme="1"/>
        <rFont val="等线"/>
        <family val="3"/>
        <charset val="134"/>
        <scheme val="minor"/>
      </rPr>
      <t>法律、秩序、社会地位</t>
    </r>
    <r>
      <rPr>
        <sz val="11"/>
        <color theme="1"/>
        <rFont val="等线"/>
        <family val="2"/>
        <charset val="134"/>
        <scheme val="minor"/>
      </rPr>
      <t>相关。</t>
    </r>
    <r>
      <rPr>
        <b/>
        <sz val="11"/>
        <color theme="1"/>
        <rFont val="等线"/>
        <family val="3"/>
        <charset val="134"/>
        <scheme val="minor"/>
      </rPr>
      <t>天德星主“天道好生之德”</t>
    </r>
    <r>
      <rPr>
        <sz val="11"/>
        <color theme="1"/>
        <rFont val="等线"/>
        <family val="2"/>
        <charset val="134"/>
        <scheme val="minor"/>
      </rPr>
      <t>，贵人多为</t>
    </r>
    <r>
      <rPr>
        <b/>
        <sz val="11"/>
        <color theme="1"/>
        <rFont val="等线"/>
        <family val="3"/>
        <charset val="134"/>
        <scheme val="minor"/>
      </rPr>
      <t>普通善良之人或自然机遇</t>
    </r>
    <r>
      <rPr>
        <sz val="11"/>
        <color theme="1"/>
        <rFont val="等线"/>
        <family val="2"/>
        <charset val="134"/>
        <scheme val="minor"/>
      </rPr>
      <t>，福报来自</t>
    </r>
    <r>
      <rPr>
        <b/>
        <sz val="11"/>
        <color theme="1"/>
        <rFont val="等线"/>
        <family val="3"/>
        <charset val="134"/>
        <scheme val="minor"/>
      </rPr>
      <t>天地护佑</t>
    </r>
    <r>
      <rPr>
        <sz val="11"/>
        <color theme="1"/>
        <rFont val="等线"/>
        <family val="2"/>
        <charset val="134"/>
        <scheme val="minor"/>
      </rPr>
      <t>。</t>
    </r>
    <r>
      <rPr>
        <b/>
        <sz val="11"/>
        <color theme="1"/>
        <rFont val="等线"/>
        <family val="3"/>
        <charset val="134"/>
        <scheme val="minor"/>
      </rPr>
      <t>月德星主“人伦和睦之德”</t>
    </r>
    <r>
      <rPr>
        <sz val="11"/>
        <color theme="1"/>
        <rFont val="等线"/>
        <family val="2"/>
        <charset val="134"/>
        <scheme val="minor"/>
      </rPr>
      <t>，贵人多为</t>
    </r>
    <r>
      <rPr>
        <b/>
        <sz val="11"/>
        <color theme="1"/>
        <rFont val="等线"/>
        <family val="3"/>
        <charset val="134"/>
        <scheme val="minor"/>
      </rPr>
      <t>女性、亲友或因和睦关系而来</t>
    </r>
    <r>
      <rPr>
        <sz val="11"/>
        <color theme="1"/>
        <rFont val="等线"/>
        <family val="2"/>
        <charset val="134"/>
        <scheme val="minor"/>
      </rPr>
      <t>，福报来自</t>
    </r>
    <r>
      <rPr>
        <b/>
        <sz val="11"/>
        <color theme="1"/>
        <rFont val="等线"/>
        <family val="3"/>
        <charset val="134"/>
        <scheme val="minor"/>
      </rPr>
      <t>人缘积累</t>
    </r>
    <r>
      <rPr>
        <sz val="11"/>
        <color theme="1"/>
        <rFont val="等线"/>
        <family val="2"/>
        <charset val="134"/>
        <scheme val="minor"/>
      </rPr>
      <t>。三者同会为“三德拱照”，福力最强。</t>
    </r>
  </si>
  <si>
    <r>
      <t>2. 与“天魁”、“天钺”的区别</t>
    </r>
    <r>
      <rPr>
        <sz val="11"/>
        <color theme="1"/>
        <rFont val="等线"/>
        <family val="2"/>
        <charset val="134"/>
        <scheme val="minor"/>
      </rPr>
      <t>：</t>
    </r>
    <r>
      <rPr>
        <b/>
        <sz val="11"/>
        <color theme="1"/>
        <rFont val="等线"/>
        <family val="3"/>
        <charset val="134"/>
        <scheme val="minor"/>
      </rPr>
      <t>天魁、天钺是“天乙贵人”</t>
    </r>
    <r>
      <rPr>
        <sz val="11"/>
        <color theme="1"/>
        <rFont val="等线"/>
        <family val="2"/>
        <charset val="134"/>
        <scheme val="minor"/>
      </rPr>
      <t>，主</t>
    </r>
    <r>
      <rPr>
        <b/>
        <sz val="11"/>
        <color theme="1"/>
        <rFont val="等线"/>
        <family val="3"/>
        <charset val="134"/>
        <scheme val="minor"/>
      </rPr>
      <t>机会性的、来自上对下的直接提携与机遇</t>
    </r>
    <r>
      <rPr>
        <sz val="11"/>
        <color theme="1"/>
        <rFont val="等线"/>
        <family val="2"/>
        <charset val="134"/>
        <scheme val="minor"/>
      </rPr>
      <t>，更偏向“机会”。</t>
    </r>
    <r>
      <rPr>
        <b/>
        <sz val="11"/>
        <color theme="1"/>
        <rFont val="等线"/>
        <family val="3"/>
        <charset val="134"/>
        <scheme val="minor"/>
      </rPr>
      <t>龙德是“阴德贵人”</t>
    </r>
    <r>
      <rPr>
        <sz val="11"/>
        <color theme="1"/>
        <rFont val="等线"/>
        <family val="2"/>
        <charset val="134"/>
        <scheme val="minor"/>
      </rPr>
      <t>，主</t>
    </r>
    <r>
      <rPr>
        <b/>
        <sz val="11"/>
        <color theme="1"/>
        <rFont val="等线"/>
        <family val="3"/>
        <charset val="134"/>
        <scheme val="minor"/>
      </rPr>
      <t>因德行感召的、来自各方（尤其是体制内）的庇护与化解</t>
    </r>
    <r>
      <rPr>
        <sz val="11"/>
        <color theme="1"/>
        <rFont val="等线"/>
        <family val="2"/>
        <charset val="134"/>
        <scheme val="minor"/>
      </rPr>
      <t>，更偏向“福报”与“化解”。天魁天钺是“给你一个机会”，龙德是“帮你渡过难关”。</t>
    </r>
  </si>
  <si>
    <r>
      <t>3. 宫位定领域</t>
    </r>
    <r>
      <rPr>
        <sz val="11"/>
        <color theme="1"/>
        <rFont val="等线"/>
        <family val="2"/>
        <charset val="134"/>
        <scheme val="minor"/>
      </rPr>
      <t>：龙德星所在宫位，指示在人生的哪个领域最容易得到贵人帮助、积累阴德或化解灾厄。</t>
    </r>
  </si>
  <si>
    <r>
      <t>4. 四化引动</t>
    </r>
    <r>
      <rPr>
        <sz val="11"/>
        <color theme="1"/>
        <rFont val="等线"/>
        <family val="2"/>
        <charset val="134"/>
        <scheme val="minor"/>
      </rPr>
      <t>：见</t>
    </r>
    <r>
      <rPr>
        <b/>
        <sz val="11"/>
        <color theme="1"/>
        <rFont val="等线"/>
        <family val="3"/>
        <charset val="134"/>
        <scheme val="minor"/>
      </rPr>
      <t>化禄</t>
    </r>
    <r>
      <rPr>
        <sz val="11"/>
        <color theme="1"/>
        <rFont val="等线"/>
        <family val="2"/>
        <charset val="134"/>
        <scheme val="minor"/>
      </rPr>
      <t>，贵人直接带来财富机遇，或因积德而发财。见</t>
    </r>
    <r>
      <rPr>
        <b/>
        <sz val="11"/>
        <color theme="1"/>
        <rFont val="等线"/>
        <family val="3"/>
        <charset val="134"/>
        <scheme val="minor"/>
      </rPr>
      <t>化权</t>
    </r>
    <r>
      <rPr>
        <sz val="11"/>
        <color theme="1"/>
        <rFont val="等线"/>
        <family val="2"/>
        <charset val="134"/>
        <scheme val="minor"/>
      </rPr>
      <t>，贵人赋予权力、地位，或因德行获得权威。见</t>
    </r>
    <r>
      <rPr>
        <b/>
        <sz val="11"/>
        <color theme="1"/>
        <rFont val="等线"/>
        <family val="3"/>
        <charset val="134"/>
        <scheme val="minor"/>
      </rPr>
      <t>化科</t>
    </r>
    <r>
      <rPr>
        <sz val="11"/>
        <color theme="1"/>
        <rFont val="等线"/>
        <family val="2"/>
        <charset val="134"/>
        <scheme val="minor"/>
      </rPr>
      <t>，因德行获得好名声、社会赞誉，贵人因名望而来。见</t>
    </r>
    <r>
      <rPr>
        <b/>
        <sz val="11"/>
        <color theme="1"/>
        <rFont val="等线"/>
        <family val="3"/>
        <charset val="134"/>
        <scheme val="minor"/>
      </rPr>
      <t>化忌</t>
    </r>
    <r>
      <rPr>
        <sz val="11"/>
        <color theme="1"/>
        <rFont val="等线"/>
        <family val="2"/>
        <charset val="134"/>
        <scheme val="minor"/>
      </rPr>
      <t>，</t>
    </r>
    <r>
      <rPr>
        <b/>
        <sz val="11"/>
        <color theme="1"/>
        <rFont val="等线"/>
        <family val="3"/>
        <charset val="134"/>
        <scheme val="minor"/>
      </rPr>
      <t>贵人助力打折或延迟</t>
    </r>
    <r>
      <rPr>
        <sz val="11"/>
        <color theme="1"/>
        <rFont val="等线"/>
        <family val="2"/>
        <charset val="134"/>
        <scheme val="minor"/>
      </rPr>
      <t>，需更大德行方能化解，或需偿还“德债”。</t>
    </r>
  </si>
  <si>
    <t>一、天德定义</t>
  </si>
  <si>
    <t>天道福德、贵人扶持、化解灾厄</t>
  </si>
  <si>
    <t>象征天道之德，代表来自上天的庇佑、自然的机遇以及因善念善行感召的贵人扶助。其性质主大吉，能化解灾厄、逢凶化吉，尤其擅长化解自然灾祸与意外伤害。</t>
  </si>
  <si>
    <t>乙级星，属阳火。主大吉，为解厄、贵人、福德之星。喜与月德、龙德等吉星同会，福力倍增。即使与煞星同度，亦能减凶增吉，遇难呈祥。</t>
  </si>
  <si>
    <r>
      <t>天道护佑</t>
    </r>
    <r>
      <rPr>
        <sz val="11"/>
        <color theme="1"/>
        <rFont val="等线"/>
        <family val="2"/>
        <charset val="134"/>
        <scheme val="minor"/>
      </rPr>
      <t>​</t>
    </r>
  </si>
  <si>
    <t>冥冥之中有天佑，常能绝处逢生，避开自然灾害与意外灾祸。</t>
  </si>
  <si>
    <t>在命宫、迁移宫、福德宫时尤为明显。</t>
  </si>
  <si>
    <r>
      <t>贵人扶持</t>
    </r>
    <r>
      <rPr>
        <sz val="11"/>
        <color theme="1"/>
        <rFont val="等线"/>
        <family val="2"/>
        <charset val="134"/>
        <scheme val="minor"/>
      </rPr>
      <t>​</t>
    </r>
  </si>
  <si>
    <t>易得心地善良、不计回报的贵人帮助，贵人常在不经意间出现。</t>
  </si>
  <si>
    <t>与天魁、天钺同度时力量显现。</t>
  </si>
  <si>
    <r>
      <t>化解灾厄</t>
    </r>
    <r>
      <rPr>
        <sz val="11"/>
        <color theme="1"/>
        <rFont val="等线"/>
        <family val="2"/>
        <charset val="134"/>
        <scheme val="minor"/>
      </rPr>
      <t>​</t>
    </r>
  </si>
  <si>
    <t>能化解水火灾、交通事故、跌落等意外伤害，以及突发性疾病。</t>
  </si>
  <si>
    <t>与火星、铃星、擎羊等煞星同会时体现其解厄之力。</t>
  </si>
  <si>
    <r>
      <t>积善之报</t>
    </r>
    <r>
      <rPr>
        <sz val="11"/>
        <color theme="1"/>
        <rFont val="等线"/>
        <family val="2"/>
        <charset val="134"/>
        <scheme val="minor"/>
      </rPr>
      <t>​</t>
    </r>
  </si>
  <si>
    <t>本人或祖上积有善行，福报在关键时刻自然显现，有“吉人天相”之象。</t>
  </si>
  <si>
    <r>
      <t>提升福泽</t>
    </r>
    <r>
      <rPr>
        <sz val="11"/>
        <color theme="1"/>
        <rFont val="等线"/>
        <family val="2"/>
        <charset val="134"/>
        <scheme val="minor"/>
      </rPr>
      <t>​</t>
    </r>
  </si>
  <si>
    <t>增加整体福气，使人生道路较为顺遂，减少无妄之灾。</t>
  </si>
  <si>
    <t>在命宫、身宫时显现。</t>
  </si>
  <si>
    <t>一生多得天佑，心地仁慈，乐善好施，危难时常有转机，有惊无险。</t>
  </si>
  <si>
    <t>兄弟姐妹友善，能得手足帮助，或同辈中多善良之人相助。</t>
  </si>
  <si>
    <t>配偶心地善良，是福星，婚姻能化解自身灾厄，感情和睦。</t>
  </si>
  <si>
    <t>子女孝顺有福，能为自己带来福气；合作方诚信善良，合作顺利。</t>
  </si>
  <si>
    <t>钱财来得平稳正当，不易因意外破财，常有意外之财或馈赠。</t>
  </si>
  <si>
    <t>身体健康，抵抗力强，即使患病也易遇良医或找到良方，转危为安。</t>
  </si>
  <si>
    <r>
      <t>核心宫位</t>
    </r>
    <r>
      <rPr>
        <sz val="11"/>
        <color theme="1"/>
        <rFont val="等线"/>
        <family val="2"/>
        <charset val="134"/>
        <scheme val="minor"/>
      </rPr>
      <t>。外出平安，遇险有救，易得外地人无私帮助，旅途顺利。</t>
    </r>
  </si>
  <si>
    <t>朋友、下属多正直善良之辈，能在危难时伸出援手，人际关系和谐。</t>
  </si>
  <si>
    <t>事业上遇困难易得贵人排解，工作环境和谐，少遇小人陷害。</t>
  </si>
  <si>
    <t>家宅平安，少水火之灾，家庭和睦，邻里关系良好。</t>
  </si>
  <si>
    <r>
      <t>核心宫位</t>
    </r>
    <r>
      <rPr>
        <sz val="11"/>
        <color theme="1"/>
        <rFont val="等线"/>
        <family val="2"/>
        <charset val="134"/>
        <scheme val="minor"/>
      </rPr>
      <t>。祖上积德深厚，自身福报大，心态平和，常逢凶化吉。</t>
    </r>
  </si>
  <si>
    <t>父母仁慈有德，得长辈荫庇，家庭有福气，能化解家庭危机。</t>
  </si>
  <si>
    <t>1. 增强福德贵人组合</t>
  </si>
  <si>
    <r>
      <t>天德+紫微</t>
    </r>
    <r>
      <rPr>
        <sz val="11"/>
        <color theme="1"/>
        <rFont val="等线"/>
        <family val="2"/>
        <charset val="134"/>
        <scheme val="minor"/>
      </rPr>
      <t>​</t>
    </r>
  </si>
  <si>
    <t>天佑帝星，得最高级别的天道护佑，能化解重大社会性、政治性危机。</t>
  </si>
  <si>
    <t>政权更迭中得以保全；大型企业危机中因政策转向而获救。</t>
  </si>
  <si>
    <r>
      <t>天德+天机</t>
    </r>
    <r>
      <rPr>
        <sz val="11"/>
        <color theme="1"/>
        <rFont val="等线"/>
        <family val="2"/>
        <charset val="134"/>
        <scheme val="minor"/>
      </rPr>
      <t>​</t>
    </r>
  </si>
  <si>
    <t>天佑智星，谋事得天助，在计划、出行中避开风险，得智者指点。</t>
  </si>
  <si>
    <t>旅行前因预感改签而避开空难；投资决策时得到关键内幕消息（善意提供）。</t>
  </si>
  <si>
    <r>
      <t>天德+太阳</t>
    </r>
    <r>
      <rPr>
        <sz val="11"/>
        <color theme="1"/>
        <rFont val="等线"/>
        <family val="2"/>
        <charset val="134"/>
        <scheme val="minor"/>
      </rPr>
      <t>​</t>
    </r>
  </si>
  <si>
    <t>天佑光明，公开的困难得公众或正义力量支持而化解，名声得保。</t>
  </si>
  <si>
    <t>被冤枉时出现关键证据；公开演讲遇突发状况被观众巧妙化解。</t>
  </si>
  <si>
    <r>
      <t>天德+武曲</t>
    </r>
    <r>
      <rPr>
        <sz val="11"/>
        <color theme="1"/>
        <rFont val="等线"/>
        <family val="2"/>
        <charset val="134"/>
        <scheme val="minor"/>
      </rPr>
      <t>​</t>
    </r>
  </si>
  <si>
    <t>天佑财星，在金融风险、金属伤害中得以保全，得正直的金融界人士帮助。</t>
  </si>
  <si>
    <t>金融危机中资产奇迹般保值；操作重型机械时意外安全无恙。</t>
  </si>
  <si>
    <r>
      <t>天德+天同</t>
    </r>
    <r>
      <rPr>
        <sz val="11"/>
        <color theme="1"/>
        <rFont val="等线"/>
        <family val="2"/>
        <charset val="134"/>
        <scheme val="minor"/>
      </rPr>
      <t>​</t>
    </r>
  </si>
  <si>
    <t>天佑福星，福上加福，享乐中亦能避祸，得温和长者或朋友关照。</t>
  </si>
  <si>
    <t>游玩时避开危险区域；生病时得到朋友无微不至的照顾而快速康复。</t>
  </si>
  <si>
    <r>
      <t>天德+廉贞</t>
    </r>
    <r>
      <rPr>
        <sz val="11"/>
        <color theme="1"/>
        <rFont val="等线"/>
        <family val="2"/>
        <charset val="134"/>
        <scheme val="minor"/>
      </rPr>
      <t>​</t>
    </r>
  </si>
  <si>
    <t>天佑囚星，化解官非、桃花劫与复杂纠纷，得法律界或纪律部门贵人相助。</t>
  </si>
  <si>
    <t>卷入官司时对方撤诉；感情陷阱中被朋友及时点醒。</t>
  </si>
  <si>
    <r>
      <t>天德+天府</t>
    </r>
    <r>
      <rPr>
        <sz val="11"/>
        <color theme="1"/>
        <rFont val="等线"/>
        <family val="2"/>
        <charset val="134"/>
        <scheme val="minor"/>
      </rPr>
      <t>​</t>
    </r>
  </si>
  <si>
    <t>天佑库星，财富与产业得保，避免盗抢、火灾等损失，得稳健人士帮助。</t>
  </si>
  <si>
    <t>仓库火灾中重要货物奇迹般无损；经济动荡时得保守投资者支持。</t>
  </si>
  <si>
    <r>
      <t>天德+太阴</t>
    </r>
    <r>
      <rPr>
        <sz val="11"/>
        <color theme="1"/>
        <rFont val="等线"/>
        <family val="2"/>
        <charset val="134"/>
        <scheme val="minor"/>
      </rPr>
      <t>​</t>
    </r>
  </si>
  <si>
    <t>天佑阴星，避免水险、女性相关灾祸，得女性或幕后贵人暗中相助。</t>
  </si>
  <si>
    <t>乘船遇风浪安全脱险；房产纠纷得女性调解人圆满解决。</t>
  </si>
  <si>
    <r>
      <t>天德+贪狼</t>
    </r>
    <r>
      <rPr>
        <sz val="11"/>
        <color theme="1"/>
        <rFont val="等线"/>
        <family val="2"/>
        <charset val="134"/>
        <scheme val="minor"/>
      </rPr>
      <t>​</t>
    </r>
  </si>
  <si>
    <t>天佑桃花，化解因欲望、交际引发的祸端，得艺术或娱乐界贵人帮助。</t>
  </si>
  <si>
    <t>酒局中避免被陷害；艺术创作瓶颈时灵感自然涌现。</t>
  </si>
  <si>
    <r>
      <t>天德+巨门</t>
    </r>
    <r>
      <rPr>
        <sz val="11"/>
        <color theme="1"/>
        <rFont val="等线"/>
        <family val="2"/>
        <charset val="134"/>
        <scheme val="minor"/>
      </rPr>
      <t>​</t>
    </r>
  </si>
  <si>
    <t>天佑暗星，化解口舌是非、合同陷阱，得律师、教师或沟通专家帮助。</t>
  </si>
  <si>
    <t>被诽谤时谣言不攻自破；签约前发现隐藏条款而避免损失。</t>
  </si>
  <si>
    <r>
      <t>天德+天相</t>
    </r>
    <r>
      <rPr>
        <sz val="11"/>
        <color theme="1"/>
        <rFont val="等线"/>
        <family val="2"/>
        <charset val="134"/>
        <scheme val="minor"/>
      </rPr>
      <t>​</t>
    </r>
  </si>
  <si>
    <t>天佑印星，化解凭证、诚信危机，得公正的公务员或协调者帮助。</t>
  </si>
  <si>
    <t>重要文件失而复得；因诚实守信而获得意外机会。</t>
  </si>
  <si>
    <r>
      <t>天德+天梁</t>
    </r>
    <r>
      <rPr>
        <sz val="11"/>
        <color theme="1"/>
        <rFont val="等线"/>
        <family val="2"/>
        <charset val="134"/>
        <scheme val="minor"/>
      </rPr>
      <t>​</t>
    </r>
  </si>
  <si>
    <t>天佑荫星，化解病灾、法律问题，得医疗、宗教或长辈贵人救助。</t>
  </si>
  <si>
    <t>重病找到偏方治愈；法律纠纷因长辈说情而和解。</t>
  </si>
  <si>
    <r>
      <t>天德+七杀</t>
    </r>
    <r>
      <rPr>
        <sz val="11"/>
        <color theme="1"/>
        <rFont val="等线"/>
        <family val="2"/>
        <charset val="134"/>
        <scheme val="minor"/>
      </rPr>
      <t>​</t>
    </r>
  </si>
  <si>
    <t>天佑将星，化解突发性血光之灾与激烈冲突，得武职或果敢之人帮助。</t>
  </si>
  <si>
    <t>车祸中仅受轻伤；冲突即将升级时被权威人士制止。</t>
  </si>
  <si>
    <r>
      <t>天德+破军</t>
    </r>
    <r>
      <rPr>
        <sz val="11"/>
        <color theme="1"/>
        <rFont val="等线"/>
        <family val="2"/>
        <charset val="134"/>
        <scheme val="minor"/>
      </rPr>
      <t>​</t>
    </r>
  </si>
  <si>
    <t>天佑耗星，在破坏性变动中保障安全，减少损失，得改革者帮助。</t>
  </si>
  <si>
    <t>拆迁中分配到更好的房子；公司重组中意外保住职位。</t>
  </si>
  <si>
    <r>
      <t>天德+月德</t>
    </r>
    <r>
      <rPr>
        <sz val="11"/>
        <color theme="1"/>
        <rFont val="等线"/>
        <family val="2"/>
        <charset val="134"/>
        <scheme val="minor"/>
      </rPr>
      <t>​</t>
    </r>
  </si>
  <si>
    <r>
      <t>德合阴阳</t>
    </r>
    <r>
      <rPr>
        <sz val="11"/>
        <color theme="1"/>
        <rFont val="等线"/>
        <family val="2"/>
        <charset val="134"/>
        <scheme val="minor"/>
      </rPr>
      <t>，阴阳二德相会，福力深厚，能化解绝大多数灾厄，一生平安顺遂。</t>
    </r>
  </si>
  <si>
    <t>多次经历危险均毫发无伤；一生少病少灾。</t>
  </si>
  <si>
    <r>
      <t>天德+龙德</t>
    </r>
    <r>
      <rPr>
        <sz val="11"/>
        <color theme="1"/>
        <rFont val="等线"/>
        <family val="2"/>
        <charset val="134"/>
        <scheme val="minor"/>
      </rPr>
      <t>​</t>
    </r>
  </si>
  <si>
    <r>
      <t>德配天地</t>
    </r>
    <r>
      <rPr>
        <sz val="11"/>
        <color theme="1"/>
        <rFont val="等线"/>
        <family val="2"/>
        <charset val="134"/>
        <scheme val="minor"/>
      </rPr>
      <t>，天道之德与人间贵气结合，福报与权势兼备，能化解重大天灾人祸。</t>
    </r>
  </si>
  <si>
    <t>自然灾害中成为少数幸存者；重大危机中得高层直接干预解决。</t>
  </si>
  <si>
    <r>
      <t>天德+月德+龙德</t>
    </r>
    <r>
      <rPr>
        <sz val="11"/>
        <color theme="1"/>
        <rFont val="等线"/>
        <family val="2"/>
        <charset val="134"/>
        <scheme val="minor"/>
      </rPr>
      <t>​</t>
    </r>
  </si>
  <si>
    <r>
      <t>三德拱照</t>
    </r>
    <r>
      <rPr>
        <sz val="11"/>
        <color theme="1"/>
        <rFont val="等线"/>
        <family val="2"/>
        <charset val="134"/>
        <scheme val="minor"/>
      </rPr>
      <t>，吉星汇聚，福报最强，一生多逢凶化吉，贵人无处不在，遇难呈祥。</t>
    </r>
  </si>
  <si>
    <t>传奇人物，一生屡次大难不死，总有贵人相助，福寿双全。</t>
  </si>
  <si>
    <r>
      <t>天德+天魁/天钺</t>
    </r>
    <r>
      <rPr>
        <sz val="11"/>
        <color theme="1"/>
        <rFont val="等线"/>
        <family val="2"/>
        <charset val="134"/>
        <scheme val="minor"/>
      </rPr>
      <t>​</t>
    </r>
  </si>
  <si>
    <r>
      <t>天德贵人</t>
    </r>
    <r>
      <rPr>
        <sz val="11"/>
        <color theme="1"/>
        <rFont val="等线"/>
        <family val="2"/>
        <charset val="134"/>
        <scheme val="minor"/>
      </rPr>
      <t>，天赐贵人运极强，机遇与庇佑并存，常有意想不到的幸运。</t>
    </r>
  </si>
  <si>
    <t>困境中遇到陌生人鼎力相助；关键时刻总有“天降神兵”。</t>
  </si>
  <si>
    <r>
      <t>天德+文昌/文曲</t>
    </r>
    <r>
      <rPr>
        <sz val="11"/>
        <color theme="1"/>
        <rFont val="等线"/>
        <family val="2"/>
        <charset val="134"/>
        <scheme val="minor"/>
      </rPr>
      <t>​</t>
    </r>
  </si>
  <si>
    <r>
      <t>德蕴文华</t>
    </r>
    <r>
      <rPr>
        <sz val="11"/>
        <color theme="1"/>
        <rFont val="等线"/>
        <family val="2"/>
        <charset val="134"/>
        <scheme val="minor"/>
      </rPr>
      <t>，因才德、善行获得名声与贵人，化解文书、考试方面的危机。</t>
    </r>
  </si>
  <si>
    <t>因善举被报道而获得机会；考试时恰好复习到考题。</t>
  </si>
  <si>
    <r>
      <t>天德+左辅/右弼</t>
    </r>
    <r>
      <rPr>
        <sz val="11"/>
        <color theme="1"/>
        <rFont val="等线"/>
        <family val="2"/>
        <charset val="134"/>
        <scheme val="minor"/>
      </rPr>
      <t>​</t>
    </r>
  </si>
  <si>
    <r>
      <t>德被众人</t>
    </r>
    <r>
      <rPr>
        <sz val="11"/>
        <color theme="1"/>
        <rFont val="等线"/>
        <family val="2"/>
        <charset val="134"/>
        <scheme val="minor"/>
      </rPr>
      <t>，善行感召众人相助，能化解群体性危机，得广泛支持。</t>
    </r>
  </si>
  <si>
    <t>企业危机时员工同心协力共渡难关；社区困难时邻里互助。</t>
  </si>
  <si>
    <r>
      <t>天德+禄存</t>
    </r>
    <r>
      <rPr>
        <sz val="11"/>
        <color theme="1"/>
        <rFont val="等线"/>
        <family val="2"/>
        <charset val="134"/>
        <scheme val="minor"/>
      </rPr>
      <t>​</t>
    </r>
  </si>
  <si>
    <r>
      <t>德福双至</t>
    </r>
    <r>
      <rPr>
        <sz val="11"/>
        <color theme="1"/>
        <rFont val="等线"/>
        <family val="2"/>
        <charset val="134"/>
        <scheme val="minor"/>
      </rPr>
      <t>，福报直接转化为财富与安稳，善有善报，因德得财。</t>
    </r>
  </si>
  <si>
    <t>因拾金不昧而获得丰厚回报；诚信经营带来稳定客源。</t>
  </si>
  <si>
    <r>
      <t>天德+火星</t>
    </r>
    <r>
      <rPr>
        <sz val="11"/>
        <color theme="1"/>
        <rFont val="等线"/>
        <family val="2"/>
        <charset val="134"/>
        <scheme val="minor"/>
      </rPr>
      <t>​</t>
    </r>
  </si>
  <si>
    <r>
      <t>德制天火</t>
    </r>
    <r>
      <rPr>
        <sz val="11"/>
        <color theme="1"/>
        <rFont val="等线"/>
        <family val="2"/>
        <charset val="134"/>
        <scheme val="minor"/>
      </rPr>
      <t>，能化解火灾、爆炸、突发冲突等暴烈灾祸。</t>
    </r>
  </si>
  <si>
    <t>家中失火却仅损及无关紧要之物；街头冲突中流弹擦身而过。</t>
  </si>
  <si>
    <r>
      <t>天德+铃星</t>
    </r>
    <r>
      <rPr>
        <sz val="11"/>
        <color theme="1"/>
        <rFont val="等线"/>
        <family val="2"/>
        <charset val="134"/>
        <scheme val="minor"/>
      </rPr>
      <t>​</t>
    </r>
  </si>
  <si>
    <r>
      <t>德消阴火</t>
    </r>
    <r>
      <rPr>
        <sz val="11"/>
        <color theme="1"/>
        <rFont val="等线"/>
        <family val="2"/>
        <charset val="134"/>
        <scheme val="minor"/>
      </rPr>
      <t>，能化解慢性中毒、纠缠性的是非或拖延的意外伤害。</t>
    </r>
  </si>
  <si>
    <t>食物中毒症状轻微；被长期纠缠的小人突然自行离去。</t>
  </si>
  <si>
    <r>
      <t>天德+擎羊</t>
    </r>
    <r>
      <rPr>
        <sz val="11"/>
        <color theme="1"/>
        <rFont val="等线"/>
        <family val="2"/>
        <charset val="134"/>
        <scheme val="minor"/>
      </rPr>
      <t>​</t>
    </r>
  </si>
  <si>
    <r>
      <t>德化刀锋</t>
    </r>
    <r>
      <rPr>
        <sz val="11"/>
        <color theme="1"/>
        <rFont val="等线"/>
        <family val="2"/>
        <charset val="134"/>
        <scheme val="minor"/>
      </rPr>
      <t>，能化解刀伤、手术、车祸等血光之灾，减轻伤害程度。</t>
    </r>
  </si>
  <si>
    <t>手术非常顺利，恢复极快；车祸中安全气囊及时弹出。</t>
  </si>
  <si>
    <r>
      <t>天德+陀罗</t>
    </r>
    <r>
      <rPr>
        <sz val="11"/>
        <color theme="1"/>
        <rFont val="等线"/>
        <family val="2"/>
        <charset val="134"/>
        <scheme val="minor"/>
      </rPr>
      <t>​</t>
    </r>
  </si>
  <si>
    <r>
      <t>德解缠扰</t>
    </r>
    <r>
      <rPr>
        <sz val="11"/>
        <color theme="1"/>
        <rFont val="等线"/>
        <family val="2"/>
        <charset val="134"/>
        <scheme val="minor"/>
      </rPr>
      <t>，能化解反复发生的意外、旧疾复发或拖延的灾祸。</t>
    </r>
  </si>
  <si>
    <t>旧伤复发却找到根治方法；多次错过班车却避开了事故班次。</t>
  </si>
  <si>
    <r>
      <t>天德+地空/地劫</t>
    </r>
    <r>
      <rPr>
        <sz val="11"/>
        <color theme="1"/>
        <rFont val="等线"/>
        <family val="2"/>
        <charset val="134"/>
        <scheme val="minor"/>
      </rPr>
      <t>​</t>
    </r>
  </si>
  <si>
    <r>
      <t>德御虚空</t>
    </r>
    <r>
      <rPr>
        <sz val="11"/>
        <color theme="1"/>
        <rFont val="等线"/>
        <family val="2"/>
        <charset val="134"/>
        <scheme val="minor"/>
      </rPr>
      <t>，能化解因空想、投机导致的意外破败，在绝境中看到生机。</t>
    </r>
  </si>
  <si>
    <t>探险迷路时意外发现出路；投机失败却因祸得福获得新机遇。</t>
  </si>
  <si>
    <r>
      <t>1. “天德”与“月德”、“龙德”</t>
    </r>
    <r>
      <rPr>
        <sz val="11"/>
        <color theme="1"/>
        <rFont val="等线"/>
        <family val="2"/>
        <charset val="134"/>
        <scheme val="minor"/>
      </rPr>
      <t>：</t>
    </r>
    <r>
      <rPr>
        <b/>
        <sz val="11"/>
        <color theme="1"/>
        <rFont val="等线"/>
        <family val="3"/>
        <charset val="134"/>
        <scheme val="minor"/>
      </rPr>
      <t>天德星主“天道之德”</t>
    </r>
    <r>
      <rPr>
        <sz val="11"/>
        <color theme="1"/>
        <rFont val="等线"/>
        <family val="2"/>
        <charset val="134"/>
        <scheme val="minor"/>
      </rPr>
      <t>，贵人多为</t>
    </r>
    <r>
      <rPr>
        <b/>
        <sz val="11"/>
        <color theme="1"/>
        <rFont val="等线"/>
        <family val="3"/>
        <charset val="134"/>
        <scheme val="minor"/>
      </rPr>
      <t>无心插柳的善缘或自然机遇</t>
    </r>
    <r>
      <rPr>
        <sz val="11"/>
        <color theme="1"/>
        <rFont val="等线"/>
        <family val="2"/>
        <charset val="134"/>
        <scheme val="minor"/>
      </rPr>
      <t>，福报来自</t>
    </r>
    <r>
      <rPr>
        <b/>
        <sz val="11"/>
        <color theme="1"/>
        <rFont val="等线"/>
        <family val="3"/>
        <charset val="134"/>
        <scheme val="minor"/>
      </rPr>
      <t>上天护佑与自然力量</t>
    </r>
    <r>
      <rPr>
        <sz val="11"/>
        <color theme="1"/>
        <rFont val="等线"/>
        <family val="2"/>
        <charset val="134"/>
        <scheme val="minor"/>
      </rPr>
      <t>，擅长化解</t>
    </r>
    <r>
      <rPr>
        <b/>
        <sz val="11"/>
        <color theme="1"/>
        <rFont val="等线"/>
        <family val="3"/>
        <charset val="134"/>
        <scheme val="minor"/>
      </rPr>
      <t>自然灾害、意外伤害</t>
    </r>
    <r>
      <rPr>
        <sz val="11"/>
        <color theme="1"/>
        <rFont val="等线"/>
        <family val="2"/>
        <charset val="134"/>
        <scheme val="minor"/>
      </rPr>
      <t>。</t>
    </r>
    <r>
      <rPr>
        <b/>
        <sz val="11"/>
        <color theme="1"/>
        <rFont val="等线"/>
        <family val="3"/>
        <charset val="134"/>
        <scheme val="minor"/>
      </rPr>
      <t>月德星主“人伦之德”</t>
    </r>
    <r>
      <rPr>
        <sz val="11"/>
        <color theme="1"/>
        <rFont val="等线"/>
        <family val="2"/>
        <charset val="134"/>
        <scheme val="minor"/>
      </rPr>
      <t>，贵人多为</t>
    </r>
    <r>
      <rPr>
        <b/>
        <sz val="11"/>
        <color theme="1"/>
        <rFont val="等线"/>
        <family val="3"/>
        <charset val="134"/>
        <scheme val="minor"/>
      </rPr>
      <t>女性、亲友或因和睦关系而来</t>
    </r>
    <r>
      <rPr>
        <sz val="11"/>
        <color theme="1"/>
        <rFont val="等线"/>
        <family val="2"/>
        <charset val="134"/>
        <scheme val="minor"/>
      </rPr>
      <t>，福报来自</t>
    </r>
    <r>
      <rPr>
        <b/>
        <sz val="11"/>
        <color theme="1"/>
        <rFont val="等线"/>
        <family val="3"/>
        <charset val="134"/>
        <scheme val="minor"/>
      </rPr>
      <t>人缘积累</t>
    </r>
    <r>
      <rPr>
        <sz val="11"/>
        <color theme="1"/>
        <rFont val="等线"/>
        <family val="2"/>
        <charset val="134"/>
        <scheme val="minor"/>
      </rPr>
      <t>，擅长化解</t>
    </r>
    <r>
      <rPr>
        <b/>
        <sz val="11"/>
        <color theme="1"/>
        <rFont val="等线"/>
        <family val="3"/>
        <charset val="134"/>
        <scheme val="minor"/>
      </rPr>
      <t>人际纷争、慢性病</t>
    </r>
    <r>
      <rPr>
        <sz val="11"/>
        <color theme="1"/>
        <rFont val="等线"/>
        <family val="2"/>
        <charset val="134"/>
        <scheme val="minor"/>
      </rPr>
      <t>。</t>
    </r>
    <r>
      <rPr>
        <b/>
        <sz val="11"/>
        <color theme="1"/>
        <rFont val="等线"/>
        <family val="3"/>
        <charset val="134"/>
        <scheme val="minor"/>
      </rPr>
      <t>龙德星主“权威之德”</t>
    </r>
    <r>
      <rPr>
        <sz val="11"/>
        <color theme="1"/>
        <rFont val="等线"/>
        <family val="2"/>
        <charset val="134"/>
        <scheme val="minor"/>
      </rPr>
      <t>，贵人多为</t>
    </r>
    <r>
      <rPr>
        <b/>
        <sz val="11"/>
        <color theme="1"/>
        <rFont val="等线"/>
        <family val="3"/>
        <charset val="134"/>
        <scheme val="minor"/>
      </rPr>
      <t>有权势、地位或体制内人士</t>
    </r>
    <r>
      <rPr>
        <sz val="11"/>
        <color theme="1"/>
        <rFont val="等线"/>
        <family val="2"/>
        <charset val="134"/>
        <scheme val="minor"/>
      </rPr>
      <t>，福报与</t>
    </r>
    <r>
      <rPr>
        <b/>
        <sz val="11"/>
        <color theme="1"/>
        <rFont val="等线"/>
        <family val="3"/>
        <charset val="134"/>
        <scheme val="minor"/>
      </rPr>
      <t>法律、秩序</t>
    </r>
    <r>
      <rPr>
        <sz val="11"/>
        <color theme="1"/>
        <rFont val="等线"/>
        <family val="2"/>
        <charset val="134"/>
        <scheme val="minor"/>
      </rPr>
      <t>相关，擅长化解</t>
    </r>
    <r>
      <rPr>
        <b/>
        <sz val="11"/>
        <color theme="1"/>
        <rFont val="等线"/>
        <family val="3"/>
        <charset val="134"/>
        <scheme val="minor"/>
      </rPr>
      <t>官司、是非、社会性危机</t>
    </r>
    <r>
      <rPr>
        <sz val="11"/>
        <color theme="1"/>
        <rFont val="等线"/>
        <family val="2"/>
        <charset val="134"/>
        <scheme val="minor"/>
      </rPr>
      <t>。三者同会为“三德拱照”，福力最强。</t>
    </r>
  </si>
  <si>
    <r>
      <t>2. 与“天魁”、“天钺”的区别</t>
    </r>
    <r>
      <rPr>
        <sz val="11"/>
        <color theme="1"/>
        <rFont val="等线"/>
        <family val="2"/>
        <charset val="134"/>
        <scheme val="minor"/>
      </rPr>
      <t>：</t>
    </r>
    <r>
      <rPr>
        <b/>
        <sz val="11"/>
        <color theme="1"/>
        <rFont val="等线"/>
        <family val="3"/>
        <charset val="134"/>
        <scheme val="minor"/>
      </rPr>
      <t>天魁、天钺是“天乙贵人”</t>
    </r>
    <r>
      <rPr>
        <sz val="11"/>
        <color theme="1"/>
        <rFont val="等线"/>
        <family val="2"/>
        <charset val="134"/>
        <scheme val="minor"/>
      </rPr>
      <t>，主</t>
    </r>
    <r>
      <rPr>
        <b/>
        <sz val="11"/>
        <color theme="1"/>
        <rFont val="等线"/>
        <family val="3"/>
        <charset val="134"/>
        <scheme val="minor"/>
      </rPr>
      <t>直接的、机会性的提携与机遇</t>
    </r>
    <r>
      <rPr>
        <sz val="11"/>
        <color theme="1"/>
        <rFont val="等线"/>
        <family val="2"/>
        <charset val="134"/>
        <scheme val="minor"/>
      </rPr>
      <t>，更偏向于“给予机会”。</t>
    </r>
    <r>
      <rPr>
        <b/>
        <sz val="11"/>
        <color theme="1"/>
        <rFont val="等线"/>
        <family val="3"/>
        <charset val="134"/>
        <scheme val="minor"/>
      </rPr>
      <t>天德是“福德贵人”</t>
    </r>
    <r>
      <rPr>
        <sz val="11"/>
        <color theme="1"/>
        <rFont val="等线"/>
        <family val="2"/>
        <charset val="134"/>
        <scheme val="minor"/>
      </rPr>
      <t>，主</t>
    </r>
    <r>
      <rPr>
        <b/>
        <sz val="11"/>
        <color theme="1"/>
        <rFont val="等线"/>
        <family val="3"/>
        <charset val="134"/>
        <scheme val="minor"/>
      </rPr>
      <t>因德行感召的、庇佑性的保护与化解</t>
    </r>
    <r>
      <rPr>
        <sz val="11"/>
        <color theme="1"/>
        <rFont val="等线"/>
        <family val="2"/>
        <charset val="134"/>
        <scheme val="minor"/>
      </rPr>
      <t>，更偏向于“消灾解厄”。天魁天钺是“给你一个机会”，天德是“帮你躲过一劫”。</t>
    </r>
  </si>
  <si>
    <r>
      <t>3. 宫位定领域</t>
    </r>
    <r>
      <rPr>
        <sz val="11"/>
        <color theme="1"/>
        <rFont val="等线"/>
        <family val="2"/>
        <charset val="134"/>
        <scheme val="minor"/>
      </rPr>
      <t>：天德星所在宫位，指示在人生的哪个领域最容易得到上天庇佑、积累善报或化解意外灾厄。</t>
    </r>
  </si>
  <si>
    <r>
      <t>4. 四化引动</t>
    </r>
    <r>
      <rPr>
        <sz val="11"/>
        <color theme="1"/>
        <rFont val="等线"/>
        <family val="2"/>
        <charset val="134"/>
        <scheme val="minor"/>
      </rPr>
      <t>：见</t>
    </r>
    <r>
      <rPr>
        <b/>
        <sz val="11"/>
        <color theme="1"/>
        <rFont val="等线"/>
        <family val="3"/>
        <charset val="134"/>
        <scheme val="minor"/>
      </rPr>
      <t>化禄</t>
    </r>
    <r>
      <rPr>
        <sz val="11"/>
        <color theme="1"/>
        <rFont val="等线"/>
        <family val="2"/>
        <charset val="134"/>
        <scheme val="minor"/>
      </rPr>
      <t>，福报直接转化为财富收益，善行带来经济回报。见</t>
    </r>
    <r>
      <rPr>
        <b/>
        <sz val="11"/>
        <color theme="1"/>
        <rFont val="等线"/>
        <family val="3"/>
        <charset val="134"/>
        <scheme val="minor"/>
      </rPr>
      <t>化权</t>
    </r>
    <r>
      <rPr>
        <sz val="11"/>
        <color theme="1"/>
        <rFont val="等线"/>
        <family val="2"/>
        <charset val="134"/>
        <scheme val="minor"/>
      </rPr>
      <t>，因德行获得权威或领导力，能主导化解危机。见</t>
    </r>
    <r>
      <rPr>
        <b/>
        <sz val="11"/>
        <color theme="1"/>
        <rFont val="等线"/>
        <family val="3"/>
        <charset val="134"/>
        <scheme val="minor"/>
      </rPr>
      <t>化科</t>
    </r>
    <r>
      <rPr>
        <sz val="11"/>
        <color theme="1"/>
        <rFont val="等线"/>
        <family val="2"/>
        <charset val="134"/>
        <scheme val="minor"/>
      </rPr>
      <t>，因善行获得好名声与社会赞誉，福报显扬。见</t>
    </r>
    <r>
      <rPr>
        <b/>
        <sz val="11"/>
        <color theme="1"/>
        <rFont val="等线"/>
        <family val="3"/>
        <charset val="134"/>
        <scheme val="minor"/>
      </rPr>
      <t>化忌</t>
    </r>
    <r>
      <rPr>
        <sz val="11"/>
        <color theme="1"/>
        <rFont val="等线"/>
        <family val="2"/>
        <charset val="134"/>
        <scheme val="minor"/>
      </rPr>
      <t>，</t>
    </r>
    <r>
      <rPr>
        <b/>
        <sz val="11"/>
        <color theme="1"/>
        <rFont val="等线"/>
        <family val="3"/>
        <charset val="134"/>
        <scheme val="minor"/>
      </rPr>
      <t>福报暂时受阻或需偿还</t>
    </r>
    <r>
      <rPr>
        <sz val="11"/>
        <color theme="1"/>
        <rFont val="等线"/>
        <family val="2"/>
        <charset val="134"/>
        <scheme val="minor"/>
      </rPr>
      <t>，行善后未必立即有报，或需经历小考验方能显化福德。</t>
    </r>
  </si>
  <si>
    <t>一、月德定义</t>
  </si>
  <si>
    <t>人缘、阴德、和睦、化解灾厄</t>
  </si>
  <si>
    <t>象征人伦和睦之德，代表通过良好人际关系、家庭和谐以及私下善行积累的福报。其性质主大吉，能化解人际纷争、慢性病痛及由女性、暗昧之事引发的灾厄。</t>
  </si>
  <si>
    <t>乙级星，属阴土。主大吉，为解厄、人缘、和合之星。喜与天德、龙德等吉星同会，福力倍增。能化解由太阴、巨门等阴星及煞星带来的不利影响。</t>
  </si>
  <si>
    <r>
      <t>人缘和睦</t>
    </r>
    <r>
      <rPr>
        <sz val="11"/>
        <color theme="1"/>
        <rFont val="等线"/>
        <family val="2"/>
        <charset val="134"/>
        <scheme val="minor"/>
      </rPr>
      <t>​</t>
    </r>
  </si>
  <si>
    <t>人际关系融洽，易得人好感，尤其得女性、亲友的喜爱与帮助。</t>
  </si>
  <si>
    <t>在命宫、交友宫、夫妻宫时尤为明显。</t>
  </si>
  <si>
    <r>
      <t>化解纷争</t>
    </r>
    <r>
      <rPr>
        <sz val="11"/>
        <color theme="1"/>
        <rFont val="等线"/>
        <family val="2"/>
        <charset val="134"/>
        <scheme val="minor"/>
      </rPr>
      <t>​</t>
    </r>
  </si>
  <si>
    <t>能调和矛盾，平息口舌是非，使人际关系中的冲突得以缓和解决。</t>
  </si>
  <si>
    <t>与巨门、擎羊等星同度时力量显现。</t>
  </si>
  <si>
    <r>
      <t>阴德福报</t>
    </r>
    <r>
      <rPr>
        <sz val="11"/>
        <color theme="1"/>
        <rFont val="等线"/>
        <family val="2"/>
        <charset val="134"/>
        <scheme val="minor"/>
      </rPr>
      <t>​</t>
    </r>
  </si>
  <si>
    <t>因私下善行、孝顺、家庭和睦而积累的福报，在需要时显现。</t>
  </si>
  <si>
    <t>在福德宫、父母宫、田宅宫时显著。</t>
  </si>
  <si>
    <r>
      <t>消灾解病</t>
    </r>
    <r>
      <rPr>
        <sz val="11"/>
        <color theme="1"/>
        <rFont val="等线"/>
        <family val="2"/>
        <charset val="134"/>
        <scheme val="minor"/>
      </rPr>
      <t>​</t>
    </r>
  </si>
  <si>
    <t>特别利于化解慢性疾病、妇科病、情绪病以及由人情世故引发的麻烦。</t>
  </si>
  <si>
    <t>在疾厄宫、福德宫时体现。</t>
  </si>
  <si>
    <r>
      <t>家庭和谐</t>
    </r>
    <r>
      <rPr>
        <sz val="11"/>
        <color theme="1"/>
        <rFont val="等线"/>
        <family val="2"/>
        <charset val="134"/>
        <scheme val="minor"/>
      </rPr>
      <t>​</t>
    </r>
  </si>
  <si>
    <t>促进家庭关系和睦，家人互助，家宅安宁。</t>
  </si>
  <si>
    <t>在田宅宫、兄弟宫时显现。</t>
  </si>
  <si>
    <t>为人温和善良，人缘佳，一生多得女性及亲友助力，逢凶化吉。</t>
  </si>
  <si>
    <t>兄弟姐妹关系和睦，能互相扶持，朋友如同手足。</t>
  </si>
  <si>
    <t>配偶温柔体贴，婚姻生活和谐，能化解感情中的矛盾。</t>
  </si>
  <si>
    <t>子女孝顺，家庭和睦；与合作方关系良好，项目推进顺利。</t>
  </si>
  <si>
    <t>钱财多来自正途及人际合作，不易因纠纷破财，常有馈赠。</t>
  </si>
  <si>
    <t>身体健康，情绪稳定，慢性病易得良医良药调养而好转。</t>
  </si>
  <si>
    <t>在外人缘好，得外地人特别是女性帮助，出行平安。</t>
  </si>
  <si>
    <r>
      <t>核心宫位</t>
    </r>
    <r>
      <rPr>
        <sz val="11"/>
        <color theme="1"/>
        <rFont val="等线"/>
        <family val="2"/>
        <charset val="134"/>
        <scheme val="minor"/>
      </rPr>
      <t>。朋友众多且关系良好，下属忠心，能得众人拥护。</t>
    </r>
  </si>
  <si>
    <t>职场人际关系和谐，与同事、客户合作愉快，减少事业阻力。</t>
  </si>
  <si>
    <t>家庭和睦，家人互助，家宅安宁，邻里关系好。</t>
  </si>
  <si>
    <r>
      <t>核心宫位</t>
    </r>
    <r>
      <rPr>
        <sz val="11"/>
        <color theme="1"/>
        <rFont val="等线"/>
        <family val="2"/>
        <charset val="134"/>
        <scheme val="minor"/>
      </rPr>
      <t>。心地善良，常行善事，内心平和，福泽深厚。</t>
    </r>
  </si>
  <si>
    <t>与父母关系融洽，得长辈疼爱荫庇，家庭充满温情。</t>
  </si>
  <si>
    <t>1. 增强人缘福泽组合</t>
  </si>
  <si>
    <r>
      <t>月德+紫微</t>
    </r>
    <r>
      <rPr>
        <sz val="11"/>
        <color theme="1"/>
        <rFont val="等线"/>
        <family val="2"/>
        <charset val="134"/>
        <scheme val="minor"/>
      </rPr>
      <t>​</t>
    </r>
  </si>
  <si>
    <t>仁德之君，因仁慈与亲和力获得众人拥戴，化解权力斗争中的危机。</t>
  </si>
  <si>
    <t>领导因体恤下属而避免内部叛乱；帝王因施行仁政得民心。</t>
  </si>
  <si>
    <r>
      <t>月德+天机</t>
    </r>
    <r>
      <rPr>
        <sz val="11"/>
        <color theme="1"/>
        <rFont val="等线"/>
        <family val="2"/>
        <charset val="134"/>
        <scheme val="minor"/>
      </rPr>
      <t>​</t>
    </r>
  </si>
  <si>
    <t>善谋之德，通过灵活友善的人际手段化解计划中的障碍，得聪明人帮助。</t>
  </si>
  <si>
    <t>通过巧妙沟通解决合作僵局；旅行中因友善获得当地人指点。</t>
  </si>
  <si>
    <r>
      <t>月德+太阳</t>
    </r>
    <r>
      <rPr>
        <sz val="11"/>
        <color theme="1"/>
        <rFont val="等线"/>
        <family val="2"/>
        <charset val="134"/>
        <scheme val="minor"/>
      </rPr>
      <t>​</t>
    </r>
  </si>
  <si>
    <t>和煦之德，以光明正大且温和的方式处理公众关系，化解公开矛盾。</t>
  </si>
  <si>
    <t>公众人物因亲民形象化解公关危机；以阳光心态调解家庭纠纷。</t>
  </si>
  <si>
    <r>
      <t>月德+武曲</t>
    </r>
    <r>
      <rPr>
        <sz val="11"/>
        <color theme="1"/>
        <rFont val="等线"/>
        <family val="2"/>
        <charset val="134"/>
        <scheme val="minor"/>
      </rPr>
      <t>​</t>
    </r>
  </si>
  <si>
    <t>义利之德，在金钱、事业合作中讲信誉、重情义，化解财务纠纷。</t>
  </si>
  <si>
    <t>因诚信度过财务危机；在强硬谈判中因顾及旧情达成和解。</t>
  </si>
  <si>
    <r>
      <t>月德+天同</t>
    </r>
    <r>
      <rPr>
        <sz val="11"/>
        <color theme="1"/>
        <rFont val="等线"/>
        <family val="2"/>
        <charset val="134"/>
        <scheme val="minor"/>
      </rPr>
      <t>​</t>
    </r>
  </si>
  <si>
    <t>福慧之德，人缘极佳，享受人际和谐带来的福气，化解享乐中的矛盾。</t>
  </si>
  <si>
    <t>在朋友圈中备受关爱；因好脾气化解娱乐场合的冲突。</t>
  </si>
  <si>
    <r>
      <t>月德+廉贞</t>
    </r>
    <r>
      <rPr>
        <sz val="11"/>
        <color theme="1"/>
        <rFont val="等线"/>
        <family val="2"/>
        <charset val="134"/>
        <scheme val="minor"/>
      </rPr>
      <t>​</t>
    </r>
  </si>
  <si>
    <t>和事之德，能化解复杂人际关系和感情纠纷，得女性贵人调解。</t>
  </si>
  <si>
    <t>巧妙处理多角关系避免冲突；在官非中因人情获得谅解。</t>
  </si>
  <si>
    <r>
      <t>月德+天府</t>
    </r>
    <r>
      <rPr>
        <sz val="11"/>
        <color theme="1"/>
        <rFont val="等线"/>
        <family val="2"/>
        <charset val="134"/>
        <scheme val="minor"/>
      </rPr>
      <t>​</t>
    </r>
  </si>
  <si>
    <t>库容之德，因包容、慷慨获得稳定的人际支持，化解利益分配矛盾。</t>
  </si>
  <si>
    <t>家族企业因和睦而长久；因乐于分享赢得合作伙伴信任。</t>
  </si>
  <si>
    <r>
      <t>月德+太阴</t>
    </r>
    <r>
      <rPr>
        <sz val="11"/>
        <color theme="1"/>
        <rFont val="等线"/>
        <family val="2"/>
        <charset val="134"/>
        <scheme val="minor"/>
      </rPr>
      <t>​</t>
    </r>
  </si>
  <si>
    <r>
      <t>阴德相济</t>
    </r>
    <r>
      <rPr>
        <sz val="11"/>
        <color theme="1"/>
        <rFont val="等线"/>
        <family val="2"/>
        <charset val="134"/>
        <scheme val="minor"/>
      </rPr>
      <t>，女性缘佳，通过体贴、关怀积累深厚阴德，化解暗昧之忧。</t>
    </r>
  </si>
  <si>
    <t>因照顾家人而得福报；通过女性朋友解决幕后麻烦。</t>
  </si>
  <si>
    <r>
      <t>月德+贪狼</t>
    </r>
    <r>
      <rPr>
        <sz val="11"/>
        <color theme="1"/>
        <rFont val="等线"/>
        <family val="2"/>
        <charset val="134"/>
        <scheme val="minor"/>
      </rPr>
      <t>​</t>
    </r>
  </si>
  <si>
    <t>圆融之德，将交际手腕用于正途，化解桃花劫，在娱乐界得人缘。</t>
  </si>
  <si>
    <t>艺术家因人格魅力获得支持；巧妙回避酒色陷阱。</t>
  </si>
  <si>
    <r>
      <t>月德+巨门</t>
    </r>
    <r>
      <rPr>
        <sz val="11"/>
        <color theme="1"/>
        <rFont val="等线"/>
        <family val="2"/>
        <charset val="134"/>
        <scheme val="minor"/>
      </rPr>
      <t>​</t>
    </r>
  </si>
  <si>
    <r>
      <t>化口为和</t>
    </r>
    <r>
      <rPr>
        <sz val="11"/>
        <color theme="1"/>
        <rFont val="等线"/>
        <family val="2"/>
        <charset val="134"/>
        <scheme val="minor"/>
      </rPr>
      <t>，以温和言语化解是非口舌，变争执为沟通。</t>
    </r>
  </si>
  <si>
    <t>调解员成功平息纠纷；用真诚道歉化解误会。</t>
  </si>
  <si>
    <r>
      <t>月德+天相</t>
    </r>
    <r>
      <rPr>
        <sz val="11"/>
        <color theme="1"/>
        <rFont val="等线"/>
        <family val="2"/>
        <charset val="134"/>
        <scheme val="minor"/>
      </rPr>
      <t>​</t>
    </r>
  </si>
  <si>
    <t>辅佐之德，因乐于助人、公正协调而获得广泛人脉与信任。</t>
  </si>
  <si>
    <t>秘书因善解人意成为关键人物；因公平处理事务得众人信服。</t>
  </si>
  <si>
    <r>
      <t>月德+天梁</t>
    </r>
    <r>
      <rPr>
        <sz val="11"/>
        <color theme="1"/>
        <rFont val="等线"/>
        <family val="2"/>
        <charset val="134"/>
        <scheme val="minor"/>
      </rPr>
      <t>​</t>
    </r>
  </si>
  <si>
    <t>荫人之德，因慈悲、庇佑他人而积累善缘，化解病灾与法律问题。</t>
  </si>
  <si>
    <t>医生因仁心仁术获得患者感激；长辈因慈爱调解家族矛盾。</t>
  </si>
  <si>
    <r>
      <t>月德+七杀</t>
    </r>
    <r>
      <rPr>
        <sz val="11"/>
        <color theme="1"/>
        <rFont val="等线"/>
        <family val="2"/>
        <charset val="134"/>
        <scheme val="minor"/>
      </rPr>
      <t>​</t>
    </r>
  </si>
  <si>
    <t>刚柔之德，以柔和手段化解刚性冲突，在激烈竞争中得人相助。</t>
  </si>
  <si>
    <t>将领因爱兵如子获得死力；在激烈商战中因旧谊获得喘息之机。</t>
  </si>
  <si>
    <r>
      <t>月德+破军</t>
    </r>
    <r>
      <rPr>
        <sz val="11"/>
        <color theme="1"/>
        <rFont val="等线"/>
        <family val="2"/>
        <charset val="134"/>
        <scheme val="minor"/>
      </rPr>
      <t>​</t>
    </r>
  </si>
  <si>
    <t>破旧立和，在变动改革中注重人情，减少阻力，得旧人理解。</t>
  </si>
  <si>
    <t>改革者因妥善安置老员工而顺利推进；拆迁中因情感沟通获得配合。</t>
  </si>
  <si>
    <r>
      <t>月德+天德</t>
    </r>
    <r>
      <rPr>
        <sz val="11"/>
        <color theme="1"/>
        <rFont val="等线"/>
        <family val="2"/>
        <charset val="134"/>
        <scheme val="minor"/>
      </rPr>
      <t>​</t>
    </r>
  </si>
  <si>
    <r>
      <t>德合阴阳</t>
    </r>
    <r>
      <rPr>
        <sz val="11"/>
        <color theme="1"/>
        <rFont val="等线"/>
        <family val="2"/>
        <charset val="134"/>
        <scheme val="minor"/>
      </rPr>
      <t>，阴阳二德相会，天人护佑，福力深厚，能化解绝大多数灾厄，尤利人缘与自然庇佑。</t>
    </r>
  </si>
  <si>
    <t>人缘好且常遇自然巧合避祸；家庭和睦且家宅平安。</t>
  </si>
  <si>
    <r>
      <t>月德+龙德</t>
    </r>
    <r>
      <rPr>
        <sz val="11"/>
        <color theme="1"/>
        <rFont val="等线"/>
        <family val="2"/>
        <charset val="134"/>
        <scheme val="minor"/>
      </rPr>
      <t>​</t>
    </r>
  </si>
  <si>
    <r>
      <t>德通人天</t>
    </r>
    <r>
      <rPr>
        <sz val="11"/>
        <color theme="1"/>
        <rFont val="等线"/>
        <family val="2"/>
        <charset val="134"/>
        <scheme val="minor"/>
      </rPr>
      <t>，人缘与权势结合，得众人拥护及体制内贵人帮助，化解人际与官方难题。</t>
    </r>
  </si>
  <si>
    <t>因群众支持获得上级提拔；纠纷中既有民意支持又有官方调解。</t>
  </si>
  <si>
    <r>
      <t>月德+天德+龙德</t>
    </r>
    <r>
      <rPr>
        <sz val="11"/>
        <color theme="1"/>
        <rFont val="等线"/>
        <family val="2"/>
        <charset val="134"/>
        <scheme val="minor"/>
      </rPr>
      <t>​</t>
    </r>
  </si>
  <si>
    <r>
      <t>三德拱照</t>
    </r>
    <r>
      <rPr>
        <sz val="11"/>
        <color theme="1"/>
        <rFont val="等线"/>
        <family val="2"/>
        <charset val="134"/>
        <scheme val="minor"/>
      </rPr>
      <t>，吉星汇聚，福报最强，一生贵人遍地，逢凶化吉，人缘、天佑、官贵俱全。</t>
    </r>
  </si>
  <si>
    <t>德高望重者，一生顺遂，危难时总有多方力量相助。</t>
  </si>
  <si>
    <r>
      <t>月德+天魁/天钺</t>
    </r>
    <r>
      <rPr>
        <sz val="11"/>
        <color theme="1"/>
        <rFont val="等线"/>
        <family val="2"/>
        <charset val="134"/>
        <scheme val="minor"/>
      </rPr>
      <t>​</t>
    </r>
  </si>
  <si>
    <r>
      <t>人缘贵人</t>
    </r>
    <r>
      <rPr>
        <sz val="11"/>
        <color theme="1"/>
        <rFont val="等线"/>
        <family val="2"/>
        <charset val="134"/>
        <scheme val="minor"/>
      </rPr>
      <t>，因良好人缘吸引天降贵人，机遇常通过人际关系而来。</t>
    </r>
  </si>
  <si>
    <t>因朋友引荐获得关键机会；因善待他人而获意外提拔。</t>
  </si>
  <si>
    <r>
      <t>月德+文昌/文曲</t>
    </r>
    <r>
      <rPr>
        <sz val="11"/>
        <color theme="1"/>
        <rFont val="等线"/>
        <family val="2"/>
        <charset val="134"/>
        <scheme val="minor"/>
      </rPr>
      <t>​</t>
    </r>
  </si>
  <si>
    <r>
      <t>德才悦人</t>
    </r>
    <r>
      <rPr>
        <sz val="11"/>
        <color theme="1"/>
        <rFont val="等线"/>
        <family val="2"/>
        <charset val="134"/>
        <scheme val="minor"/>
      </rPr>
      <t>，因才华、谈吐与品德获得人缘与名声，化解文书、学术纠纷。</t>
    </r>
  </si>
  <si>
    <t>学者因谦和受尊重；作家因作品充满温情受欢迎。</t>
  </si>
  <si>
    <r>
      <t>月德+左辅/右弼</t>
    </r>
    <r>
      <rPr>
        <sz val="11"/>
        <color theme="1"/>
        <rFont val="等线"/>
        <family val="2"/>
        <charset val="134"/>
        <scheme val="minor"/>
      </rPr>
      <t>​</t>
    </r>
  </si>
  <si>
    <r>
      <t>德助广布</t>
    </r>
    <r>
      <rPr>
        <sz val="11"/>
        <color theme="1"/>
        <rFont val="等线"/>
        <family val="2"/>
        <charset val="134"/>
        <scheme val="minor"/>
      </rPr>
      <t>，助力众多且关系持久，能得团队鼎力支持，化解集体矛盾。</t>
    </r>
  </si>
  <si>
    <t>项目经理因善于团结团队成功；社团领袖因得人心而壮大。</t>
  </si>
  <si>
    <r>
      <t>月德+禄存</t>
    </r>
    <r>
      <rPr>
        <sz val="11"/>
        <color theme="1"/>
        <rFont val="等线"/>
        <family val="2"/>
        <charset val="134"/>
        <scheme val="minor"/>
      </rPr>
      <t>​</t>
    </r>
  </si>
  <si>
    <r>
      <t>德缘聚财</t>
    </r>
    <r>
      <rPr>
        <sz val="11"/>
        <color theme="1"/>
        <rFont val="等线"/>
        <family val="2"/>
        <charset val="134"/>
        <scheme val="minor"/>
      </rPr>
      <t>，人缘直接带来财富与合作机会，因和睦生财。</t>
    </r>
  </si>
  <si>
    <t>因客户关系好生意兴隆；因家庭和睦而获得财产支持。</t>
  </si>
  <si>
    <r>
      <t>月德+火星</t>
    </r>
    <r>
      <rPr>
        <sz val="11"/>
        <color theme="1"/>
        <rFont val="等线"/>
        <family val="2"/>
        <charset val="134"/>
        <scheme val="minor"/>
      </rPr>
      <t>​</t>
    </r>
  </si>
  <si>
    <r>
      <t>德化暴戾</t>
    </r>
    <r>
      <rPr>
        <sz val="11"/>
        <color theme="1"/>
        <rFont val="等线"/>
        <family val="2"/>
        <charset val="134"/>
        <scheme val="minor"/>
      </rPr>
      <t>，能以柔克刚，化解突如其来的怒火与冲突。</t>
    </r>
  </si>
  <si>
    <t>在争吵即将爆发时用幽默化解；冲突双方因给面子而平息。</t>
  </si>
  <si>
    <r>
      <t>月德+铃星</t>
    </r>
    <r>
      <rPr>
        <sz val="11"/>
        <color theme="1"/>
        <rFont val="等线"/>
        <family val="2"/>
        <charset val="134"/>
        <scheme val="minor"/>
      </rPr>
      <t>​</t>
    </r>
  </si>
  <si>
    <r>
      <t>德消积怨</t>
    </r>
    <r>
      <rPr>
        <sz val="11"/>
        <color theme="1"/>
        <rFont val="等线"/>
        <family val="2"/>
        <charset val="134"/>
        <scheme val="minor"/>
      </rPr>
      <t>，能化解长期积累的怨气、嫉妒与慢性的人际摩擦。</t>
    </r>
  </si>
  <si>
    <t>解开心结与多年老友和好；平息团队中的长期内耗。</t>
  </si>
  <si>
    <r>
      <t>月德+擎羊</t>
    </r>
    <r>
      <rPr>
        <sz val="11"/>
        <color theme="1"/>
        <rFont val="等线"/>
        <family val="2"/>
        <charset val="134"/>
        <scheme val="minor"/>
      </rPr>
      <t>​</t>
    </r>
  </si>
  <si>
    <r>
      <t>德止干戈</t>
    </r>
    <r>
      <rPr>
        <sz val="11"/>
        <color theme="1"/>
        <rFont val="等线"/>
        <family val="2"/>
        <charset val="134"/>
        <scheme val="minor"/>
      </rPr>
      <t>，能化解直接的冲突、伤害与诉讼，变对立为和解。</t>
    </r>
  </si>
  <si>
    <t>官司开庭前达成和解；肢体冲突被劝止。</t>
  </si>
  <si>
    <r>
      <t>月德+陀罗</t>
    </r>
    <r>
      <rPr>
        <sz val="11"/>
        <color theme="1"/>
        <rFont val="等线"/>
        <family val="2"/>
        <charset val="134"/>
        <scheme val="minor"/>
      </rPr>
      <t>​</t>
    </r>
  </si>
  <si>
    <r>
      <t>德解心结</t>
    </r>
    <r>
      <rPr>
        <sz val="11"/>
        <color theme="1"/>
        <rFont val="等线"/>
        <family val="2"/>
        <charset val="134"/>
        <scheme val="minor"/>
      </rPr>
      <t>，能化解反复纠缠、拖延的人际恩怨与旧日心结。</t>
    </r>
  </si>
  <si>
    <t>化解家族世仇；让反复闹事的同事心服口服。</t>
  </si>
  <si>
    <r>
      <t>月德+地空/地劫</t>
    </r>
    <r>
      <rPr>
        <sz val="11"/>
        <color theme="1"/>
        <rFont val="等线"/>
        <family val="2"/>
        <charset val="134"/>
        <scheme val="minor"/>
      </rPr>
      <t>​</t>
    </r>
  </si>
  <si>
    <r>
      <t>德御孤僻</t>
    </r>
    <r>
      <rPr>
        <sz val="11"/>
        <color theme="1"/>
        <rFont val="等线"/>
        <family val="2"/>
        <charset val="134"/>
        <scheme val="minor"/>
      </rPr>
      <t>，能化解因孤僻、空想导致的人际疏离，融入群体。</t>
    </r>
  </si>
  <si>
    <t>让性格孤僻者感受到温暖；将不切实际的想法转化为团队合作。</t>
  </si>
  <si>
    <r>
      <t>1. “月德”与“天德”、“龙德”</t>
    </r>
    <r>
      <rPr>
        <sz val="11"/>
        <color theme="1"/>
        <rFont val="等线"/>
        <family val="2"/>
        <charset val="134"/>
        <scheme val="minor"/>
      </rPr>
      <t>：</t>
    </r>
    <r>
      <rPr>
        <b/>
        <sz val="11"/>
        <color theme="1"/>
        <rFont val="等线"/>
        <family val="3"/>
        <charset val="134"/>
        <scheme val="minor"/>
      </rPr>
      <t>月德星主“人伦之德”</t>
    </r>
    <r>
      <rPr>
        <sz val="11"/>
        <color theme="1"/>
        <rFont val="等线"/>
        <family val="2"/>
        <charset val="134"/>
        <scheme val="minor"/>
      </rPr>
      <t>，福报与贵人主要来源于</t>
    </r>
    <r>
      <rPr>
        <b/>
        <sz val="11"/>
        <color theme="1"/>
        <rFont val="等线"/>
        <family val="3"/>
        <charset val="134"/>
        <scheme val="minor"/>
      </rPr>
      <t>人际关系、家庭和睦与私下善行</t>
    </r>
    <r>
      <rPr>
        <sz val="11"/>
        <color theme="1"/>
        <rFont val="等线"/>
        <family val="2"/>
        <charset val="134"/>
        <scheme val="minor"/>
      </rPr>
      <t>，擅长化解</t>
    </r>
    <r>
      <rPr>
        <b/>
        <sz val="11"/>
        <color theme="1"/>
        <rFont val="等线"/>
        <family val="3"/>
        <charset val="134"/>
        <scheme val="minor"/>
      </rPr>
      <t>人际纷争、慢性病、女性相关麻烦</t>
    </r>
    <r>
      <rPr>
        <sz val="11"/>
        <color theme="1"/>
        <rFont val="等线"/>
        <family val="2"/>
        <charset val="134"/>
        <scheme val="minor"/>
      </rPr>
      <t>。</t>
    </r>
    <r>
      <rPr>
        <b/>
        <sz val="11"/>
        <color theme="1"/>
        <rFont val="等线"/>
        <family val="3"/>
        <charset val="134"/>
        <scheme val="minor"/>
      </rPr>
      <t>天德星主“天道之德”</t>
    </r>
    <r>
      <rPr>
        <sz val="11"/>
        <color theme="1"/>
        <rFont val="等线"/>
        <family val="2"/>
        <charset val="134"/>
        <scheme val="minor"/>
      </rPr>
      <t>，福报来源于</t>
    </r>
    <r>
      <rPr>
        <b/>
        <sz val="11"/>
        <color theme="1"/>
        <rFont val="等线"/>
        <family val="3"/>
        <charset val="134"/>
        <scheme val="minor"/>
      </rPr>
      <t>上天护佑与自然机遇</t>
    </r>
    <r>
      <rPr>
        <sz val="11"/>
        <color theme="1"/>
        <rFont val="等线"/>
        <family val="2"/>
        <charset val="134"/>
        <scheme val="minor"/>
      </rPr>
      <t>，擅长化解</t>
    </r>
    <r>
      <rPr>
        <b/>
        <sz val="11"/>
        <color theme="1"/>
        <rFont val="等线"/>
        <family val="3"/>
        <charset val="134"/>
        <scheme val="minor"/>
      </rPr>
      <t>自然灾害、意外伤害</t>
    </r>
    <r>
      <rPr>
        <sz val="11"/>
        <color theme="1"/>
        <rFont val="等线"/>
        <family val="2"/>
        <charset val="134"/>
        <scheme val="minor"/>
      </rPr>
      <t>。</t>
    </r>
    <r>
      <rPr>
        <b/>
        <sz val="11"/>
        <color theme="1"/>
        <rFont val="等线"/>
        <family val="3"/>
        <charset val="134"/>
        <scheme val="minor"/>
      </rPr>
      <t>龙德星主“权威之德”</t>
    </r>
    <r>
      <rPr>
        <sz val="11"/>
        <color theme="1"/>
        <rFont val="等线"/>
        <family val="2"/>
        <charset val="134"/>
        <scheme val="minor"/>
      </rPr>
      <t>，福报与贵人来源于</t>
    </r>
    <r>
      <rPr>
        <b/>
        <sz val="11"/>
        <color theme="1"/>
        <rFont val="等线"/>
        <family val="3"/>
        <charset val="134"/>
        <scheme val="minor"/>
      </rPr>
      <t>权势、地位与体制</t>
    </r>
    <r>
      <rPr>
        <sz val="11"/>
        <color theme="1"/>
        <rFont val="等线"/>
        <family val="2"/>
        <charset val="134"/>
        <scheme val="minor"/>
      </rPr>
      <t>，擅长化解</t>
    </r>
    <r>
      <rPr>
        <b/>
        <sz val="11"/>
        <color theme="1"/>
        <rFont val="等线"/>
        <family val="3"/>
        <charset val="134"/>
        <scheme val="minor"/>
      </rPr>
      <t>官司、是非、社会性危机</t>
    </r>
    <r>
      <rPr>
        <sz val="11"/>
        <color theme="1"/>
        <rFont val="等线"/>
        <family val="2"/>
        <charset val="134"/>
        <scheme val="minor"/>
      </rPr>
      <t>。月德重“人和”，天德重“天时”，龙德重“权势”。</t>
    </r>
  </si>
  <si>
    <r>
      <t>2. 与“左辅”、“右弼”的区别</t>
    </r>
    <r>
      <rPr>
        <sz val="11"/>
        <color theme="1"/>
        <rFont val="等线"/>
        <family val="2"/>
        <charset val="134"/>
        <scheme val="minor"/>
      </rPr>
      <t>：</t>
    </r>
    <r>
      <rPr>
        <b/>
        <sz val="11"/>
        <color theme="1"/>
        <rFont val="等线"/>
        <family val="3"/>
        <charset val="134"/>
        <scheme val="minor"/>
      </rPr>
      <t>左辅、右弼是“实际助力星”</t>
    </r>
    <r>
      <rPr>
        <sz val="11"/>
        <color theme="1"/>
        <rFont val="等线"/>
        <family val="2"/>
        <charset val="134"/>
        <scheme val="minor"/>
      </rPr>
      <t>，主</t>
    </r>
    <r>
      <rPr>
        <b/>
        <sz val="11"/>
        <color theme="1"/>
        <rFont val="等线"/>
        <family val="3"/>
        <charset val="134"/>
        <scheme val="minor"/>
      </rPr>
      <t>直接的、实际的帮助与人员支持</t>
    </r>
    <r>
      <rPr>
        <sz val="11"/>
        <color theme="1"/>
        <rFont val="等线"/>
        <family val="2"/>
        <charset val="134"/>
        <scheme val="minor"/>
      </rPr>
      <t>，更偏向“有形之手”。</t>
    </r>
    <r>
      <rPr>
        <b/>
        <sz val="11"/>
        <color theme="1"/>
        <rFont val="等线"/>
        <family val="3"/>
        <charset val="134"/>
        <scheme val="minor"/>
      </rPr>
      <t>月德是“人缘福德星”</t>
    </r>
    <r>
      <rPr>
        <sz val="11"/>
        <color theme="1"/>
        <rFont val="等线"/>
        <family val="2"/>
        <charset val="134"/>
        <scheme val="minor"/>
      </rPr>
      <t>，主</t>
    </r>
    <r>
      <rPr>
        <b/>
        <sz val="11"/>
        <color theme="1"/>
        <rFont val="等线"/>
        <family val="3"/>
        <charset val="134"/>
        <scheme val="minor"/>
      </rPr>
      <t>因个人品德、和睦关系带来的好感、善意与隐形支持</t>
    </r>
    <r>
      <rPr>
        <sz val="11"/>
        <color theme="1"/>
        <rFont val="等线"/>
        <family val="2"/>
        <charset val="134"/>
        <scheme val="minor"/>
      </rPr>
      <t>，更偏向“无形之缘”。左辅右弼是“有人来帮你”，月德是“大家都喜欢你，愿意帮你”。</t>
    </r>
  </si>
  <si>
    <r>
      <t>3. 宫位定领域</t>
    </r>
    <r>
      <rPr>
        <sz val="11"/>
        <color theme="1"/>
        <rFont val="等线"/>
        <family val="2"/>
        <charset val="134"/>
        <scheme val="minor"/>
      </rPr>
      <t>：月德星所在宫位，指示在人生的哪个领域最容易通过人缘、和睦积累福报，或化解该领域的人际矛盾与慢性问题。</t>
    </r>
  </si>
  <si>
    <r>
      <t>4. 四化引动</t>
    </r>
    <r>
      <rPr>
        <sz val="11"/>
        <color theme="1"/>
        <rFont val="等线"/>
        <family val="2"/>
        <charset val="134"/>
        <scheme val="minor"/>
      </rPr>
      <t>：见</t>
    </r>
    <r>
      <rPr>
        <b/>
        <sz val="11"/>
        <color theme="1"/>
        <rFont val="等线"/>
        <family val="3"/>
        <charset val="134"/>
        <scheme val="minor"/>
      </rPr>
      <t>化禄</t>
    </r>
    <r>
      <rPr>
        <sz val="11"/>
        <color theme="1"/>
        <rFont val="等线"/>
        <family val="2"/>
        <charset val="134"/>
        <scheme val="minor"/>
      </rPr>
      <t>，人缘直接带来财富收益，因合作、馈赠得财。见</t>
    </r>
    <r>
      <rPr>
        <b/>
        <sz val="11"/>
        <color theme="1"/>
        <rFont val="等线"/>
        <family val="3"/>
        <charset val="134"/>
        <scheme val="minor"/>
      </rPr>
      <t>化权</t>
    </r>
    <r>
      <rPr>
        <sz val="11"/>
        <color theme="1"/>
        <rFont val="等线"/>
        <family val="2"/>
        <charset val="134"/>
        <scheme val="minor"/>
      </rPr>
      <t>，因良好人际关系获得领导权或影响力，善于协调众人。见</t>
    </r>
    <r>
      <rPr>
        <b/>
        <sz val="11"/>
        <color theme="1"/>
        <rFont val="等线"/>
        <family val="3"/>
        <charset val="134"/>
        <scheme val="minor"/>
      </rPr>
      <t>化科</t>
    </r>
    <r>
      <rPr>
        <sz val="11"/>
        <color theme="1"/>
        <rFont val="等线"/>
        <family val="2"/>
        <charset val="134"/>
        <scheme val="minor"/>
      </rPr>
      <t>，因品德与人缘获得好名声、社会赞誉，成为受人尊敬的长者。见</t>
    </r>
    <r>
      <rPr>
        <b/>
        <sz val="11"/>
        <color theme="1"/>
        <rFont val="等线"/>
        <family val="3"/>
        <charset val="134"/>
        <scheme val="minor"/>
      </rPr>
      <t>化忌</t>
    </r>
    <r>
      <rPr>
        <sz val="11"/>
        <color theme="1"/>
        <rFont val="等线"/>
        <family val="2"/>
        <charset val="134"/>
        <scheme val="minor"/>
      </rPr>
      <t>，</t>
    </r>
    <r>
      <rPr>
        <b/>
        <sz val="11"/>
        <color theme="1"/>
        <rFont val="等线"/>
        <family val="3"/>
        <charset val="134"/>
        <scheme val="minor"/>
      </rPr>
      <t>人缘福报发挥受阻</t>
    </r>
    <r>
      <rPr>
        <sz val="11"/>
        <color theme="1"/>
        <rFont val="等线"/>
        <family val="2"/>
        <charset val="134"/>
        <scheme val="minor"/>
      </rPr>
      <t>，需更主动维系关系，或好心未必立即得好报，但长期仍有效验。</t>
    </r>
  </si>
  <si>
    <t>一、天空定义</t>
  </si>
  <si>
    <t>空亡、空想、精神、灵感、消失</t>
  </si>
  <si>
    <t>象征虚空、空亡、精神层面的思考与灵感，以及事物的突然消失、落空、不成。其性质主“空”，吉凶参半，偏向于精神领域的吉，物质领域的凶。代表超脱、想象力，也代表虚无、不实、失去。</t>
  </si>
  <si>
    <t>乙级星，属阴火。主“空”，吉凶参半。喜与天机、太阴、文昌、文曲等主星同度，可增强灵感与精神力量；忌与煞星同会，则加重其空幻不实、一事无成之性。</t>
  </si>
  <si>
    <r>
      <t>空想/灵感</t>
    </r>
    <r>
      <rPr>
        <sz val="11"/>
        <color theme="1"/>
        <rFont val="等线"/>
        <family val="2"/>
        <charset val="134"/>
        <scheme val="minor"/>
      </rPr>
      <t>​</t>
    </r>
  </si>
  <si>
    <t>思想天马行空，富有想象力和创造力，但也易流于空想、不切实际。</t>
  </si>
  <si>
    <r>
      <t>空亡/消失</t>
    </r>
    <r>
      <rPr>
        <sz val="11"/>
        <color theme="1"/>
        <rFont val="等线"/>
        <family val="2"/>
        <charset val="134"/>
        <scheme val="minor"/>
      </rPr>
      <t>​</t>
    </r>
  </si>
  <si>
    <t>事物容易落空、消失、不成，如机会溜走、物品遗失、计划取消。</t>
  </si>
  <si>
    <t>在财帛宫、官禄宫时力量显现。</t>
  </si>
  <si>
    <r>
      <t>精神超脱</t>
    </r>
    <r>
      <rPr>
        <sz val="11"/>
        <color theme="1"/>
        <rFont val="等线"/>
        <family val="2"/>
        <charset val="134"/>
        <scheme val="minor"/>
      </rPr>
      <t>​</t>
    </r>
  </si>
  <si>
    <t>对世俗名利看得较淡，有宗教、哲学或精神层面的追求，喜独处思考。</t>
  </si>
  <si>
    <t>在福德宫、迁移宫时显著。</t>
  </si>
  <si>
    <r>
      <t>突发性空</t>
    </r>
    <r>
      <rPr>
        <sz val="11"/>
        <color theme="1"/>
        <rFont val="等线"/>
        <family val="2"/>
        <charset val="134"/>
        <scheme val="minor"/>
      </rPr>
      <t>​</t>
    </r>
  </si>
  <si>
    <t>失去或落空常是突然发生的，令人措手不及。</t>
  </si>
  <si>
    <r>
      <t>虚空不实</t>
    </r>
    <r>
      <rPr>
        <sz val="11"/>
        <color theme="1"/>
        <rFont val="等线"/>
        <family val="2"/>
        <charset val="134"/>
        <scheme val="minor"/>
      </rPr>
      <t>​</t>
    </r>
  </si>
  <si>
    <t>事情虚而不实，表面热闹内里空，或承诺无法兑现。</t>
  </si>
  <si>
    <t>在交友宫、夫妻宫时体现。</t>
  </si>
  <si>
    <t>思想独特，有创意，但易脱离现实；人生际遇大起大落，有成有败。</t>
  </si>
  <si>
    <t>与兄弟姐妹缘分较薄，或关系疏远、想法难以沟通。</t>
  </si>
  <si>
    <t>感情易有空虚感，配偶或自己精神需求高，婚姻中易有精神层面的隔阂。</t>
  </si>
  <si>
    <t>子女缘薄，或子女想法独特；合作计划易落空。</t>
  </si>
  <si>
    <t>钱财不易积聚，左手进右手出，易有意外破耗，或投资易成泡影。</t>
  </si>
  <si>
    <t>身体易有虚弱、气血不足之症，或患难以诊断的疑难杂症。</t>
  </si>
  <si>
    <t>在外易感到孤独，喜精神漫游；外出发展易遇波折，计划常变。</t>
  </si>
  <si>
    <t>朋友关系淡薄，知己少；下属或合作伙伴易变动、不实。</t>
  </si>
  <si>
    <t>事业上想法多但落实难，职业变动大，或从事与精神、虚空相关的行业。</t>
  </si>
  <si>
    <t>家宅内部空旷，人气不旺；房产交易易生变数，或住所不稳定。</t>
  </si>
  <si>
    <r>
      <t>核心宫位</t>
    </r>
    <r>
      <rPr>
        <sz val="11"/>
        <color theme="1"/>
        <rFont val="等线"/>
        <family val="2"/>
        <charset val="134"/>
        <scheme val="minor"/>
      </rPr>
      <t>。精神世界丰富，有灵感，但易感空虚、孤独，思想超脱。</t>
    </r>
  </si>
  <si>
    <t>与父母缘分较浅，或父母思想独特，对自己管束少。</t>
  </si>
  <si>
    <t>1. 增强空性/灵感组合</t>
  </si>
  <si>
    <r>
      <t>天空+紫微</t>
    </r>
    <r>
      <rPr>
        <sz val="11"/>
        <color theme="1"/>
        <rFont val="等线"/>
        <family val="2"/>
        <charset val="134"/>
        <scheme val="minor"/>
      </rPr>
      <t>​</t>
    </r>
  </si>
  <si>
    <t>帝星悬空，理想过高，不切实际，追求虚名，或能在精神领域成为领袖。</t>
  </si>
  <si>
    <t>好高骛远，制定无法实现的宏伟计划；成为思想家、精神导师。</t>
  </si>
  <si>
    <r>
      <t>天空+天机</t>
    </r>
    <r>
      <rPr>
        <sz val="11"/>
        <color theme="1"/>
        <rFont val="等线"/>
        <family val="2"/>
        <charset val="134"/>
        <scheme val="minor"/>
      </rPr>
      <t>​</t>
    </r>
  </si>
  <si>
    <t>智星悬空，思维跳跃，灵感迸发，但计划多变，难以持久。</t>
  </si>
  <si>
    <t>创意工作者，点子多但执行力弱；旅行计划常因突发奇想而改变。</t>
  </si>
  <si>
    <r>
      <t>天空+太阳</t>
    </r>
    <r>
      <rPr>
        <sz val="11"/>
        <color theme="1"/>
        <rFont val="等线"/>
        <family val="2"/>
        <charset val="134"/>
        <scheme val="minor"/>
      </rPr>
      <t>​</t>
    </r>
  </si>
  <si>
    <t>明灯悬空，名声虚浮，华而不实，或追求光明但空洞的理想。</t>
  </si>
  <si>
    <t>沽名钓誉，有名无实；投身于空洞的口号式运动。</t>
  </si>
  <si>
    <r>
      <t>天空+武曲</t>
    </r>
    <r>
      <rPr>
        <sz val="11"/>
        <color theme="1"/>
        <rFont val="等线"/>
        <family val="2"/>
        <charset val="134"/>
        <scheme val="minor"/>
      </rPr>
      <t>​</t>
    </r>
  </si>
  <si>
    <t>财星悬空，钱财虚耗，投资易成空，或追求财富却总觉空虚。</t>
  </si>
  <si>
    <t>投资失败血本无归；赚到钱后却感到迷茫，不知为何而赚。</t>
  </si>
  <si>
    <r>
      <t>天空+天同</t>
    </r>
    <r>
      <rPr>
        <sz val="11"/>
        <color theme="1"/>
        <rFont val="等线"/>
        <family val="2"/>
        <charset val="134"/>
        <scheme val="minor"/>
      </rPr>
      <t>​</t>
    </r>
  </si>
  <si>
    <t>福星悬空，享受落空，乐极生悲，或精神上的享乐多于物质。</t>
  </si>
  <si>
    <t>期待的度假因故取消；沉浸在音乐、艺术中获得满足。</t>
  </si>
  <si>
    <r>
      <t>天空+廉贞</t>
    </r>
    <r>
      <rPr>
        <sz val="11"/>
        <color theme="1"/>
        <rFont val="等线"/>
        <family val="2"/>
        <charset val="134"/>
        <scheme val="minor"/>
      </rPr>
      <t>​</t>
    </r>
  </si>
  <si>
    <t>囚星悬空，感情空虚，复杂关系易成幻影，或沉迷虚拟情感。</t>
  </si>
  <si>
    <t>网恋见光死；陷入不切实际的政治幻想。</t>
  </si>
  <si>
    <r>
      <t>天空+天府</t>
    </r>
    <r>
      <rPr>
        <sz val="11"/>
        <color theme="1"/>
        <rFont val="等线"/>
        <family val="2"/>
        <charset val="134"/>
        <scheme val="minor"/>
      </rPr>
      <t>​</t>
    </r>
  </si>
  <si>
    <t>库星悬空，库存虚空，积蓄难聚，稳定局面下隐藏危机。</t>
  </si>
  <si>
    <t>看似富裕却负债累累；稳定的工作突然消失。</t>
  </si>
  <si>
    <r>
      <t>天空+太阴</t>
    </r>
    <r>
      <rPr>
        <sz val="11"/>
        <color theme="1"/>
        <rFont val="等线"/>
        <family val="2"/>
        <charset val="134"/>
        <scheme val="minor"/>
      </rPr>
      <t>​</t>
    </r>
  </si>
  <si>
    <r>
      <t>阴空相济</t>
    </r>
    <r>
      <rPr>
        <sz val="11"/>
        <color theme="1"/>
        <rFont val="等线"/>
        <family val="2"/>
        <charset val="134"/>
        <scheme val="minor"/>
      </rPr>
      <t>，想象力丰富，艺术灵感强，但情绪易感空虚、忧郁。</t>
    </r>
  </si>
  <si>
    <t>诗人、艺术家，创作源于空虚感；夜晚常感孤独。</t>
  </si>
  <si>
    <r>
      <t>天空+贪狼</t>
    </r>
    <r>
      <rPr>
        <sz val="11"/>
        <color theme="1"/>
        <rFont val="等线"/>
        <family val="2"/>
        <charset val="134"/>
        <scheme val="minor"/>
      </rPr>
      <t>​</t>
    </r>
  </si>
  <si>
    <t>欲望悬空，所求不得，桃花成空，嗜好转为精神追求。</t>
  </si>
  <si>
    <t>拼命追求某人却得不到；将物欲转化为对宗教的虔诚。</t>
  </si>
  <si>
    <r>
      <t>天空+巨门</t>
    </r>
    <r>
      <rPr>
        <sz val="11"/>
        <color theme="1"/>
        <rFont val="等线"/>
        <family val="2"/>
        <charset val="134"/>
        <scheme val="minor"/>
      </rPr>
      <t>​</t>
    </r>
  </si>
  <si>
    <t>暗星悬空，是非落空，流言自散，或思考深邃的哲学问题。</t>
  </si>
  <si>
    <t>诽谤之言无人相信；沉迷于研究虚无的宇宙真理。</t>
  </si>
  <si>
    <r>
      <t>天空+天相</t>
    </r>
    <r>
      <rPr>
        <sz val="11"/>
        <color theme="1"/>
        <rFont val="等线"/>
        <family val="2"/>
        <charset val="134"/>
        <scheme val="minor"/>
      </rPr>
      <t>​</t>
    </r>
  </si>
  <si>
    <t>印星悬空，凭证失效，承诺成空，形象虚浮。</t>
  </si>
  <si>
    <t>合同因故作废；塑造的人设崩塌。</t>
  </si>
  <si>
    <r>
      <t>天空+天梁</t>
    </r>
    <r>
      <rPr>
        <sz val="11"/>
        <color theme="1"/>
        <rFont val="等线"/>
        <family val="2"/>
        <charset val="134"/>
        <scheme val="minor"/>
      </rPr>
      <t>​</t>
    </r>
  </si>
  <si>
    <t>荫星悬空，靠山不稳，长辈助力落空，或追求精神上的荫庇。</t>
  </si>
  <si>
    <t>预期的遗产未能获得；在宗教中寻找心灵寄托。</t>
  </si>
  <si>
    <r>
      <t>天空+七杀</t>
    </r>
    <r>
      <rPr>
        <sz val="11"/>
        <color theme="1"/>
        <rFont val="等线"/>
        <family val="2"/>
        <charset val="134"/>
        <scheme val="minor"/>
      </rPr>
      <t>​</t>
    </r>
  </si>
  <si>
    <t>杀星悬空，暴烈之事突然落空，灾难消弭于无形，或精神决断。</t>
  </si>
  <si>
    <t>预期的冲突并未发生；突然下定决心出家。</t>
  </si>
  <si>
    <r>
      <t>天空+破军</t>
    </r>
    <r>
      <rPr>
        <sz val="11"/>
        <color theme="1"/>
        <rFont val="等线"/>
        <family val="2"/>
        <charset val="134"/>
        <scheme val="minor"/>
      </rPr>
      <t>​</t>
    </r>
  </si>
  <si>
    <t>耗星悬空，破坏力落空，变革无果，或破旧立新的想法难以实现。</t>
  </si>
  <si>
    <t>改革计划不了了之；想搬家却一直未能成行。</t>
  </si>
  <si>
    <r>
      <t>天空+地空</t>
    </r>
    <r>
      <rPr>
        <sz val="11"/>
        <color theme="1"/>
        <rFont val="等线"/>
        <family val="2"/>
        <charset val="134"/>
        <scheme val="minor"/>
      </rPr>
      <t>​</t>
    </r>
  </si>
  <si>
    <r>
      <t>空上加空</t>
    </r>
    <r>
      <rPr>
        <sz val="11"/>
        <color theme="1"/>
        <rFont val="等线"/>
        <family val="2"/>
        <charset val="134"/>
        <scheme val="minor"/>
      </rPr>
      <t>，空亡性质倍增，万事成空，精神空虚感极强，但灵感也极强。</t>
    </r>
  </si>
  <si>
    <t>计划十有九空；哲学家、出家人格局，看破红尘。</t>
  </si>
  <si>
    <r>
      <t>天空+地劫</t>
    </r>
    <r>
      <rPr>
        <sz val="11"/>
        <color theme="1"/>
        <rFont val="等线"/>
        <family val="2"/>
        <charset val="134"/>
        <scheme val="minor"/>
      </rPr>
      <t>​</t>
    </r>
  </si>
  <si>
    <r>
      <t>空劫并临</t>
    </r>
    <r>
      <rPr>
        <sz val="11"/>
        <color theme="1"/>
        <rFont val="等线"/>
        <family val="2"/>
        <charset val="134"/>
        <scheme val="minor"/>
      </rPr>
      <t>，空想与破耗交织，想法奇特但难以实现，且过程中多损耗。</t>
    </r>
  </si>
  <si>
    <t>发明家构思奇妙但无法量产；投资古怪项目损失惨重。</t>
  </si>
  <si>
    <r>
      <t>天空+文昌/文曲</t>
    </r>
    <r>
      <rPr>
        <sz val="11"/>
        <color theme="1"/>
        <rFont val="等线"/>
        <family val="2"/>
        <charset val="134"/>
        <scheme val="minor"/>
      </rPr>
      <t>​</t>
    </r>
  </si>
  <si>
    <r>
      <t>空灵文华</t>
    </r>
    <r>
      <rPr>
        <sz val="11"/>
        <color theme="1"/>
        <rFont val="等线"/>
        <family val="2"/>
        <charset val="134"/>
        <scheme val="minor"/>
      </rPr>
      <t>，空想转化为艺术、文学灵感，但作品可能曲高和寡。</t>
    </r>
  </si>
  <si>
    <t>创作出充满想象力的抽象画；写出的小说叫好不叫座。</t>
  </si>
  <si>
    <r>
      <t>天空+左辅/右弼</t>
    </r>
    <r>
      <rPr>
        <sz val="11"/>
        <color theme="1"/>
        <rFont val="等线"/>
        <family val="2"/>
        <charset val="134"/>
        <scheme val="minor"/>
      </rPr>
      <t>​</t>
    </r>
  </si>
  <si>
    <r>
      <t>空有助力</t>
    </r>
    <r>
      <rPr>
        <sz val="11"/>
        <color theme="1"/>
        <rFont val="等线"/>
        <family val="2"/>
        <charset val="134"/>
        <scheme val="minor"/>
      </rPr>
      <t>，帮手或机会看似有，实则无力或最终落空。</t>
    </r>
  </si>
  <si>
    <t>承诺帮忙的朋友临时变卦；看似好的合作机会最后没下文。</t>
  </si>
  <si>
    <r>
      <t>天空+天魁/天钺</t>
    </r>
    <r>
      <rPr>
        <sz val="11"/>
        <color theme="1"/>
        <rFont val="等线"/>
        <family val="2"/>
        <charset val="134"/>
        <scheme val="minor"/>
      </rPr>
      <t>​</t>
    </r>
  </si>
  <si>
    <r>
      <t>空遇贵人</t>
    </r>
    <r>
      <rPr>
        <sz val="11"/>
        <color theme="1"/>
        <rFont val="等线"/>
        <family val="2"/>
        <charset val="134"/>
        <scheme val="minor"/>
      </rPr>
      <t>，贵人助力不实或来得快去得也快，机遇抓不住。</t>
    </r>
  </si>
  <si>
    <t>贵人口头承诺却无实际行动；机会出现却因犹豫而错过。</t>
  </si>
  <si>
    <r>
      <t>天空+禄存</t>
    </r>
    <r>
      <rPr>
        <sz val="11"/>
        <color theme="1"/>
        <rFont val="等线"/>
        <family val="2"/>
        <charset val="134"/>
        <scheme val="minor"/>
      </rPr>
      <t>​</t>
    </r>
  </si>
  <si>
    <r>
      <t>空库并存</t>
    </r>
    <r>
      <rPr>
        <sz val="11"/>
        <color theme="1"/>
        <rFont val="等线"/>
        <family val="2"/>
        <charset val="134"/>
        <scheme val="minor"/>
      </rPr>
      <t>，钱财有积聚但总觉得不够、不满足，或为虚名虚利而财。</t>
    </r>
  </si>
  <si>
    <t>攒钱为了一个虚幻的目标（如买一座不存在的岛）；因虚名获得钱财。</t>
  </si>
  <si>
    <r>
      <t>天空+火星</t>
    </r>
    <r>
      <rPr>
        <sz val="11"/>
        <color theme="1"/>
        <rFont val="等线"/>
        <family val="2"/>
        <charset val="134"/>
        <scheme val="minor"/>
      </rPr>
      <t>​</t>
    </r>
  </si>
  <si>
    <r>
      <t>空性爆发</t>
    </r>
    <r>
      <rPr>
        <sz val="11"/>
        <color theme="1"/>
        <rFont val="等线"/>
        <family val="2"/>
        <charset val="134"/>
        <scheme val="minor"/>
      </rPr>
      <t>，空想突然中断或落空，带来激烈的失落或顿悟。</t>
    </r>
  </si>
  <si>
    <t>灵感突然枯竭；期待已久的会面被突然取消而暴怒。</t>
  </si>
  <si>
    <r>
      <t>天空+铃星</t>
    </r>
    <r>
      <rPr>
        <sz val="11"/>
        <color theme="1"/>
        <rFont val="等线"/>
        <family val="2"/>
        <charset val="134"/>
        <scheme val="minor"/>
      </rPr>
      <t>​</t>
    </r>
  </si>
  <si>
    <r>
      <t>空性纠缠</t>
    </r>
    <r>
      <rPr>
        <sz val="11"/>
        <color theme="1"/>
        <rFont val="等线"/>
        <family val="2"/>
        <charset val="134"/>
        <scheme val="minor"/>
      </rPr>
      <t>，空想与失落感反复纠缠，慢性地感到空虚不满足。</t>
    </r>
  </si>
  <si>
    <t>长期沉迷于不切实际的幻想；对失去的东西念念不忘。</t>
  </si>
  <si>
    <r>
      <t>天空+擎羊</t>
    </r>
    <r>
      <rPr>
        <sz val="11"/>
        <color theme="1"/>
        <rFont val="等线"/>
        <family val="2"/>
        <charset val="134"/>
        <scheme val="minor"/>
      </rPr>
      <t>​</t>
    </r>
  </si>
  <si>
    <r>
      <t>空性伤损</t>
    </r>
    <r>
      <rPr>
        <sz val="11"/>
        <color theme="1"/>
        <rFont val="等线"/>
        <family val="2"/>
        <charset val="134"/>
        <scheme val="minor"/>
      </rPr>
      <t>，因落空、失去而产生直接的伤害或冲突。</t>
    </r>
  </si>
  <si>
    <t>因计划落空与人发生争执；因希望破灭而自我伤害。</t>
  </si>
  <si>
    <r>
      <t>天空+陀罗</t>
    </r>
    <r>
      <rPr>
        <sz val="11"/>
        <color theme="1"/>
        <rFont val="等线"/>
        <family val="2"/>
        <charset val="134"/>
        <scheme val="minor"/>
      </rPr>
      <t>​</t>
    </r>
  </si>
  <si>
    <r>
      <t>空性拖延</t>
    </r>
    <r>
      <rPr>
        <sz val="11"/>
        <color theme="1"/>
        <rFont val="等线"/>
        <family val="2"/>
        <charset val="134"/>
        <scheme val="minor"/>
      </rPr>
      <t>，落空之事反复拖延，空想萦绕不去，成心病。</t>
    </r>
  </si>
  <si>
    <t>一个想法反复琢磨却从不行动；失去的机会总是回想。</t>
  </si>
  <si>
    <r>
      <t>天空+天马</t>
    </r>
    <r>
      <rPr>
        <sz val="11"/>
        <color theme="1"/>
        <rFont val="等线"/>
        <family val="2"/>
        <charset val="134"/>
        <scheme val="minor"/>
      </rPr>
      <t>​</t>
    </r>
  </si>
  <si>
    <r>
      <t>空性奔驰</t>
    </r>
    <r>
      <rPr>
        <sz val="11"/>
        <color theme="1"/>
        <rFont val="等线"/>
        <family val="2"/>
        <charset val="134"/>
        <scheme val="minor"/>
      </rPr>
      <t>，思想漂泊不定，或奔波劳碌却一场空。</t>
    </r>
  </si>
  <si>
    <t>旅行者永远在寻找精神家园；频繁换工作却无成就。</t>
  </si>
  <si>
    <r>
      <t>1. “天空”与“地空”、“地劫”</t>
    </r>
    <r>
      <rPr>
        <sz val="11"/>
        <color theme="1"/>
        <rFont val="等线"/>
        <family val="2"/>
        <charset val="134"/>
        <scheme val="minor"/>
      </rPr>
      <t>：</t>
    </r>
    <r>
      <rPr>
        <b/>
        <sz val="11"/>
        <color theme="1"/>
        <rFont val="等线"/>
        <family val="3"/>
        <charset val="134"/>
        <scheme val="minor"/>
      </rPr>
      <t>天空星主“精神之空”与“突然消失”</t>
    </r>
    <r>
      <rPr>
        <sz val="11"/>
        <color theme="1"/>
        <rFont val="等线"/>
        <family val="2"/>
        <charset val="134"/>
        <scheme val="minor"/>
      </rPr>
      <t>，核心是</t>
    </r>
    <r>
      <rPr>
        <b/>
        <sz val="11"/>
        <color theme="1"/>
        <rFont val="等线"/>
        <family val="3"/>
        <charset val="134"/>
        <scheme val="minor"/>
      </rPr>
      <t>思想、灵感的空灵性以及事物的突然落空、不成</t>
    </r>
    <r>
      <rPr>
        <sz val="11"/>
        <color theme="1"/>
        <rFont val="等线"/>
        <family val="2"/>
        <charset val="134"/>
        <scheme val="minor"/>
      </rPr>
      <t>。</t>
    </r>
    <r>
      <rPr>
        <b/>
        <sz val="11"/>
        <color theme="1"/>
        <rFont val="等线"/>
        <family val="3"/>
        <charset val="134"/>
        <scheme val="minor"/>
      </rPr>
      <t>地空星主“半空折翅”</t>
    </r>
    <r>
      <rPr>
        <sz val="11"/>
        <color theme="1"/>
        <rFont val="等线"/>
        <family val="2"/>
        <charset val="134"/>
        <scheme val="minor"/>
      </rPr>
      <t>，核心是</t>
    </r>
    <r>
      <rPr>
        <b/>
        <sz val="11"/>
        <color theme="1"/>
        <rFont val="等线"/>
        <family val="3"/>
        <charset val="134"/>
        <scheme val="minor"/>
      </rPr>
      <t>成而后败、事与愿违</t>
    </r>
    <r>
      <rPr>
        <sz val="11"/>
        <color theme="1"/>
        <rFont val="等线"/>
        <family val="2"/>
        <charset val="134"/>
        <scheme val="minor"/>
      </rPr>
      <t>。</t>
    </r>
    <r>
      <rPr>
        <b/>
        <sz val="11"/>
        <color theme="1"/>
        <rFont val="等线"/>
        <family val="3"/>
        <charset val="134"/>
        <scheme val="minor"/>
      </rPr>
      <t>地劫星主“劫煞”</t>
    </r>
    <r>
      <rPr>
        <sz val="11"/>
        <color theme="1"/>
        <rFont val="等线"/>
        <family val="2"/>
        <charset val="134"/>
        <scheme val="minor"/>
      </rPr>
      <t>，核心是</t>
    </r>
    <r>
      <rPr>
        <b/>
        <sz val="11"/>
        <color theme="1"/>
        <rFont val="等线"/>
        <family val="3"/>
        <charset val="134"/>
        <scheme val="minor"/>
      </rPr>
      <t>物质层面的破耗、波动与劫难</t>
    </r>
    <r>
      <rPr>
        <sz val="11"/>
        <color theme="1"/>
        <rFont val="等线"/>
        <family val="2"/>
        <charset val="134"/>
        <scheme val="minor"/>
      </rPr>
      <t>。天空是“想法没了”或“东西突然不见了”，地空是“快要成了却失败了”，地劫是“实实在在的损失”。</t>
    </r>
  </si>
  <si>
    <r>
      <t>2. 与“文昌”、“文曲”的区别</t>
    </r>
    <r>
      <rPr>
        <sz val="11"/>
        <color theme="1"/>
        <rFont val="等线"/>
        <family val="2"/>
        <charset val="134"/>
        <scheme val="minor"/>
      </rPr>
      <t>：</t>
    </r>
    <r>
      <rPr>
        <b/>
        <sz val="11"/>
        <color theme="1"/>
        <rFont val="等线"/>
        <family val="3"/>
        <charset val="134"/>
        <scheme val="minor"/>
      </rPr>
      <t>文昌、文曲是“才艺星”</t>
    </r>
    <r>
      <rPr>
        <sz val="11"/>
        <color theme="1"/>
        <rFont val="等线"/>
        <family val="2"/>
        <charset val="134"/>
        <scheme val="minor"/>
      </rPr>
      <t>，主</t>
    </r>
    <r>
      <rPr>
        <b/>
        <sz val="11"/>
        <color theme="1"/>
        <rFont val="等线"/>
        <family val="3"/>
        <charset val="134"/>
        <scheme val="minor"/>
      </rPr>
      <t>系统性的学习、规范的才华与文艺表现</t>
    </r>
    <r>
      <rPr>
        <sz val="11"/>
        <color theme="1"/>
        <rFont val="等线"/>
        <family val="2"/>
        <charset val="134"/>
        <scheme val="minor"/>
      </rPr>
      <t>。</t>
    </r>
    <r>
      <rPr>
        <b/>
        <sz val="11"/>
        <color theme="1"/>
        <rFont val="等线"/>
        <family val="3"/>
        <charset val="134"/>
        <scheme val="minor"/>
      </rPr>
      <t>天空是“灵感星”</t>
    </r>
    <r>
      <rPr>
        <sz val="11"/>
        <color theme="1"/>
        <rFont val="等线"/>
        <family val="2"/>
        <charset val="134"/>
        <scheme val="minor"/>
      </rPr>
      <t>，主</t>
    </r>
    <r>
      <rPr>
        <b/>
        <sz val="11"/>
        <color theme="1"/>
        <rFont val="等线"/>
        <family val="3"/>
        <charset val="134"/>
        <scheme val="minor"/>
      </rPr>
      <t>突发性的、跳跃的、非理性的灵感与空想</t>
    </r>
    <r>
      <rPr>
        <sz val="11"/>
        <color theme="1"/>
        <rFont val="等线"/>
        <family val="2"/>
        <charset val="134"/>
        <scheme val="minor"/>
      </rPr>
      <t>。文昌文曲是“科班才子”，天空是“灵感天才”。</t>
    </r>
  </si>
  <si>
    <r>
      <t>3. 宫位定领域</t>
    </r>
    <r>
      <rPr>
        <sz val="11"/>
        <color theme="1"/>
        <rFont val="等线"/>
        <family val="2"/>
        <charset val="134"/>
        <scheme val="minor"/>
      </rPr>
      <t>：天空星所在宫位，指示在人生的哪个领域最容易产生空想、灵感，或遭遇落空、消失的情况。</t>
    </r>
  </si>
  <si>
    <r>
      <t>4. 四化引动</t>
    </r>
    <r>
      <rPr>
        <sz val="11"/>
        <color theme="1"/>
        <rFont val="等线"/>
        <family val="2"/>
        <charset val="134"/>
        <scheme val="minor"/>
      </rPr>
      <t>：见</t>
    </r>
    <r>
      <rPr>
        <b/>
        <sz val="11"/>
        <color theme="1"/>
        <rFont val="等线"/>
        <family val="3"/>
        <charset val="134"/>
        <scheme val="minor"/>
      </rPr>
      <t>化禄</t>
    </r>
    <r>
      <rPr>
        <sz val="11"/>
        <color theme="1"/>
        <rFont val="等线"/>
        <family val="2"/>
        <charset val="134"/>
        <scheme val="minor"/>
      </rPr>
      <t>，空想可能带来财富机遇（如创意变现），但财来财去快。见</t>
    </r>
    <r>
      <rPr>
        <b/>
        <sz val="11"/>
        <color theme="1"/>
        <rFont val="等线"/>
        <family val="3"/>
        <charset val="134"/>
        <scheme val="minor"/>
      </rPr>
      <t>化权</t>
    </r>
    <r>
      <rPr>
        <sz val="11"/>
        <color theme="1"/>
        <rFont val="等线"/>
        <family val="2"/>
        <charset val="134"/>
        <scheme val="minor"/>
      </rPr>
      <t>，将空想付诸行动加以控制，或突然的消失/放弃带来权力变化。见</t>
    </r>
    <r>
      <rPr>
        <b/>
        <sz val="11"/>
        <color theme="1"/>
        <rFont val="等线"/>
        <family val="3"/>
        <charset val="134"/>
        <scheme val="minor"/>
      </rPr>
      <t>化科</t>
    </r>
    <r>
      <rPr>
        <sz val="11"/>
        <color theme="1"/>
        <rFont val="等线"/>
        <family val="2"/>
        <charset val="134"/>
        <scheme val="minor"/>
      </rPr>
      <t>，空灵的思想获得名声，或因“空”的哲学、艺术成就得名。见</t>
    </r>
    <r>
      <rPr>
        <b/>
        <sz val="11"/>
        <color theme="1"/>
        <rFont val="等线"/>
        <family val="3"/>
        <charset val="134"/>
        <scheme val="minor"/>
      </rPr>
      <t>化忌</t>
    </r>
    <r>
      <rPr>
        <sz val="11"/>
        <color theme="1"/>
        <rFont val="等线"/>
        <family val="2"/>
        <charset val="134"/>
        <scheme val="minor"/>
      </rPr>
      <t>，</t>
    </r>
    <r>
      <rPr>
        <b/>
        <sz val="11"/>
        <color theme="1"/>
        <rFont val="等线"/>
        <family val="3"/>
        <charset val="134"/>
        <scheme val="minor"/>
      </rPr>
      <t>空亡性质加剧</t>
    </r>
    <r>
      <rPr>
        <sz val="11"/>
        <color theme="1"/>
        <rFont val="等线"/>
        <family val="2"/>
        <charset val="134"/>
        <scheme val="minor"/>
      </rPr>
      <t>，失落感重，事情必然落空，精神空虚。</t>
    </r>
  </si>
  <si>
    <t>一、天寿定义</t>
  </si>
  <si>
    <t>象征生命力、健康状况与寿命长短。其性质主吉，代表健康、长寿、生命力顽强，能增强稳定性，延缓衰老与事物的终结过程。亦主慢性、持久。</t>
  </si>
  <si>
    <t>乙级星，属阳土。主吉，为寿星、健康之星。喜与天梁、天同等吉星同度，增福添寿。与煞星同会，可减轻其凶性，延长波折时间，但过程拖沓。</t>
  </si>
  <si>
    <r>
      <t>长寿倾向</t>
    </r>
    <r>
      <rPr>
        <sz val="11"/>
        <color theme="1"/>
        <rFont val="等线"/>
        <family val="2"/>
        <charset val="134"/>
        <scheme val="minor"/>
      </rPr>
      <t>​</t>
    </r>
  </si>
  <si>
    <t>生命力旺盛，有长寿的倾向，或家族有长寿基因。</t>
  </si>
  <si>
    <t>在命宫、疾厄宫、福德宫时尤为明显。</t>
  </si>
  <si>
    <r>
      <t>健康状况</t>
    </r>
    <r>
      <rPr>
        <sz val="11"/>
        <color theme="1"/>
        <rFont val="等线"/>
        <family val="2"/>
        <charset val="134"/>
        <scheme val="minor"/>
      </rPr>
      <t>​</t>
    </r>
  </si>
  <si>
    <t>身体健康，抵抗力强，生病后恢复能力好，慢性病也能得到控制。</t>
  </si>
  <si>
    <t>与天梁同度时力量显现。</t>
  </si>
  <si>
    <r>
      <t>慢性与持久</t>
    </r>
    <r>
      <rPr>
        <sz val="11"/>
        <color theme="1"/>
        <rFont val="等线"/>
        <family val="2"/>
        <charset val="134"/>
        <scheme val="minor"/>
      </rPr>
      <t>​</t>
    </r>
  </si>
  <si>
    <t>做事有耐心，能持久；事情发展过程缓慢，但持续时间长。</t>
  </si>
  <si>
    <t>在官禄宫、财帛宫时体现。</t>
  </si>
  <si>
    <r>
      <t>稳定性强</t>
    </r>
    <r>
      <rPr>
        <sz val="11"/>
        <color theme="1"/>
        <rFont val="等线"/>
        <family val="2"/>
        <charset val="134"/>
        <scheme val="minor"/>
      </rPr>
      <t>​</t>
    </r>
  </si>
  <si>
    <t>心态、生活、环境趋于稳定，不易剧烈变动。</t>
  </si>
  <si>
    <t>在田宅宫、夫妻宫时显著。</t>
  </si>
  <si>
    <r>
      <t>晚年运势</t>
    </r>
    <r>
      <rPr>
        <sz val="11"/>
        <color theme="1"/>
        <rFont val="等线"/>
        <family val="2"/>
        <charset val="134"/>
        <scheme val="minor"/>
      </rPr>
      <t>​</t>
    </r>
  </si>
  <si>
    <t>晚年生活相对安稳，健康，得享天年。</t>
  </si>
  <si>
    <t>在福德宫、父母宫时显现。</t>
  </si>
  <si>
    <t>身体健康，寿命较长，性格稳重有耐心，人生历程较为平缓。</t>
  </si>
  <si>
    <t>兄弟姐妹身体健康，关系持久稳定，能互相扶持到老。</t>
  </si>
  <si>
    <t>婚姻关系稳定持久，配偶身体健康，能白头偕老。</t>
  </si>
  <si>
    <t>子女身体健康，好养育；合作关系稳定且长久。</t>
  </si>
  <si>
    <t>钱财来得稳定，细水长流，适合长期、稳健的投资理财方式。</t>
  </si>
  <si>
    <r>
      <t>核心宫位</t>
    </r>
    <r>
      <rPr>
        <sz val="11"/>
        <color theme="1"/>
        <rFont val="等线"/>
        <family val="2"/>
        <charset val="134"/>
        <scheme val="minor"/>
      </rPr>
      <t>。身体素质好，少病少灾，即使有病也多为慢性，可控制。</t>
    </r>
  </si>
  <si>
    <t>在外发展平稳，适合长期居留一地，变动少，出行平安。</t>
  </si>
  <si>
    <t>与朋友、下属关系持久，朋友多是长久之交，下属忠诚。</t>
  </si>
  <si>
    <t>职业稳定，适合从事需要耐心和持久力的工作，职业生涯长。</t>
  </si>
  <si>
    <t>家宅安宁，居住稳定，不易频繁搬家，家族成员长寿。</t>
  </si>
  <si>
    <r>
      <t>核心宫位</t>
    </r>
    <r>
      <rPr>
        <sz val="11"/>
        <color theme="1"/>
        <rFont val="等线"/>
        <family val="2"/>
        <charset val="134"/>
        <scheme val="minor"/>
      </rPr>
      <t>。心态平和，知足常乐，晚年福厚，寿元长。</t>
    </r>
  </si>
  <si>
    <t>父母身体健康，长寿，家庭关系稳定和谐。</t>
  </si>
  <si>
    <t>1. 增强健康长寿组合</t>
  </si>
  <si>
    <r>
      <t>天寿+紫微</t>
    </r>
    <r>
      <rPr>
        <sz val="11"/>
        <color theme="1"/>
        <rFont val="等线"/>
        <family val="2"/>
        <charset val="134"/>
        <scheme val="minor"/>
      </rPr>
      <t>​</t>
    </r>
  </si>
  <si>
    <t>尊贵长寿，地位稳固且寿命长，健康状况良好，有领导者的持久力。</t>
  </si>
  <si>
    <t>长寿的帝王或企业领袖；长期担任重要职位。</t>
  </si>
  <si>
    <r>
      <t>天寿+天机</t>
    </r>
    <r>
      <rPr>
        <sz val="11"/>
        <color theme="1"/>
        <rFont val="等线"/>
        <family val="2"/>
        <charset val="134"/>
        <scheme val="minor"/>
      </rPr>
      <t>​</t>
    </r>
  </si>
  <si>
    <t>思虑长寿，思维活跃且持久，但易思虑过度；健康需注意神经系统。</t>
  </si>
  <si>
    <t>长寿的思想家、学者；长期从事脑力工作。</t>
  </si>
  <si>
    <r>
      <t>天寿+太阳</t>
    </r>
    <r>
      <rPr>
        <sz val="11"/>
        <color theme="1"/>
        <rFont val="等线"/>
        <family val="2"/>
        <charset val="134"/>
        <scheme val="minor"/>
      </rPr>
      <t>​</t>
    </r>
  </si>
  <si>
    <t>光明长寿，精力充沛，公开形象健康，寿命长且影响力持久。</t>
  </si>
  <si>
    <t>长寿的社会活动家、教育家；长期活跃于公众视野。</t>
  </si>
  <si>
    <r>
      <t>天寿+武曲</t>
    </r>
    <r>
      <rPr>
        <sz val="11"/>
        <color theme="1"/>
        <rFont val="等线"/>
        <family val="2"/>
        <charset val="134"/>
        <scheme val="minor"/>
      </rPr>
      <t>​</t>
    </r>
  </si>
  <si>
    <t>刚健长寿，身体强健，执行力持久，但需注意金属伤害和呼吸系统。</t>
  </si>
  <si>
    <t>长寿的军人、运动员；长期从事体力或金融工作。</t>
  </si>
  <si>
    <r>
      <t>天寿+天同</t>
    </r>
    <r>
      <rPr>
        <sz val="11"/>
        <color theme="1"/>
        <rFont val="等线"/>
        <family val="2"/>
        <charset val="134"/>
        <scheme val="minor"/>
      </rPr>
      <t>​</t>
    </r>
  </si>
  <si>
    <r>
      <t>福寿双全</t>
    </r>
    <r>
      <rPr>
        <sz val="11"/>
        <color theme="1"/>
        <rFont val="等线"/>
        <family val="2"/>
        <charset val="134"/>
        <scheme val="minor"/>
      </rPr>
      <t>，享福且长寿，生活安逸，健康状况佳，晚年幸福。</t>
    </r>
  </si>
  <si>
    <t>长寿的享福之人；一生平顺，安度晚年。</t>
  </si>
  <si>
    <r>
      <t>天寿+廉贞</t>
    </r>
    <r>
      <rPr>
        <sz val="11"/>
        <color theme="1"/>
        <rFont val="等线"/>
        <family val="2"/>
        <charset val="134"/>
        <scheme val="minor"/>
      </rPr>
      <t>​</t>
    </r>
  </si>
  <si>
    <t>复杂长寿，生命力顽强，能度过复杂危机，但需注意免疫系统和慢性病。</t>
  </si>
  <si>
    <t>经历政治风波而长寿者；与慢性疾病长期共存。</t>
  </si>
  <si>
    <r>
      <t>天寿+天府</t>
    </r>
    <r>
      <rPr>
        <sz val="11"/>
        <color theme="1"/>
        <rFont val="等线"/>
        <family val="2"/>
        <charset val="134"/>
        <scheme val="minor"/>
      </rPr>
      <t>​</t>
    </r>
  </si>
  <si>
    <t>富足长寿，生活富足且稳定，身体健康，有库藏之寿。</t>
  </si>
  <si>
    <t>长寿的富家翁；产业稳固，家族长久。</t>
  </si>
  <si>
    <r>
      <t>天寿+太阴</t>
    </r>
    <r>
      <rPr>
        <sz val="11"/>
        <color theme="1"/>
        <rFont val="等线"/>
        <family val="2"/>
        <charset val="134"/>
        <scheme val="minor"/>
      </rPr>
      <t>​</t>
    </r>
  </si>
  <si>
    <t>阴柔长寿，性情温和长寿，女性缘佳，健康需注意内分泌和妇科。</t>
  </si>
  <si>
    <t>长寿的慈祥女性；长期从事艺术、护理工作。</t>
  </si>
  <si>
    <r>
      <t>天寿+贪狼</t>
    </r>
    <r>
      <rPr>
        <sz val="11"/>
        <color theme="1"/>
        <rFont val="等线"/>
        <family val="2"/>
        <charset val="134"/>
        <scheme val="minor"/>
      </rPr>
      <t>​</t>
    </r>
  </si>
  <si>
    <t>欲望长寿，生命力强，欲望多且持久，晚年需节制以保健康。</t>
  </si>
  <si>
    <t>长寿的社交家、艺术家；嗜好伴随一生。</t>
  </si>
  <si>
    <r>
      <t>天寿+巨门</t>
    </r>
    <r>
      <rPr>
        <sz val="11"/>
        <color theme="1"/>
        <rFont val="等线"/>
        <family val="2"/>
        <charset val="134"/>
        <scheme val="minor"/>
      </rPr>
      <t>​</t>
    </r>
  </si>
  <si>
    <t>口舌长寿，生命力强，但易因口舌、消化系统问题影响健康，需注意养生。</t>
  </si>
  <si>
    <t>长寿的律师、教师；长期注意饮食调理。</t>
  </si>
  <si>
    <r>
      <t>天寿+天相</t>
    </r>
    <r>
      <rPr>
        <sz val="11"/>
        <color theme="1"/>
        <rFont val="等线"/>
        <family val="2"/>
        <charset val="134"/>
        <scheme val="minor"/>
      </rPr>
      <t>​</t>
    </r>
  </si>
  <si>
    <t>印绶长寿，形象好且健康，生活规律，寿命长，适合稳定职业。</t>
  </si>
  <si>
    <t>长寿的公务员、管理人员；生活作息规律。</t>
  </si>
  <si>
    <r>
      <t>寿星叠加</t>
    </r>
    <r>
      <rPr>
        <sz val="11"/>
        <color theme="1"/>
        <rFont val="等线"/>
        <family val="2"/>
        <charset val="134"/>
        <scheme val="minor"/>
      </rPr>
      <t>，健康长寿的典型组合，有逢凶化吉之能，尤利晚年。</t>
    </r>
  </si>
  <si>
    <t>长寿的医生、宗教人士；多次病危却康复。</t>
  </si>
  <si>
    <t>刚毅长寿，经历大风浪而生命力顽强，但身体易有旧伤暗疾。</t>
  </si>
  <si>
    <t>长寿的探险家、军人；带伤但高寿。</t>
  </si>
  <si>
    <t>变动长寿，在变动中求长久，身体经得起折腾，但需注意突发伤害。</t>
  </si>
  <si>
    <t>长寿的改革者、工程师；职业多变但身体尚可。</t>
  </si>
  <si>
    <r>
      <t>寿星拱照</t>
    </r>
    <r>
      <rPr>
        <sz val="11"/>
        <color theme="1"/>
        <rFont val="等线"/>
        <family val="2"/>
        <charset val="134"/>
        <scheme val="minor"/>
      </rPr>
      <t>，健康长寿力量最强，化解病灾能力突出，尤利老年运。</t>
    </r>
  </si>
  <si>
    <t>百岁老人常见格局；重病康复的奇迹。</t>
  </si>
  <si>
    <r>
      <t>福寿绵长</t>
    </r>
    <r>
      <rPr>
        <sz val="11"/>
        <color theme="1"/>
        <rFont val="等线"/>
        <family val="2"/>
        <charset val="134"/>
        <scheme val="minor"/>
      </rPr>
      <t>，享福与长寿兼备，生活安逸健康，晚年幸福。</t>
    </r>
  </si>
  <si>
    <t>儿孙绕膝、安享晚年的老人。</t>
  </si>
  <si>
    <r>
      <t>天寿+文昌/文曲</t>
    </r>
    <r>
      <rPr>
        <sz val="11"/>
        <color theme="1"/>
        <rFont val="等线"/>
        <family val="2"/>
        <charset val="134"/>
        <scheme val="minor"/>
      </rPr>
      <t>​</t>
    </r>
  </si>
  <si>
    <r>
      <t>寿考文华</t>
    </r>
    <r>
      <rPr>
        <sz val="11"/>
        <color theme="1"/>
        <rFont val="等线"/>
        <family val="2"/>
        <charset val="134"/>
        <scheme val="minor"/>
      </rPr>
      <t>，长寿且有文采，适合从事需要持久力的文化工作。</t>
    </r>
  </si>
  <si>
    <t>长寿的作家、书法家；晚年仍笔耕不辍。</t>
  </si>
  <si>
    <r>
      <t>天寿+左辅/右弼</t>
    </r>
    <r>
      <rPr>
        <sz val="11"/>
        <color theme="1"/>
        <rFont val="等线"/>
        <family val="2"/>
        <charset val="134"/>
        <scheme val="minor"/>
      </rPr>
      <t>​</t>
    </r>
  </si>
  <si>
    <r>
      <t>寿星得助</t>
    </r>
    <r>
      <rPr>
        <sz val="11"/>
        <color theme="1"/>
        <rFont val="等线"/>
        <family val="2"/>
        <charset val="134"/>
        <scheme val="minor"/>
      </rPr>
      <t>，健康长寿且有众人扶持，生活稳定，助力持久。</t>
    </r>
  </si>
  <si>
    <t>家族和睦、子女孝顺的长寿者。</t>
  </si>
  <si>
    <r>
      <t>天寿+天魁/天钺</t>
    </r>
    <r>
      <rPr>
        <sz val="11"/>
        <color theme="1"/>
        <rFont val="等线"/>
        <family val="2"/>
        <charset val="134"/>
        <scheme val="minor"/>
      </rPr>
      <t>​</t>
    </r>
  </si>
  <si>
    <r>
      <t>寿遇贵人</t>
    </r>
    <r>
      <rPr>
        <sz val="11"/>
        <color theme="1"/>
        <rFont val="等线"/>
        <family val="2"/>
        <charset val="134"/>
        <scheme val="minor"/>
      </rPr>
      <t>，健康长寿且常得贵人关照，尤其在医疗方面。</t>
    </r>
  </si>
  <si>
    <t>生病时总能遇到好医生；晚年得人照顾。</t>
  </si>
  <si>
    <r>
      <t>天寿+禄存</t>
    </r>
    <r>
      <rPr>
        <sz val="11"/>
        <color theme="1"/>
        <rFont val="等线"/>
        <family val="2"/>
        <charset val="134"/>
        <scheme val="minor"/>
      </rPr>
      <t>​</t>
    </r>
  </si>
  <si>
    <r>
      <t>寿富双全</t>
    </r>
    <r>
      <rPr>
        <sz val="11"/>
        <color theme="1"/>
        <rFont val="等线"/>
        <family val="2"/>
        <charset val="134"/>
        <scheme val="minor"/>
      </rPr>
      <t>，长寿且财富稳定，老而富足，衣食无忧。</t>
    </r>
  </si>
  <si>
    <t>积累丰厚家产的长寿企业家。</t>
  </si>
  <si>
    <r>
      <t>寿遇暴急</t>
    </r>
    <r>
      <rPr>
        <sz val="11"/>
        <color theme="1"/>
        <rFont val="等线"/>
        <family val="2"/>
        <charset val="134"/>
        <scheme val="minor"/>
      </rPr>
      <t>，长寿但身体易有突发性急症，康复后无大碍，过程激烈。</t>
    </r>
  </si>
  <si>
    <t>长寿但曾突发心脏病、中风后康复者。</t>
  </si>
  <si>
    <r>
      <t>寿遇阴疾</t>
    </r>
    <r>
      <rPr>
        <sz val="11"/>
        <color theme="1"/>
        <rFont val="等线"/>
        <family val="2"/>
        <charset val="134"/>
        <scheme val="minor"/>
      </rPr>
      <t>，长寿但易有慢性、纠缠性的疾病，需长期调养。</t>
    </r>
  </si>
  <si>
    <t>带病延年，如长期患糖尿病、风湿但高寿。</t>
  </si>
  <si>
    <r>
      <t>天寿+擎羊</t>
    </r>
    <r>
      <rPr>
        <sz val="11"/>
        <color theme="1"/>
        <rFont val="等线"/>
        <family val="2"/>
        <charset val="134"/>
        <scheme val="minor"/>
      </rPr>
      <t>​</t>
    </r>
  </si>
  <si>
    <r>
      <t>寿遇刀伤</t>
    </r>
    <r>
      <rPr>
        <sz val="11"/>
        <color theme="1"/>
        <rFont val="等线"/>
        <family val="2"/>
        <charset val="134"/>
        <scheme val="minor"/>
      </rPr>
      <t>，长寿但身体易有外伤、手术，然能度过危机。</t>
    </r>
  </si>
  <si>
    <t>长寿但经历过多次手术者；伤疤多但寿命长。</t>
  </si>
  <si>
    <r>
      <t>寿遇拖延</t>
    </r>
    <r>
      <rPr>
        <sz val="11"/>
        <color theme="1"/>
        <rFont val="等线"/>
        <family val="2"/>
        <charset val="134"/>
        <scheme val="minor"/>
      </rPr>
      <t>，长寿但疾病恢复慢，过程拖沓；事件持久而反复。</t>
    </r>
  </si>
  <si>
    <t>慢性病迁延不愈但寿命长；一件事反复做很久。</t>
  </si>
  <si>
    <r>
      <t>天寿+地空</t>
    </r>
    <r>
      <rPr>
        <sz val="11"/>
        <color theme="1"/>
        <rFont val="等线"/>
        <family val="2"/>
        <charset val="134"/>
        <scheme val="minor"/>
      </rPr>
      <t>​</t>
    </r>
  </si>
  <si>
    <r>
      <t>寿空相倚</t>
    </r>
    <r>
      <rPr>
        <sz val="11"/>
        <color theme="1"/>
        <rFont val="等线"/>
        <family val="2"/>
        <charset val="134"/>
        <scheme val="minor"/>
      </rPr>
      <t>，长寿但晚年易感空虚，或健康时好时坏；事情持久但结果可能落空。</t>
    </r>
  </si>
  <si>
    <t>长寿但孤独；长期计划最终未能实现。</t>
  </si>
  <si>
    <r>
      <t>天寿+地劫</t>
    </r>
    <r>
      <rPr>
        <sz val="11"/>
        <color theme="1"/>
        <rFont val="等线"/>
        <family val="2"/>
        <charset val="134"/>
        <scheme val="minor"/>
      </rPr>
      <t>​</t>
    </r>
  </si>
  <si>
    <r>
      <t>寿有波折</t>
    </r>
    <r>
      <rPr>
        <sz val="11"/>
        <color theme="1"/>
        <rFont val="等线"/>
        <family val="2"/>
        <charset val="134"/>
        <scheme val="minor"/>
      </rPr>
      <t>，寿命长但健康多有波折和损耗；长久之事中途易有破耗。</t>
    </r>
  </si>
  <si>
    <t>一生多病但长寿；长期投资有损失但整体保值。</t>
  </si>
  <si>
    <r>
      <t>天寿+天马</t>
    </r>
    <r>
      <rPr>
        <sz val="11"/>
        <color theme="1"/>
        <rFont val="等线"/>
        <family val="2"/>
        <charset val="134"/>
        <scheme val="minor"/>
      </rPr>
      <t>​</t>
    </r>
  </si>
  <si>
    <r>
      <t>寿动相随</t>
    </r>
    <r>
      <rPr>
        <sz val="11"/>
        <color theme="1"/>
        <rFont val="等线"/>
        <family val="2"/>
        <charset val="134"/>
        <scheme val="minor"/>
      </rPr>
      <t>，长寿且喜动，适合动态生活以保健康；或事情持久且需奔波。</t>
    </r>
  </si>
  <si>
    <t>长寿的旅行家；工作需要长期出差者。</t>
  </si>
  <si>
    <r>
      <t>1. “天寿”与“天梁”</t>
    </r>
    <r>
      <rPr>
        <sz val="11"/>
        <color theme="1"/>
        <rFont val="等线"/>
        <family val="2"/>
        <charset val="134"/>
        <scheme val="minor"/>
      </rPr>
      <t>：</t>
    </r>
    <r>
      <rPr>
        <b/>
        <sz val="11"/>
        <color theme="1"/>
        <rFont val="等线"/>
        <family val="3"/>
        <charset val="134"/>
        <scheme val="minor"/>
      </rPr>
      <t>天寿星主“寿命长度与健康基础”</t>
    </r>
    <r>
      <rPr>
        <sz val="11"/>
        <color theme="1"/>
        <rFont val="等线"/>
        <family val="2"/>
        <charset val="134"/>
        <scheme val="minor"/>
      </rPr>
      <t>，核心是</t>
    </r>
    <r>
      <rPr>
        <b/>
        <sz val="11"/>
        <color theme="1"/>
        <rFont val="等线"/>
        <family val="3"/>
        <charset val="134"/>
        <scheme val="minor"/>
      </rPr>
      <t>生命力的强弱、寿命的长短和身体的稳定性</t>
    </r>
    <r>
      <rPr>
        <sz val="11"/>
        <color theme="1"/>
        <rFont val="等线"/>
        <family val="2"/>
        <charset val="134"/>
        <scheme val="minor"/>
      </rPr>
      <t>。</t>
    </r>
    <r>
      <rPr>
        <b/>
        <sz val="11"/>
        <color theme="1"/>
        <rFont val="等线"/>
        <family val="3"/>
        <charset val="134"/>
        <scheme val="minor"/>
      </rPr>
      <t>天梁星主“荫庇与化解病灾”</t>
    </r>
    <r>
      <rPr>
        <sz val="11"/>
        <color theme="1"/>
        <rFont val="等线"/>
        <family val="2"/>
        <charset val="134"/>
        <scheme val="minor"/>
      </rPr>
      <t>，核心是</t>
    </r>
    <r>
      <rPr>
        <b/>
        <sz val="11"/>
        <color theme="1"/>
        <rFont val="等线"/>
        <family val="3"/>
        <charset val="134"/>
        <scheme val="minor"/>
      </rPr>
      <t>遇到病灾时的解救、荫佑之力</t>
    </r>
    <r>
      <rPr>
        <sz val="11"/>
        <color theme="1"/>
        <rFont val="等线"/>
        <family val="2"/>
        <charset val="134"/>
        <scheme val="minor"/>
      </rPr>
      <t>。天寿是“活得长、底子好”，天梁是“病有救、难有帮”。二者同会，为健康长寿上佳组合。</t>
    </r>
  </si>
  <si>
    <r>
      <t>2. 与“天同”的区别</t>
    </r>
    <r>
      <rPr>
        <sz val="11"/>
        <color theme="1"/>
        <rFont val="等线"/>
        <family val="2"/>
        <charset val="134"/>
        <scheme val="minor"/>
      </rPr>
      <t>：</t>
    </r>
    <r>
      <rPr>
        <b/>
        <sz val="11"/>
        <color theme="1"/>
        <rFont val="等线"/>
        <family val="3"/>
        <charset val="134"/>
        <scheme val="minor"/>
      </rPr>
      <t>天同星主“福气与享受”</t>
    </r>
    <r>
      <rPr>
        <sz val="11"/>
        <color theme="1"/>
        <rFont val="等线"/>
        <family val="2"/>
        <charset val="134"/>
        <scheme val="minor"/>
      </rPr>
      <t>，核心是</t>
    </r>
    <r>
      <rPr>
        <b/>
        <sz val="11"/>
        <color theme="1"/>
        <rFont val="等线"/>
        <family val="3"/>
        <charset val="134"/>
        <scheme val="minor"/>
      </rPr>
      <t>精神与物质的享受、安逸度</t>
    </r>
    <r>
      <rPr>
        <sz val="11"/>
        <color theme="1"/>
        <rFont val="等线"/>
        <family val="2"/>
        <charset val="134"/>
        <scheme val="minor"/>
      </rPr>
      <t>。</t>
    </r>
    <r>
      <rPr>
        <b/>
        <sz val="11"/>
        <color theme="1"/>
        <rFont val="等线"/>
        <family val="3"/>
        <charset val="134"/>
        <scheme val="minor"/>
      </rPr>
      <t>天寿星主“寿命与健康”</t>
    </r>
    <r>
      <rPr>
        <sz val="11"/>
        <color theme="1"/>
        <rFont val="等线"/>
        <family val="2"/>
        <charset val="134"/>
        <scheme val="minor"/>
      </rPr>
      <t>，核心是</t>
    </r>
    <r>
      <rPr>
        <b/>
        <sz val="11"/>
        <color theme="1"/>
        <rFont val="等线"/>
        <family val="3"/>
        <charset val="134"/>
        <scheme val="minor"/>
      </rPr>
      <t>生命时间的长度与身体状态</t>
    </r>
    <r>
      <rPr>
        <sz val="11"/>
        <color theme="1"/>
        <rFont val="等线"/>
        <family val="2"/>
        <charset val="134"/>
        <scheme val="minor"/>
      </rPr>
      <t>。天同是“活得舒服”，天寿是“活得长久”。二者同会，则为“福寿双全”。</t>
    </r>
  </si>
  <si>
    <r>
      <t>3. 宫位定领域</t>
    </r>
    <r>
      <rPr>
        <sz val="11"/>
        <color theme="1"/>
        <rFont val="等线"/>
        <family val="2"/>
        <charset val="134"/>
        <scheme val="minor"/>
      </rPr>
      <t>：天寿星所在宫位，指示在人生的哪个领域具有持久性、稳定性，或在该领域需要关注健康与长期发展。</t>
    </r>
  </si>
  <si>
    <r>
      <t>4. 四化引动</t>
    </r>
    <r>
      <rPr>
        <sz val="11"/>
        <color theme="1"/>
        <rFont val="等线"/>
        <family val="2"/>
        <charset val="134"/>
        <scheme val="minor"/>
      </rPr>
      <t>：见</t>
    </r>
    <r>
      <rPr>
        <b/>
        <sz val="11"/>
        <color theme="1"/>
        <rFont val="等线"/>
        <family val="3"/>
        <charset val="134"/>
        <scheme val="minor"/>
      </rPr>
      <t>化禄</t>
    </r>
    <r>
      <rPr>
        <sz val="11"/>
        <color theme="1"/>
        <rFont val="等线"/>
        <family val="2"/>
        <charset val="134"/>
        <scheme val="minor"/>
      </rPr>
      <t>，健康带来财富，或长期稳定的收益，长寿且富足。见</t>
    </r>
    <r>
      <rPr>
        <b/>
        <sz val="11"/>
        <color theme="1"/>
        <rFont val="等线"/>
        <family val="3"/>
        <charset val="134"/>
        <scheme val="minor"/>
      </rPr>
      <t>化权</t>
    </r>
    <r>
      <rPr>
        <sz val="11"/>
        <color theme="1"/>
        <rFont val="等线"/>
        <family val="2"/>
        <charset val="134"/>
        <scheme val="minor"/>
      </rPr>
      <t>，对健康、寿命有强大的掌控力，或事情持久且稳固。见</t>
    </r>
    <r>
      <rPr>
        <b/>
        <sz val="11"/>
        <color theme="1"/>
        <rFont val="等线"/>
        <family val="3"/>
        <charset val="134"/>
        <scheme val="minor"/>
      </rPr>
      <t>化科</t>
    </r>
    <r>
      <rPr>
        <sz val="11"/>
        <color theme="1"/>
        <rFont val="等线"/>
        <family val="2"/>
        <charset val="134"/>
        <scheme val="minor"/>
      </rPr>
      <t>，因健康长寿获得好名声，成为养生典范。见</t>
    </r>
    <r>
      <rPr>
        <b/>
        <sz val="11"/>
        <color theme="1"/>
        <rFont val="等线"/>
        <family val="3"/>
        <charset val="134"/>
        <scheme val="minor"/>
      </rPr>
      <t>化忌</t>
    </r>
    <r>
      <rPr>
        <sz val="11"/>
        <color theme="1"/>
        <rFont val="等线"/>
        <family val="2"/>
        <charset val="134"/>
        <scheme val="minor"/>
      </rPr>
      <t>，</t>
    </r>
    <r>
      <rPr>
        <b/>
        <sz val="11"/>
        <color theme="1"/>
        <rFont val="等线"/>
        <family val="3"/>
        <charset val="134"/>
        <scheme val="minor"/>
      </rPr>
      <t>健康稳定性受损</t>
    </r>
    <r>
      <rPr>
        <sz val="11"/>
        <color theme="1"/>
        <rFont val="等线"/>
        <family val="2"/>
        <charset val="134"/>
        <scheme val="minor"/>
      </rPr>
      <t>，长寿但多病，或长期受某事困扰，过程拖沓不吉。</t>
    </r>
  </si>
  <si>
    <t>长寿、健康、稳定、延缓，时长</t>
    <phoneticPr fontId="2" type="noConversion"/>
  </si>
  <si>
    <t>一、天刑定义</t>
  </si>
  <si>
    <t>刑伤、自律、法律、业力、医药</t>
  </si>
  <si>
    <t>象征天律、刑罚、伤害与自律。其性质主凶，代表约束、惩戒、伤害、官非以及由此带来的业力与修行。亦主医药、手术，是“以刑为医”的转化。</t>
  </si>
  <si>
    <t>乙级星，属阳火。主凶，为刑克、孤独之星。遇吉星（如天梁、紫微）可转化为自律、权威与法律才能；遇煞星（如擎羊、火星）则刑伤性质大增，主伤害、官非、手术。</t>
  </si>
  <si>
    <r>
      <t>刑伤/伤害</t>
    </r>
    <r>
      <rPr>
        <sz val="11"/>
        <color theme="1"/>
        <rFont val="等线"/>
        <family val="2"/>
        <charset val="134"/>
        <scheme val="minor"/>
      </rPr>
      <t>​</t>
    </r>
  </si>
  <si>
    <t>易有身体伤害、手术、意外刑伤，或内心感到约束、压抑。</t>
  </si>
  <si>
    <t>在命宫、疾厄宫、迁移宫时尤为明显。</t>
  </si>
  <si>
    <r>
      <t>自律/约束</t>
    </r>
    <r>
      <rPr>
        <sz val="11"/>
        <color theme="1"/>
        <rFont val="等线"/>
        <family val="2"/>
        <charset val="134"/>
        <scheme val="minor"/>
      </rPr>
      <t>​</t>
    </r>
  </si>
  <si>
    <t>自我要求高，守纪律，有原则，但也可能显得固执、不近人情。</t>
  </si>
  <si>
    <t>与紫微、太阳等主星同度时力量显现。</t>
  </si>
  <si>
    <r>
      <t>官非/法律</t>
    </r>
    <r>
      <rPr>
        <sz val="11"/>
        <color theme="1"/>
        <rFont val="等线"/>
        <family val="2"/>
        <charset val="134"/>
        <scheme val="minor"/>
      </rPr>
      <t>​</t>
    </r>
  </si>
  <si>
    <t>易涉及法律、诉讼、合同纠纷，或对法律、规则敏感。</t>
  </si>
  <si>
    <r>
      <t>业力/因果</t>
    </r>
    <r>
      <rPr>
        <sz val="11"/>
        <color theme="1"/>
        <rFont val="等线"/>
        <family val="2"/>
        <charset val="134"/>
        <scheme val="minor"/>
      </rPr>
      <t>​</t>
    </r>
  </si>
  <si>
    <t>人生际遇带有业力色彩，需经历某些磨难来偿还或修行。</t>
  </si>
  <si>
    <t>在福德宫、命宫时显著。</t>
  </si>
  <si>
    <r>
      <t>医药/手术</t>
    </r>
    <r>
      <rPr>
        <sz val="11"/>
        <color theme="1"/>
        <rFont val="等线"/>
        <family val="2"/>
        <charset val="134"/>
        <scheme val="minor"/>
      </rPr>
      <t>​</t>
    </r>
  </si>
  <si>
    <t>与医药、手术有缘，可能从事相关行业，或身体需通过手术治疗。</t>
  </si>
  <si>
    <t>在疾厄宫、官禄宫时显现。</t>
  </si>
  <si>
    <t>性格刚直，原则性强，易得罪人；一生易有刑伤、手术或官非。</t>
  </si>
  <si>
    <t>与兄弟姐妹关系有约束感，易有争执；朋友间易有原则冲突。</t>
  </si>
  <si>
    <t>婚姻中带有约束力，易因原则问题争吵，或配偶严肃。</t>
  </si>
  <si>
    <t>对子女管教严格；合作关系受法律条文约束，易有合同纠纷。</t>
  </si>
  <si>
    <t>钱财进出受法规限制，易因税务、合同问题破财。</t>
  </si>
  <si>
    <r>
      <t>核心宫位</t>
    </r>
    <r>
      <rPr>
        <sz val="11"/>
        <color theme="1"/>
        <rFont val="等线"/>
        <family val="2"/>
        <charset val="134"/>
        <scheme val="minor"/>
      </rPr>
      <t>。易有需要手术的疾病，或身体易受外伤。</t>
    </r>
  </si>
  <si>
    <t>在外易惹是非，发生意外伤害，或需遵守严格规章。</t>
  </si>
  <si>
    <t>朋友、下属中多严肃、自律之人，但也易发生纠纷、诉讼。</t>
  </si>
  <si>
    <r>
      <t>核心宫位</t>
    </r>
    <r>
      <rPr>
        <sz val="11"/>
        <color theme="1"/>
        <rFont val="等线"/>
        <family val="2"/>
        <charset val="134"/>
        <scheme val="minor"/>
      </rPr>
      <t>。适合军警、法律、医疗、纪律部队等职业，事业上易有官非。</t>
    </r>
  </si>
  <si>
    <t>家宅风水带煞气，家人关系拘谨；易有房产法律纠纷。</t>
  </si>
  <si>
    <t>思想严肃，有业力观念，精神上常感约束，或通过修行化解。</t>
  </si>
  <si>
    <t>父母管教严厉，家庭有纪律；易与长辈有法律关联。</t>
  </si>
  <si>
    <t>1. 增强刑律/自律组合</t>
  </si>
  <si>
    <r>
      <t>天刑+紫微</t>
    </r>
    <r>
      <rPr>
        <sz val="11"/>
        <color theme="1"/>
        <rFont val="等线"/>
        <family val="2"/>
        <charset val="134"/>
        <scheme val="minor"/>
      </rPr>
      <t>​</t>
    </r>
  </si>
  <si>
    <r>
      <t>帝星执律</t>
    </r>
    <r>
      <rPr>
        <sz val="11"/>
        <color theme="1"/>
        <rFont val="等线"/>
        <family val="2"/>
        <charset val="134"/>
        <scheme val="minor"/>
      </rPr>
      <t>，权威与法律结合，掌握生杀大权，或自律极严。</t>
    </r>
  </si>
  <si>
    <t>法官、检察官、高级军官；对自己要求苛刻的领导者。</t>
  </si>
  <si>
    <r>
      <t>天刑+天机</t>
    </r>
    <r>
      <rPr>
        <sz val="11"/>
        <color theme="1"/>
        <rFont val="等线"/>
        <family val="2"/>
        <charset val="134"/>
        <scheme val="minor"/>
      </rPr>
      <t>​</t>
    </r>
  </si>
  <si>
    <r>
      <t>智星辨刑</t>
    </r>
    <r>
      <rPr>
        <sz val="11"/>
        <color theme="1"/>
        <rFont val="等线"/>
        <family val="2"/>
        <charset val="134"/>
        <scheme val="minor"/>
      </rPr>
      <t>，思维缜密于法律、侦探、策划，易有交通类刑伤或手术。</t>
    </r>
  </si>
  <si>
    <t>律师、侦探、策划师；因车祸受伤或进行精密手术。</t>
  </si>
  <si>
    <r>
      <t>光明正刑</t>
    </r>
    <r>
      <rPr>
        <sz val="11"/>
        <color theme="1"/>
        <rFont val="等线"/>
        <family val="2"/>
        <charset val="134"/>
        <scheme val="minor"/>
      </rPr>
      <t>，公开执法，维护正义，但易因曝光他人而惹官非。</t>
    </r>
  </si>
  <si>
    <t>纪检人员、记者、维权人士；因曝光黑幕被起诉。</t>
  </si>
  <si>
    <r>
      <t>刚星受刑</t>
    </r>
    <r>
      <rPr>
        <sz val="11"/>
        <color theme="1"/>
        <rFont val="等线"/>
        <family val="2"/>
        <charset val="134"/>
        <scheme val="minor"/>
      </rPr>
      <t>，金融法律、执行纪律，易有金属伤害或财务官司。</t>
    </r>
  </si>
  <si>
    <t>金融监管、审计、外科医生；因财务纠纷诉讼或金属手术。</t>
  </si>
  <si>
    <r>
      <t>福星受约</t>
    </r>
    <r>
      <rPr>
        <sz val="11"/>
        <color theme="1"/>
        <rFont val="等线"/>
        <family val="2"/>
        <charset val="134"/>
        <scheme val="minor"/>
      </rPr>
      <t>，享受被约束，在纪律中寻安逸，或因病、官司而享福受阻。</t>
    </r>
  </si>
  <si>
    <t>在严格制度下的公务员；因病住院而被迫休息。</t>
  </si>
  <si>
    <r>
      <t>囚星服刑</t>
    </r>
    <r>
      <rPr>
        <sz val="11"/>
        <color theme="1"/>
        <rFont val="等线"/>
        <family val="2"/>
        <charset val="134"/>
        <scheme val="minor"/>
      </rPr>
      <t>，易涉严重官非、牢狱，或从事纪律检查、刑事调查。</t>
    </r>
  </si>
  <si>
    <t>囚犯、纪检干部、刑警；因贪污受贿入狱。</t>
  </si>
  <si>
    <r>
      <t>天刑+天府</t>
    </r>
    <r>
      <rPr>
        <sz val="11"/>
        <color theme="1"/>
        <rFont val="等线"/>
        <family val="2"/>
        <charset val="134"/>
        <scheme val="minor"/>
      </rPr>
      <t>​</t>
    </r>
  </si>
  <si>
    <r>
      <t>库星守律</t>
    </r>
    <r>
      <rPr>
        <sz val="11"/>
        <color theme="1"/>
        <rFont val="等线"/>
        <family val="2"/>
        <charset val="134"/>
        <scheme val="minor"/>
      </rPr>
      <t>，严守财经法规，管理库藏有方，或因财产惹官司。</t>
    </r>
  </si>
  <si>
    <t>会计师、仓库管理员；因税务问题被调查。</t>
  </si>
  <si>
    <r>
      <t>天刑+太阴</t>
    </r>
    <r>
      <rPr>
        <sz val="11"/>
        <color theme="1"/>
        <rFont val="等线"/>
        <family val="2"/>
        <charset val="134"/>
        <scheme val="minor"/>
      </rPr>
      <t>​</t>
    </r>
  </si>
  <si>
    <r>
      <t>阴星暗刑</t>
    </r>
    <r>
      <rPr>
        <sz val="11"/>
        <color theme="1"/>
        <rFont val="等线"/>
        <family val="2"/>
        <charset val="134"/>
        <scheme val="minor"/>
      </rPr>
      <t>，涉及女性、房地产、暗中的法律问题或妇科手术。</t>
    </r>
  </si>
  <si>
    <t>处理女性权益的律师；因房产纠纷打官司；进行妇科手术。</t>
  </si>
  <si>
    <r>
      <t>天刑+贪狼</t>
    </r>
    <r>
      <rPr>
        <sz val="11"/>
        <color theme="1"/>
        <rFont val="等线"/>
        <family val="2"/>
        <charset val="134"/>
        <scheme val="minor"/>
      </rPr>
      <t>​</t>
    </r>
  </si>
  <si>
    <r>
      <t>欲星受制</t>
    </r>
    <r>
      <rPr>
        <sz val="11"/>
        <color theme="1"/>
        <rFont val="等线"/>
        <family val="2"/>
        <charset val="134"/>
        <scheme val="minor"/>
      </rPr>
      <t>，欲望受法律或道德约束，易因桃花、赌博惹官非。</t>
    </r>
  </si>
  <si>
    <t>因色情或赌博被拘留；戒瘾中心的辅导员。</t>
  </si>
  <si>
    <r>
      <t>天刑+巨门</t>
    </r>
    <r>
      <rPr>
        <sz val="11"/>
        <color theme="1"/>
        <rFont val="等线"/>
        <family val="2"/>
        <charset val="134"/>
        <scheme val="minor"/>
      </rPr>
      <t>​</t>
    </r>
  </si>
  <si>
    <r>
      <t>暗星刑口</t>
    </r>
    <r>
      <rPr>
        <sz val="11"/>
        <color theme="1"/>
        <rFont val="等线"/>
        <family val="2"/>
        <charset val="134"/>
        <scheme val="minor"/>
      </rPr>
      <t>，易因口舌、诽谤、合同纠纷惹官司，或进行口腔手术。</t>
    </r>
  </si>
  <si>
    <t>被诽谤而起诉他人；因合同欺诈被告；进行牙齿手术。</t>
  </si>
  <si>
    <r>
      <t>天刑+天相</t>
    </r>
    <r>
      <rPr>
        <sz val="11"/>
        <color theme="1"/>
        <rFont val="等线"/>
        <family val="2"/>
        <charset val="134"/>
        <scheme val="minor"/>
      </rPr>
      <t>​</t>
    </r>
  </si>
  <si>
    <r>
      <t>印星佐律</t>
    </r>
    <r>
      <rPr>
        <sz val="11"/>
        <color theme="1"/>
        <rFont val="等线"/>
        <family val="2"/>
        <charset val="134"/>
        <scheme val="minor"/>
      </rPr>
      <t>，辅助执法，文件法律工作，或因文书、印章惹是非。</t>
    </r>
  </si>
  <si>
    <t>书记员、公证员、秘书；因文件错误导致法律问题。</t>
  </si>
  <si>
    <r>
      <t>天刑+天梁</t>
    </r>
    <r>
      <rPr>
        <sz val="11"/>
        <color theme="1"/>
        <rFont val="等线"/>
        <family val="2"/>
        <charset val="134"/>
        <scheme val="minor"/>
      </rPr>
      <t>​</t>
    </r>
  </si>
  <si>
    <r>
      <t>荫星掌刑</t>
    </r>
    <r>
      <rPr>
        <sz val="11"/>
        <color theme="1"/>
        <rFont val="等线"/>
        <family val="2"/>
        <charset val="134"/>
        <scheme val="minor"/>
      </rPr>
      <t>，</t>
    </r>
    <r>
      <rPr>
        <b/>
        <sz val="11"/>
        <color theme="1"/>
        <rFont val="等线"/>
        <family val="3"/>
        <charset val="134"/>
        <scheme val="minor"/>
      </rPr>
      <t>“刑医星”组合</t>
    </r>
    <r>
      <rPr>
        <sz val="11"/>
        <color theme="1"/>
        <rFont val="等线"/>
        <family val="2"/>
        <charset val="134"/>
        <scheme val="minor"/>
      </rPr>
      <t>，从事法律兼医疗（如法医），或以刑为医化解灾厄。</t>
    </r>
  </si>
  <si>
    <t>法医、医疗律师；通过手术（刑）治疗疾病（医）。</t>
  </si>
  <si>
    <r>
      <t>天刑+七杀</t>
    </r>
    <r>
      <rPr>
        <sz val="11"/>
        <color theme="1"/>
        <rFont val="等线"/>
        <family val="2"/>
        <charset val="134"/>
        <scheme val="minor"/>
      </rPr>
      <t>​</t>
    </r>
  </si>
  <si>
    <r>
      <t>杀刑并见</t>
    </r>
    <r>
      <rPr>
        <sz val="11"/>
        <color theme="1"/>
        <rFont val="等线"/>
        <family val="2"/>
        <charset val="134"/>
        <scheme val="minor"/>
      </rPr>
      <t>，暴力刑伤、突发手术、军事法律，刑伤性质最烈。</t>
    </r>
  </si>
  <si>
    <t>军人、外科急诊医生；遭遇暴力伤害或突发急症手术。</t>
  </si>
  <si>
    <r>
      <t>天刑+破军</t>
    </r>
    <r>
      <rPr>
        <sz val="11"/>
        <color theme="1"/>
        <rFont val="等线"/>
        <family val="2"/>
        <charset val="134"/>
        <scheme val="minor"/>
      </rPr>
      <t>​</t>
    </r>
  </si>
  <si>
    <r>
      <t>耗星受惩</t>
    </r>
    <r>
      <rPr>
        <sz val="11"/>
        <color theme="1"/>
        <rFont val="等线"/>
        <family val="2"/>
        <charset val="134"/>
        <scheme val="minor"/>
      </rPr>
      <t>，因破坏、改革惹上官司，或经历破坏性手术（如截肢）。</t>
    </r>
  </si>
  <si>
    <t>拆迁纠纷被告；因事故进行截肢手术。</t>
  </si>
  <si>
    <r>
      <t>刑伤加倍</t>
    </r>
    <r>
      <rPr>
        <sz val="11"/>
        <color theme="1"/>
        <rFont val="等线"/>
        <family val="2"/>
        <charset val="134"/>
        <scheme val="minor"/>
      </rPr>
      <t>，血光、手术、暴力冲突、官非的力度和突发性极强。</t>
    </r>
  </si>
  <si>
    <t>严重车祸需手术；因暴力冲突入狱。</t>
  </si>
  <si>
    <r>
      <t>天刑+陀罗</t>
    </r>
    <r>
      <rPr>
        <sz val="11"/>
        <color theme="1"/>
        <rFont val="等线"/>
        <family val="2"/>
        <charset val="134"/>
        <scheme val="minor"/>
      </rPr>
      <t>​</t>
    </r>
  </si>
  <si>
    <r>
      <t>刑伤拖延</t>
    </r>
    <r>
      <rPr>
        <sz val="11"/>
        <color theme="1"/>
        <rFont val="等线"/>
        <family val="2"/>
        <charset val="134"/>
        <scheme val="minor"/>
      </rPr>
      <t>，官司缠讼不休，慢性病需长期治疗或反复手术。</t>
    </r>
  </si>
  <si>
    <t>一场官司打多年；慢性病需多次手术。</t>
  </si>
  <si>
    <r>
      <t>天刑+火星</t>
    </r>
    <r>
      <rPr>
        <sz val="11"/>
        <color theme="1"/>
        <rFont val="等线"/>
        <family val="2"/>
        <charset val="134"/>
        <scheme val="minor"/>
      </rPr>
      <t>​</t>
    </r>
  </si>
  <si>
    <r>
      <t>刑伤暴烈</t>
    </r>
    <r>
      <rPr>
        <sz val="11"/>
        <color theme="1"/>
        <rFont val="等线"/>
        <family val="2"/>
        <charset val="134"/>
        <scheme val="minor"/>
      </rPr>
      <t>，突如其来的伤害、火灾、爆炸相关官司或手术。</t>
    </r>
  </si>
  <si>
    <t>爆炸受伤紧急手术；因纵火罪被起诉。</t>
  </si>
  <si>
    <r>
      <t>刑伤阴狠</t>
    </r>
    <r>
      <rPr>
        <sz val="11"/>
        <color theme="1"/>
        <rFont val="等线"/>
        <family val="2"/>
        <charset val="134"/>
        <scheme val="minor"/>
      </rPr>
      <t>，暗中的伤害、慢性中毒引发的官司或隐疾手术。</t>
    </r>
  </si>
  <si>
    <t>被投毒引发诉讼；治疗慢性中毒的手术。</t>
  </si>
  <si>
    <r>
      <t>天刑+地空</t>
    </r>
    <r>
      <rPr>
        <sz val="11"/>
        <color theme="1"/>
        <rFont val="等线"/>
        <family val="2"/>
        <charset val="134"/>
        <scheme val="minor"/>
      </rPr>
      <t>​</t>
    </r>
  </si>
  <si>
    <r>
      <t>刑空虚无</t>
    </r>
    <r>
      <rPr>
        <sz val="11"/>
        <color theme="1"/>
        <rFont val="等线"/>
        <family val="2"/>
        <charset val="134"/>
        <scheme val="minor"/>
      </rPr>
      <t>，官司不了了之，手术可能失败或效果落空，刑伤感精神化。</t>
    </r>
  </si>
  <si>
    <t>诉讼因证据不足撤销；手术不成功。</t>
  </si>
  <si>
    <r>
      <t>刑劫破耗</t>
    </r>
    <r>
      <rPr>
        <sz val="11"/>
        <color theme="1"/>
        <rFont val="等线"/>
        <family val="2"/>
        <charset val="134"/>
        <scheme val="minor"/>
      </rPr>
      <t>，因刑伤、官司导致重大破财，手术有意外损耗。</t>
    </r>
  </si>
  <si>
    <t>赔偿导致倾家荡产；手术中出现意外大出血。</t>
  </si>
  <si>
    <r>
      <t>天刑+文昌/文曲</t>
    </r>
    <r>
      <rPr>
        <sz val="11"/>
        <color theme="1"/>
        <rFont val="等线"/>
        <family val="2"/>
        <charset val="134"/>
        <scheme val="minor"/>
      </rPr>
      <t>​</t>
    </r>
  </si>
  <si>
    <r>
      <t>刑律文笔</t>
    </r>
    <r>
      <rPr>
        <sz val="11"/>
        <color theme="1"/>
        <rFont val="等线"/>
        <family val="2"/>
        <charset val="134"/>
        <scheme val="minor"/>
      </rPr>
      <t>，从事法律文书、学术研究，或因文字、考试惹是非。</t>
    </r>
  </si>
  <si>
    <t>法律学者、法院文书；因论文抄袭被起诉。</t>
  </si>
  <si>
    <r>
      <t>天刑+左辅/右弼</t>
    </r>
    <r>
      <rPr>
        <sz val="11"/>
        <color theme="1"/>
        <rFont val="等线"/>
        <family val="2"/>
        <charset val="134"/>
        <scheme val="minor"/>
      </rPr>
      <t>​</t>
    </r>
  </si>
  <si>
    <r>
      <t>刑众共事</t>
    </r>
    <r>
      <rPr>
        <sz val="11"/>
        <color theme="1"/>
        <rFont val="等线"/>
        <family val="2"/>
        <charset val="134"/>
        <scheme val="minor"/>
      </rPr>
      <t>，参与集体诉讼，或多人共同受罚，手术需多人会诊。</t>
    </r>
  </si>
  <si>
    <t>集体劳动仲裁；大型医疗团队进行手术。</t>
  </si>
  <si>
    <r>
      <t>天刑+天魁/天钺</t>
    </r>
    <r>
      <rPr>
        <sz val="11"/>
        <color theme="1"/>
        <rFont val="等线"/>
        <family val="2"/>
        <charset val="134"/>
        <scheme val="minor"/>
      </rPr>
      <t>​</t>
    </r>
  </si>
  <si>
    <r>
      <t>刑遇贵人</t>
    </r>
    <r>
      <rPr>
        <sz val="11"/>
        <color theme="1"/>
        <rFont val="等线"/>
        <family val="2"/>
        <charset val="134"/>
        <scheme val="minor"/>
      </rPr>
      <t>，官司中得贵人相助，或遇良医进行手术。</t>
    </r>
  </si>
  <si>
    <t>诉讼中找到好律师；疾病遇到权威专家主刀。</t>
  </si>
  <si>
    <r>
      <t>天刑+禄存</t>
    </r>
    <r>
      <rPr>
        <sz val="11"/>
        <color theme="1"/>
        <rFont val="等线"/>
        <family val="2"/>
        <charset val="134"/>
        <scheme val="minor"/>
      </rPr>
      <t>​</t>
    </r>
  </si>
  <si>
    <r>
      <t>刑财相关</t>
    </r>
    <r>
      <rPr>
        <sz val="11"/>
        <color theme="1"/>
        <rFont val="等线"/>
        <family val="2"/>
        <charset val="134"/>
        <scheme val="minor"/>
      </rPr>
      <t>，因财务问题惹官司，或花钱消灾（如支付罚金、手术费）。</t>
    </r>
  </si>
  <si>
    <t>因经济犯罪被起诉；支付高额医疗费手术。</t>
  </si>
  <si>
    <r>
      <t>天刑+天马</t>
    </r>
    <r>
      <rPr>
        <sz val="11"/>
        <color theme="1"/>
        <rFont val="等线"/>
        <family val="2"/>
        <charset val="134"/>
        <scheme val="minor"/>
      </rPr>
      <t>​</t>
    </r>
  </si>
  <si>
    <r>
      <t>刑动奔波</t>
    </r>
    <r>
      <rPr>
        <sz val="11"/>
        <color theme="1"/>
        <rFont val="等线"/>
        <family val="2"/>
        <charset val="134"/>
        <scheme val="minor"/>
      </rPr>
      <t>，官司涉及远方、外国，或需远行求医手术。</t>
    </r>
  </si>
  <si>
    <t>国际法律纠纷；到外地做手术。</t>
  </si>
  <si>
    <r>
      <t>1. “天刑”与“擎羊”、“陀罗”</t>
    </r>
    <r>
      <rPr>
        <sz val="11"/>
        <color theme="1"/>
        <rFont val="等线"/>
        <family val="2"/>
        <charset val="134"/>
        <scheme val="minor"/>
      </rPr>
      <t>：</t>
    </r>
    <r>
      <rPr>
        <b/>
        <sz val="11"/>
        <color theme="1"/>
        <rFont val="等线"/>
        <family val="3"/>
        <charset val="134"/>
        <scheme val="minor"/>
      </rPr>
      <t>天刑星主“天律、业力与医药”</t>
    </r>
    <r>
      <rPr>
        <sz val="11"/>
        <color theme="1"/>
        <rFont val="等线"/>
        <family val="2"/>
        <charset val="134"/>
        <scheme val="minor"/>
      </rPr>
      <t>，核心是</t>
    </r>
    <r>
      <rPr>
        <b/>
        <sz val="11"/>
        <color theme="1"/>
        <rFont val="等线"/>
        <family val="3"/>
        <charset val="134"/>
        <scheme val="minor"/>
      </rPr>
      <t>规则性的惩戒、因果业报以及与之相关的手术医药</t>
    </r>
    <r>
      <rPr>
        <sz val="11"/>
        <color theme="1"/>
        <rFont val="等线"/>
        <family val="2"/>
        <charset val="134"/>
        <scheme val="minor"/>
      </rPr>
      <t>。</t>
    </r>
    <r>
      <rPr>
        <b/>
        <sz val="11"/>
        <color theme="1"/>
        <rFont val="等线"/>
        <family val="3"/>
        <charset val="134"/>
        <scheme val="minor"/>
      </rPr>
      <t>擎羊星主“明枪、直接的伤害”</t>
    </r>
    <r>
      <rPr>
        <sz val="11"/>
        <color theme="1"/>
        <rFont val="等线"/>
        <family val="2"/>
        <charset val="134"/>
        <scheme val="minor"/>
      </rPr>
      <t>，核心是</t>
    </r>
    <r>
      <rPr>
        <b/>
        <sz val="11"/>
        <color theme="1"/>
        <rFont val="等线"/>
        <family val="3"/>
        <charset val="134"/>
        <scheme val="minor"/>
      </rPr>
      <t>快速、主动、外显的伤害</t>
    </r>
    <r>
      <rPr>
        <sz val="11"/>
        <color theme="1"/>
        <rFont val="等线"/>
        <family val="2"/>
        <charset val="134"/>
        <scheme val="minor"/>
      </rPr>
      <t>。</t>
    </r>
    <r>
      <rPr>
        <b/>
        <sz val="11"/>
        <color theme="1"/>
        <rFont val="等线"/>
        <family val="3"/>
        <charset val="134"/>
        <scheme val="minor"/>
      </rPr>
      <t>陀罗星主“暗箭、拖延的伤害”</t>
    </r>
    <r>
      <rPr>
        <sz val="11"/>
        <color theme="1"/>
        <rFont val="等线"/>
        <family val="2"/>
        <charset val="134"/>
        <scheme val="minor"/>
      </rPr>
      <t>，核心是</t>
    </r>
    <r>
      <rPr>
        <b/>
        <sz val="11"/>
        <color theme="1"/>
        <rFont val="等线"/>
        <family val="3"/>
        <charset val="134"/>
        <scheme val="minor"/>
      </rPr>
      <t>缓慢、被动、纠缠的伤害</t>
    </r>
    <r>
      <rPr>
        <sz val="11"/>
        <color theme="1"/>
        <rFont val="等线"/>
        <family val="2"/>
        <charset val="134"/>
        <scheme val="minor"/>
      </rPr>
      <t>。天刑是“该受的惩罚或治疗”，擎羊是“被刀砍”，陀罗是“被慢性毒害”。</t>
    </r>
  </si>
  <si>
    <r>
      <t>2. 与“天梁”的区别</t>
    </r>
    <r>
      <rPr>
        <sz val="11"/>
        <color theme="1"/>
        <rFont val="等线"/>
        <family val="2"/>
        <charset val="134"/>
        <scheme val="minor"/>
      </rPr>
      <t>：</t>
    </r>
    <r>
      <rPr>
        <b/>
        <sz val="11"/>
        <color theme="1"/>
        <rFont val="等线"/>
        <family val="3"/>
        <charset val="134"/>
        <scheme val="minor"/>
      </rPr>
      <t>天梁星是“荫星”和“医药星”</t>
    </r>
    <r>
      <rPr>
        <sz val="11"/>
        <color theme="1"/>
        <rFont val="等线"/>
        <family val="2"/>
        <charset val="134"/>
        <scheme val="minor"/>
      </rPr>
      <t>，主</t>
    </r>
    <r>
      <rPr>
        <b/>
        <sz val="11"/>
        <color theme="1"/>
        <rFont val="等线"/>
        <family val="3"/>
        <charset val="134"/>
        <scheme val="minor"/>
      </rPr>
      <t>庇佑、化解灾病、传统医药</t>
    </r>
    <r>
      <rPr>
        <sz val="11"/>
        <color theme="1"/>
        <rFont val="等线"/>
        <family val="2"/>
        <charset val="134"/>
        <scheme val="minor"/>
      </rPr>
      <t>。</t>
    </r>
    <r>
      <rPr>
        <b/>
        <sz val="11"/>
        <color theme="1"/>
        <rFont val="等线"/>
        <family val="3"/>
        <charset val="134"/>
        <scheme val="minor"/>
      </rPr>
      <t>天刑星是“刑星”和“手术星”</t>
    </r>
    <r>
      <rPr>
        <sz val="11"/>
        <color theme="1"/>
        <rFont val="等线"/>
        <family val="2"/>
        <charset val="134"/>
        <scheme val="minor"/>
      </rPr>
      <t>，主</t>
    </r>
    <r>
      <rPr>
        <b/>
        <sz val="11"/>
        <color theme="1"/>
        <rFont val="等线"/>
        <family val="3"/>
        <charset val="134"/>
        <scheme val="minor"/>
      </rPr>
      <t>惩戒、伤害、现代手术</t>
    </r>
    <r>
      <rPr>
        <sz val="11"/>
        <color theme="1"/>
        <rFont val="等线"/>
        <family val="2"/>
        <charset val="134"/>
        <scheme val="minor"/>
      </rPr>
      <t>。天梁是“老人、中药、保佑”，天刑是“法律、手术、惩罚”。二者同会，则为“刑医星”，常与法律、医疗双重领域相关。</t>
    </r>
  </si>
  <si>
    <r>
      <t>3. 宫位定领域</t>
    </r>
    <r>
      <rPr>
        <sz val="11"/>
        <color theme="1"/>
        <rFont val="等线"/>
        <family val="2"/>
        <charset val="134"/>
        <scheme val="minor"/>
      </rPr>
      <t>：天刑星所在宫位，指示在人生的哪个领域容易受到规则约束、经历惩戒伤害，或在该领域需要动用法律、医疗手段解决问题。</t>
    </r>
  </si>
  <si>
    <r>
      <t>4. 四化引动</t>
    </r>
    <r>
      <rPr>
        <sz val="11"/>
        <color theme="1"/>
        <rFont val="等线"/>
        <family val="2"/>
        <charset val="134"/>
        <scheme val="minor"/>
      </rPr>
      <t>：见</t>
    </r>
    <r>
      <rPr>
        <b/>
        <sz val="11"/>
        <color theme="1"/>
        <rFont val="等线"/>
        <family val="3"/>
        <charset val="134"/>
        <scheme val="minor"/>
      </rPr>
      <t>化禄</t>
    </r>
    <r>
      <rPr>
        <sz val="11"/>
        <color theme="1"/>
        <rFont val="等线"/>
        <family val="2"/>
        <charset val="134"/>
        <scheme val="minor"/>
      </rPr>
      <t>，将刑伤转化为财富，如律师费、手术费收入，或因规则获利。见</t>
    </r>
    <r>
      <rPr>
        <b/>
        <sz val="11"/>
        <color theme="1"/>
        <rFont val="等线"/>
        <family val="3"/>
        <charset val="134"/>
        <scheme val="minor"/>
      </rPr>
      <t>化权</t>
    </r>
    <r>
      <rPr>
        <sz val="11"/>
        <color theme="1"/>
        <rFont val="等线"/>
        <family val="2"/>
        <charset val="134"/>
        <scheme val="minor"/>
      </rPr>
      <t>，强化法律权威或医疗技术，掌握惩戒或治疗之权。见</t>
    </r>
    <r>
      <rPr>
        <b/>
        <sz val="11"/>
        <color theme="1"/>
        <rFont val="等线"/>
        <family val="3"/>
        <charset val="134"/>
        <scheme val="minor"/>
      </rPr>
      <t>化科</t>
    </r>
    <r>
      <rPr>
        <sz val="11"/>
        <color theme="1"/>
        <rFont val="等线"/>
        <family val="2"/>
        <charset val="134"/>
        <scheme val="minor"/>
      </rPr>
      <t>，因法律、医疗成就得名，或诉讼、手术过程公开、名誉无损。见</t>
    </r>
    <r>
      <rPr>
        <b/>
        <sz val="11"/>
        <color theme="1"/>
        <rFont val="等线"/>
        <family val="3"/>
        <charset val="134"/>
        <scheme val="minor"/>
      </rPr>
      <t>化忌</t>
    </r>
    <r>
      <rPr>
        <sz val="11"/>
        <color theme="1"/>
        <rFont val="等线"/>
        <family val="2"/>
        <charset val="134"/>
        <scheme val="minor"/>
      </rPr>
      <t>，</t>
    </r>
    <r>
      <rPr>
        <b/>
        <sz val="11"/>
        <color theme="1"/>
        <rFont val="等线"/>
        <family val="3"/>
        <charset val="134"/>
        <scheme val="minor"/>
      </rPr>
      <t>刑伤性质加剧</t>
    </r>
    <r>
      <rPr>
        <sz val="11"/>
        <color theme="1"/>
        <rFont val="等线"/>
        <family val="2"/>
        <charset val="134"/>
        <scheme val="minor"/>
      </rPr>
      <t>，官非必然，手术难免，业力显现，痛苦加深。</t>
    </r>
  </si>
  <si>
    <t>一、铃星定义</t>
  </si>
  <si>
    <t>暗火、嫉妒、拖延、慢性、技术</t>
  </si>
  <si>
    <t>乙级星，属阴火。主凶，为暗煞、技术之星。遇吉星可转化为钻研技术的耐力；遇煞星则其阴毒、纠缠之性大增。</t>
  </si>
  <si>
    <r>
      <t>嫉妒/猜疑</t>
    </r>
    <r>
      <rPr>
        <sz val="11"/>
        <color theme="1"/>
        <rFont val="等线"/>
        <family val="2"/>
        <charset val="134"/>
        <scheme val="minor"/>
      </rPr>
      <t>​</t>
    </r>
  </si>
  <si>
    <t>内心易生嫉妒、猜忌、不满，想法阴暗，不易信任他人。</t>
  </si>
  <si>
    <r>
      <t>拖延/纠缠</t>
    </r>
    <r>
      <rPr>
        <sz val="11"/>
        <color theme="1"/>
        <rFont val="等线"/>
        <family val="2"/>
        <charset val="134"/>
        <scheme val="minor"/>
      </rPr>
      <t>​</t>
    </r>
  </si>
  <si>
    <t>事情进展缓慢，反复拖延，问题纠缠不清，难以彻底解决。</t>
  </si>
  <si>
    <t>在官禄宫、夫妻宫时力量显现。</t>
  </si>
  <si>
    <r>
      <t>慢性/隐疾</t>
    </r>
    <r>
      <rPr>
        <sz val="11"/>
        <color theme="1"/>
        <rFont val="等线"/>
        <family val="2"/>
        <charset val="134"/>
        <scheme val="minor"/>
      </rPr>
      <t>​</t>
    </r>
  </si>
  <si>
    <t>易患慢性疾病、隐疾、需要长期调养的病症，或疼痛绵绵不绝。</t>
  </si>
  <si>
    <t>在疾厄宫时显著。</t>
  </si>
  <si>
    <r>
      <t>阴谋/暗算</t>
    </r>
    <r>
      <rPr>
        <sz val="11"/>
        <color theme="1"/>
        <rFont val="等线"/>
        <family val="2"/>
        <charset val="134"/>
        <scheme val="minor"/>
      </rPr>
      <t>​</t>
    </r>
  </si>
  <si>
    <t>易遭遇暗中算计、诽谤、冷暴力，或自己善于权谋算计。</t>
  </si>
  <si>
    <r>
      <t>技术/精细</t>
    </r>
    <r>
      <rPr>
        <sz val="11"/>
        <color theme="1"/>
        <rFont val="等线"/>
        <family val="2"/>
        <charset val="134"/>
        <scheme val="minor"/>
      </rPr>
      <t>​</t>
    </r>
  </si>
  <si>
    <t>具有钻研精密技术、细节的耐心和能力，擅长手工、维修、策划。</t>
  </si>
  <si>
    <t>在官禄宫、财帛宫时显现。</t>
  </si>
  <si>
    <t>性格内向阴沉，心思细密，易嫉妒，有耐心但行动迟缓，一生多暗耗。</t>
  </si>
  <si>
    <t>与兄弟姐妹关系疏远，易有暗中较劲、嫉妒；朋友间多猜疑。</t>
  </si>
  <si>
    <t>感情中存在猜忌、冷战，关系冷淡拖延，易有暗中情愫或第三者。</t>
  </si>
  <si>
    <t>子女缘薄，或子女性格孤僻；合作事项进展缓慢，易被暗中破坏。</t>
  </si>
  <si>
    <t>求财过程辛苦拖延，易有暗耗、慢性破财，适合靠技术细水长流赚钱。</t>
  </si>
  <si>
    <r>
      <t>核心宫位</t>
    </r>
    <r>
      <rPr>
        <sz val="11"/>
        <color theme="1"/>
        <rFont val="等线"/>
        <family val="2"/>
        <charset val="134"/>
        <scheme val="minor"/>
      </rPr>
      <t>。易患慢性病、隐疾（如内分泌失调、慢性炎症）、疑难杂症。</t>
    </r>
  </si>
  <si>
    <t>在外易遇小人暗中算计，出行过程多耽搁，发展缓慢。</t>
  </si>
  <si>
    <t>朋友、下属中多心机深沉之辈，易遭人嫉妒、暗算，人际关系冷淡。</t>
  </si>
  <si>
    <r>
      <t>核心宫位</t>
    </r>
    <r>
      <rPr>
        <sz val="11"/>
        <color theme="1"/>
        <rFont val="等线"/>
        <family val="2"/>
        <charset val="134"/>
        <scheme val="minor"/>
      </rPr>
      <t>。事业进展缓慢，易有职场暗斗；适合需要耐心和技术的职业。</t>
    </r>
  </si>
  <si>
    <t>家宅阴冷，气氛沉闷；房产交易拖延；易有隐性风水问题。</t>
  </si>
  <si>
    <t>思想阴暗，多忧思猜忌，精神饱受煎熬，享受不到快乐。</t>
  </si>
  <si>
    <t>与父母关系冷淡，有隔阂；易受长辈暗中约束。</t>
  </si>
  <si>
    <t>1. 增强阴火/技术组合</t>
  </si>
  <si>
    <r>
      <t>铃星+紫微</t>
    </r>
    <r>
      <rPr>
        <sz val="11"/>
        <color theme="1"/>
        <rFont val="等线"/>
        <family val="2"/>
        <charset val="134"/>
        <scheme val="minor"/>
      </rPr>
      <t>​</t>
    </r>
  </si>
  <si>
    <t>帝星阴火，表面尊贵，内心多疑善妒，善用权术驾驭下属，事业有暗中阻力。</t>
  </si>
  <si>
    <t>疑心重的领导者；在权力斗争中运用阴谋。</t>
  </si>
  <si>
    <r>
      <t>铃星+天机</t>
    </r>
    <r>
      <rPr>
        <sz val="11"/>
        <color theme="1"/>
        <rFont val="等线"/>
        <family val="2"/>
        <charset val="134"/>
        <scheme val="minor"/>
      </rPr>
      <t>​</t>
    </r>
  </si>
  <si>
    <t>智星阴火，思维缜密但多阴谋算计，善策划于暗处，易有交通慢性故障。</t>
  </si>
  <si>
    <t>幕后军师、间谍；车辆经常出小毛病。</t>
  </si>
  <si>
    <r>
      <t>铃星+太阳</t>
    </r>
    <r>
      <rPr>
        <sz val="11"/>
        <color theme="1"/>
        <rFont val="等线"/>
        <family val="2"/>
        <charset val="134"/>
        <scheme val="minor"/>
      </rPr>
      <t>​</t>
    </r>
  </si>
  <si>
    <t>明灯阴火，光明被阴霾遮蔽，名声有暗损，内心抑郁不得志，或眼睛有慢性病。</t>
  </si>
  <si>
    <t>名人被暗中诽谤；患有慢性眼疾。</t>
  </si>
  <si>
    <r>
      <t>铃星+武曲</t>
    </r>
    <r>
      <rPr>
        <sz val="11"/>
        <color theme="1"/>
        <rFont val="等线"/>
        <family val="2"/>
        <charset val="134"/>
        <scheme val="minor"/>
      </rPr>
      <t>​</t>
    </r>
  </si>
  <si>
    <t>刚星阴火，求财过程艰辛拖延，易有财务纠纷暗耗，适合精密金融技术。</t>
  </si>
  <si>
    <t>长期追讨债务；从事精算、审计工作。</t>
  </si>
  <si>
    <r>
      <t>铃星+天同</t>
    </r>
    <r>
      <rPr>
        <sz val="11"/>
        <color theme="1"/>
        <rFont val="等线"/>
        <family val="2"/>
        <charset val="134"/>
        <scheme val="minor"/>
      </rPr>
      <t>​</t>
    </r>
  </si>
  <si>
    <t>福星阴火，福气被暗中侵蚀，享受中带忧虑，或因慢性病影响享乐。</t>
  </si>
  <si>
    <t>生活优裕但内心焦虑；因胃病不能尽情吃喝。</t>
  </si>
  <si>
    <r>
      <t>铃星+廉贞</t>
    </r>
    <r>
      <rPr>
        <sz val="11"/>
        <color theme="1"/>
        <rFont val="等线"/>
        <family val="2"/>
        <charset val="134"/>
        <scheme val="minor"/>
      </rPr>
      <t>​</t>
    </r>
  </si>
  <si>
    <t>囚星阴火，易涉入复杂的暗中斗争、桃色纠纷，感情嫉妒心极强。</t>
  </si>
  <si>
    <t>陷入政治阴谋；因极端嫉妒引发感情悲剧。</t>
  </si>
  <si>
    <r>
      <t>铃星+天府</t>
    </r>
    <r>
      <rPr>
        <sz val="11"/>
        <color theme="1"/>
        <rFont val="等线"/>
        <family val="2"/>
        <charset val="134"/>
        <scheme val="minor"/>
      </rPr>
      <t>​</t>
    </r>
  </si>
  <si>
    <t>库星阴火，库藏被暗蛀，积蓄因慢性损耗减少，或管理中存在隐性漏洞。</t>
  </si>
  <si>
    <t>钱财不知不觉流失；公司有财务内鬼。</t>
  </si>
  <si>
    <r>
      <t>铃星+太阴</t>
    </r>
    <r>
      <rPr>
        <sz val="11"/>
        <color theme="1"/>
        <rFont val="等线"/>
        <family val="2"/>
        <charset val="134"/>
        <scheme val="minor"/>
      </rPr>
      <t>​</t>
    </r>
  </si>
  <si>
    <r>
      <t>阴火相济</t>
    </r>
    <r>
      <rPr>
        <sz val="11"/>
        <color theme="1"/>
        <rFont val="等线"/>
        <family val="2"/>
        <charset val="134"/>
        <scheme val="minor"/>
      </rPr>
      <t>，阴柔加深，内心极度敏感多疑，女性问题缠绵，善幕后策划。</t>
    </r>
  </si>
  <si>
    <t>患慢性妇科病；从事幕后艺术设计。</t>
  </si>
  <si>
    <r>
      <t>铃星+贪狼</t>
    </r>
    <r>
      <rPr>
        <sz val="11"/>
        <color theme="1"/>
        <rFont val="等线"/>
        <family val="2"/>
        <charset val="134"/>
        <scheme val="minor"/>
      </rPr>
      <t>​</t>
    </r>
  </si>
  <si>
    <t>欲星阴火，欲望在暗中燃烧，易有隐秘桃花、不良嗜好，技术用于偏门。</t>
  </si>
  <si>
    <t>有地下恋情；沉迷于需要技巧的赌博。</t>
  </si>
  <si>
    <r>
      <t>铃星+巨门</t>
    </r>
    <r>
      <rPr>
        <sz val="11"/>
        <color theme="1"/>
        <rFont val="等线"/>
        <family val="2"/>
        <charset val="134"/>
        <scheme val="minor"/>
      </rPr>
      <t>​</t>
    </r>
  </si>
  <si>
    <t>暗星阴火，是非口舌转为暗中诽谤、流言蜚语，消化系统慢性疾病。</t>
  </si>
  <si>
    <t>长期遭受网络谣言攻击；患有慢性胃炎。</t>
  </si>
  <si>
    <r>
      <t>铃星+天相</t>
    </r>
    <r>
      <rPr>
        <sz val="11"/>
        <color theme="1"/>
        <rFont val="等线"/>
        <family val="2"/>
        <charset val="134"/>
        <scheme val="minor"/>
      </rPr>
      <t>​</t>
    </r>
  </si>
  <si>
    <t>印星阴火，文书、合约有隐藏陷阱，形象被暗中破坏，辅助工作需极细心。</t>
  </si>
  <si>
    <t>合同中有不易察觉的漏洞；被人背后造谣中伤。</t>
  </si>
  <si>
    <r>
      <t>铃星+天梁</t>
    </r>
    <r>
      <rPr>
        <sz val="11"/>
        <color theme="1"/>
        <rFont val="等线"/>
        <family val="2"/>
        <charset val="134"/>
        <scheme val="minor"/>
      </rPr>
      <t>​</t>
    </r>
  </si>
  <si>
    <t>荫星阴火，荫庇之力被暗中削弱，疾病拖沓难愈，长辈助力迟缓。</t>
  </si>
  <si>
    <t>生病久治不愈；期待的帮助迟迟不来。</t>
  </si>
  <si>
    <r>
      <t>铃星+七杀</t>
    </r>
    <r>
      <rPr>
        <sz val="11"/>
        <color theme="1"/>
        <rFont val="等线"/>
        <family val="2"/>
        <charset val="134"/>
        <scheme val="minor"/>
      </rPr>
      <t>​</t>
    </r>
  </si>
  <si>
    <t>杀星阴火，暴力转为阴狠暗杀，突发急症转为慢性顽疾，事业暗藏杀机。</t>
  </si>
  <si>
    <t>遭遇阴谋陷害；急性病转为慢性病。</t>
  </si>
  <si>
    <r>
      <t>铃星+破军</t>
    </r>
    <r>
      <rPr>
        <sz val="11"/>
        <color theme="1"/>
        <rFont val="等线"/>
        <family val="2"/>
        <charset val="134"/>
        <scheme val="minor"/>
      </rPr>
      <t>​</t>
    </r>
  </si>
  <si>
    <t>耗星阴火，破坏力转为慢性腐蚀，改革阻力暗生，消耗绵绵不绝。</t>
  </si>
  <si>
    <t>设备被缓慢腐蚀；改革遭遇持续暗中抵制。</t>
  </si>
  <si>
    <r>
      <t>火铃双煞</t>
    </r>
    <r>
      <rPr>
        <sz val="11"/>
        <color theme="1"/>
        <rFont val="等线"/>
        <family val="2"/>
        <charset val="134"/>
        <scheme val="minor"/>
      </rPr>
      <t>，明暗火交织，突发与拖延并存，灾难猛烈且持久，破坏力极强。</t>
    </r>
  </si>
  <si>
    <t>火灾后遗留长期污染；突发急症后转为慢性后遗症。</t>
  </si>
  <si>
    <r>
      <t>阴狠伤刃</t>
    </r>
    <r>
      <rPr>
        <sz val="11"/>
        <color theme="1"/>
        <rFont val="等线"/>
        <family val="2"/>
        <charset val="134"/>
        <scheme val="minor"/>
      </rPr>
      <t>，暗中算计与直接伤害结合，为达目的不择手段，手术易留后遗症。</t>
    </r>
  </si>
  <si>
    <t>被陷害后遭直接攻击；手术后伤口愈合不良。</t>
  </si>
  <si>
    <r>
      <t>阴缠拖延</t>
    </r>
    <r>
      <rPr>
        <sz val="11"/>
        <color theme="1"/>
        <rFont val="等线"/>
        <family val="2"/>
        <charset val="134"/>
        <scheme val="minor"/>
      </rPr>
      <t>，拖延与纠缠达到极致，事情反复胶着，慢性病极其顽固。</t>
    </r>
  </si>
  <si>
    <t>官司纠缠数年不决；患有多年的顽固皮肤病。</t>
  </si>
  <si>
    <r>
      <t>阴火虚耗</t>
    </r>
    <r>
      <rPr>
        <sz val="11"/>
        <color theme="1"/>
        <rFont val="等线"/>
        <family val="2"/>
        <charset val="134"/>
        <scheme val="minor"/>
      </rPr>
      <t>，暗中损耗最终落空，算计成空，慢性病突然恶化或诊断不明。</t>
    </r>
  </si>
  <si>
    <t>长期谋划失败；慢性病突然查不出原因。</t>
  </si>
  <si>
    <r>
      <t>铃星+地劫</t>
    </r>
    <r>
      <rPr>
        <sz val="11"/>
        <color theme="1"/>
        <rFont val="等线"/>
        <family val="2"/>
        <charset val="134"/>
        <scheme val="minor"/>
      </rPr>
      <t>​</t>
    </r>
  </si>
  <si>
    <r>
      <t>阴火破荡</t>
    </r>
    <r>
      <rPr>
        <sz val="11"/>
        <color theme="1"/>
        <rFont val="等线"/>
        <family val="2"/>
        <charset val="134"/>
        <scheme val="minor"/>
      </rPr>
      <t>，暗中消耗导致突然的重大破败，技术失误造成大损失。</t>
    </r>
  </si>
  <si>
    <t>长期内耗导致公司突然倒闭；精密操作失误导致重大事故。</t>
  </si>
  <si>
    <r>
      <t>铃星+文昌/文曲</t>
    </r>
    <r>
      <rPr>
        <sz val="11"/>
        <color theme="1"/>
        <rFont val="等线"/>
        <family val="2"/>
        <charset val="134"/>
        <scheme val="minor"/>
      </rPr>
      <t>​</t>
    </r>
  </si>
  <si>
    <r>
      <t>阴火文华</t>
    </r>
    <r>
      <rPr>
        <sz val="11"/>
        <color theme="1"/>
        <rFont val="等线"/>
        <family val="2"/>
        <charset val="134"/>
        <scheme val="minor"/>
      </rPr>
      <t>，将缜密心思用于文书、艺术，但作品可能阴暗晦涩，或因文字惹暗非。</t>
    </r>
  </si>
  <si>
    <t>创作暗黑风格文学；因隐秘的学术抄袭被揭露。</t>
  </si>
  <si>
    <r>
      <t>铃星+左辅/右弼</t>
    </r>
    <r>
      <rPr>
        <sz val="11"/>
        <color theme="1"/>
        <rFont val="等线"/>
        <family val="2"/>
        <charset val="134"/>
        <scheme val="minor"/>
      </rPr>
      <t>​</t>
    </r>
  </si>
  <si>
    <r>
      <t>阴众勾结</t>
    </r>
    <r>
      <rPr>
        <sz val="11"/>
        <color theme="1"/>
        <rFont val="等线"/>
        <family val="2"/>
        <charset val="134"/>
        <scheme val="minor"/>
      </rPr>
      <t>​</t>
    </r>
  </si>
  <si>
    <t>多人合谋暗中行事，或慢性病需要多人会诊，助力来得迟缓。</t>
  </si>
  <si>
    <r>
      <t>铃星+天魁/天钺</t>
    </r>
    <r>
      <rPr>
        <sz val="11"/>
        <color theme="1"/>
        <rFont val="等线"/>
        <family val="2"/>
        <charset val="134"/>
        <scheme val="minor"/>
      </rPr>
      <t>​</t>
    </r>
  </si>
  <si>
    <r>
      <t>阴遇贵人</t>
    </r>
    <r>
      <rPr>
        <sz val="11"/>
        <color theme="1"/>
        <rFont val="等线"/>
        <family val="2"/>
        <charset val="134"/>
        <scheme val="minor"/>
      </rPr>
      <t>​</t>
    </r>
  </si>
  <si>
    <t>暗中得贵人相助，或贵人帮助过程缓慢拖延，治病遇良医但疗程长。</t>
  </si>
  <si>
    <r>
      <t>铃星+禄存</t>
    </r>
    <r>
      <rPr>
        <sz val="11"/>
        <color theme="1"/>
        <rFont val="等线"/>
        <family val="2"/>
        <charset val="134"/>
        <scheme val="minor"/>
      </rPr>
      <t>​</t>
    </r>
  </si>
  <si>
    <r>
      <t>阴火蚀禄</t>
    </r>
    <r>
      <rPr>
        <sz val="11"/>
        <color theme="1"/>
        <rFont val="等线"/>
        <family val="2"/>
        <charset val="134"/>
        <scheme val="minor"/>
      </rPr>
      <t>​</t>
    </r>
  </si>
  <si>
    <t>钱财被暗中慢性损耗，或因技术、阴谋得财，但过程不光彩。</t>
  </si>
  <si>
    <r>
      <t>铃星+天马</t>
    </r>
    <r>
      <rPr>
        <sz val="11"/>
        <color theme="1"/>
        <rFont val="等线"/>
        <family val="2"/>
        <charset val="134"/>
        <scheme val="minor"/>
      </rPr>
      <t>​</t>
    </r>
  </si>
  <si>
    <r>
      <t>阴火流动</t>
    </r>
    <r>
      <rPr>
        <sz val="11"/>
        <color theme="1"/>
        <rFont val="等线"/>
        <family val="2"/>
        <charset val="134"/>
        <scheme val="minor"/>
      </rPr>
      <t>​</t>
    </r>
  </si>
  <si>
    <t>暗中的麻烦随奔波而来，或技术工作需经常出差，慢性病在移动中加重。</t>
  </si>
  <si>
    <r>
      <t>1. “铃星”与“火星”、“陀罗”</t>
    </r>
    <r>
      <rPr>
        <sz val="11"/>
        <color theme="1"/>
        <rFont val="等线"/>
        <family val="2"/>
        <charset val="134"/>
        <scheme val="minor"/>
      </rPr>
      <t>：</t>
    </r>
    <r>
      <rPr>
        <b/>
        <sz val="11"/>
        <color theme="1"/>
        <rFont val="等线"/>
        <family val="3"/>
        <charset val="134"/>
        <scheme val="minor"/>
      </rPr>
      <t>铃星是“阴火”</t>
    </r>
    <r>
      <rPr>
        <sz val="11"/>
        <color theme="1"/>
        <rFont val="等线"/>
        <family val="2"/>
        <charset val="134"/>
        <scheme val="minor"/>
      </rPr>
      <t>，核心是</t>
    </r>
    <r>
      <rPr>
        <b/>
        <sz val="11"/>
        <color theme="1"/>
        <rFont val="等线"/>
        <family val="3"/>
        <charset val="134"/>
        <scheme val="minor"/>
      </rPr>
      <t>暗中的、持续的、阴性的伤害与煎熬</t>
    </r>
    <r>
      <rPr>
        <sz val="11"/>
        <color theme="1"/>
        <rFont val="等线"/>
        <family val="2"/>
        <charset val="134"/>
        <scheme val="minor"/>
      </rPr>
      <t>，如嫉妒、慢性病、阴谋。</t>
    </r>
    <r>
      <rPr>
        <b/>
        <sz val="11"/>
        <color theme="1"/>
        <rFont val="等线"/>
        <family val="3"/>
        <charset val="134"/>
        <scheme val="minor"/>
      </rPr>
      <t>火星是“阳火”</t>
    </r>
    <r>
      <rPr>
        <sz val="11"/>
        <color theme="1"/>
        <rFont val="等线"/>
        <family val="2"/>
        <charset val="134"/>
        <scheme val="minor"/>
      </rPr>
      <t>，核心是</t>
    </r>
    <r>
      <rPr>
        <b/>
        <sz val="11"/>
        <color theme="1"/>
        <rFont val="等线"/>
        <family val="3"/>
        <charset val="134"/>
        <scheme val="minor"/>
      </rPr>
      <t>公开的、突发的、阳性的伤害与冲突</t>
    </r>
    <r>
      <rPr>
        <sz val="11"/>
        <color theme="1"/>
        <rFont val="等线"/>
        <family val="2"/>
        <charset val="134"/>
        <scheme val="minor"/>
      </rPr>
      <t>，如争吵、火灾、急症。</t>
    </r>
    <r>
      <rPr>
        <b/>
        <sz val="11"/>
        <color theme="1"/>
        <rFont val="等线"/>
        <family val="3"/>
        <charset val="134"/>
        <scheme val="minor"/>
      </rPr>
      <t>陀罗星主“拖延反复”</t>
    </r>
    <r>
      <rPr>
        <sz val="11"/>
        <color theme="1"/>
        <rFont val="等线"/>
        <family val="2"/>
        <charset val="134"/>
        <scheme val="minor"/>
      </rPr>
      <t>，核心是</t>
    </r>
    <r>
      <rPr>
        <b/>
        <sz val="11"/>
        <color theme="1"/>
        <rFont val="等线"/>
        <family val="3"/>
        <charset val="134"/>
        <scheme val="minor"/>
      </rPr>
      <t>速度慢、重复、纠缠</t>
    </r>
    <r>
      <rPr>
        <sz val="11"/>
        <color theme="1"/>
        <rFont val="等线"/>
        <family val="2"/>
        <charset val="134"/>
        <scheme val="minor"/>
      </rPr>
      <t>。铃星是“暗地里慢慢熬你”，火星是“当面突然烧你”，陀罗是“来回折腾拖着你”。</t>
    </r>
  </si>
  <si>
    <r>
      <t>2. 与“巨门”的区别</t>
    </r>
    <r>
      <rPr>
        <sz val="11"/>
        <color theme="1"/>
        <rFont val="等线"/>
        <family val="2"/>
        <charset val="134"/>
        <scheme val="minor"/>
      </rPr>
      <t>：</t>
    </r>
    <r>
      <rPr>
        <b/>
        <sz val="11"/>
        <color theme="1"/>
        <rFont val="等线"/>
        <family val="3"/>
        <charset val="134"/>
        <scheme val="minor"/>
      </rPr>
      <t>巨门星主“是非口舌”</t>
    </r>
    <r>
      <rPr>
        <sz val="11"/>
        <color theme="1"/>
        <rFont val="等线"/>
        <family val="2"/>
        <charset val="134"/>
        <scheme val="minor"/>
      </rPr>
      <t>，核心是</t>
    </r>
    <r>
      <rPr>
        <b/>
        <sz val="11"/>
        <color theme="1"/>
        <rFont val="等线"/>
        <family val="3"/>
        <charset val="134"/>
        <scheme val="minor"/>
      </rPr>
      <t>公开的争执、质疑、传播</t>
    </r>
    <r>
      <rPr>
        <sz val="11"/>
        <color theme="1"/>
        <rFont val="等线"/>
        <family val="2"/>
        <charset val="134"/>
        <scheme val="minor"/>
      </rPr>
      <t>。</t>
    </r>
    <r>
      <rPr>
        <b/>
        <sz val="11"/>
        <color theme="1"/>
        <rFont val="等线"/>
        <family val="3"/>
        <charset val="134"/>
        <scheme val="minor"/>
      </rPr>
      <t>铃星主“嫉妒阴谋”</t>
    </r>
    <r>
      <rPr>
        <sz val="11"/>
        <color theme="1"/>
        <rFont val="等线"/>
        <family val="2"/>
        <charset val="134"/>
        <scheme val="minor"/>
      </rPr>
      <t>，核心是</t>
    </r>
    <r>
      <rPr>
        <b/>
        <sz val="11"/>
        <color theme="1"/>
        <rFont val="等线"/>
        <family val="3"/>
        <charset val="134"/>
        <scheme val="minor"/>
      </rPr>
      <t>内心的嫉妒与暗中的算计</t>
    </r>
    <r>
      <rPr>
        <sz val="11"/>
        <color theme="1"/>
        <rFont val="等线"/>
        <family val="2"/>
        <charset val="134"/>
        <scheme val="minor"/>
      </rPr>
      <t>。巨门是“明争”，铃星是“暗斗”。</t>
    </r>
  </si>
  <si>
    <r>
      <t>3. 宫位定领域</t>
    </r>
    <r>
      <rPr>
        <sz val="11"/>
        <color theme="1"/>
        <rFont val="等线"/>
        <family val="2"/>
        <charset val="134"/>
        <scheme val="minor"/>
      </rPr>
      <t>：铃星所在宫位，指示在人生的哪个领域容易遭遇暗中的麻烦、拖延，产生嫉妒心理，或需要运用精细的技术。</t>
    </r>
  </si>
  <si>
    <r>
      <t>4. 四化引动</t>
    </r>
    <r>
      <rPr>
        <sz val="11"/>
        <color theme="1"/>
        <rFont val="等线"/>
        <family val="2"/>
        <charset val="134"/>
        <scheme val="minor"/>
      </rPr>
      <t>：见</t>
    </r>
    <r>
      <rPr>
        <b/>
        <sz val="11"/>
        <color theme="1"/>
        <rFont val="等线"/>
        <family val="3"/>
        <charset val="134"/>
        <scheme val="minor"/>
      </rPr>
      <t>化禄</t>
    </r>
    <r>
      <rPr>
        <sz val="11"/>
        <color theme="1"/>
        <rFont val="等线"/>
        <family val="2"/>
        <charset val="134"/>
        <scheme val="minor"/>
      </rPr>
      <t>，将阴谋、技术转化为财富，如从事间谍、精密技术行业得利，但财源隐晦。见</t>
    </r>
    <r>
      <rPr>
        <b/>
        <sz val="11"/>
        <color theme="1"/>
        <rFont val="等线"/>
        <family val="3"/>
        <charset val="134"/>
        <scheme val="minor"/>
      </rPr>
      <t>化权</t>
    </r>
    <r>
      <rPr>
        <sz val="11"/>
        <color theme="1"/>
        <rFont val="等线"/>
        <family val="2"/>
        <charset val="134"/>
        <scheme val="minor"/>
      </rPr>
      <t>，强化暗中控制力与技术权威，善于权谋。见</t>
    </r>
    <r>
      <rPr>
        <b/>
        <sz val="11"/>
        <color theme="1"/>
        <rFont val="等线"/>
        <family val="3"/>
        <charset val="134"/>
        <scheme val="minor"/>
      </rPr>
      <t>化科</t>
    </r>
    <r>
      <rPr>
        <sz val="11"/>
        <color theme="1"/>
        <rFont val="等线"/>
        <family val="2"/>
        <charset val="134"/>
        <scheme val="minor"/>
      </rPr>
      <t>，因精密技术、暗中策划获得名声，或阴谋被美化。见</t>
    </r>
    <r>
      <rPr>
        <b/>
        <sz val="11"/>
        <color theme="1"/>
        <rFont val="等线"/>
        <family val="3"/>
        <charset val="134"/>
        <scheme val="minor"/>
      </rPr>
      <t>化忌</t>
    </r>
    <r>
      <rPr>
        <sz val="11"/>
        <color theme="1"/>
        <rFont val="等线"/>
        <family val="2"/>
        <charset val="134"/>
        <scheme val="minor"/>
      </rPr>
      <t>，</t>
    </r>
    <r>
      <rPr>
        <b/>
        <sz val="11"/>
        <color theme="1"/>
        <rFont val="等线"/>
        <family val="3"/>
        <charset val="134"/>
        <scheme val="minor"/>
      </rPr>
      <t>阴火性质加剧</t>
    </r>
    <r>
      <rPr>
        <sz val="11"/>
        <color theme="1"/>
        <rFont val="等线"/>
        <family val="2"/>
        <charset val="134"/>
        <scheme val="minor"/>
      </rPr>
      <t>，嫉妒心最强，暗算必然发生，慢性病加重，拖延无解。</t>
    </r>
  </si>
  <si>
    <t>象征暗中的火星、阴性的火煞。其性质主凶，代表暗中的破坏力、持续的煎熬、纠缠的麻烦、内心的嫉妒与猜疑，以及精细的技术。与火星的“明快突发”相对，铃星主“阴狠纠缠”。</t>
    <phoneticPr fontId="2" type="noConversion"/>
  </si>
  <si>
    <t>一、火星定义</t>
  </si>
  <si>
    <t>阳火、突发、冲突、急躁、破坏</t>
  </si>
  <si>
    <t>象征猛烈的阳火、突如其来的灾祸与变动。其性质主凶，代表快速、激烈、爆发性的力量，能带来冲突、破坏、急躁，但也主积极、冲动与行动力。</t>
  </si>
  <si>
    <t>乙级星，属阳火。主凶，为明煞、暴烈之星。独坐或与煞星同会则灾祸显；若与紫微、七杀等主星同度且见吉化，可转化为惊人的爆发力与开创力。</t>
  </si>
  <si>
    <r>
      <t>突发/急速</t>
    </r>
    <r>
      <rPr>
        <sz val="11"/>
        <color theme="1"/>
        <rFont val="等线"/>
        <family val="2"/>
        <charset val="134"/>
        <scheme val="minor"/>
      </rPr>
      <t>​</t>
    </r>
  </si>
  <si>
    <t>事情发生突然，来得快，去得也快，具有爆发性。</t>
  </si>
  <si>
    <r>
      <t>冲突/暴躁</t>
    </r>
    <r>
      <rPr>
        <sz val="11"/>
        <color theme="1"/>
        <rFont val="等线"/>
        <family val="2"/>
        <charset val="134"/>
        <scheme val="minor"/>
      </rPr>
      <t>​</t>
    </r>
  </si>
  <si>
    <t>性格急躁易怒，易与人发生正面冲突、争吵。</t>
  </si>
  <si>
    <t>在命宫、夫妻宫时力量显现。</t>
  </si>
  <si>
    <r>
      <t>破坏/灾祸</t>
    </r>
    <r>
      <rPr>
        <sz val="11"/>
        <color theme="1"/>
        <rFont val="等线"/>
        <family val="2"/>
        <charset val="134"/>
        <scheme val="minor"/>
      </rPr>
      <t>​</t>
    </r>
  </si>
  <si>
    <t>易有火灾、爆炸、急性伤害、手术等突发性灾祸。</t>
  </si>
  <si>
    <t>在疾厄宫、田宅宫时体现。</t>
  </si>
  <si>
    <r>
      <t>积极/行动</t>
    </r>
    <r>
      <rPr>
        <sz val="11"/>
        <color theme="1"/>
        <rFont val="等线"/>
        <family val="2"/>
        <charset val="134"/>
        <scheme val="minor"/>
      </rPr>
      <t>​</t>
    </r>
  </si>
  <si>
    <t>行动力强，做事雷厉风行，不喜拖延，有冲劲。</t>
  </si>
  <si>
    <r>
      <t>耗损/分离</t>
    </r>
    <r>
      <rPr>
        <sz val="11"/>
        <color theme="1"/>
        <rFont val="等线"/>
        <family val="2"/>
        <charset val="134"/>
        <scheme val="minor"/>
      </rPr>
      <t>​</t>
    </r>
  </si>
  <si>
    <t>快速消耗、破财，或导致人际关系突然破裂、分离。</t>
  </si>
  <si>
    <t>在财帛宫、交友宫时显著。</t>
  </si>
  <si>
    <t>性格刚烈急躁，行动迅速，易冲动坏事，一生多突发变故。</t>
  </si>
  <si>
    <t>与兄弟姐妹关系紧张，易突发争执；朋友交往易起冲突。</t>
  </si>
  <si>
    <t>感情来得快去得也快，易闪电恋爱或结婚，也易突发矛盾分离。</t>
  </si>
  <si>
    <t>子女个性急躁；合作关系易突然破裂；投资变动剧烈。</t>
  </si>
  <si>
    <t>钱财流动极快，易暴发暴破，适合短线、投机性求财。</t>
  </si>
  <si>
    <r>
      <t>核心宫位</t>
    </r>
    <r>
      <rPr>
        <sz val="11"/>
        <color theme="1"/>
        <rFont val="等线"/>
        <family val="2"/>
        <charset val="134"/>
        <scheme val="minor"/>
      </rPr>
      <t>。易患急性病、发炎、发烧，或遭遇突发性伤害、手术。</t>
    </r>
  </si>
  <si>
    <t>在外易遇突发事故、冲突，出行需注意安全，变动突然。</t>
  </si>
  <si>
    <t>朋友、下属性情暴躁，关系易突然决裂，下属流动快。</t>
  </si>
  <si>
    <t>事业变动大，适合需要爆发力、速度的职业，但职场易有突发冲突。</t>
  </si>
  <si>
    <t>家宅不宁，易有火灾、漏水等急症；家庭关系易突发矛盾。</t>
  </si>
  <si>
    <t>思想急躁，缺乏耐心，精神紧张，享受追求刺激。</t>
  </si>
  <si>
    <t>与父母关系紧张，易突发冲突；得到遗产或资助过程突然。</t>
  </si>
  <si>
    <t>1. 增强阳火/爆发组合</t>
  </si>
  <si>
    <r>
      <t>火星+紫微</t>
    </r>
    <r>
      <rPr>
        <sz val="11"/>
        <color theme="1"/>
        <rFont val="等线"/>
        <family val="2"/>
        <charset val="134"/>
        <scheme val="minor"/>
      </rPr>
      <t>​</t>
    </r>
  </si>
  <si>
    <r>
      <t>帝星发威</t>
    </r>
    <r>
      <rPr>
        <sz val="11"/>
        <color theme="1"/>
        <rFont val="等线"/>
        <family val="2"/>
        <charset val="134"/>
        <scheme val="minor"/>
      </rPr>
      <t>，权威带暴烈，领导风格强势急躁，事业突发性提升或挫折。</t>
    </r>
  </si>
  <si>
    <t>铁腕领袖；公司突然上市或突然破产。</t>
  </si>
  <si>
    <r>
      <t>火星+天机</t>
    </r>
    <r>
      <rPr>
        <sz val="11"/>
        <color theme="1"/>
        <rFont val="等线"/>
        <family val="2"/>
        <charset val="134"/>
        <scheme val="minor"/>
      </rPr>
      <t>​</t>
    </r>
  </si>
  <si>
    <r>
      <t>智星急变</t>
    </r>
    <r>
      <rPr>
        <sz val="11"/>
        <color theme="1"/>
        <rFont val="等线"/>
        <family val="2"/>
        <charset val="134"/>
        <scheme val="minor"/>
      </rPr>
      <t>，思维敏捷但急躁，计划突然改变，易有突发性交通意外。</t>
    </r>
  </si>
  <si>
    <t>突然改变主意；遭遇车祸。</t>
  </si>
  <si>
    <r>
      <t>火星+太阳</t>
    </r>
    <r>
      <rPr>
        <sz val="11"/>
        <color theme="1"/>
        <rFont val="等线"/>
        <family val="2"/>
        <charset val="134"/>
        <scheme val="minor"/>
      </rPr>
      <t>​</t>
    </r>
  </si>
  <si>
    <r>
      <t>烈火燎原</t>
    </r>
    <r>
      <rPr>
        <sz val="11"/>
        <color theme="1"/>
        <rFont val="等线"/>
        <family val="2"/>
        <charset val="134"/>
        <scheme val="minor"/>
      </rPr>
      <t>，光芒四射但易灼伤人，成名快但易因言行惹祸，突发性眼疾。</t>
    </r>
  </si>
  <si>
    <t>迅速走红又迅速陨落的明星；突发结膜炎。</t>
  </si>
  <si>
    <r>
      <t>火星+武曲</t>
    </r>
    <r>
      <rPr>
        <sz val="11"/>
        <color theme="1"/>
        <rFont val="等线"/>
        <family val="2"/>
        <charset val="134"/>
        <scheme val="minor"/>
      </rPr>
      <t>​</t>
    </r>
  </si>
  <si>
    <r>
      <t>刚火炼金</t>
    </r>
    <r>
      <rPr>
        <sz val="11"/>
        <color theme="1"/>
        <rFont val="等线"/>
        <family val="2"/>
        <charset val="134"/>
        <scheme val="minor"/>
      </rPr>
      <t>，行动力与决断力极强，求财迅猛但易因财起冲突，突发性呼吸系统疾病。</t>
    </r>
  </si>
  <si>
    <t>短线投机高手；因财务纠纷突然打架。</t>
  </si>
  <si>
    <r>
      <t>火星+天同</t>
    </r>
    <r>
      <rPr>
        <sz val="11"/>
        <color theme="1"/>
        <rFont val="等线"/>
        <family val="2"/>
        <charset val="134"/>
        <scheme val="minor"/>
      </rPr>
      <t>​</t>
    </r>
  </si>
  <si>
    <r>
      <t>福星遇火</t>
    </r>
    <r>
      <rPr>
        <sz val="11"/>
        <color theme="1"/>
        <rFont val="等线"/>
        <family val="2"/>
        <charset val="134"/>
        <scheme val="minor"/>
      </rPr>
      <t>，享受被突然打断，乐极生悲，或突发性疾病影响安逸。</t>
    </r>
  </si>
  <si>
    <t>正在度假时被紧急召回；突然胃痛。</t>
  </si>
  <si>
    <r>
      <t>火星+廉贞</t>
    </r>
    <r>
      <rPr>
        <sz val="11"/>
        <color theme="1"/>
        <rFont val="等线"/>
        <family val="2"/>
        <charset val="134"/>
        <scheme val="minor"/>
      </rPr>
      <t>​</t>
    </r>
  </si>
  <si>
    <r>
      <t>囚火相激</t>
    </r>
    <r>
      <rPr>
        <sz val="11"/>
        <color theme="1"/>
        <rFont val="等线"/>
        <family val="2"/>
        <charset val="134"/>
        <scheme val="minor"/>
      </rPr>
      <t>，感情或事业突发激烈冲突，易涉突发官非，血液突发疾病。</t>
    </r>
  </si>
  <si>
    <t>感情中突然激烈争吵；突发血液感染。</t>
  </si>
  <si>
    <r>
      <t>火星+天府</t>
    </r>
    <r>
      <rPr>
        <sz val="11"/>
        <color theme="1"/>
        <rFont val="等线"/>
        <family val="2"/>
        <charset val="134"/>
        <scheme val="minor"/>
      </rPr>
      <t>​</t>
    </r>
  </si>
  <si>
    <r>
      <t>库星失火</t>
    </r>
    <r>
      <rPr>
        <sz val="11"/>
        <color theme="1"/>
        <rFont val="等线"/>
        <family val="2"/>
        <charset val="134"/>
        <scheme val="minor"/>
      </rPr>
      <t>，稳定的局面被突然打破，积蓄突发性损失，或急性胃病。</t>
    </r>
  </si>
  <si>
    <t>银行突然倒闭；突发胃出血。</t>
  </si>
  <si>
    <r>
      <t>火星+太阴</t>
    </r>
    <r>
      <rPr>
        <sz val="11"/>
        <color theme="1"/>
        <rFont val="等线"/>
        <family val="2"/>
        <charset val="134"/>
        <scheme val="minor"/>
      </rPr>
      <t>​</t>
    </r>
  </si>
  <si>
    <r>
      <t>阴火相煎</t>
    </r>
    <r>
      <rPr>
        <sz val="11"/>
        <color theme="1"/>
        <rFont val="等线"/>
        <family val="2"/>
        <charset val="134"/>
        <scheme val="minor"/>
      </rPr>
      <t>，内在情绪突然爆发，女性问题急性发作，或房地产突发问题。</t>
    </r>
  </si>
  <si>
    <t>长期压抑后突然崩溃；急性盆腔炎。</t>
  </si>
  <si>
    <r>
      <t>火星+贪狼</t>
    </r>
    <r>
      <rPr>
        <sz val="11"/>
        <color theme="1"/>
        <rFont val="等线"/>
        <family val="2"/>
        <charset val="134"/>
        <scheme val="minor"/>
      </rPr>
      <t>​</t>
    </r>
  </si>
  <si>
    <r>
      <t>欲火焚身</t>
    </r>
    <r>
      <rPr>
        <sz val="11"/>
        <color theme="1"/>
        <rFont val="等线"/>
        <family val="2"/>
        <charset val="134"/>
        <scheme val="minor"/>
      </rPr>
      <t>，欲望强烈且急于满足，易有突发桃花劫，嗜好成瘾快。</t>
    </r>
  </si>
  <si>
    <t>一见钟情后迅速发生关系；突然沉迷赌博。</t>
  </si>
  <si>
    <r>
      <t>火星+巨门</t>
    </r>
    <r>
      <rPr>
        <sz val="11"/>
        <color theme="1"/>
        <rFont val="等线"/>
        <family val="2"/>
        <charset val="134"/>
        <scheme val="minor"/>
      </rPr>
      <t>​</t>
    </r>
  </si>
  <si>
    <r>
      <t>暗火爆发</t>
    </r>
    <r>
      <rPr>
        <sz val="11"/>
        <color theme="1"/>
        <rFont val="等线"/>
        <family val="2"/>
        <charset val="134"/>
        <scheme val="minor"/>
      </rPr>
      <t>，是非口舌突然升级为激烈争吵，突发性消化系统急症。</t>
    </r>
  </si>
  <si>
    <t>争论演变为打架；突发急性肠胃炎。</t>
  </si>
  <si>
    <r>
      <t>火星+天相</t>
    </r>
    <r>
      <rPr>
        <sz val="11"/>
        <color theme="1"/>
        <rFont val="等线"/>
        <family val="2"/>
        <charset val="134"/>
        <scheme val="minor"/>
      </rPr>
      <t>​</t>
    </r>
  </si>
  <si>
    <r>
      <t>印星烫手</t>
    </r>
    <r>
      <rPr>
        <sz val="11"/>
        <color theme="1"/>
        <rFont val="等线"/>
        <family val="2"/>
        <charset val="134"/>
        <scheme val="minor"/>
      </rPr>
      <t>，文书、合约突发问题，形象突然受损，辅助工作出急错。</t>
    </r>
  </si>
  <si>
    <t>合同突然出现重大漏洞被起诉；公众人物突然丑闻曝光。</t>
  </si>
  <si>
    <r>
      <t>火星+天梁</t>
    </r>
    <r>
      <rPr>
        <sz val="11"/>
        <color theme="1"/>
        <rFont val="等线"/>
        <family val="2"/>
        <charset val="134"/>
        <scheme val="minor"/>
      </rPr>
      <t>​</t>
    </r>
  </si>
  <si>
    <r>
      <t>荫星遇急</t>
    </r>
    <r>
      <rPr>
        <sz val="11"/>
        <color theme="1"/>
        <rFont val="等线"/>
        <family val="2"/>
        <charset val="134"/>
        <scheme val="minor"/>
      </rPr>
      <t>，突发灾病但能得紧急救治，长辈助力来得突然。</t>
    </r>
  </si>
  <si>
    <t>突发心脏病被送医急救；突然得到长辈一笔钱。</t>
  </si>
  <si>
    <r>
      <t>火星+七杀</t>
    </r>
    <r>
      <rPr>
        <sz val="11"/>
        <color theme="1"/>
        <rFont val="等线"/>
        <family val="2"/>
        <charset val="134"/>
        <scheme val="minor"/>
      </rPr>
      <t>​</t>
    </r>
  </si>
  <si>
    <r>
      <t>杀火交加</t>
    </r>
    <r>
      <rPr>
        <sz val="11"/>
        <color theme="1"/>
        <rFont val="等线"/>
        <family val="2"/>
        <charset val="134"/>
        <scheme val="minor"/>
      </rPr>
      <t>，暴力与突发性达到极致，易有流血冲突、重大车祸、急性手术。</t>
    </r>
  </si>
  <si>
    <t>斗殴受重伤；突发车祸需紧急手术。</t>
  </si>
  <si>
    <r>
      <t>火星+破军</t>
    </r>
    <r>
      <rPr>
        <sz val="11"/>
        <color theme="1"/>
        <rFont val="等线"/>
        <family val="2"/>
        <charset val="134"/>
        <scheme val="minor"/>
      </rPr>
      <t>​</t>
    </r>
  </si>
  <si>
    <r>
      <t>耗火肆虐</t>
    </r>
    <r>
      <rPr>
        <sz val="11"/>
        <color theme="1"/>
        <rFont val="等线"/>
        <family val="2"/>
        <charset val="134"/>
        <scheme val="minor"/>
      </rPr>
      <t>，破坏力突然且猛烈，事业突发性变革，财产急速消耗。</t>
    </r>
  </si>
  <si>
    <t>公司突然重组裁员；股票突然暴跌。</t>
  </si>
  <si>
    <r>
      <t>火铃双煞</t>
    </r>
    <r>
      <rPr>
        <sz val="11"/>
        <color theme="1"/>
        <rFont val="等线"/>
        <family val="2"/>
        <charset val="134"/>
        <scheme val="minor"/>
      </rPr>
      <t>，阳火与阴火交织，灾难猛烈且持久，为极凶之组合。</t>
    </r>
  </si>
  <si>
    <t>火灾后遗留长期问题；急性病转为慢性后遗症。</t>
  </si>
  <si>
    <r>
      <t>明枪烈火</t>
    </r>
    <r>
      <rPr>
        <sz val="11"/>
        <color theme="1"/>
        <rFont val="等线"/>
        <family val="2"/>
        <charset val="134"/>
        <scheme val="minor"/>
      </rPr>
      <t>，直接的暴力冲突与突发伤害结合，血光之灾最显。</t>
    </r>
  </si>
  <si>
    <t>打架斗殴见血；突发事故需紧急手术。</t>
  </si>
  <si>
    <r>
      <t>火星+陀罗</t>
    </r>
    <r>
      <rPr>
        <sz val="11"/>
        <color theme="1"/>
        <rFont val="等线"/>
        <family val="2"/>
        <charset val="134"/>
        <scheme val="minor"/>
      </rPr>
      <t>​</t>
    </r>
  </si>
  <si>
    <r>
      <t>急火遇挫</t>
    </r>
    <r>
      <rPr>
        <sz val="11"/>
        <color theme="1"/>
        <rFont val="等线"/>
        <family val="2"/>
        <charset val="134"/>
        <scheme val="minor"/>
      </rPr>
      <t>，突发之事被拖延纠缠，快事变慢，急性病拖成慢性。</t>
    </r>
  </si>
  <si>
    <t>突发冲突后官司缠讼；急性炎症治疗不当成慢性。</t>
  </si>
  <si>
    <r>
      <t>火空则发</t>
    </r>
    <r>
      <rPr>
        <sz val="11"/>
        <color theme="1"/>
        <rFont val="等线"/>
        <family val="2"/>
        <charset val="134"/>
        <scheme val="minor"/>
      </rPr>
      <t>，凶性部分得到发泄，突发但可能成空，或暴发暴败。</t>
    </r>
  </si>
  <si>
    <t>突然中奖又很快赔光；灵感突发但无法落实。</t>
  </si>
  <si>
    <r>
      <t>火星+地劫</t>
    </r>
    <r>
      <rPr>
        <sz val="11"/>
        <color theme="1"/>
        <rFont val="等线"/>
        <family val="2"/>
        <charset val="134"/>
        <scheme val="minor"/>
      </rPr>
      <t>​</t>
    </r>
  </si>
  <si>
    <r>
      <t>火劫则荡</t>
    </r>
    <r>
      <rPr>
        <sz val="11"/>
        <color theme="1"/>
        <rFont val="等线"/>
        <family val="2"/>
        <charset val="134"/>
        <scheme val="minor"/>
      </rPr>
      <t>，突发灾祸导致重大破败，损失惨重，动荡剧烈。</t>
    </r>
  </si>
  <si>
    <t>突发火灾烧光家产；股市突然崩盘倾家荡产。</t>
  </si>
  <si>
    <r>
      <t>火星+文昌/文曲</t>
    </r>
    <r>
      <rPr>
        <sz val="11"/>
        <color theme="1"/>
        <rFont val="等线"/>
        <family val="2"/>
        <charset val="134"/>
        <scheme val="minor"/>
      </rPr>
      <t>​</t>
    </r>
  </si>
  <si>
    <r>
      <t>火文相交</t>
    </r>
    <r>
      <rPr>
        <sz val="11"/>
        <color theme="1"/>
        <rFont val="等线"/>
        <family val="2"/>
        <charset val="134"/>
        <scheme val="minor"/>
      </rPr>
      <t>，急躁用于文书创作，作品有爆发力但可能粗糙，或因文字惹急非。</t>
    </r>
  </si>
  <si>
    <t>快速写作的畅销书作家；因一篇急稿引发争议。</t>
  </si>
  <si>
    <r>
      <t>火星+左辅/右弼</t>
    </r>
    <r>
      <rPr>
        <sz val="11"/>
        <color theme="1"/>
        <rFont val="等线"/>
        <family val="2"/>
        <charset val="134"/>
        <scheme val="minor"/>
      </rPr>
      <t>​</t>
    </r>
  </si>
  <si>
    <r>
      <t>火众联动</t>
    </r>
    <r>
      <rPr>
        <sz val="11"/>
        <color theme="1"/>
        <rFont val="等线"/>
        <family val="2"/>
        <charset val="134"/>
        <scheme val="minor"/>
      </rPr>
      <t>​</t>
    </r>
  </si>
  <si>
    <t>突发之事涉及多人，或众人一起冲动行事，助力来得突然。</t>
  </si>
  <si>
    <r>
      <t>火星+天魁/天钺</t>
    </r>
    <r>
      <rPr>
        <sz val="11"/>
        <color theme="1"/>
        <rFont val="等线"/>
        <family val="2"/>
        <charset val="134"/>
        <scheme val="minor"/>
      </rPr>
      <t>​</t>
    </r>
  </si>
  <si>
    <r>
      <t>火急遇贵</t>
    </r>
    <r>
      <rPr>
        <sz val="11"/>
        <color theme="1"/>
        <rFont val="等线"/>
        <family val="2"/>
        <charset val="134"/>
        <scheme val="minor"/>
      </rPr>
      <t>​</t>
    </r>
  </si>
  <si>
    <t>突发危机中得贵人紧急相助，或机遇突然出现。</t>
  </si>
  <si>
    <r>
      <t>火星+禄存</t>
    </r>
    <r>
      <rPr>
        <sz val="11"/>
        <color theme="1"/>
        <rFont val="等线"/>
        <family val="2"/>
        <charset val="134"/>
        <scheme val="minor"/>
      </rPr>
      <t>​</t>
    </r>
  </si>
  <si>
    <r>
      <t>火暴得财</t>
    </r>
    <r>
      <rPr>
        <sz val="11"/>
        <color theme="1"/>
        <rFont val="等线"/>
        <family val="2"/>
        <charset val="134"/>
        <scheme val="minor"/>
      </rPr>
      <t>​</t>
    </r>
  </si>
  <si>
    <t>钱财来得突然去得也快，暴发暴破，或因突发行动获利。</t>
  </si>
  <si>
    <r>
      <t>火星+天马</t>
    </r>
    <r>
      <rPr>
        <sz val="11"/>
        <color theme="1"/>
        <rFont val="等线"/>
        <family val="2"/>
        <charset val="134"/>
        <scheme val="minor"/>
      </rPr>
      <t>​</t>
    </r>
  </si>
  <si>
    <r>
      <t>火速奔驰</t>
    </r>
    <r>
      <rPr>
        <sz val="11"/>
        <color theme="1"/>
        <rFont val="等线"/>
        <family val="2"/>
        <charset val="134"/>
        <scheme val="minor"/>
      </rPr>
      <t>​</t>
    </r>
  </si>
  <si>
    <t>变动极其迅速，常需急速奔波，或突发之事与远方、移动相关。</t>
  </si>
  <si>
    <r>
      <t>1. “火星”与“铃星”、“擎羊”</t>
    </r>
    <r>
      <rPr>
        <sz val="11"/>
        <color theme="1"/>
        <rFont val="等线"/>
        <family val="2"/>
        <charset val="134"/>
        <scheme val="minor"/>
      </rPr>
      <t>：</t>
    </r>
    <r>
      <rPr>
        <b/>
        <sz val="11"/>
        <color theme="1"/>
        <rFont val="等线"/>
        <family val="3"/>
        <charset val="134"/>
        <scheme val="minor"/>
      </rPr>
      <t>火星是“阳火”</t>
    </r>
    <r>
      <rPr>
        <sz val="11"/>
        <color theme="1"/>
        <rFont val="等线"/>
        <family val="2"/>
        <charset val="134"/>
        <scheme val="minor"/>
      </rPr>
      <t>，核心是</t>
    </r>
    <r>
      <rPr>
        <b/>
        <sz val="11"/>
        <color theme="1"/>
        <rFont val="等线"/>
        <family val="3"/>
        <charset val="134"/>
        <scheme val="minor"/>
      </rPr>
      <t>公开的、突发的、猛烈的伤害与冲突</t>
    </r>
    <r>
      <rPr>
        <sz val="11"/>
        <color theme="1"/>
        <rFont val="等线"/>
        <family val="2"/>
        <charset val="134"/>
        <scheme val="minor"/>
      </rPr>
      <t>，如争吵、火灾、急症。</t>
    </r>
    <r>
      <rPr>
        <b/>
        <sz val="11"/>
        <color theme="1"/>
        <rFont val="等线"/>
        <family val="3"/>
        <charset val="134"/>
        <scheme val="minor"/>
      </rPr>
      <t>铃星是“阴火”</t>
    </r>
    <r>
      <rPr>
        <sz val="11"/>
        <color theme="1"/>
        <rFont val="等线"/>
        <family val="2"/>
        <charset val="134"/>
        <scheme val="minor"/>
      </rPr>
      <t>，核心是</t>
    </r>
    <r>
      <rPr>
        <b/>
        <sz val="11"/>
        <color theme="1"/>
        <rFont val="等线"/>
        <family val="3"/>
        <charset val="134"/>
        <scheme val="minor"/>
      </rPr>
      <t>暗中的、持续的、阴性的伤害与煎熬</t>
    </r>
    <r>
      <rPr>
        <sz val="11"/>
        <color theme="1"/>
        <rFont val="等线"/>
        <family val="2"/>
        <charset val="134"/>
        <scheme val="minor"/>
      </rPr>
      <t>，如嫉妒、慢性病、阴谋。</t>
    </r>
    <r>
      <rPr>
        <b/>
        <sz val="11"/>
        <color theme="1"/>
        <rFont val="等线"/>
        <family val="3"/>
        <charset val="134"/>
        <scheme val="minor"/>
      </rPr>
      <t>擎羊星是“明枪”</t>
    </r>
    <r>
      <rPr>
        <sz val="11"/>
        <color theme="1"/>
        <rFont val="等线"/>
        <family val="2"/>
        <charset val="134"/>
        <scheme val="minor"/>
      </rPr>
      <t>，核心是</t>
    </r>
    <r>
      <rPr>
        <b/>
        <sz val="11"/>
        <color theme="1"/>
        <rFont val="等线"/>
        <family val="3"/>
        <charset val="134"/>
        <scheme val="minor"/>
      </rPr>
      <t>直接、主动、外显的伤害</t>
    </r>
    <r>
      <rPr>
        <sz val="11"/>
        <color theme="1"/>
        <rFont val="等线"/>
        <family val="2"/>
        <charset val="134"/>
        <scheme val="minor"/>
      </rPr>
      <t>。火星是“突然爆炸”，铃星是“慢性中毒”，擎羊是“迎面一刀”。</t>
    </r>
  </si>
  <si>
    <r>
      <t>2. 与“七杀”的区别</t>
    </r>
    <r>
      <rPr>
        <sz val="11"/>
        <color theme="1"/>
        <rFont val="等线"/>
        <family val="2"/>
        <charset val="134"/>
        <scheme val="minor"/>
      </rPr>
      <t>：</t>
    </r>
    <r>
      <rPr>
        <b/>
        <sz val="11"/>
        <color theme="1"/>
        <rFont val="等线"/>
        <family val="3"/>
        <charset val="134"/>
        <scheme val="minor"/>
      </rPr>
      <t>七杀星主“肃杀、决断与变动”</t>
    </r>
    <r>
      <rPr>
        <sz val="11"/>
        <color theme="1"/>
        <rFont val="等线"/>
        <family val="2"/>
        <charset val="134"/>
        <scheme val="minor"/>
      </rPr>
      <t>，核心是</t>
    </r>
    <r>
      <rPr>
        <b/>
        <sz val="11"/>
        <color theme="1"/>
        <rFont val="等线"/>
        <family val="3"/>
        <charset val="134"/>
        <scheme val="minor"/>
      </rPr>
      <t>大型的、决定性的变动与风险</t>
    </r>
    <r>
      <rPr>
        <sz val="11"/>
        <color theme="1"/>
        <rFont val="等线"/>
        <family val="2"/>
        <charset val="134"/>
        <scheme val="minor"/>
      </rPr>
      <t>。</t>
    </r>
    <r>
      <rPr>
        <b/>
        <sz val="11"/>
        <color theme="1"/>
        <rFont val="等线"/>
        <family val="3"/>
        <charset val="134"/>
        <scheme val="minor"/>
      </rPr>
      <t>火星主“突发、急躁与破坏”</t>
    </r>
    <r>
      <rPr>
        <sz val="11"/>
        <color theme="1"/>
        <rFont val="等线"/>
        <family val="2"/>
        <charset val="134"/>
        <scheme val="minor"/>
      </rPr>
      <t>，核心是</t>
    </r>
    <r>
      <rPr>
        <b/>
        <sz val="11"/>
        <color theme="1"/>
        <rFont val="等线"/>
        <family val="3"/>
        <charset val="134"/>
        <scheme val="minor"/>
      </rPr>
      <t>快速的、激烈的、短期的事件</t>
    </r>
    <r>
      <rPr>
        <sz val="11"/>
        <color theme="1"/>
        <rFont val="等线"/>
        <family val="2"/>
        <charset val="134"/>
        <scheme val="minor"/>
      </rPr>
      <t>。七杀是“大军压境”，火星是“闪电突袭”。</t>
    </r>
  </si>
  <si>
    <r>
      <t>3. 宫位定领域</t>
    </r>
    <r>
      <rPr>
        <sz val="11"/>
        <color theme="1"/>
        <rFont val="等线"/>
        <family val="2"/>
        <charset val="134"/>
        <scheme val="minor"/>
      </rPr>
      <t>：火星所在宫位，指示在人生的哪个领域容易发生突发事件、产生急躁冲突，或需要运用爆发力。</t>
    </r>
  </si>
  <si>
    <r>
      <t>4. 四化引动</t>
    </r>
    <r>
      <rPr>
        <sz val="11"/>
        <color theme="1"/>
        <rFont val="等线"/>
        <family val="2"/>
        <charset val="134"/>
        <scheme val="minor"/>
      </rPr>
      <t>：见</t>
    </r>
    <r>
      <rPr>
        <b/>
        <sz val="11"/>
        <color theme="1"/>
        <rFont val="等线"/>
        <family val="3"/>
        <charset val="134"/>
        <scheme val="minor"/>
      </rPr>
      <t>化禄</t>
    </r>
    <r>
      <rPr>
        <sz val="11"/>
        <color theme="1"/>
        <rFont val="等线"/>
        <family val="2"/>
        <charset val="134"/>
        <scheme val="minor"/>
      </rPr>
      <t>，将爆发力转化为急财，如短线投机获利，但财来财去极快。见</t>
    </r>
    <r>
      <rPr>
        <b/>
        <sz val="11"/>
        <color theme="1"/>
        <rFont val="等线"/>
        <family val="3"/>
        <charset val="134"/>
        <scheme val="minor"/>
      </rPr>
      <t>化权</t>
    </r>
    <r>
      <rPr>
        <sz val="11"/>
        <color theme="1"/>
        <rFont val="等线"/>
        <family val="2"/>
        <charset val="134"/>
        <scheme val="minor"/>
      </rPr>
      <t>，强化爆发力与行动控制权，但更显急躁专横。见</t>
    </r>
    <r>
      <rPr>
        <b/>
        <sz val="11"/>
        <color theme="1"/>
        <rFont val="等线"/>
        <family val="3"/>
        <charset val="134"/>
        <scheme val="minor"/>
      </rPr>
      <t>化科</t>
    </r>
    <r>
      <rPr>
        <sz val="11"/>
        <color theme="1"/>
        <rFont val="等线"/>
        <family val="2"/>
        <charset val="134"/>
        <scheme val="minor"/>
      </rPr>
      <t>，因突发表现、紧急处理获得名声，但名来得快去得也快。见</t>
    </r>
    <r>
      <rPr>
        <b/>
        <sz val="11"/>
        <color theme="1"/>
        <rFont val="等线"/>
        <family val="3"/>
        <charset val="134"/>
        <scheme val="minor"/>
      </rPr>
      <t>化忌</t>
    </r>
    <r>
      <rPr>
        <sz val="11"/>
        <color theme="1"/>
        <rFont val="等线"/>
        <family val="2"/>
        <charset val="134"/>
        <scheme val="minor"/>
      </rPr>
      <t>，</t>
    </r>
    <r>
      <rPr>
        <b/>
        <sz val="11"/>
        <color theme="1"/>
        <rFont val="等线"/>
        <family val="3"/>
        <charset val="134"/>
        <scheme val="minor"/>
      </rPr>
      <t>阳火性质加剧</t>
    </r>
    <r>
      <rPr>
        <sz val="11"/>
        <color theme="1"/>
        <rFont val="等线"/>
        <family val="2"/>
        <charset val="134"/>
        <scheme val="minor"/>
      </rPr>
      <t>，冲突必然发生，灾祸突发且猛烈，急躁达到顶点。</t>
    </r>
  </si>
  <si>
    <t>一、地劫定义</t>
  </si>
  <si>
    <t>破耗、波动、空亡、劫数、疏狂</t>
  </si>
  <si>
    <t>象征劫数、破败、波动与空亡。其性质主凶，代表物质与精神上的损耗、波动不安、事成转败、得而复失，以及与众不同的疏狂之气。</t>
  </si>
  <si>
    <t>乙级星，属阴火。主凶，为劫煞、波动之星。独坐或与煞星同会则破耗甚大；若与天机、太阴等主星同度且见吉化，可转化为独特的创造力与不羁的才华。</t>
  </si>
  <si>
    <r>
      <t>破耗/损失</t>
    </r>
    <r>
      <rPr>
        <sz val="11"/>
        <color theme="1"/>
        <rFont val="等线"/>
        <family val="2"/>
        <charset val="134"/>
        <scheme val="minor"/>
      </rPr>
      <t>​</t>
    </r>
  </si>
  <si>
    <t>钱财、物质、机会易遭受突如其来的损失或消耗，得而复失。</t>
  </si>
  <si>
    <t>在财帛宫、田宅宫时尤为明显。</t>
  </si>
  <si>
    <r>
      <t>波动/不安</t>
    </r>
    <r>
      <rPr>
        <sz val="11"/>
        <color theme="1"/>
        <rFont val="等线"/>
        <family val="2"/>
        <charset val="134"/>
        <scheme val="minor"/>
      </rPr>
      <t>​</t>
    </r>
  </si>
  <si>
    <t>人生起伏大，事业、感情、居住地等常处于变动不安的状态。</t>
  </si>
  <si>
    <t>在官禄宫、迁移宫时力量显现。</t>
  </si>
  <si>
    <r>
      <t>空亡/落空</t>
    </r>
    <r>
      <rPr>
        <sz val="11"/>
        <color theme="1"/>
        <rFont val="等线"/>
        <family val="2"/>
        <charset val="134"/>
        <scheme val="minor"/>
      </rPr>
      <t>​</t>
    </r>
  </si>
  <si>
    <t>努力常付诸东流，计划易成空，感觉怀才不遇，精神空虚。</t>
  </si>
  <si>
    <r>
      <t>疏狂/独特</t>
    </r>
    <r>
      <rPr>
        <sz val="11"/>
        <color theme="1"/>
        <rFont val="等线"/>
        <family val="2"/>
        <charset val="134"/>
        <scheme val="minor"/>
      </rPr>
      <t>​</t>
    </r>
  </si>
  <si>
    <t>思想行为与众不同，不喜随俗，有艺术或哲学天赋，但也显孤僻。</t>
  </si>
  <si>
    <t>在命宫、福德宫时显现。</t>
  </si>
  <si>
    <r>
      <t>劫数/意外</t>
    </r>
    <r>
      <rPr>
        <sz val="11"/>
        <color theme="1"/>
        <rFont val="等线"/>
        <family val="2"/>
        <charset val="134"/>
        <scheme val="minor"/>
      </rPr>
      <t>​</t>
    </r>
  </si>
  <si>
    <t>易遭遇意外挫折、劫难，事情在关键时刻出现意想不到的破坏。</t>
  </si>
  <si>
    <t>在迁移宫、疾厄宫时显著。</t>
  </si>
  <si>
    <t>一生漂泊波动，钱财不聚，思想独特疏狂，易有怀才不遇之感。</t>
  </si>
  <si>
    <t>与兄弟姐妹缘薄，易离散；朋友交往易因钱财损耗或观念不同而疏远。</t>
  </si>
  <si>
    <t>感情关系不稳定，易聚易散，配偶可能个性独特，或婚姻中有财务破耗。</t>
  </si>
  <si>
    <t>子女缘较薄，或子女性格叛逆独特；合作投资易破财、计划落空。</t>
  </si>
  <si>
    <r>
      <t>核心宫位</t>
    </r>
    <r>
      <rPr>
        <sz val="11"/>
        <color theme="1"/>
        <rFont val="等线"/>
        <family val="2"/>
        <charset val="134"/>
        <scheme val="minor"/>
      </rPr>
      <t>。钱财左手进右手出，易有意外破财，不宜经商，适合以独特技艺谋财。</t>
    </r>
  </si>
  <si>
    <t>易患疑难杂症、罕见病，病情反复波动，疗效不佳。</t>
  </si>
  <si>
    <t>在外发展多波折，易遇盗贼、诈骗等意外损失，适合变动性大的工作。</t>
  </si>
  <si>
    <t>朋友、下属关系不稳定，易因利益纠纷而损友，或朋友多为性情独特之人。</t>
  </si>
  <si>
    <t>事业起伏大，行业或职位变动频繁，适合自由、创意类职业，不宜守成。</t>
  </si>
  <si>
    <t>家宅不宁，易搬迁，房产交易易有损失，家族产业易破败。</t>
  </si>
  <si>
    <t>思想天马行空，精神世界丰富但常感空虚，享受易中途生变。</t>
  </si>
  <si>
    <t>与父母缘分较薄，易离散，或得到遗产、资助的过程有波折损失。</t>
  </si>
  <si>
    <t>1. 增强破耗/波动组合</t>
  </si>
  <si>
    <r>
      <t>地劫+紫微</t>
    </r>
    <r>
      <rPr>
        <sz val="11"/>
        <color theme="1"/>
        <rFont val="等线"/>
        <family val="2"/>
        <charset val="134"/>
        <scheme val="minor"/>
      </rPr>
      <t>​</t>
    </r>
  </si>
  <si>
    <t>帝星逢劫，尊贵之气受损，事业大起大落，权力得而复失，或为独特王者。</t>
  </si>
  <si>
    <t>经历破产的帝王；在颠覆性行业成功的领袖。</t>
  </si>
  <si>
    <r>
      <t>地劫+天机</t>
    </r>
    <r>
      <rPr>
        <sz val="11"/>
        <color theme="1"/>
        <rFont val="等线"/>
        <family val="2"/>
        <charset val="134"/>
        <scheme val="minor"/>
      </rPr>
      <t>​</t>
    </r>
  </si>
  <si>
    <t>智星逢劫，计划多变常落空，聪明反被聪明误，适合研究玄学、波动性行业。</t>
  </si>
  <si>
    <t>投机失败的分析师；成功的命理师。</t>
  </si>
  <si>
    <r>
      <t>地劫+太阳</t>
    </r>
    <r>
      <rPr>
        <sz val="11"/>
        <color theme="1"/>
        <rFont val="等线"/>
        <family val="2"/>
        <charset val="134"/>
        <scheme val="minor"/>
      </rPr>
      <t>​</t>
    </r>
  </si>
  <si>
    <t>明灯逢劫，名声有损，发光发热但易被遮蔽，付出多而收获少，或为独特思想家。</t>
  </si>
  <si>
    <t>饱受争议的公众人物；特立独行的哲学家。</t>
  </si>
  <si>
    <r>
      <t>地劫+武曲</t>
    </r>
    <r>
      <rPr>
        <sz val="11"/>
        <color theme="1"/>
        <rFont val="等线"/>
        <family val="2"/>
        <charset val="134"/>
        <scheme val="minor"/>
      </rPr>
      <t>​</t>
    </r>
  </si>
  <si>
    <t>刚星逢劫，求财过程多破耗，财务波动剧烈，宜技术谋财，忌经商。</t>
  </si>
  <si>
    <t>经历多次投资失败的金融从业者；顶尖但贫穷的手工艺人。</t>
  </si>
  <si>
    <r>
      <t>地劫+天同</t>
    </r>
    <r>
      <rPr>
        <sz val="11"/>
        <color theme="1"/>
        <rFont val="等线"/>
        <family val="2"/>
        <charset val="134"/>
        <scheme val="minor"/>
      </rPr>
      <t>​</t>
    </r>
  </si>
  <si>
    <t>福星逢劫，福气被劫，享受常被打断，乐极生悲，或培养出豁达的独特人生观。</t>
  </si>
  <si>
    <t>家道中落的享乐者；安贫乐道的艺术家。</t>
  </si>
  <si>
    <r>
      <t>地劫+廉贞</t>
    </r>
    <r>
      <rPr>
        <sz val="11"/>
        <color theme="1"/>
        <rFont val="等线"/>
        <family val="2"/>
        <charset val="134"/>
        <scheme val="minor"/>
      </rPr>
      <t>​</t>
    </r>
  </si>
  <si>
    <t>囚星逢劫，感情、事业易遭意外打击而陷入困境，或从事高风险、边缘性艺术。</t>
  </si>
  <si>
    <t>因丑闻破产的明星；地下艺术家。</t>
  </si>
  <si>
    <r>
      <t>地劫+天府</t>
    </r>
    <r>
      <rPr>
        <sz val="11"/>
        <color theme="1"/>
        <rFont val="等线"/>
        <family val="2"/>
        <charset val="134"/>
        <scheme val="minor"/>
      </rPr>
      <t>​</t>
    </r>
  </si>
  <si>
    <t>库星逢劫，库藏被劫，积蓄易遭意外损失，守财困难，或管理破败的旧产业。</t>
  </si>
  <si>
    <t>遭遇诈骗的富翁；没落贵族。</t>
  </si>
  <si>
    <r>
      <t>地劫+太阴</t>
    </r>
    <r>
      <rPr>
        <sz val="11"/>
        <color theme="1"/>
        <rFont val="等线"/>
        <family val="2"/>
        <charset val="134"/>
        <scheme val="minor"/>
      </rPr>
      <t>​</t>
    </r>
  </si>
  <si>
    <t>阴星逢劫，情绪、财务波动大，房地产投资易损，女性缘分薄，或为独特诗人。</t>
  </si>
  <si>
    <t>情绪起伏巨大的作家；房地产投资失败者。</t>
  </si>
  <si>
    <r>
      <t>地劫+贪狼</t>
    </r>
    <r>
      <rPr>
        <sz val="11"/>
        <color theme="1"/>
        <rFont val="等线"/>
        <family val="2"/>
        <charset val="134"/>
        <scheme val="minor"/>
      </rPr>
      <t>​</t>
    </r>
  </si>
  <si>
    <t>欲星逢劫，欲望难填且常落空，桃花、财运皆波动，或从事前卫艺术、投机。</t>
  </si>
  <si>
    <t>赌徒；波西米亚风格的画家。</t>
  </si>
  <si>
    <r>
      <t>地劫+巨门</t>
    </r>
    <r>
      <rPr>
        <sz val="11"/>
        <color theme="1"/>
        <rFont val="等线"/>
        <family val="2"/>
        <charset val="134"/>
        <scheme val="minor"/>
      </rPr>
      <t>​</t>
    </r>
  </si>
  <si>
    <t>暗星逢劫，是非口舌带来实际损失，计划因是非而落空，或为独特的批评家。</t>
  </si>
  <si>
    <t>因言论惹祸破产的评论家；潦倒的辩论家。</t>
  </si>
  <si>
    <r>
      <t>地劫+天相</t>
    </r>
    <r>
      <rPr>
        <sz val="11"/>
        <color theme="1"/>
        <rFont val="等线"/>
        <family val="2"/>
        <charset val="134"/>
        <scheme val="minor"/>
      </rPr>
      <t>​</t>
    </r>
  </si>
  <si>
    <t>印星逢劫，形象、文书受损，辅助工作多波折，或为不修边幅的独特辅佐者。</t>
  </si>
  <si>
    <t>因合同漏洞损失惨重的秘书；风格独特的造型师。</t>
  </si>
  <si>
    <r>
      <t>地劫+天梁</t>
    </r>
    <r>
      <rPr>
        <sz val="11"/>
        <color theme="1"/>
        <rFont val="等线"/>
        <family val="2"/>
        <charset val="134"/>
        <scheme val="minor"/>
      </rPr>
      <t>​</t>
    </r>
  </si>
  <si>
    <t>荫星逢劫，荫庇之力被削弱，救助他人反使自己受损，或为游方僧、慈善浪人。</t>
  </si>
  <si>
    <t>散尽家财的慈善家；云游四方的医者。</t>
  </si>
  <si>
    <r>
      <t>地劫+七杀</t>
    </r>
    <r>
      <rPr>
        <sz val="11"/>
        <color theme="1"/>
        <rFont val="等线"/>
        <family val="2"/>
        <charset val="134"/>
        <scheme val="minor"/>
      </rPr>
      <t>​</t>
    </r>
  </si>
  <si>
    <t>杀星逢劫，变动与破耗结合，人生大风大浪，事业暴起暴落，或为冒险家。</t>
  </si>
  <si>
    <t>探险家；经历多次破产又东山再起的企业家。</t>
  </si>
  <si>
    <r>
      <t>地劫+破军</t>
    </r>
    <r>
      <rPr>
        <sz val="11"/>
        <color theme="1"/>
        <rFont val="等线"/>
        <family val="2"/>
        <charset val="134"/>
        <scheme val="minor"/>
      </rPr>
      <t>​</t>
    </r>
  </si>
  <si>
    <r>
      <t>耗劫交加</t>
    </r>
    <r>
      <rPr>
        <sz val="11"/>
        <color theme="1"/>
        <rFont val="等线"/>
        <family val="2"/>
        <charset val="134"/>
        <scheme val="minor"/>
      </rPr>
      <t>，破坏与破耗达到极致，先破后成，变动极大，或为颠覆性改革者。</t>
    </r>
  </si>
  <si>
    <t>革命家；不断推倒重来的创业者。</t>
  </si>
  <si>
    <r>
      <t>地劫+地空</t>
    </r>
    <r>
      <rPr>
        <sz val="11"/>
        <color theme="1"/>
        <rFont val="等线"/>
        <family val="2"/>
        <charset val="134"/>
        <scheme val="minor"/>
      </rPr>
      <t>​</t>
    </r>
  </si>
  <si>
    <r>
      <t>空劫并临</t>
    </r>
    <r>
      <rPr>
        <sz val="11"/>
        <color theme="1"/>
        <rFont val="等线"/>
        <family val="2"/>
        <charset val="134"/>
        <scheme val="minor"/>
      </rPr>
      <t>，精神空虚与物质破耗双重打击，想法奇特但难落实，损失巨大。</t>
    </r>
  </si>
  <si>
    <t>理想主义的破产者；一生漂泊的思想家。</t>
  </si>
  <si>
    <r>
      <t>劫火交攻</t>
    </r>
    <r>
      <rPr>
        <sz val="11"/>
        <color theme="1"/>
        <rFont val="等线"/>
        <family val="2"/>
        <charset val="134"/>
        <scheme val="minor"/>
      </rPr>
      <t>，突发灾祸导致重大破败，损失惨重，动荡剧烈。</t>
    </r>
  </si>
  <si>
    <r>
      <t>劫阴相蚀</t>
    </r>
    <r>
      <rPr>
        <sz val="11"/>
        <color theme="1"/>
        <rFont val="等线"/>
        <family val="2"/>
        <charset val="134"/>
        <scheme val="minor"/>
      </rPr>
      <t>，暗中持续的消耗导致突然的重大破败，技术失误造成大损失。</t>
    </r>
  </si>
  <si>
    <r>
      <t>劫刃相伤</t>
    </r>
    <r>
      <rPr>
        <sz val="11"/>
        <color theme="1"/>
        <rFont val="等线"/>
        <family val="2"/>
        <charset val="134"/>
        <scheme val="minor"/>
      </rPr>
      <t>，直接的伤害与破坏导致物质损失，手术或外伤造成破财。</t>
    </r>
  </si>
  <si>
    <t>因斗殴受伤并赔偿；手术费用高昂。</t>
  </si>
  <si>
    <r>
      <t>劫磨纠缠</t>
    </r>
    <r>
      <rPr>
        <sz val="11"/>
        <color theme="1"/>
        <rFont val="等线"/>
        <family val="2"/>
        <charset val="134"/>
        <scheme val="minor"/>
      </rPr>
      <t>，破耗之事拖延反复，损失绵绵不绝，旧账难清。</t>
    </r>
  </si>
  <si>
    <t>债务纠纷多年不决；慢性病持续消耗钱财。</t>
  </si>
  <si>
    <r>
      <t>地劫+文昌/文曲</t>
    </r>
    <r>
      <rPr>
        <sz val="11"/>
        <color theme="1"/>
        <rFont val="等线"/>
        <family val="2"/>
        <charset val="134"/>
        <scheme val="minor"/>
      </rPr>
      <t>​</t>
    </r>
  </si>
  <si>
    <r>
      <t>劫文生华</t>
    </r>
    <r>
      <rPr>
        <sz val="11"/>
        <color theme="1"/>
        <rFont val="等线"/>
        <family val="2"/>
        <charset val="134"/>
        <scheme val="minor"/>
      </rPr>
      <t>，破耗中激发独特文采，艺术风格另类，或因文艺损失钱财。</t>
    </r>
  </si>
  <si>
    <t>潦倒的先锋派诗人；为艺术创作耗尽家财。</t>
  </si>
  <si>
    <r>
      <t>地劫+左辅/右弼</t>
    </r>
    <r>
      <rPr>
        <sz val="11"/>
        <color theme="1"/>
        <rFont val="等线"/>
        <family val="2"/>
        <charset val="134"/>
        <scheme val="minor"/>
      </rPr>
      <t>​</t>
    </r>
  </si>
  <si>
    <r>
      <t>劫众同散</t>
    </r>
    <r>
      <rPr>
        <sz val="11"/>
        <color theme="1"/>
        <rFont val="等线"/>
        <family val="2"/>
        <charset val="134"/>
        <scheme val="minor"/>
      </rPr>
      <t>​</t>
    </r>
  </si>
  <si>
    <t>破耗之事涉及多人，众人一起蒙受损失，助力最终散失。</t>
  </si>
  <si>
    <r>
      <t>地劫+天魁/天钺</t>
    </r>
    <r>
      <rPr>
        <sz val="11"/>
        <color theme="1"/>
        <rFont val="等线"/>
        <family val="2"/>
        <charset val="134"/>
        <scheme val="minor"/>
      </rPr>
      <t>​</t>
    </r>
  </si>
  <si>
    <r>
      <t>劫中遇贵</t>
    </r>
    <r>
      <rPr>
        <sz val="11"/>
        <color theme="1"/>
        <rFont val="等线"/>
        <family val="2"/>
        <charset val="134"/>
        <scheme val="minor"/>
      </rPr>
      <t>​</t>
    </r>
  </si>
  <si>
    <t>破耗损失时得贵人相助渡过难关，但帮助可能来得迟或效果打折。</t>
  </si>
  <si>
    <r>
      <t>地劫+禄存</t>
    </r>
    <r>
      <rPr>
        <sz val="11"/>
        <color theme="1"/>
        <rFont val="等线"/>
        <family val="2"/>
        <charset val="134"/>
        <scheme val="minor"/>
      </rPr>
      <t>​</t>
    </r>
  </si>
  <si>
    <r>
      <t>劫禄相冲</t>
    </r>
    <r>
      <rPr>
        <sz val="11"/>
        <color theme="1"/>
        <rFont val="等线"/>
        <family val="2"/>
        <charset val="134"/>
        <scheme val="minor"/>
      </rPr>
      <t>​</t>
    </r>
  </si>
  <si>
    <t>钱财积聚困难，常因意外破财，或财富格局大起大落。</t>
  </si>
  <si>
    <r>
      <t>地劫+天马</t>
    </r>
    <r>
      <rPr>
        <sz val="11"/>
        <color theme="1"/>
        <rFont val="等线"/>
        <family val="2"/>
        <charset val="134"/>
        <scheme val="minor"/>
      </rPr>
      <t>​</t>
    </r>
  </si>
  <si>
    <r>
      <t>劫动漂泊</t>
    </r>
    <r>
      <rPr>
        <sz val="11"/>
        <color theme="1"/>
        <rFont val="等线"/>
        <family val="2"/>
        <charset val="134"/>
        <scheme val="minor"/>
      </rPr>
      <t>​</t>
    </r>
  </si>
  <si>
    <t>破耗与奔波相伴，在变动中损失，适合动中求财但不易积存。</t>
  </si>
  <si>
    <r>
      <t>1. “地劫”与“地空”</t>
    </r>
    <r>
      <rPr>
        <sz val="11"/>
        <color theme="1"/>
        <rFont val="等线"/>
        <family val="2"/>
        <charset val="134"/>
        <scheme val="minor"/>
      </rPr>
      <t>：</t>
    </r>
    <r>
      <rPr>
        <b/>
        <sz val="11"/>
        <color theme="1"/>
        <rFont val="等线"/>
        <family val="3"/>
        <charset val="134"/>
        <scheme val="minor"/>
      </rPr>
      <t>地劫星主“实质的破耗与波动”</t>
    </r>
    <r>
      <rPr>
        <sz val="11"/>
        <color theme="1"/>
        <rFont val="等线"/>
        <family val="2"/>
        <charset val="134"/>
        <scheme val="minor"/>
      </rPr>
      <t>，核心是</t>
    </r>
    <r>
      <rPr>
        <b/>
        <sz val="11"/>
        <color theme="1"/>
        <rFont val="等线"/>
        <family val="3"/>
        <charset val="134"/>
        <scheme val="minor"/>
      </rPr>
      <t>物质、机会、人际关系上的损失与动荡</t>
    </r>
    <r>
      <rPr>
        <sz val="11"/>
        <color theme="1"/>
        <rFont val="等线"/>
        <family val="2"/>
        <charset val="134"/>
        <scheme val="minor"/>
      </rPr>
      <t>。</t>
    </r>
    <r>
      <rPr>
        <b/>
        <sz val="11"/>
        <color theme="1"/>
        <rFont val="等线"/>
        <family val="3"/>
        <charset val="134"/>
        <scheme val="minor"/>
      </rPr>
      <t>地空星主“精神的空虚与理想”</t>
    </r>
    <r>
      <rPr>
        <sz val="11"/>
        <color theme="1"/>
        <rFont val="等线"/>
        <family val="2"/>
        <charset val="134"/>
        <scheme val="minor"/>
      </rPr>
      <t>，核心是</t>
    </r>
    <r>
      <rPr>
        <b/>
        <sz val="11"/>
        <color theme="1"/>
        <rFont val="等线"/>
        <family val="3"/>
        <charset val="134"/>
        <scheme val="minor"/>
      </rPr>
      <t>思想、精神、计划上的落空与超脱</t>
    </r>
    <r>
      <rPr>
        <sz val="11"/>
        <color theme="1"/>
        <rFont val="等线"/>
        <family val="2"/>
        <charset val="134"/>
        <scheme val="minor"/>
      </rPr>
      <t>。地劫是“赔钱、丢东西、人事离散”，地空是“空想、灵感、精神空虚”。二者同会，为“空劫并临”，主精神与物质双重打击。</t>
    </r>
  </si>
  <si>
    <r>
      <t>2. 与“破军”的区别</t>
    </r>
    <r>
      <rPr>
        <sz val="11"/>
        <color theme="1"/>
        <rFont val="等线"/>
        <family val="2"/>
        <charset val="134"/>
        <scheme val="minor"/>
      </rPr>
      <t>：</t>
    </r>
    <r>
      <rPr>
        <b/>
        <sz val="11"/>
        <color theme="1"/>
        <rFont val="等线"/>
        <family val="3"/>
        <charset val="134"/>
        <scheme val="minor"/>
      </rPr>
      <t>破军星主“破坏与重建”</t>
    </r>
    <r>
      <rPr>
        <sz val="11"/>
        <color theme="1"/>
        <rFont val="等线"/>
        <family val="2"/>
        <charset val="134"/>
        <scheme val="minor"/>
      </rPr>
      <t>，核心是</t>
    </r>
    <r>
      <rPr>
        <b/>
        <sz val="11"/>
        <color theme="1"/>
        <rFont val="等线"/>
        <family val="3"/>
        <charset val="134"/>
        <scheme val="minor"/>
      </rPr>
      <t>主动的、有目的的推翻旧事物以开创新局面</t>
    </r>
    <r>
      <rPr>
        <sz val="11"/>
        <color theme="1"/>
        <rFont val="等线"/>
        <family val="2"/>
        <charset val="134"/>
        <scheme val="minor"/>
      </rPr>
      <t>。</t>
    </r>
    <r>
      <rPr>
        <b/>
        <sz val="11"/>
        <color theme="1"/>
        <rFont val="等线"/>
        <family val="3"/>
        <charset val="134"/>
        <scheme val="minor"/>
      </rPr>
      <t>地劫星主“破耗与波动”</t>
    </r>
    <r>
      <rPr>
        <sz val="11"/>
        <color theme="1"/>
        <rFont val="等线"/>
        <family val="2"/>
        <charset val="134"/>
        <scheme val="minor"/>
      </rPr>
      <t>，核心是</t>
    </r>
    <r>
      <rPr>
        <b/>
        <sz val="11"/>
        <color theme="1"/>
        <rFont val="等线"/>
        <family val="3"/>
        <charset val="134"/>
        <scheme val="minor"/>
      </rPr>
      <t>被动的、意外的损失与不安定</t>
    </r>
    <r>
      <rPr>
        <sz val="11"/>
        <color theme="1"/>
        <rFont val="等线"/>
        <family val="2"/>
        <charset val="134"/>
        <scheme val="minor"/>
      </rPr>
      <t>。破军是“我要拆了旧屋盖新的”，地劫是“我的房子突然被风吹垮了”。</t>
    </r>
  </si>
  <si>
    <r>
      <t>3. 宫位定领域</t>
    </r>
    <r>
      <rPr>
        <sz val="11"/>
        <color theme="1"/>
        <rFont val="等线"/>
        <family val="2"/>
        <charset val="134"/>
        <scheme val="minor"/>
      </rPr>
      <t>：地劫星所在宫位，指示在人生的哪个领域容易遭遇意外损失、经历波动起伏，或在该领域表现出与众不同的疏狂特质。</t>
    </r>
  </si>
  <si>
    <r>
      <t>4. 四化引动</t>
    </r>
    <r>
      <rPr>
        <sz val="11"/>
        <color theme="1"/>
        <rFont val="等线"/>
        <family val="2"/>
        <charset val="134"/>
        <scheme val="minor"/>
      </rPr>
      <t>：见</t>
    </r>
    <r>
      <rPr>
        <b/>
        <sz val="11"/>
        <color theme="1"/>
        <rFont val="等线"/>
        <family val="3"/>
        <charset val="134"/>
        <scheme val="minor"/>
      </rPr>
      <t>化禄</t>
    </r>
    <r>
      <rPr>
        <sz val="11"/>
        <color theme="1"/>
        <rFont val="等线"/>
        <family val="2"/>
        <charset val="134"/>
        <scheme val="minor"/>
      </rPr>
      <t>，破耗中偶得意外之财，但财来财去，难以留存，或通过独特方式赚钱。见</t>
    </r>
    <r>
      <rPr>
        <b/>
        <sz val="11"/>
        <color theme="1"/>
        <rFont val="等线"/>
        <family val="3"/>
        <charset val="134"/>
        <scheme val="minor"/>
      </rPr>
      <t>化权</t>
    </r>
    <r>
      <rPr>
        <sz val="11"/>
        <color theme="1"/>
        <rFont val="等线"/>
        <family val="2"/>
        <charset val="134"/>
        <scheme val="minor"/>
      </rPr>
      <t>，试图掌控波动与破耗，在变动行业中掌权，或性格更显孤傲不羁。见</t>
    </r>
    <r>
      <rPr>
        <b/>
        <sz val="11"/>
        <color theme="1"/>
        <rFont val="等线"/>
        <family val="3"/>
        <charset val="134"/>
        <scheme val="minor"/>
      </rPr>
      <t>化科</t>
    </r>
    <r>
      <rPr>
        <sz val="11"/>
        <color theme="1"/>
        <rFont val="等线"/>
        <family val="2"/>
        <charset val="134"/>
        <scheme val="minor"/>
      </rPr>
      <t>，因独特的才华、思想或经历困境而获得名声。见</t>
    </r>
    <r>
      <rPr>
        <b/>
        <sz val="11"/>
        <color theme="1"/>
        <rFont val="等线"/>
        <family val="3"/>
        <charset val="134"/>
        <scheme val="minor"/>
      </rPr>
      <t>化忌</t>
    </r>
    <r>
      <rPr>
        <sz val="11"/>
        <color theme="1"/>
        <rFont val="等线"/>
        <family val="2"/>
        <charset val="134"/>
        <scheme val="minor"/>
      </rPr>
      <t>，</t>
    </r>
    <r>
      <rPr>
        <b/>
        <sz val="11"/>
        <color theme="1"/>
        <rFont val="等线"/>
        <family val="3"/>
        <charset val="134"/>
        <scheme val="minor"/>
      </rPr>
      <t>破耗性质加剧</t>
    </r>
    <r>
      <rPr>
        <sz val="11"/>
        <color theme="1"/>
        <rFont val="等线"/>
        <family val="2"/>
        <charset val="134"/>
        <scheme val="minor"/>
      </rPr>
      <t>，损失必然且巨大，波动剧烈，空亡感最强。</t>
    </r>
  </si>
  <si>
    <t>一、地空定义</t>
  </si>
  <si>
    <t>空亡、精神、理想、灵感、疏离</t>
  </si>
  <si>
    <t>象征空亡、精神、理想与疏离。其性质主凶，代表精神上的空虚、理想化的追求、灵感的迸发，以及与现实世界的疏离感。主“空”，即落空、虚耗、不切实际。</t>
  </si>
  <si>
    <t>乙级星，属阴火。主凶，为空亡、精神之星。独坐或与煞星同会则空想虚耗；若与天机、太阴等主星同度且见吉化，可转化为超凡的灵感与创造力。</t>
  </si>
  <si>
    <r>
      <t>空想/理想</t>
    </r>
    <r>
      <rPr>
        <sz val="11"/>
        <color theme="1"/>
        <rFont val="等线"/>
        <family val="2"/>
        <charset val="134"/>
        <scheme val="minor"/>
      </rPr>
      <t>​</t>
    </r>
  </si>
  <si>
    <t>想法天马行空，不切实际，追求精神理想，但易脱离现实。</t>
  </si>
  <si>
    <r>
      <t>灵感/创意</t>
    </r>
    <r>
      <rPr>
        <sz val="11"/>
        <color theme="1"/>
        <rFont val="等线"/>
        <family val="2"/>
        <charset val="134"/>
        <scheme val="minor"/>
      </rPr>
      <t>​</t>
    </r>
  </si>
  <si>
    <t>常有突发奇想、灵感闪现，具有独特的创造力和想象力。</t>
  </si>
  <si>
    <t>在官禄宫、财帛宫时力量显现。</t>
  </si>
  <si>
    <r>
      <t>疏离/孤独</t>
    </r>
    <r>
      <rPr>
        <sz val="11"/>
        <color theme="1"/>
        <rFont val="等线"/>
        <family val="2"/>
        <charset val="134"/>
        <scheme val="minor"/>
      </rPr>
      <t>​</t>
    </r>
  </si>
  <si>
    <t>精神上感到孤独、疏离，与世俗格格不入，有出世倾向。</t>
  </si>
  <si>
    <t>在命宫、迁移宫时体现。</t>
  </si>
  <si>
    <r>
      <t>落空/虚耗</t>
    </r>
    <r>
      <rPr>
        <sz val="11"/>
        <color theme="1"/>
        <rFont val="等线"/>
        <family val="2"/>
        <charset val="134"/>
        <scheme val="minor"/>
      </rPr>
      <t>​</t>
    </r>
  </si>
  <si>
    <t>努力常无结果，计划易成泡影，钱财、精神易虚耗。</t>
  </si>
  <si>
    <t>在财帛宫、官禄宫时显现。</t>
  </si>
  <si>
    <r>
      <t>宗教/玄学</t>
    </r>
    <r>
      <rPr>
        <sz val="11"/>
        <color theme="1"/>
        <rFont val="等线"/>
        <family val="2"/>
        <charset val="134"/>
        <scheme val="minor"/>
      </rPr>
      <t>​</t>
    </r>
  </si>
  <si>
    <t>对宗教、哲学、玄学、神秘事物有浓厚兴趣和缘分。</t>
  </si>
  <si>
    <t>思想独特、天马行空，不喜世俗约束，一生多理想但难落实，精神孤独。</t>
  </si>
  <si>
    <t>与兄弟姐妹思想疏离，少共通语言；朋友多为思想独特、不切实际之人。</t>
  </si>
  <si>
    <t>感情追求精神共鸣，易理想化，配偶可能思想独特，关系易有精神隔阂。</t>
  </si>
  <si>
    <t>子女思想独特叛逆；合作计划易落空，投资想法不切实际。</t>
  </si>
  <si>
    <t>钱财观念淡薄，不善理财，易因理想、灵感投资而破财，适合创意谋财。</t>
  </si>
  <si>
    <t>易患精神类疾病、怪病、疑难杂症，或感觉身体虚弱、元气不足。</t>
  </si>
  <si>
    <t>在外发展易感空虚、孤独，适合从事需要灵感、与精神世界相关的工作。</t>
  </si>
  <si>
    <t>朋友、下属多为思想独特、不切实际之人，易有精神交流但少实际助力。</t>
  </si>
  <si>
    <t>事业追求理想化，适合创意、艺术、哲学、宗教等职业，但易变动、难守成。</t>
  </si>
  <si>
    <t>家宅空旷、冷清，不易聚气；房产交易易有变数、落空。</t>
  </si>
  <si>
    <r>
      <t>核心宫位</t>
    </r>
    <r>
      <rPr>
        <sz val="11"/>
        <color theme="1"/>
        <rFont val="等线"/>
        <family val="2"/>
        <charset val="134"/>
        <scheme val="minor"/>
      </rPr>
      <t>。精神世界丰富，追求超脱，有哲学、宗教倾向，但常感空虚。</t>
    </r>
  </si>
  <si>
    <t>与父母思想有隔阂，得到精神遗产（如思想、信仰）多于物质遗产。</t>
  </si>
  <si>
    <t>1. 增强空亡/灵感组合</t>
  </si>
  <si>
    <r>
      <t>地空+紫微</t>
    </r>
    <r>
      <rPr>
        <sz val="11"/>
        <color theme="1"/>
        <rFont val="等线"/>
        <family val="2"/>
        <charset val="134"/>
        <scheme val="minor"/>
      </rPr>
      <t>​</t>
    </r>
  </si>
  <si>
    <r>
      <t>帝星落空</t>
    </r>
    <r>
      <rPr>
        <sz val="11"/>
        <color theme="1"/>
        <rFont val="等线"/>
        <family val="2"/>
        <charset val="134"/>
        <scheme val="minor"/>
      </rPr>
      <t>，表面尊贵，内心空虚孤独，理想远大但难实现，或为精神领袖。</t>
    </r>
  </si>
  <si>
    <t>孤独的君王；具有超凡魅力的思想家。</t>
  </si>
  <si>
    <r>
      <t>地空+天机</t>
    </r>
    <r>
      <rPr>
        <sz val="11"/>
        <color theme="1"/>
        <rFont val="等线"/>
        <family val="2"/>
        <charset val="134"/>
        <scheme val="minor"/>
      </rPr>
      <t>​</t>
    </r>
  </si>
  <si>
    <r>
      <t>智星空灵</t>
    </r>
    <r>
      <rPr>
        <sz val="11"/>
        <color theme="1"/>
        <rFont val="等线"/>
        <family val="2"/>
        <charset val="134"/>
        <scheme val="minor"/>
      </rPr>
      <t>，思维跳跃，灵感非凡，但计划多空想，适合玄学、策划。</t>
    </r>
  </si>
  <si>
    <t>天才的发明家但难以量产；成功的命理师。</t>
  </si>
  <si>
    <r>
      <t>地空+太阳</t>
    </r>
    <r>
      <rPr>
        <sz val="11"/>
        <color theme="1"/>
        <rFont val="等线"/>
        <family val="2"/>
        <charset val="134"/>
        <scheme val="minor"/>
      </rPr>
      <t>​</t>
    </r>
  </si>
  <si>
    <r>
      <t>明灯照空</t>
    </r>
    <r>
      <rPr>
        <sz val="11"/>
        <color theme="1"/>
        <rFont val="等线"/>
        <family val="2"/>
        <charset val="134"/>
        <scheme val="minor"/>
      </rPr>
      <t>，理想光明但脱离现实，名声有虚浮之象，或为理想主义者。</t>
    </r>
  </si>
  <si>
    <t>空想的社会改革家；名声大但无实权的学者。</t>
  </si>
  <si>
    <r>
      <t>地空+武曲</t>
    </r>
    <r>
      <rPr>
        <sz val="11"/>
        <color theme="1"/>
        <rFont val="等线"/>
        <family val="2"/>
        <charset val="134"/>
        <scheme val="minor"/>
      </rPr>
      <t>​</t>
    </r>
  </si>
  <si>
    <r>
      <t>刚星落空</t>
    </r>
    <r>
      <rPr>
        <sz val="11"/>
        <color theme="1"/>
        <rFont val="等线"/>
        <family val="2"/>
        <charset val="134"/>
        <scheme val="minor"/>
      </rPr>
      <t>，求财行动易落空，财务计划多虚耗，宜将技术升华为艺术。</t>
    </r>
  </si>
  <si>
    <t>怀才不遇的工匠；将金融知识用于哲学思考。</t>
  </si>
  <si>
    <r>
      <t>地空+天同</t>
    </r>
    <r>
      <rPr>
        <sz val="11"/>
        <color theme="1"/>
        <rFont val="等线"/>
        <family val="2"/>
        <charset val="134"/>
        <scheme val="minor"/>
      </rPr>
      <t>​</t>
    </r>
  </si>
  <si>
    <r>
      <t>福星空虚</t>
    </r>
    <r>
      <rPr>
        <sz val="11"/>
        <color theme="1"/>
        <rFont val="等线"/>
        <family val="2"/>
        <charset val="134"/>
        <scheme val="minor"/>
      </rPr>
      <t>，福气落空，追求精神享受而非物质，乐天知命但缺乏实际。</t>
    </r>
  </si>
  <si>
    <t>安贫乐道的隐士；沉浸在自我世界的享乐者。</t>
  </si>
  <si>
    <r>
      <t>地空+廉贞</t>
    </r>
    <r>
      <rPr>
        <sz val="11"/>
        <color theme="1"/>
        <rFont val="等线"/>
        <family val="2"/>
        <charset val="134"/>
        <scheme val="minor"/>
      </rPr>
      <t>​</t>
    </r>
  </si>
  <si>
    <r>
      <t>囚星空幻</t>
    </r>
    <r>
      <rPr>
        <sz val="11"/>
        <color theme="1"/>
        <rFont val="等线"/>
        <family val="2"/>
        <charset val="134"/>
        <scheme val="minor"/>
      </rPr>
      <t>，感情、事业追求虚幻，易陷入空想的情欲或理想，或从事抽象艺术。</t>
    </r>
  </si>
  <si>
    <t>为不切实际的爱情牺牲；抽象派画家。</t>
  </si>
  <si>
    <r>
      <t>地空+天府</t>
    </r>
    <r>
      <rPr>
        <sz val="11"/>
        <color theme="1"/>
        <rFont val="等线"/>
        <family val="2"/>
        <charset val="134"/>
        <scheme val="minor"/>
      </rPr>
      <t>​</t>
    </r>
  </si>
  <si>
    <r>
      <t>库星空虚</t>
    </r>
    <r>
      <rPr>
        <sz val="11"/>
        <color theme="1"/>
        <rFont val="等线"/>
        <family val="2"/>
        <charset val="134"/>
        <scheme val="minor"/>
      </rPr>
      <t>，库藏虽丰但感觉空虚，守财观念淡薄，或管理虚无的资产（如数据）。</t>
    </r>
  </si>
  <si>
    <t>富有但感到人生无意义；数据库管理员。</t>
  </si>
  <si>
    <r>
      <t>地空+太阴</t>
    </r>
    <r>
      <rPr>
        <sz val="11"/>
        <color theme="1"/>
        <rFont val="等线"/>
        <family val="2"/>
        <charset val="134"/>
        <scheme val="minor"/>
      </rPr>
      <t>​</t>
    </r>
  </si>
  <si>
    <r>
      <t>阴空相映</t>
    </r>
    <r>
      <rPr>
        <sz val="11"/>
        <color theme="1"/>
        <rFont val="等线"/>
        <family val="2"/>
        <charset val="134"/>
        <scheme val="minor"/>
      </rPr>
      <t>，情绪敏感空虚，艺术灵感强，房地产投资易有变数，或为诗人。</t>
    </r>
  </si>
  <si>
    <t>多愁善感的诗人；房地产计划常落空。</t>
  </si>
  <si>
    <r>
      <t>地空+贪狼</t>
    </r>
    <r>
      <rPr>
        <sz val="11"/>
        <color theme="1"/>
        <rFont val="等线"/>
        <family val="2"/>
        <charset val="134"/>
        <scheme val="minor"/>
      </rPr>
      <t>​</t>
    </r>
  </si>
  <si>
    <r>
      <t>欲星空泛</t>
    </r>
    <r>
      <rPr>
        <sz val="11"/>
        <color theme="1"/>
        <rFont val="等线"/>
        <family val="2"/>
        <charset val="134"/>
        <scheme val="minor"/>
      </rPr>
      <t>，欲望指向精神层面，追求空灵之美，桃花多为精神恋爱，或研究玄学。</t>
    </r>
  </si>
  <si>
    <t>修行者；追求精神共鸣的艺术家。</t>
  </si>
  <si>
    <r>
      <t>地空+巨门</t>
    </r>
    <r>
      <rPr>
        <sz val="11"/>
        <color theme="1"/>
        <rFont val="等线"/>
        <family val="2"/>
        <charset val="134"/>
        <scheme val="minor"/>
      </rPr>
      <t>​</t>
    </r>
  </si>
  <si>
    <r>
      <t>暗星空想</t>
    </r>
    <r>
      <rPr>
        <sz val="11"/>
        <color theme="1"/>
        <rFont val="等线"/>
        <family val="2"/>
        <charset val="134"/>
        <scheme val="minor"/>
      </rPr>
      <t>，是非口舌源于空想，研究晦涩学问，消化系统功能虚弱。</t>
    </r>
  </si>
  <si>
    <t>研究虚无哲学的学者；因空谈惹是非。</t>
  </si>
  <si>
    <r>
      <t>地空+天相</t>
    </r>
    <r>
      <rPr>
        <sz val="11"/>
        <color theme="1"/>
        <rFont val="等线"/>
        <family val="2"/>
        <charset val="134"/>
        <scheme val="minor"/>
      </rPr>
      <t>​</t>
    </r>
  </si>
  <si>
    <r>
      <t>印星虚浮</t>
    </r>
    <r>
      <rPr>
        <sz val="11"/>
        <color theme="1"/>
        <rFont val="等线"/>
        <family val="2"/>
        <charset val="134"/>
        <scheme val="minor"/>
      </rPr>
      <t>，形象、文书虚而不实，辅助工作多理想化，或设计虚幻形象。</t>
    </r>
  </si>
  <si>
    <t>形象设计师；制定的计划过于理想化。</t>
  </si>
  <si>
    <r>
      <t>地空+天梁</t>
    </r>
    <r>
      <rPr>
        <sz val="11"/>
        <color theme="1"/>
        <rFont val="等线"/>
        <family val="2"/>
        <charset val="134"/>
        <scheme val="minor"/>
      </rPr>
      <t>​</t>
    </r>
  </si>
  <si>
    <r>
      <t>荫星空悬</t>
    </r>
    <r>
      <rPr>
        <sz val="11"/>
        <color theme="1"/>
        <rFont val="等线"/>
        <family val="2"/>
        <charset val="134"/>
        <scheme val="minor"/>
      </rPr>
      <t>，荫庇之力落空，精神上寻求解脱，宗教缘分深，或研究传统哲学。</t>
    </r>
  </si>
  <si>
    <t>出家人；研究老庄思想的学者。</t>
  </si>
  <si>
    <r>
      <t>地空+七杀</t>
    </r>
    <r>
      <rPr>
        <sz val="11"/>
        <color theme="1"/>
        <rFont val="等线"/>
        <family val="2"/>
        <charset val="134"/>
        <scheme val="minor"/>
      </rPr>
      <t>​</t>
    </r>
  </si>
  <si>
    <r>
      <t>杀星空亡</t>
    </r>
    <r>
      <rPr>
        <sz val="11"/>
        <color theme="1"/>
        <rFont val="等线"/>
        <family val="2"/>
        <charset val="134"/>
        <scheme val="minor"/>
      </rPr>
      <t>，变动与空亡结合，事业大起大落终成空，或为追求精神的冒险家。</t>
    </r>
  </si>
  <si>
    <t>探险家最终看破红尘；多次创业皆失败。</t>
  </si>
  <si>
    <r>
      <t>地空+破军</t>
    </r>
    <r>
      <rPr>
        <sz val="11"/>
        <color theme="1"/>
        <rFont val="等线"/>
        <family val="2"/>
        <charset val="134"/>
        <scheme val="minor"/>
      </rPr>
      <t>​</t>
    </r>
  </si>
  <si>
    <r>
      <t>耗星空虚</t>
    </r>
    <r>
      <rPr>
        <sz val="11"/>
        <color theme="1"/>
        <rFont val="等线"/>
        <family val="2"/>
        <charset val="134"/>
        <scheme val="minor"/>
      </rPr>
      <t>，破坏与空想结合，改革理想脱离现实，消耗于虚无之事。</t>
    </r>
  </si>
  <si>
    <t>乌托邦式的革命者；不断尝试新领域但无成果。</t>
  </si>
  <si>
    <r>
      <t>地空+地劫</t>
    </r>
    <r>
      <rPr>
        <sz val="11"/>
        <color theme="1"/>
        <rFont val="等线"/>
        <family val="2"/>
        <charset val="134"/>
        <scheme val="minor"/>
      </rPr>
      <t>​</t>
    </r>
  </si>
  <si>
    <r>
      <t>空劫并临</t>
    </r>
    <r>
      <rPr>
        <sz val="11"/>
        <color theme="1"/>
        <rFont val="等线"/>
        <family val="2"/>
        <charset val="134"/>
        <scheme val="minor"/>
      </rPr>
      <t>，精神空虚与物质破耗双重打击，想法奇特但难落实，人生起伏极大。</t>
    </r>
  </si>
  <si>
    <r>
      <t>空火则发</t>
    </r>
    <r>
      <rPr>
        <sz val="11"/>
        <color theme="1"/>
        <rFont val="等线"/>
        <family val="2"/>
        <charset val="134"/>
        <scheme val="minor"/>
      </rPr>
      <t>，灵感突发，但可能迅速燃烧殆尽，行动虚耗，或突发奇想成功。</t>
    </r>
  </si>
  <si>
    <t>昙花一现的艺术家；突然的灵感带来成功但难持续。</t>
  </si>
  <si>
    <r>
      <t>空阴相缠</t>
    </r>
    <r>
      <rPr>
        <sz val="11"/>
        <color theme="1"/>
        <rFont val="等线"/>
        <family val="2"/>
        <charset val="134"/>
        <scheme val="minor"/>
      </rPr>
      <t>，空想与嫉妒、拖延结合，内心煎熬于不切实际的幻想。</t>
    </r>
  </si>
  <si>
    <t>因嫉妒而生出虚幻报复计划；空想拖延症。</t>
  </si>
  <si>
    <r>
      <t>地空+擎羊</t>
    </r>
    <r>
      <rPr>
        <sz val="11"/>
        <color theme="1"/>
        <rFont val="等线"/>
        <family val="2"/>
        <charset val="134"/>
        <scheme val="minor"/>
      </rPr>
      <t>​</t>
    </r>
  </si>
  <si>
    <r>
      <t>空刃虚伤</t>
    </r>
    <r>
      <rPr>
        <sz val="11"/>
        <color theme="1"/>
        <rFont val="等线"/>
        <family val="2"/>
        <charset val="134"/>
        <scheme val="minor"/>
      </rPr>
      <t>，想法尖锐但行动落空，易因空想与人冲突，手术可能不必要。</t>
    </r>
  </si>
  <si>
    <t>因不切实际的争论引发冲突；进行了不必要的手术。</t>
  </si>
  <si>
    <r>
      <t>地空+陀罗</t>
    </r>
    <r>
      <rPr>
        <sz val="11"/>
        <color theme="1"/>
        <rFont val="等线"/>
        <family val="2"/>
        <charset val="134"/>
        <scheme val="minor"/>
      </rPr>
      <t>​</t>
    </r>
  </si>
  <si>
    <r>
      <t>空磨纠缠</t>
    </r>
    <r>
      <rPr>
        <sz val="11"/>
        <color theme="1"/>
        <rFont val="等线"/>
        <family val="2"/>
        <charset val="134"/>
        <scheme val="minor"/>
      </rPr>
      <t>，空想拖延反复，陷入精神内耗，旧念头纠缠不休。</t>
    </r>
  </si>
  <si>
    <t>一个想法反复琢磨无法行动；沉溺于过去的精神创伤。</t>
  </si>
  <si>
    <r>
      <t>地空+文昌/文曲</t>
    </r>
    <r>
      <rPr>
        <sz val="11"/>
        <color theme="1"/>
        <rFont val="等线"/>
        <family val="2"/>
        <charset val="134"/>
        <scheme val="minor"/>
      </rPr>
      <t>​</t>
    </r>
  </si>
  <si>
    <r>
      <t>空文生华</t>
    </r>
    <r>
      <rPr>
        <sz val="11"/>
        <color theme="1"/>
        <rFont val="等线"/>
        <family val="2"/>
        <charset val="134"/>
        <scheme val="minor"/>
      </rPr>
      <t>，将空虚灵感用于文艺创作，作品空灵独特，或因文艺虚耗。</t>
    </r>
  </si>
  <si>
    <t>创作空灵诗歌的诗人；为艺术理想耗尽家财。</t>
  </si>
  <si>
    <r>
      <t>地空+左辅/右弼</t>
    </r>
    <r>
      <rPr>
        <sz val="11"/>
        <color theme="1"/>
        <rFont val="等线"/>
        <family val="2"/>
        <charset val="134"/>
        <scheme val="minor"/>
      </rPr>
      <t>​</t>
    </r>
  </si>
  <si>
    <r>
      <t>空众同想</t>
    </r>
    <r>
      <rPr>
        <sz val="11"/>
        <color theme="1"/>
        <rFont val="等线"/>
        <family val="2"/>
        <charset val="134"/>
        <scheme val="minor"/>
      </rPr>
      <t>​</t>
    </r>
  </si>
  <si>
    <t>多人一起空想，团队计划不切实际，助力最终落空。</t>
  </si>
  <si>
    <r>
      <t>地空+天魁/天钺</t>
    </r>
    <r>
      <rPr>
        <sz val="11"/>
        <color theme="1"/>
        <rFont val="等线"/>
        <family val="2"/>
        <charset val="134"/>
        <scheme val="minor"/>
      </rPr>
      <t>​</t>
    </r>
  </si>
  <si>
    <r>
      <t>空中有贵</t>
    </r>
    <r>
      <rPr>
        <sz val="11"/>
        <color theme="1"/>
        <rFont val="等线"/>
        <family val="2"/>
        <charset val="134"/>
        <scheme val="minor"/>
      </rPr>
      <t>​</t>
    </r>
  </si>
  <si>
    <t>精神上得贵人指引（如导师），或机遇看似来临实则空幻。</t>
  </si>
  <si>
    <r>
      <t>地空+禄存</t>
    </r>
    <r>
      <rPr>
        <sz val="11"/>
        <color theme="1"/>
        <rFont val="等线"/>
        <family val="2"/>
        <charset val="134"/>
        <scheme val="minor"/>
      </rPr>
      <t>​</t>
    </r>
  </si>
  <si>
    <r>
      <t>空禄相冲</t>
    </r>
    <r>
      <rPr>
        <sz val="11"/>
        <color theme="1"/>
        <rFont val="等线"/>
        <family val="2"/>
        <charset val="134"/>
        <scheme val="minor"/>
      </rPr>
      <t>​</t>
    </r>
  </si>
  <si>
    <t>钱财与精神追求冲突，有钱但感觉空虚，或为理想放弃财富。</t>
  </si>
  <si>
    <r>
      <t>地空+天马</t>
    </r>
    <r>
      <rPr>
        <sz val="11"/>
        <color theme="1"/>
        <rFont val="等线"/>
        <family val="2"/>
        <charset val="134"/>
        <scheme val="minor"/>
      </rPr>
      <t>​</t>
    </r>
  </si>
  <si>
    <r>
      <t>空动漂泊</t>
    </r>
    <r>
      <rPr>
        <sz val="11"/>
        <color theme="1"/>
        <rFont val="等线"/>
        <family val="2"/>
        <charset val="134"/>
        <scheme val="minor"/>
      </rPr>
      <t>​</t>
    </r>
  </si>
  <si>
    <t>思想随奔波流动，精神漂泊无依，适合在变动中激发灵感。</t>
  </si>
  <si>
    <r>
      <t>1. “地空”与“地劫”</t>
    </r>
    <r>
      <rPr>
        <sz val="11"/>
        <color theme="1"/>
        <rFont val="等线"/>
        <family val="2"/>
        <charset val="134"/>
        <scheme val="minor"/>
      </rPr>
      <t>：</t>
    </r>
    <r>
      <rPr>
        <b/>
        <sz val="11"/>
        <color theme="1"/>
        <rFont val="等线"/>
        <family val="3"/>
        <charset val="134"/>
        <scheme val="minor"/>
      </rPr>
      <t>地空星主“精神的空虚与理想的落空”</t>
    </r>
    <r>
      <rPr>
        <sz val="11"/>
        <color theme="1"/>
        <rFont val="等线"/>
        <family val="2"/>
        <charset val="134"/>
        <scheme val="minor"/>
      </rPr>
      <t>，核心是</t>
    </r>
    <r>
      <rPr>
        <b/>
        <sz val="11"/>
        <color theme="1"/>
        <rFont val="等线"/>
        <family val="3"/>
        <charset val="134"/>
        <scheme val="minor"/>
      </rPr>
      <t>思想、计划、精神层面的虚耗与超脱</t>
    </r>
    <r>
      <rPr>
        <sz val="11"/>
        <color theme="1"/>
        <rFont val="等线"/>
        <family val="2"/>
        <charset val="134"/>
        <scheme val="minor"/>
      </rPr>
      <t>。</t>
    </r>
    <r>
      <rPr>
        <b/>
        <sz val="11"/>
        <color theme="1"/>
        <rFont val="等线"/>
        <family val="3"/>
        <charset val="134"/>
        <scheme val="minor"/>
      </rPr>
      <t>地劫星主“实质的破耗与波动”</t>
    </r>
    <r>
      <rPr>
        <sz val="11"/>
        <color theme="1"/>
        <rFont val="等线"/>
        <family val="2"/>
        <charset val="134"/>
        <scheme val="minor"/>
      </rPr>
      <t>，核心是</t>
    </r>
    <r>
      <rPr>
        <b/>
        <sz val="11"/>
        <color theme="1"/>
        <rFont val="等线"/>
        <family val="3"/>
        <charset val="134"/>
        <scheme val="minor"/>
      </rPr>
      <t>物质、机会、人际关系上的损失与动荡</t>
    </r>
    <r>
      <rPr>
        <sz val="11"/>
        <color theme="1"/>
        <rFont val="等线"/>
        <family val="2"/>
        <charset val="134"/>
        <scheme val="minor"/>
      </rPr>
      <t>。地空是“想得多做得少”、“理想很丰满，现实很骨感”；地劫是“得到又失去”、“财来财去”。</t>
    </r>
  </si>
  <si>
    <r>
      <t>2. 与“火星”的“火空则发”</t>
    </r>
    <r>
      <rPr>
        <sz val="11"/>
        <color theme="1"/>
        <rFont val="等线"/>
        <family val="2"/>
        <charset val="134"/>
        <scheme val="minor"/>
      </rPr>
      <t>：火星的突发性与地空的空亡性结合，有时反而能激发突如其来的灵感或成功，但此种成功往往如流星，短暂而难以持续，本质仍是“空发”。</t>
    </r>
  </si>
  <si>
    <r>
      <t>3. 宫位定领域</t>
    </r>
    <r>
      <rPr>
        <sz val="11"/>
        <color theme="1"/>
        <rFont val="等线"/>
        <family val="2"/>
        <charset val="134"/>
        <scheme val="minor"/>
      </rPr>
      <t>：地空星所在宫位，指示在人生的哪个领域容易产生不切实际的想法、经历努力落空，或在该领域拥有独特的灵感与精神追求。</t>
    </r>
  </si>
  <si>
    <r>
      <t>4. 四化引动</t>
    </r>
    <r>
      <rPr>
        <sz val="11"/>
        <color theme="1"/>
        <rFont val="等线"/>
        <family val="2"/>
        <charset val="134"/>
        <scheme val="minor"/>
      </rPr>
      <t>：见</t>
    </r>
    <r>
      <rPr>
        <b/>
        <sz val="11"/>
        <color theme="1"/>
        <rFont val="等线"/>
        <family val="3"/>
        <charset val="134"/>
        <scheme val="minor"/>
      </rPr>
      <t>化禄</t>
    </r>
    <r>
      <rPr>
        <sz val="11"/>
        <color theme="1"/>
        <rFont val="等线"/>
        <family val="2"/>
        <charset val="134"/>
        <scheme val="minor"/>
      </rPr>
      <t>，将空想、灵感转化为财富，如创意变现，但财来虚花。见</t>
    </r>
    <r>
      <rPr>
        <b/>
        <sz val="11"/>
        <color theme="1"/>
        <rFont val="等线"/>
        <family val="3"/>
        <charset val="134"/>
        <scheme val="minor"/>
      </rPr>
      <t>化权</t>
    </r>
    <r>
      <rPr>
        <sz val="11"/>
        <color theme="1"/>
        <rFont val="等线"/>
        <family val="2"/>
        <charset val="134"/>
        <scheme val="minor"/>
      </rPr>
      <t>，强化对精神世界的控制力或理想化的执行力，但可能更脱离实际。见</t>
    </r>
    <r>
      <rPr>
        <b/>
        <sz val="11"/>
        <color theme="1"/>
        <rFont val="等线"/>
        <family val="3"/>
        <charset val="134"/>
        <scheme val="minor"/>
      </rPr>
      <t>化科</t>
    </r>
    <r>
      <rPr>
        <sz val="11"/>
        <color theme="1"/>
        <rFont val="等线"/>
        <family val="2"/>
        <charset val="134"/>
        <scheme val="minor"/>
      </rPr>
      <t>，因独特的思想、灵感或超脱的态度获得名声。见</t>
    </r>
    <r>
      <rPr>
        <b/>
        <sz val="11"/>
        <color theme="1"/>
        <rFont val="等线"/>
        <family val="3"/>
        <charset val="134"/>
        <scheme val="minor"/>
      </rPr>
      <t>化忌</t>
    </r>
    <r>
      <rPr>
        <sz val="11"/>
        <color theme="1"/>
        <rFont val="等线"/>
        <family val="2"/>
        <charset val="134"/>
        <scheme val="minor"/>
      </rPr>
      <t>，</t>
    </r>
    <r>
      <rPr>
        <b/>
        <sz val="11"/>
        <color theme="1"/>
        <rFont val="等线"/>
        <family val="3"/>
        <charset val="134"/>
        <scheme val="minor"/>
      </rPr>
      <t>空亡性质加剧</t>
    </r>
    <r>
      <rPr>
        <sz val="11"/>
        <color theme="1"/>
        <rFont val="等线"/>
        <family val="2"/>
        <charset val="134"/>
        <scheme val="minor"/>
      </rPr>
      <t>，理想必然破灭，精神极度空虚，虚耗最甚。</t>
    </r>
  </si>
  <si>
    <t>一、陀罗定义</t>
  </si>
  <si>
    <t>拖延、反复、纠缠、慢性、阻力</t>
  </si>
  <si>
    <t>象征拖延、反复、纠缠、慢性、阻力。其性质主凶，代表事情进展缓慢、反复不定、纠缠不清、需要漫长过程，以及内在的坚持与耐力。</t>
  </si>
  <si>
    <t>乙级星，属阴金。主凶，为暗煞、拖延之星。遇吉星可转化为坚持不懈的耐力；遇煞星则其拖延、纠缠之性大增。</t>
  </si>
  <si>
    <r>
      <t>拖延/缓慢</t>
    </r>
    <r>
      <rPr>
        <sz val="11"/>
        <color theme="1"/>
        <rFont val="等线"/>
        <family val="2"/>
        <charset val="134"/>
        <scheme val="minor"/>
      </rPr>
      <t>​</t>
    </r>
  </si>
  <si>
    <t>事情进展缓慢，效率低下，容易被拖延，需要漫长等待。</t>
  </si>
  <si>
    <r>
      <t>反复/不定</t>
    </r>
    <r>
      <rPr>
        <sz val="11"/>
        <color theme="1"/>
        <rFont val="等线"/>
        <family val="2"/>
        <charset val="134"/>
        <scheme val="minor"/>
      </rPr>
      <t>​</t>
    </r>
  </si>
  <si>
    <t>过程反复，一波三折，结果不确定，经常走回头路。</t>
  </si>
  <si>
    <r>
      <t>纠缠/不清</t>
    </r>
    <r>
      <rPr>
        <sz val="11"/>
        <color theme="1"/>
        <rFont val="等线"/>
        <family val="2"/>
        <charset val="134"/>
        <scheme val="minor"/>
      </rPr>
      <t>​</t>
    </r>
  </si>
  <si>
    <t>问题纠缠不清，人际关系复杂难解，旧事重提。</t>
  </si>
  <si>
    <r>
      <t>慢性/持久</t>
    </r>
    <r>
      <rPr>
        <sz val="11"/>
        <color theme="1"/>
        <rFont val="等线"/>
        <family val="2"/>
        <charset val="134"/>
        <scheme val="minor"/>
      </rPr>
      <t>​</t>
    </r>
  </si>
  <si>
    <t>易患慢性疾病、旧疾，问题持久不愈，需要长期应对。</t>
  </si>
  <si>
    <r>
      <t>阻力/坚持</t>
    </r>
    <r>
      <rPr>
        <sz val="11"/>
        <color theme="1"/>
        <rFont val="等线"/>
        <family val="2"/>
        <charset val="134"/>
        <scheme val="minor"/>
      </rPr>
      <t>​</t>
    </r>
  </si>
  <si>
    <t>行事过程中阻力大，但具有坚持不懈、不轻易放弃的耐力。</t>
  </si>
  <si>
    <t>性格固执，行动迟缓，做事拖沓，一生多阻滞，但耐力强。</t>
  </si>
  <si>
    <t>与兄弟姐妹关系疏远，易有反复纠葛；朋友关系进展缓慢。</t>
  </si>
  <si>
    <t>感情发展缓慢，关系反复纠缠，易旧情复燃，婚姻迟来。</t>
  </si>
  <si>
    <t>子女缘薄，得子较晚；合作事项反复拖延，投资回收慢。</t>
  </si>
  <si>
    <t>求财过程艰辛缓慢，适合长期投资，不宜短线操作。</t>
  </si>
  <si>
    <r>
      <t>核心宫位</t>
    </r>
    <r>
      <rPr>
        <sz val="11"/>
        <color theme="1"/>
        <rFont val="等线"/>
        <family val="2"/>
        <charset val="134"/>
        <scheme val="minor"/>
      </rPr>
      <t>。易患慢性病、旧疾、顽固性疾病，康复过程漫长。</t>
    </r>
  </si>
  <si>
    <t>在外发展多阻碍，出行易有耽搁，变动迟缓。</t>
  </si>
  <si>
    <t>朋友、下属关系复杂纠缠，易有旧友重逢或旧怨难解。</t>
  </si>
  <si>
    <t>事业进展缓慢，易有反复，适合需要耐心和持久力的职业。</t>
  </si>
  <si>
    <t>家宅老旧，修缮缓慢；房产交易过程拖延，继承遗产慢。</t>
  </si>
  <si>
    <t>思想固执，容易钻牛角尖，精神饱受煎熬，享受延迟。</t>
  </si>
  <si>
    <t>与父母缘分较薄，关系疏远冷淡，得到长辈助力迟缓。</t>
  </si>
  <si>
    <t>1. 增强拖延/反复组合</t>
  </si>
  <si>
    <r>
      <t>陀罗+紫微</t>
    </r>
    <r>
      <rPr>
        <sz val="11"/>
        <color theme="1"/>
        <rFont val="等线"/>
        <family val="2"/>
        <charset val="134"/>
        <scheme val="minor"/>
      </rPr>
      <t>​</t>
    </r>
  </si>
  <si>
    <r>
      <t>帝星遇磨</t>
    </r>
    <r>
      <rPr>
        <sz val="11"/>
        <color theme="1"/>
        <rFont val="等线"/>
        <family val="2"/>
        <charset val="134"/>
        <scheme val="minor"/>
      </rPr>
      <t>，表面尊贵但行动迟缓，事业大器晚成，权力巩固过程漫长。</t>
    </r>
  </si>
  <si>
    <t>晚年得志的领导者；皇位继承过程漫长曲折。</t>
  </si>
  <si>
    <r>
      <t>陀罗+天机</t>
    </r>
    <r>
      <rPr>
        <sz val="11"/>
        <color theme="1"/>
        <rFont val="等线"/>
        <family val="2"/>
        <charset val="134"/>
        <scheme val="minor"/>
      </rPr>
      <t>​</t>
    </r>
  </si>
  <si>
    <r>
      <t>智星多虑</t>
    </r>
    <r>
      <rPr>
        <sz val="11"/>
        <color theme="1"/>
        <rFont val="等线"/>
        <family val="2"/>
        <charset val="134"/>
        <scheme val="minor"/>
      </rPr>
      <t>，思维反复，计划多变，犹豫不决，交通易有慢性故障。</t>
    </r>
  </si>
  <si>
    <t>优柔寡断的谋士；车辆总是小毛病不断。</t>
  </si>
  <si>
    <r>
      <t>陀罗+太阳</t>
    </r>
    <r>
      <rPr>
        <sz val="11"/>
        <color theme="1"/>
        <rFont val="等线"/>
        <family val="2"/>
        <charset val="134"/>
        <scheme val="minor"/>
      </rPr>
      <t>​</t>
    </r>
  </si>
  <si>
    <r>
      <t>明灯受阻</t>
    </r>
    <r>
      <rPr>
        <sz val="11"/>
        <color theme="1"/>
        <rFont val="等线"/>
        <family val="2"/>
        <charset val="134"/>
        <scheme val="minor"/>
      </rPr>
      <t>，发光发热但过程缓慢，成名晚，付出多收获慢，或眼睛有慢性病。</t>
    </r>
  </si>
  <si>
    <t>大器晚成的名人；患有慢性角膜炎。</t>
  </si>
  <si>
    <r>
      <t>陀罗+武曲</t>
    </r>
    <r>
      <rPr>
        <sz val="11"/>
        <color theme="1"/>
        <rFont val="等线"/>
        <family val="2"/>
        <charset val="134"/>
        <scheme val="minor"/>
      </rPr>
      <t>​</t>
    </r>
  </si>
  <si>
    <r>
      <t>刚金慢磨</t>
    </r>
    <r>
      <rPr>
        <sz val="11"/>
        <color theme="1"/>
        <rFont val="等线"/>
        <family val="2"/>
        <charset val="134"/>
        <scheme val="minor"/>
      </rPr>
      <t>，求财过程极其艰辛缓慢，财务纠纷拖延，适合长期技术积累。</t>
    </r>
  </si>
  <si>
    <t>靠长期技术积累致富的工匠；债务追讨数年。</t>
  </si>
  <si>
    <r>
      <t>福星迟来</t>
    </r>
    <r>
      <rPr>
        <sz val="11"/>
        <color theme="1"/>
        <rFont val="等线"/>
        <family val="2"/>
        <charset val="134"/>
        <scheme val="minor"/>
      </rPr>
      <t>，享受被拖延，乐事多磨，晚年方得清福，或因慢性病影响享乐。</t>
    </r>
  </si>
  <si>
    <t>晚年才开始享福；因关节炎无法远游。</t>
  </si>
  <si>
    <r>
      <t>陀罗+廉贞</t>
    </r>
    <r>
      <rPr>
        <sz val="11"/>
        <color theme="1"/>
        <rFont val="等线"/>
        <family val="2"/>
        <charset val="134"/>
        <scheme val="minor"/>
      </rPr>
      <t>​</t>
    </r>
  </si>
  <si>
    <r>
      <t>囚星纠缠</t>
    </r>
    <r>
      <rPr>
        <sz val="11"/>
        <color theme="1"/>
        <rFont val="等线"/>
        <family val="2"/>
        <charset val="134"/>
        <scheme val="minor"/>
      </rPr>
      <t>，感情或事业陷入复杂纠缠，官司拖延，血液慢性疾病。</t>
    </r>
  </si>
  <si>
    <t>感情纠葛多年；患有慢性白血病。</t>
  </si>
  <si>
    <r>
      <t>陀罗+天府</t>
    </r>
    <r>
      <rPr>
        <sz val="11"/>
        <color theme="1"/>
        <rFont val="等线"/>
        <family val="2"/>
        <charset val="134"/>
        <scheme val="minor"/>
      </rPr>
      <t>​</t>
    </r>
  </si>
  <si>
    <r>
      <t>库星迟滞</t>
    </r>
    <r>
      <rPr>
        <sz val="11"/>
        <color theme="1"/>
        <rFont val="等线"/>
        <family val="2"/>
        <charset val="134"/>
        <scheme val="minor"/>
      </rPr>
      <t>，守成但进展缓慢，积蓄增长慢，管理保守，慢性胃病。</t>
    </r>
  </si>
  <si>
    <t>财富缓慢增长的守财奴；患有慢性胃炎。</t>
  </si>
  <si>
    <r>
      <t>陀罗+太阴</t>
    </r>
    <r>
      <rPr>
        <sz val="11"/>
        <color theme="1"/>
        <rFont val="等线"/>
        <family val="2"/>
        <charset val="134"/>
        <scheme val="minor"/>
      </rPr>
      <t>​</t>
    </r>
  </si>
  <si>
    <r>
      <t>阴金慢蚀</t>
    </r>
    <r>
      <rPr>
        <sz val="11"/>
        <color theme="1"/>
        <rFont val="等线"/>
        <family val="2"/>
        <charset val="134"/>
        <scheme val="minor"/>
      </rPr>
      <t>，情绪慢性消耗，女性问题缠绵难愈，房地产交易拖延。</t>
    </r>
  </si>
  <si>
    <t>长期情绪抑郁；慢性妇科病。</t>
  </si>
  <si>
    <r>
      <t>欲星迟得</t>
    </r>
    <r>
      <rPr>
        <sz val="11"/>
        <color theme="1"/>
        <rFont val="等线"/>
        <family val="2"/>
        <charset val="134"/>
        <scheme val="minor"/>
      </rPr>
      <t>，欲望满足过程漫长，桃花来得晚，嗜好成瘾慢。</t>
    </r>
  </si>
  <si>
    <t>晚婚；长期学习才精通的技艺。</t>
  </si>
  <si>
    <r>
      <t>陀罗+巨门</t>
    </r>
    <r>
      <rPr>
        <sz val="11"/>
        <color theme="1"/>
        <rFont val="等线"/>
        <family val="2"/>
        <charset val="134"/>
        <scheme val="minor"/>
      </rPr>
      <t>​</t>
    </r>
  </si>
  <si>
    <r>
      <t>暗星反复</t>
    </r>
    <r>
      <rPr>
        <sz val="11"/>
        <color theme="1"/>
        <rFont val="等线"/>
        <family val="2"/>
        <charset val="134"/>
        <scheme val="minor"/>
      </rPr>
      <t>，是非口舌反复纠缠，旧事重提，消化系统慢性疾病。</t>
    </r>
  </si>
  <si>
    <t>陈年旧怨被反复提起；患有慢性肠炎。</t>
  </si>
  <si>
    <r>
      <t>陀罗+天相</t>
    </r>
    <r>
      <rPr>
        <sz val="11"/>
        <color theme="1"/>
        <rFont val="等线"/>
        <family val="2"/>
        <charset val="134"/>
        <scheme val="minor"/>
      </rPr>
      <t>​</t>
    </r>
  </si>
  <si>
    <r>
      <t>印星迟滞</t>
    </r>
    <r>
      <rPr>
        <sz val="11"/>
        <color theme="1"/>
        <rFont val="等线"/>
        <family val="2"/>
        <charset val="134"/>
        <scheme val="minor"/>
      </rPr>
      <t>，文书、合约流程缓慢，形象建立需要时间，辅助工作拖沓。</t>
    </r>
  </si>
  <si>
    <t>合同审批流程漫长；口碑需要长期积累。</t>
  </si>
  <si>
    <r>
      <t>陀罗+天梁</t>
    </r>
    <r>
      <rPr>
        <sz val="11"/>
        <color theme="1"/>
        <rFont val="等线"/>
        <family val="2"/>
        <charset val="134"/>
        <scheme val="minor"/>
      </rPr>
      <t>​</t>
    </r>
  </si>
  <si>
    <r>
      <t>荫星迟来</t>
    </r>
    <r>
      <rPr>
        <sz val="11"/>
        <color theme="1"/>
        <rFont val="等线"/>
        <family val="2"/>
        <charset val="134"/>
        <scheme val="minor"/>
      </rPr>
      <t>，荫庇之力来得慢，疾病拖沓但终能治愈，长辈助力迟缓。</t>
    </r>
  </si>
  <si>
    <t>重病但治疗周期长；遗产继承过程漫长。</t>
  </si>
  <si>
    <r>
      <t>杀星慢磨</t>
    </r>
    <r>
      <rPr>
        <sz val="11"/>
        <color theme="1"/>
        <rFont val="等线"/>
        <family val="2"/>
        <charset val="134"/>
        <scheme val="minor"/>
      </rPr>
      <t>，暴力冲突转为慢性压力，急症转为慢性病，事业阻力持久。</t>
    </r>
  </si>
  <si>
    <t>急性损伤后留下慢性疼痛；创业过程阻力重重。</t>
  </si>
  <si>
    <r>
      <t>耗星拖延</t>
    </r>
    <r>
      <rPr>
        <sz val="11"/>
        <color theme="1"/>
        <rFont val="等线"/>
        <family val="2"/>
        <charset val="134"/>
        <scheme val="minor"/>
      </rPr>
      <t>，破坏与重建过程缓慢，改革阻力大，消耗绵绵不绝。</t>
    </r>
  </si>
  <si>
    <t>漫长的城市改造过程；减肥反复反弹。</t>
  </si>
  <si>
    <r>
      <t>陀罗+擎羊</t>
    </r>
    <r>
      <rPr>
        <sz val="11"/>
        <color theme="1"/>
        <rFont val="等线"/>
        <family val="2"/>
        <charset val="134"/>
        <scheme val="minor"/>
      </rPr>
      <t>​</t>
    </r>
  </si>
  <si>
    <r>
      <t>刃磨交加</t>
    </r>
    <r>
      <rPr>
        <sz val="11"/>
        <color theme="1"/>
        <rFont val="等线"/>
        <family val="2"/>
        <charset val="134"/>
        <scheme val="minor"/>
      </rPr>
      <t>，直接的伤害转为慢性折磨，手术易留后遗症，冲突反复。</t>
    </r>
  </si>
  <si>
    <t>受伤后伤口愈合不良；争吵过后冷战纠缠。</t>
  </si>
  <si>
    <r>
      <t>陀罗+地劫</t>
    </r>
    <r>
      <rPr>
        <sz val="11"/>
        <color theme="1"/>
        <rFont val="等线"/>
        <family val="2"/>
        <charset val="134"/>
        <scheme val="minor"/>
      </rPr>
      <t>​</t>
    </r>
  </si>
  <si>
    <r>
      <t>陀罗+文昌/文曲</t>
    </r>
    <r>
      <rPr>
        <sz val="11"/>
        <color theme="1"/>
        <rFont val="等线"/>
        <family val="2"/>
        <charset val="134"/>
        <scheme val="minor"/>
      </rPr>
      <t>​</t>
    </r>
  </si>
  <si>
    <r>
      <t>文磨迟滞</t>
    </r>
    <r>
      <rPr>
        <sz val="11"/>
        <color theme="1"/>
        <rFont val="等线"/>
        <family val="2"/>
        <charset val="134"/>
        <scheme val="minor"/>
      </rPr>
      <t>，文书、创作过程缓慢反复，作品精雕细琢但耗时久。</t>
    </r>
  </si>
  <si>
    <t>一部小说写作十年；学术研究进展缓慢。</t>
  </si>
  <si>
    <r>
      <t>陀罗+左辅/右弼</t>
    </r>
    <r>
      <rPr>
        <sz val="11"/>
        <color theme="1"/>
        <rFont val="等线"/>
        <family val="2"/>
        <charset val="134"/>
        <scheme val="minor"/>
      </rPr>
      <t>​</t>
    </r>
  </si>
  <si>
    <r>
      <t>众磨纠缠</t>
    </r>
    <r>
      <rPr>
        <sz val="11"/>
        <color theme="1"/>
        <rFont val="等线"/>
        <family val="2"/>
        <charset val="134"/>
        <scheme val="minor"/>
      </rPr>
      <t>​</t>
    </r>
  </si>
  <si>
    <t>多人一起拖延，团队效率低下，事情涉及多人而反复。</t>
  </si>
  <si>
    <r>
      <t>陀罗+天魁/天钺</t>
    </r>
    <r>
      <rPr>
        <sz val="11"/>
        <color theme="1"/>
        <rFont val="等线"/>
        <family val="2"/>
        <charset val="134"/>
        <scheme val="minor"/>
      </rPr>
      <t>​</t>
    </r>
  </si>
  <si>
    <r>
      <t>磨中遇贵</t>
    </r>
    <r>
      <rPr>
        <sz val="11"/>
        <color theme="1"/>
        <rFont val="等线"/>
        <family val="2"/>
        <charset val="134"/>
        <scheme val="minor"/>
      </rPr>
      <t>​</t>
    </r>
  </si>
  <si>
    <t>贵人帮助来得缓慢，或机遇延迟出现，治病遇良医但疗程长。</t>
  </si>
  <si>
    <r>
      <t>陀罗+禄存</t>
    </r>
    <r>
      <rPr>
        <sz val="11"/>
        <color theme="1"/>
        <rFont val="等线"/>
        <family val="2"/>
        <charset val="134"/>
        <scheme val="minor"/>
      </rPr>
      <t>​</t>
    </r>
  </si>
  <si>
    <r>
      <t>磨禄迟得</t>
    </r>
    <r>
      <rPr>
        <sz val="11"/>
        <color theme="1"/>
        <rFont val="等线"/>
        <family val="2"/>
        <charset val="134"/>
        <scheme val="minor"/>
      </rPr>
      <t>​</t>
    </r>
  </si>
  <si>
    <t>钱财来得缓慢但稳定，适合长期储蓄，财富积累慢。</t>
  </si>
  <si>
    <r>
      <t>陀罗+天马</t>
    </r>
    <r>
      <rPr>
        <sz val="11"/>
        <color theme="1"/>
        <rFont val="等线"/>
        <family val="2"/>
        <charset val="134"/>
        <scheme val="minor"/>
      </rPr>
      <t>​</t>
    </r>
  </si>
  <si>
    <r>
      <t>磨动迟滞</t>
    </r>
    <r>
      <rPr>
        <sz val="11"/>
        <color theme="1"/>
        <rFont val="等线"/>
        <family val="2"/>
        <charset val="134"/>
        <scheme val="minor"/>
      </rPr>
      <t>​</t>
    </r>
  </si>
  <si>
    <t>奔波中多拖延，行程反复更改，变动之事进展缓慢。</t>
  </si>
  <si>
    <r>
      <t>1. “陀罗”与“铃星”、“火星”、“地空”</t>
    </r>
    <r>
      <rPr>
        <sz val="11"/>
        <color theme="1"/>
        <rFont val="等线"/>
        <family val="2"/>
        <charset val="134"/>
        <scheme val="minor"/>
      </rPr>
      <t>：</t>
    </r>
    <r>
      <rPr>
        <b/>
        <sz val="11"/>
        <color theme="1"/>
        <rFont val="等线"/>
        <family val="3"/>
        <charset val="134"/>
        <scheme val="minor"/>
      </rPr>
      <t>陀罗星主“拖延反复”</t>
    </r>
    <r>
      <rPr>
        <sz val="11"/>
        <color theme="1"/>
        <rFont val="等线"/>
        <family val="2"/>
        <charset val="134"/>
        <scheme val="minor"/>
      </rPr>
      <t>，核心是</t>
    </r>
    <r>
      <rPr>
        <b/>
        <sz val="11"/>
        <color theme="1"/>
        <rFont val="等线"/>
        <family val="3"/>
        <charset val="134"/>
        <scheme val="minor"/>
      </rPr>
      <t>速度慢、重复、纠缠</t>
    </r>
    <r>
      <rPr>
        <sz val="11"/>
        <color theme="1"/>
        <rFont val="等线"/>
        <family val="2"/>
        <charset val="134"/>
        <scheme val="minor"/>
      </rPr>
      <t>。</t>
    </r>
    <r>
      <rPr>
        <b/>
        <sz val="11"/>
        <color theme="1"/>
        <rFont val="等线"/>
        <family val="3"/>
        <charset val="134"/>
        <scheme val="minor"/>
      </rPr>
      <t>铃星是“阴火”</t>
    </r>
    <r>
      <rPr>
        <sz val="11"/>
        <color theme="1"/>
        <rFont val="等线"/>
        <family val="2"/>
        <charset val="134"/>
        <scheme val="minor"/>
      </rPr>
      <t>，核心是</t>
    </r>
    <r>
      <rPr>
        <b/>
        <sz val="11"/>
        <color theme="1"/>
        <rFont val="等线"/>
        <family val="3"/>
        <charset val="134"/>
        <scheme val="minor"/>
      </rPr>
      <t>暗中的、持续的、阴性的伤害与煎熬</t>
    </r>
    <r>
      <rPr>
        <sz val="11"/>
        <color theme="1"/>
        <rFont val="等线"/>
        <family val="2"/>
        <charset val="134"/>
        <scheme val="minor"/>
      </rPr>
      <t>。</t>
    </r>
    <r>
      <rPr>
        <b/>
        <sz val="11"/>
        <color theme="1"/>
        <rFont val="等线"/>
        <family val="3"/>
        <charset val="134"/>
        <scheme val="minor"/>
      </rPr>
      <t>火星是“阳火”</t>
    </r>
    <r>
      <rPr>
        <sz val="11"/>
        <color theme="1"/>
        <rFont val="等线"/>
        <family val="2"/>
        <charset val="134"/>
        <scheme val="minor"/>
      </rPr>
      <t>，核心是</t>
    </r>
    <r>
      <rPr>
        <b/>
        <sz val="11"/>
        <color theme="1"/>
        <rFont val="等线"/>
        <family val="3"/>
        <charset val="134"/>
        <scheme val="minor"/>
      </rPr>
      <t>公开的、突发的、阳性的伤害与冲突</t>
    </r>
    <r>
      <rPr>
        <sz val="11"/>
        <color theme="1"/>
        <rFont val="等线"/>
        <family val="2"/>
        <charset val="134"/>
        <scheme val="minor"/>
      </rPr>
      <t>。</t>
    </r>
    <r>
      <rPr>
        <b/>
        <sz val="11"/>
        <color theme="1"/>
        <rFont val="等线"/>
        <family val="3"/>
        <charset val="134"/>
        <scheme val="minor"/>
      </rPr>
      <t>地空星主“空亡”</t>
    </r>
    <r>
      <rPr>
        <sz val="11"/>
        <color theme="1"/>
        <rFont val="等线"/>
        <family val="2"/>
        <charset val="134"/>
        <scheme val="minor"/>
      </rPr>
      <t>，核心是</t>
    </r>
    <r>
      <rPr>
        <b/>
        <sz val="11"/>
        <color theme="1"/>
        <rFont val="等线"/>
        <family val="3"/>
        <charset val="134"/>
        <scheme val="minor"/>
      </rPr>
      <t>精神空虚、理想落空</t>
    </r>
    <r>
      <rPr>
        <sz val="11"/>
        <color theme="1"/>
        <rFont val="等线"/>
        <family val="2"/>
        <charset val="134"/>
        <scheme val="minor"/>
      </rPr>
      <t>。陀罗是“来回折腾拖着你”，铃星是“暗地里慢慢熬你”，火星是“当面突然烧你”，地空是“想得多做得少”。</t>
    </r>
  </si>
  <si>
    <r>
      <t>2. 与“天梁”的区别</t>
    </r>
    <r>
      <rPr>
        <sz val="11"/>
        <color theme="1"/>
        <rFont val="等线"/>
        <family val="2"/>
        <charset val="134"/>
        <scheme val="minor"/>
      </rPr>
      <t>：</t>
    </r>
    <r>
      <rPr>
        <b/>
        <sz val="11"/>
        <color theme="1"/>
        <rFont val="等线"/>
        <family val="3"/>
        <charset val="134"/>
        <scheme val="minor"/>
      </rPr>
      <t>天梁星主“荫庇、化解与拖延”</t>
    </r>
    <r>
      <rPr>
        <sz val="11"/>
        <color theme="1"/>
        <rFont val="等线"/>
        <family val="2"/>
        <charset val="134"/>
        <scheme val="minor"/>
      </rPr>
      <t>，核心是</t>
    </r>
    <r>
      <rPr>
        <b/>
        <sz val="11"/>
        <color theme="1"/>
        <rFont val="等线"/>
        <family val="3"/>
        <charset val="134"/>
        <scheme val="minor"/>
      </rPr>
      <t>最终能解决问题、带来福荫，其拖延带有保护和等待时机的意味</t>
    </r>
    <r>
      <rPr>
        <sz val="11"/>
        <color theme="1"/>
        <rFont val="等线"/>
        <family val="2"/>
        <charset val="134"/>
        <scheme val="minor"/>
      </rPr>
      <t>。</t>
    </r>
    <r>
      <rPr>
        <b/>
        <sz val="11"/>
        <color theme="1"/>
        <rFont val="等线"/>
        <family val="3"/>
        <charset val="134"/>
        <scheme val="minor"/>
      </rPr>
      <t>陀罗星主“纯粹的拖延与反复”</t>
    </r>
    <r>
      <rPr>
        <sz val="11"/>
        <color theme="1"/>
        <rFont val="等线"/>
        <family val="2"/>
        <charset val="134"/>
        <scheme val="minor"/>
      </rPr>
      <t>，核心是</t>
    </r>
    <r>
      <rPr>
        <b/>
        <sz val="11"/>
        <color theme="1"/>
        <rFont val="等线"/>
        <family val="3"/>
        <charset val="134"/>
        <scheme val="minor"/>
      </rPr>
      <t>过程本身的缓慢与胶着，不必然带来好结果</t>
    </r>
    <r>
      <rPr>
        <sz val="11"/>
        <color theme="1"/>
        <rFont val="等线"/>
        <family val="2"/>
        <charset val="134"/>
        <scheme val="minor"/>
      </rPr>
      <t>。天梁是“病拖延但终能治愈”，陀罗是“病拖延且反复发作”。</t>
    </r>
  </si>
  <si>
    <r>
      <t>3. 宫位定领域</t>
    </r>
    <r>
      <rPr>
        <sz val="11"/>
        <color theme="1"/>
        <rFont val="等线"/>
        <family val="2"/>
        <charset val="134"/>
        <scheme val="minor"/>
      </rPr>
      <t>：陀罗星所在宫位，指示在人生的哪个领域容易遭遇拖延、反复、需要耐心坚持。</t>
    </r>
  </si>
  <si>
    <r>
      <t>4. 四化引动</t>
    </r>
    <r>
      <rPr>
        <sz val="11"/>
        <color theme="1"/>
        <rFont val="等线"/>
        <family val="2"/>
        <charset val="134"/>
        <scheme val="minor"/>
      </rPr>
      <t>：见</t>
    </r>
    <r>
      <rPr>
        <b/>
        <sz val="11"/>
        <color theme="1"/>
        <rFont val="等线"/>
        <family val="3"/>
        <charset val="134"/>
        <scheme val="minor"/>
      </rPr>
      <t>化禄</t>
    </r>
    <r>
      <rPr>
        <sz val="11"/>
        <color theme="1"/>
        <rFont val="等线"/>
        <family val="2"/>
        <charset val="134"/>
        <scheme val="minor"/>
      </rPr>
      <t>，将拖延转化为细水长流的财富，如长期投资获利，但过程漫长。见</t>
    </r>
    <r>
      <rPr>
        <b/>
        <sz val="11"/>
        <color theme="1"/>
        <rFont val="等线"/>
        <family val="3"/>
        <charset val="134"/>
        <scheme val="minor"/>
      </rPr>
      <t>化权</t>
    </r>
    <r>
      <rPr>
        <sz val="11"/>
        <color theme="1"/>
        <rFont val="等线"/>
        <family val="2"/>
        <charset val="134"/>
        <scheme val="minor"/>
      </rPr>
      <t>，强化坚持力与控制欲，在缓慢过程中掌握主导权。见</t>
    </r>
    <r>
      <rPr>
        <b/>
        <sz val="11"/>
        <color theme="1"/>
        <rFont val="等线"/>
        <family val="3"/>
        <charset val="134"/>
        <scheme val="minor"/>
      </rPr>
      <t>化科</t>
    </r>
    <r>
      <rPr>
        <sz val="11"/>
        <color theme="1"/>
        <rFont val="等线"/>
        <family val="2"/>
        <charset val="134"/>
        <scheme val="minor"/>
      </rPr>
      <t>，因耐心、坚持获得名声，或因处理旧事、慢性问题获得声誉。见</t>
    </r>
    <r>
      <rPr>
        <b/>
        <sz val="11"/>
        <color theme="1"/>
        <rFont val="等线"/>
        <family val="3"/>
        <charset val="134"/>
        <scheme val="minor"/>
      </rPr>
      <t>化忌</t>
    </r>
    <r>
      <rPr>
        <sz val="11"/>
        <color theme="1"/>
        <rFont val="等线"/>
        <family val="2"/>
        <charset val="134"/>
        <scheme val="minor"/>
      </rPr>
      <t>，</t>
    </r>
    <r>
      <rPr>
        <b/>
        <sz val="11"/>
        <color theme="1"/>
        <rFont val="等线"/>
        <family val="3"/>
        <charset val="134"/>
        <scheme val="minor"/>
      </rPr>
      <t>拖延性质加剧</t>
    </r>
    <r>
      <rPr>
        <sz val="11"/>
        <color theme="1"/>
        <rFont val="等线"/>
        <family val="2"/>
        <charset val="134"/>
        <scheme val="minor"/>
      </rPr>
      <t>，事情必然反复纠缠无解，慢性病加重。</t>
    </r>
  </si>
  <si>
    <t>一、擎羊定义</t>
  </si>
  <si>
    <t>阳金、伤害、竞争、决断、血光</t>
  </si>
  <si>
    <t>象征直接的伤害、竞争、决断与血光。其性质主凶，代表公开、主动、外显的冲突与伤害，具有攻击性、竞争性和开创性，也主手术、分离。</t>
  </si>
  <si>
    <t>乙级星，属阳金。主凶，为明煞、刑伤之星。独坐或与煞星同会则刑伤显；若与紫微、七杀等主星同度且见吉化，可转化为强大的竞争力和决断力。</t>
  </si>
  <si>
    <r>
      <t>伤害/刑伤</t>
    </r>
    <r>
      <rPr>
        <sz val="11"/>
        <color theme="1"/>
        <rFont val="等线"/>
        <family val="2"/>
        <charset val="134"/>
        <scheme val="minor"/>
      </rPr>
      <t>​</t>
    </r>
  </si>
  <si>
    <t>易有外伤、手术、肢体伤害，或与人发生正面冲突、官司。</t>
  </si>
  <si>
    <t>在命宫、迁移宫、疾厄宫时尤为明显。</t>
  </si>
  <si>
    <r>
      <t>竞争/争斗</t>
    </r>
    <r>
      <rPr>
        <sz val="11"/>
        <color theme="1"/>
        <rFont val="等线"/>
        <family val="2"/>
        <charset val="134"/>
        <scheme val="minor"/>
      </rPr>
      <t>​</t>
    </r>
  </si>
  <si>
    <t>好胜心强，喜欢竞争，在竞争中求发展，不惧挑战。</t>
  </si>
  <si>
    <r>
      <t>决断/开创</t>
    </r>
    <r>
      <rPr>
        <sz val="11"/>
        <color theme="1"/>
        <rFont val="等线"/>
        <family val="2"/>
        <charset val="134"/>
        <scheme val="minor"/>
      </rPr>
      <t>​</t>
    </r>
  </si>
  <si>
    <t>行动果决，有开创精神，能当机立断，不畏艰难。</t>
  </si>
  <si>
    <t>在命宫、官禄宫时体现。</t>
  </si>
  <si>
    <r>
      <t>血光/分离</t>
    </r>
    <r>
      <rPr>
        <sz val="11"/>
        <color theme="1"/>
        <rFont val="等线"/>
        <family val="2"/>
        <charset val="134"/>
        <scheme val="minor"/>
      </rPr>
      <t>​</t>
    </r>
  </si>
  <si>
    <t>易有见血之事，如手术、生产、意外；也主分离、决裂。</t>
  </si>
  <si>
    <t>在疾厄宫、夫妻宫时显著。</t>
  </si>
  <si>
    <r>
      <t>急躁/冲动</t>
    </r>
    <r>
      <rPr>
        <sz val="11"/>
        <color theme="1"/>
        <rFont val="等线"/>
        <family val="2"/>
        <charset val="134"/>
        <scheme val="minor"/>
      </rPr>
      <t>​</t>
    </r>
  </si>
  <si>
    <t>性格急躁，易冲动行事，缺乏耐心，言语直接易伤人。</t>
  </si>
  <si>
    <t>性格刚烈果决，好胜心强，一生多竞争与波折，易有刑伤。</t>
  </si>
  <si>
    <t>与兄弟姐妹易有争执、竞争；朋友间多竞争关系。</t>
  </si>
  <si>
    <t>感情中易有争执冲突，配偶个性刚强，婚姻易有波折或分离。</t>
  </si>
  <si>
    <t>子女个性倔强好斗；合作关系易起冲突、竞争；投资需防风险。</t>
  </si>
  <si>
    <t>求财方式带有竞争性，适合风险投资、竞技求财，但易因财起冲突。</t>
  </si>
  <si>
    <r>
      <t>核心宫位</t>
    </r>
    <r>
      <rPr>
        <sz val="11"/>
        <color theme="1"/>
        <rFont val="等线"/>
        <family val="2"/>
        <charset val="134"/>
        <scheme val="minor"/>
      </rPr>
      <t>。易有外伤、手术、急性病，身体易留疤痕。</t>
    </r>
  </si>
  <si>
    <t>在外易遇冲突、是非，出行需注意安全，适合在外竞争发展。</t>
  </si>
  <si>
    <t>朋友、下属性情刚烈，关系易有竞争冲突，下属流动快。</t>
  </si>
  <si>
    <t>事业上竞争力强，适合军警、外科、工程等职业，但职场易有纷争。</t>
  </si>
  <si>
    <t>家宅不宁，易有装修、动土之事，与邻居易起冲突。</t>
  </si>
  <si>
    <t>思想刚强，精神紧张，好胜心重，享受带有竞争性。</t>
  </si>
  <si>
    <t>与父母关系紧张，易有冲突；得到遗产或资助过程可能有争执。</t>
  </si>
  <si>
    <t>1. 增强阳金/竞争组合</t>
  </si>
  <si>
    <r>
      <t>擎羊+紫微</t>
    </r>
    <r>
      <rPr>
        <sz val="11"/>
        <color theme="1"/>
        <rFont val="等线"/>
        <family val="2"/>
        <charset val="134"/>
        <scheme val="minor"/>
      </rPr>
      <t>​</t>
    </r>
  </si>
  <si>
    <r>
      <t>帝星带刃</t>
    </r>
    <r>
      <rPr>
        <sz val="11"/>
        <color theme="1"/>
        <rFont val="等线"/>
        <family val="2"/>
        <charset val="134"/>
        <scheme val="minor"/>
      </rPr>
      <t>，权威带杀气，领导风格强势霸道，事业上竞争激烈。</t>
    </r>
  </si>
  <si>
    <t>铁腕将军；在激烈竞争中登顶的企业家。</t>
  </si>
  <si>
    <r>
      <t>擎羊+天机</t>
    </r>
    <r>
      <rPr>
        <sz val="11"/>
        <color theme="1"/>
        <rFont val="等线"/>
        <family val="2"/>
        <charset val="134"/>
        <scheme val="minor"/>
      </rPr>
      <t>​</t>
    </r>
  </si>
  <si>
    <r>
      <t>智星遇险</t>
    </r>
    <r>
      <rPr>
        <sz val="11"/>
        <color theme="1"/>
        <rFont val="等线"/>
        <family val="2"/>
        <charset val="134"/>
        <scheme val="minor"/>
      </rPr>
      <t>，思维敏捷但易钻牛角尖，计划易遇突发阻碍，交通意外。</t>
    </r>
  </si>
  <si>
    <t>因思虑过度导致决策失误；遭遇车祸受伤。</t>
  </si>
  <si>
    <r>
      <t>擎羊+太阳</t>
    </r>
    <r>
      <rPr>
        <sz val="11"/>
        <color theme="1"/>
        <rFont val="等线"/>
        <family val="2"/>
        <charset val="134"/>
        <scheme val="minor"/>
      </rPr>
      <t>​</t>
    </r>
  </si>
  <si>
    <r>
      <t>烈日带刀</t>
    </r>
    <r>
      <rPr>
        <sz val="11"/>
        <color theme="1"/>
        <rFont val="等线"/>
        <family val="2"/>
        <charset val="134"/>
        <scheme val="minor"/>
      </rPr>
      <t>，光芒锐利易伤人，成名快但易招是非攻击，突发性眼疾或头痛。</t>
    </r>
  </si>
  <si>
    <t>言辞犀利的评论家；因用眼过度导致急性眼疾。</t>
  </si>
  <si>
    <r>
      <t>擎羊+武曲</t>
    </r>
    <r>
      <rPr>
        <sz val="11"/>
        <color theme="1"/>
        <rFont val="等线"/>
        <family val="2"/>
        <charset val="134"/>
        <scheme val="minor"/>
      </rPr>
      <t>​</t>
    </r>
  </si>
  <si>
    <r>
      <t>刚金见刃</t>
    </r>
    <r>
      <rPr>
        <sz val="11"/>
        <color theme="1"/>
        <rFont val="等线"/>
        <family val="2"/>
        <charset val="134"/>
        <scheme val="minor"/>
      </rPr>
      <t>，行动力与决断力极强，求财手段激烈，易因财动武，呼吸系统手术。</t>
    </r>
  </si>
  <si>
    <t>风险投资家；因财务纠纷对簿公堂。</t>
  </si>
  <si>
    <r>
      <t>擎羊+天同</t>
    </r>
    <r>
      <rPr>
        <sz val="11"/>
        <color theme="1"/>
        <rFont val="等线"/>
        <family val="2"/>
        <charset val="134"/>
        <scheme val="minor"/>
      </rPr>
      <t>​</t>
    </r>
  </si>
  <si>
    <r>
      <t>福星受创</t>
    </r>
    <r>
      <rPr>
        <sz val="11"/>
        <color theme="1"/>
        <rFont val="等线"/>
        <family val="2"/>
        <charset val="134"/>
        <scheme val="minor"/>
      </rPr>
      <t>，享受被破坏，乐极生悲，或因疾病手术影响安逸。</t>
    </r>
  </si>
  <si>
    <t>度假时意外受伤；因阑尾炎手术住院。</t>
  </si>
  <si>
    <r>
      <t>擎羊+廉贞</t>
    </r>
    <r>
      <rPr>
        <sz val="11"/>
        <color theme="1"/>
        <rFont val="等线"/>
        <family val="2"/>
        <charset val="134"/>
        <scheme val="minor"/>
      </rPr>
      <t>​</t>
    </r>
  </si>
  <si>
    <r>
      <t>囚星加刑</t>
    </r>
    <r>
      <rPr>
        <sz val="11"/>
        <color theme="1"/>
        <rFont val="等线"/>
        <family val="2"/>
        <charset val="134"/>
        <scheme val="minor"/>
      </rPr>
      <t>，感情或事业易涉激烈冲突、官非，血液疾病需手术。</t>
    </r>
  </si>
  <si>
    <t>感情纠纷引发暴力冲突；因血癌接受化疗。</t>
  </si>
  <si>
    <r>
      <t>擎羊+天府</t>
    </r>
    <r>
      <rPr>
        <sz val="11"/>
        <color theme="1"/>
        <rFont val="等线"/>
        <family val="2"/>
        <charset val="134"/>
        <scheme val="minor"/>
      </rPr>
      <t>​</t>
    </r>
  </si>
  <si>
    <r>
      <t>库星破口</t>
    </r>
    <r>
      <rPr>
        <sz val="11"/>
        <color theme="1"/>
        <rFont val="等线"/>
        <family val="2"/>
        <charset val="134"/>
        <scheme val="minor"/>
      </rPr>
      <t>，稳定的局面被打破，积蓄因冲突损失，或胃部手术。</t>
    </r>
  </si>
  <si>
    <t>因官司损失财产；进行胃部切除手术。</t>
  </si>
  <si>
    <r>
      <t>擎羊+太阴</t>
    </r>
    <r>
      <rPr>
        <sz val="11"/>
        <color theme="1"/>
        <rFont val="等线"/>
        <family val="2"/>
        <charset val="134"/>
        <scheme val="minor"/>
      </rPr>
      <t>​</t>
    </r>
  </si>
  <si>
    <r>
      <t>阴金见血</t>
    </r>
    <r>
      <rPr>
        <sz val="11"/>
        <color theme="1"/>
        <rFont val="等线"/>
        <family val="2"/>
        <charset val="134"/>
        <scheme val="minor"/>
      </rPr>
      <t>，内在情绪爆发为外在冲突，女性疾病需手术，房地产纠纷。</t>
    </r>
  </si>
  <si>
    <t>长期压抑后与人激烈争吵；进行子宫肌瘤手术。</t>
  </si>
  <si>
    <r>
      <t>擎羊+贪狼</t>
    </r>
    <r>
      <rPr>
        <sz val="11"/>
        <color theme="1"/>
        <rFont val="等线"/>
        <family val="2"/>
        <charset val="134"/>
        <scheme val="minor"/>
      </rPr>
      <t>​</t>
    </r>
  </si>
  <si>
    <r>
      <t>欲刃相加</t>
    </r>
    <r>
      <rPr>
        <sz val="11"/>
        <color theme="1"/>
        <rFont val="等线"/>
        <family val="2"/>
        <charset val="134"/>
        <scheme val="minor"/>
      </rPr>
      <t>，欲望强烈且行动果决，易有桃花劫或竞争夺爱，整形手术。</t>
    </r>
  </si>
  <si>
    <t>为争夺感情与人冲突；进行整形手术。</t>
  </si>
  <si>
    <r>
      <t>擎羊+巨门</t>
    </r>
    <r>
      <rPr>
        <sz val="11"/>
        <color theme="1"/>
        <rFont val="等线"/>
        <family val="2"/>
        <charset val="134"/>
        <scheme val="minor"/>
      </rPr>
      <t>​</t>
    </r>
  </si>
  <si>
    <r>
      <t>暗刃伤人</t>
    </r>
    <r>
      <rPr>
        <sz val="11"/>
        <color theme="1"/>
        <rFont val="等线"/>
        <family val="2"/>
        <charset val="134"/>
        <scheme val="minor"/>
      </rPr>
      <t>，是非口舌升级为正面冲突，易有消化系统手术。</t>
    </r>
  </si>
  <si>
    <t>争论演变为肢体冲突；进行胃部手术。</t>
  </si>
  <si>
    <r>
      <t>擎羊+天相</t>
    </r>
    <r>
      <rPr>
        <sz val="11"/>
        <color theme="1"/>
        <rFont val="等线"/>
        <family val="2"/>
        <charset val="134"/>
        <scheme val="minor"/>
      </rPr>
      <t>​</t>
    </r>
  </si>
  <si>
    <r>
      <t>印星破损</t>
    </r>
    <r>
      <rPr>
        <sz val="11"/>
        <color theme="1"/>
        <rFont val="等线"/>
        <family val="2"/>
        <charset val="134"/>
        <scheme val="minor"/>
      </rPr>
      <t>，文书、合约出现严重问题引发冲突，形象受损，辅助工作出错招灾。</t>
    </r>
  </si>
  <si>
    <t>因合同漏洞被起诉；公众人物因丑闻形象崩塌。</t>
  </si>
  <si>
    <r>
      <t>擎羊+天梁</t>
    </r>
    <r>
      <rPr>
        <sz val="11"/>
        <color theme="1"/>
        <rFont val="等线"/>
        <family val="2"/>
        <charset val="134"/>
        <scheme val="minor"/>
      </rPr>
      <t>​</t>
    </r>
  </si>
  <si>
    <r>
      <t>荫星遇刑</t>
    </r>
    <r>
      <rPr>
        <sz val="11"/>
        <color theme="1"/>
        <rFont val="等线"/>
        <family val="2"/>
        <charset val="134"/>
        <scheme val="minor"/>
      </rPr>
      <t>，荫庇之力受挑战，疾病需手术解决，长辈助力伴随争执。</t>
    </r>
  </si>
  <si>
    <t>重病需开刀治疗；继承遗产时与亲属发生纠纷。</t>
  </si>
  <si>
    <r>
      <t>擎羊+七杀</t>
    </r>
    <r>
      <rPr>
        <sz val="11"/>
        <color theme="1"/>
        <rFont val="等线"/>
        <family val="2"/>
        <charset val="134"/>
        <scheme val="minor"/>
      </rPr>
      <t>​</t>
    </r>
  </si>
  <si>
    <r>
      <t>杀刃交加</t>
    </r>
    <r>
      <rPr>
        <sz val="11"/>
        <color theme="1"/>
        <rFont val="等线"/>
        <family val="2"/>
        <charset val="134"/>
        <scheme val="minor"/>
      </rPr>
      <t>，暴力与竞争达到极致，易有重大血光之灾、严重车祸、大手术。</t>
    </r>
  </si>
  <si>
    <t>战场上的士兵；遭遇严重车祸需多次手术。</t>
  </si>
  <si>
    <r>
      <t>擎羊+破军</t>
    </r>
    <r>
      <rPr>
        <sz val="11"/>
        <color theme="1"/>
        <rFont val="等线"/>
        <family val="2"/>
        <charset val="134"/>
        <scheme val="minor"/>
      </rPr>
      <t>​</t>
    </r>
  </si>
  <si>
    <r>
      <t>耗刃肆虐</t>
    </r>
    <r>
      <rPr>
        <sz val="11"/>
        <color theme="1"/>
        <rFont val="等线"/>
        <family val="2"/>
        <charset val="134"/>
        <scheme val="minor"/>
      </rPr>
      <t>，破坏力直接猛烈，事业激烈变革，财产因冲突急速消耗。</t>
    </r>
  </si>
  <si>
    <t>激进的企业改革者；因投资失败与人发生激烈冲突。</t>
  </si>
  <si>
    <r>
      <t>擎羊+火星</t>
    </r>
    <r>
      <rPr>
        <sz val="11"/>
        <color theme="1"/>
        <rFont val="等线"/>
        <family val="2"/>
        <charset val="134"/>
        <scheme val="minor"/>
      </rPr>
      <t>​</t>
    </r>
  </si>
  <si>
    <r>
      <t>擎羊+铃星</t>
    </r>
    <r>
      <rPr>
        <sz val="11"/>
        <color theme="1"/>
        <rFont val="等线"/>
        <family val="2"/>
        <charset val="134"/>
        <scheme val="minor"/>
      </rPr>
      <t>​</t>
    </r>
  </si>
  <si>
    <r>
      <t>明暗交攻</t>
    </r>
    <r>
      <rPr>
        <sz val="11"/>
        <color theme="1"/>
        <rFont val="等线"/>
        <family val="2"/>
        <charset val="134"/>
        <scheme val="minor"/>
      </rPr>
      <t>，明争与暗斗结合，伤害持久且带阴谋，手术易留后遗症。</t>
    </r>
  </si>
  <si>
    <t>公开冲突后遭暗中报复；手术后伤口感染难愈。</t>
  </si>
  <si>
    <r>
      <t>擎羊+陀罗</t>
    </r>
    <r>
      <rPr>
        <sz val="11"/>
        <color theme="1"/>
        <rFont val="等线"/>
        <family val="2"/>
        <charset val="134"/>
        <scheme val="minor"/>
      </rPr>
      <t>​</t>
    </r>
  </si>
  <si>
    <r>
      <t>擎羊+地空</t>
    </r>
    <r>
      <rPr>
        <sz val="11"/>
        <color theme="1"/>
        <rFont val="等线"/>
        <family val="2"/>
        <charset val="134"/>
        <scheme val="minor"/>
      </rPr>
      <t>​</t>
    </r>
  </si>
  <si>
    <r>
      <t>刃空则折</t>
    </r>
    <r>
      <rPr>
        <sz val="11"/>
        <color theme="1"/>
        <rFont val="等线"/>
        <family val="2"/>
        <charset val="134"/>
        <scheme val="minor"/>
      </rPr>
      <t>，伤害落空或转向精神层面，竞争无果，手术可能不必要。</t>
    </r>
  </si>
  <si>
    <t>决斗被取消；因疑病症进行不必要的手术。</t>
  </si>
  <si>
    <r>
      <t>擎羊+地劫</t>
    </r>
    <r>
      <rPr>
        <sz val="11"/>
        <color theme="1"/>
        <rFont val="等线"/>
        <family val="2"/>
        <charset val="134"/>
        <scheme val="minor"/>
      </rPr>
      <t>​</t>
    </r>
  </si>
  <si>
    <r>
      <t>刃劫相伤</t>
    </r>
    <r>
      <rPr>
        <sz val="11"/>
        <color theme="1"/>
        <rFont val="等线"/>
        <family val="2"/>
        <charset val="134"/>
        <scheme val="minor"/>
      </rPr>
      <t>，直接的伤害与破坏导致物质损失，手术或外伤造成破财。</t>
    </r>
  </si>
  <si>
    <r>
      <t>擎羊+文昌/文曲</t>
    </r>
    <r>
      <rPr>
        <sz val="11"/>
        <color theme="1"/>
        <rFont val="等线"/>
        <family val="2"/>
        <charset val="134"/>
        <scheme val="minor"/>
      </rPr>
      <t>​</t>
    </r>
  </si>
  <si>
    <r>
      <t>刃笔相交</t>
    </r>
    <r>
      <rPr>
        <sz val="11"/>
        <color theme="1"/>
        <rFont val="等线"/>
        <family val="2"/>
        <charset val="134"/>
        <scheme val="minor"/>
      </rPr>
      <t>，竞争见于文书、法律，或因才华招妒惹祸，手术与文书相关。</t>
    </r>
  </si>
  <si>
    <t>版权官司；因学术竞争引发冲突。</t>
  </si>
  <si>
    <r>
      <t>擎羊+左辅/右弼</t>
    </r>
    <r>
      <rPr>
        <sz val="11"/>
        <color theme="1"/>
        <rFont val="等线"/>
        <family val="2"/>
        <charset val="134"/>
        <scheme val="minor"/>
      </rPr>
      <t>​</t>
    </r>
  </si>
  <si>
    <r>
      <t>刃众联动</t>
    </r>
    <r>
      <rPr>
        <sz val="11"/>
        <color theme="1"/>
        <rFont val="等线"/>
        <family val="2"/>
        <charset val="134"/>
        <scheme val="minor"/>
      </rPr>
      <t>​</t>
    </r>
  </si>
  <si>
    <t>竞争或冲突涉及多人，团队内斗，或众人一起参与竞争。</t>
  </si>
  <si>
    <r>
      <t>擎羊+天魁/天钺</t>
    </r>
    <r>
      <rPr>
        <sz val="11"/>
        <color theme="1"/>
        <rFont val="等线"/>
        <family val="2"/>
        <charset val="134"/>
        <scheme val="minor"/>
      </rPr>
      <t>​</t>
    </r>
  </si>
  <si>
    <r>
      <t>刃中遇贵</t>
    </r>
    <r>
      <rPr>
        <sz val="11"/>
        <color theme="1"/>
        <rFont val="等线"/>
        <family val="2"/>
        <charset val="134"/>
        <scheme val="minor"/>
      </rPr>
      <t>​</t>
    </r>
  </si>
  <si>
    <t>竞争或危机中得贵人相助化解，或通过竞争获得机遇。</t>
  </si>
  <si>
    <r>
      <t>擎羊+禄存</t>
    </r>
    <r>
      <rPr>
        <sz val="11"/>
        <color theme="1"/>
        <rFont val="等线"/>
        <family val="2"/>
        <charset val="134"/>
        <scheme val="minor"/>
      </rPr>
      <t>​</t>
    </r>
  </si>
  <si>
    <r>
      <t>刃禄相随</t>
    </r>
    <r>
      <rPr>
        <sz val="11"/>
        <color theme="1"/>
        <rFont val="等线"/>
        <family val="2"/>
        <charset val="134"/>
        <scheme val="minor"/>
      </rPr>
      <t>​</t>
    </r>
  </si>
  <si>
    <t>钱财通过竞争、冒险获得，但易因财起冲突，手术花费大。</t>
  </si>
  <si>
    <r>
      <t>擎羊+天马</t>
    </r>
    <r>
      <rPr>
        <sz val="11"/>
        <color theme="1"/>
        <rFont val="等线"/>
        <family val="2"/>
        <charset val="134"/>
        <scheme val="minor"/>
      </rPr>
      <t>​</t>
    </r>
  </si>
  <si>
    <r>
      <t>刃动奔驰</t>
    </r>
    <r>
      <rPr>
        <sz val="11"/>
        <color theme="1"/>
        <rFont val="等线"/>
        <family val="2"/>
        <charset val="134"/>
        <scheme val="minor"/>
      </rPr>
      <t>​</t>
    </r>
  </si>
  <si>
    <t>竞争、变动与奔波结合，在外易遇冲突，或为竞争而奔波。</t>
  </si>
  <si>
    <r>
      <t>1. “擎羊”与“火星”、“铃星”、“陀罗”</t>
    </r>
    <r>
      <rPr>
        <sz val="11"/>
        <color theme="1"/>
        <rFont val="等线"/>
        <family val="2"/>
        <charset val="134"/>
        <scheme val="minor"/>
      </rPr>
      <t>：</t>
    </r>
    <r>
      <rPr>
        <b/>
        <sz val="11"/>
        <color theme="1"/>
        <rFont val="等线"/>
        <family val="3"/>
        <charset val="134"/>
        <scheme val="minor"/>
      </rPr>
      <t>擎羊是“明枪”</t>
    </r>
    <r>
      <rPr>
        <sz val="11"/>
        <color theme="1"/>
        <rFont val="等线"/>
        <family val="2"/>
        <charset val="134"/>
        <scheme val="minor"/>
      </rPr>
      <t>，核心是</t>
    </r>
    <r>
      <rPr>
        <b/>
        <sz val="11"/>
        <color theme="1"/>
        <rFont val="等线"/>
        <family val="3"/>
        <charset val="134"/>
        <scheme val="minor"/>
      </rPr>
      <t>直接、主动、外显的伤害与竞争</t>
    </r>
    <r>
      <rPr>
        <sz val="11"/>
        <color theme="1"/>
        <rFont val="等线"/>
        <family val="2"/>
        <charset val="134"/>
        <scheme val="minor"/>
      </rPr>
      <t>。</t>
    </r>
    <r>
      <rPr>
        <b/>
        <sz val="11"/>
        <color theme="1"/>
        <rFont val="等线"/>
        <family val="3"/>
        <charset val="134"/>
        <scheme val="minor"/>
      </rPr>
      <t>火星是“阳火”</t>
    </r>
    <r>
      <rPr>
        <sz val="11"/>
        <color theme="1"/>
        <rFont val="等线"/>
        <family val="2"/>
        <charset val="134"/>
        <scheme val="minor"/>
      </rPr>
      <t>，核心是</t>
    </r>
    <r>
      <rPr>
        <b/>
        <sz val="11"/>
        <color theme="1"/>
        <rFont val="等线"/>
        <family val="3"/>
        <charset val="134"/>
        <scheme val="minor"/>
      </rPr>
      <t>公开的、突发的、猛烈的伤害与冲突</t>
    </r>
    <r>
      <rPr>
        <sz val="11"/>
        <color theme="1"/>
        <rFont val="等线"/>
        <family val="2"/>
        <charset val="134"/>
        <scheme val="minor"/>
      </rPr>
      <t>。</t>
    </r>
    <r>
      <rPr>
        <b/>
        <sz val="11"/>
        <color theme="1"/>
        <rFont val="等线"/>
        <family val="3"/>
        <charset val="134"/>
        <scheme val="minor"/>
      </rPr>
      <t>铃星是“阴火”</t>
    </r>
    <r>
      <rPr>
        <sz val="11"/>
        <color theme="1"/>
        <rFont val="等线"/>
        <family val="2"/>
        <charset val="134"/>
        <scheme val="minor"/>
      </rPr>
      <t>，核心是</t>
    </r>
    <r>
      <rPr>
        <b/>
        <sz val="11"/>
        <color theme="1"/>
        <rFont val="等线"/>
        <family val="3"/>
        <charset val="134"/>
        <scheme val="minor"/>
      </rPr>
      <t>暗中的、持续的、阴性的伤害与煎熬</t>
    </r>
    <r>
      <rPr>
        <sz val="11"/>
        <color theme="1"/>
        <rFont val="等线"/>
        <family val="2"/>
        <charset val="134"/>
        <scheme val="minor"/>
      </rPr>
      <t>。</t>
    </r>
    <r>
      <rPr>
        <b/>
        <sz val="11"/>
        <color theme="1"/>
        <rFont val="等线"/>
        <family val="3"/>
        <charset val="134"/>
        <scheme val="minor"/>
      </rPr>
      <t>陀罗星是“暗金”</t>
    </r>
    <r>
      <rPr>
        <sz val="11"/>
        <color theme="1"/>
        <rFont val="等线"/>
        <family val="2"/>
        <charset val="134"/>
        <scheme val="minor"/>
      </rPr>
      <t>，核心是</t>
    </r>
    <r>
      <rPr>
        <b/>
        <sz val="11"/>
        <color theme="1"/>
        <rFont val="等线"/>
        <family val="3"/>
        <charset val="134"/>
        <scheme val="minor"/>
      </rPr>
      <t>拖延、反复、纠缠</t>
    </r>
    <r>
      <rPr>
        <sz val="11"/>
        <color theme="1"/>
        <rFont val="等线"/>
        <family val="2"/>
        <charset val="134"/>
        <scheme val="minor"/>
      </rPr>
      <t>。擎羊是“迎面一刀”，火星是“突然爆炸”，铃星是“慢性中毒”，陀罗是“来回折腾拖着你”。</t>
    </r>
  </si>
  <si>
    <r>
      <t>2. 与“七杀”的区别</t>
    </r>
    <r>
      <rPr>
        <sz val="11"/>
        <color theme="1"/>
        <rFont val="等线"/>
        <family val="2"/>
        <charset val="134"/>
        <scheme val="minor"/>
      </rPr>
      <t>：</t>
    </r>
    <r>
      <rPr>
        <b/>
        <sz val="11"/>
        <color theme="1"/>
        <rFont val="等线"/>
        <family val="3"/>
        <charset val="134"/>
        <scheme val="minor"/>
      </rPr>
      <t>七杀星主“肃杀、决断与变动”</t>
    </r>
    <r>
      <rPr>
        <sz val="11"/>
        <color theme="1"/>
        <rFont val="等线"/>
        <family val="2"/>
        <charset val="134"/>
        <scheme val="minor"/>
      </rPr>
      <t>，核心是</t>
    </r>
    <r>
      <rPr>
        <b/>
        <sz val="11"/>
        <color theme="1"/>
        <rFont val="等线"/>
        <family val="3"/>
        <charset val="134"/>
        <scheme val="minor"/>
      </rPr>
      <t>大型的、决定性的变动与风险</t>
    </r>
    <r>
      <rPr>
        <sz val="11"/>
        <color theme="1"/>
        <rFont val="等线"/>
        <family val="2"/>
        <charset val="134"/>
        <scheme val="minor"/>
      </rPr>
      <t>。</t>
    </r>
    <r>
      <rPr>
        <b/>
        <sz val="11"/>
        <color theme="1"/>
        <rFont val="等线"/>
        <family val="3"/>
        <charset val="134"/>
        <scheme val="minor"/>
      </rPr>
      <t>擎羊星主“直接的伤害与竞争”</t>
    </r>
    <r>
      <rPr>
        <sz val="11"/>
        <color theme="1"/>
        <rFont val="等线"/>
        <family val="2"/>
        <charset val="134"/>
        <scheme val="minor"/>
      </rPr>
      <t>，核心是</t>
    </r>
    <r>
      <rPr>
        <b/>
        <sz val="11"/>
        <color theme="1"/>
        <rFont val="等线"/>
        <family val="3"/>
        <charset val="134"/>
        <scheme val="minor"/>
      </rPr>
      <t>具体的、外显的冲突与刑伤</t>
    </r>
    <r>
      <rPr>
        <sz val="11"/>
        <color theme="1"/>
        <rFont val="等线"/>
        <family val="2"/>
        <charset val="134"/>
        <scheme val="minor"/>
      </rPr>
      <t>。七杀是“大军压境的肃杀之气”，擎羊是“短兵相接的白刃之战”。</t>
    </r>
  </si>
  <si>
    <r>
      <t>3. 宫位定领域</t>
    </r>
    <r>
      <rPr>
        <sz val="11"/>
        <color theme="1"/>
        <rFont val="等线"/>
        <family val="2"/>
        <charset val="134"/>
        <scheme val="minor"/>
      </rPr>
      <t>：擎羊星所在宫位，指示在人生的哪个领域容易发生直接冲突、面临激烈竞争，或需要运用决断力和开创力，也指示该领域易有手术、外伤。</t>
    </r>
  </si>
  <si>
    <r>
      <t>4. 四化引动</t>
    </r>
    <r>
      <rPr>
        <sz val="11"/>
        <color theme="1"/>
        <rFont val="等线"/>
        <family val="2"/>
        <charset val="134"/>
        <scheme val="minor"/>
      </rPr>
      <t>：见</t>
    </r>
    <r>
      <rPr>
        <b/>
        <sz val="11"/>
        <color theme="1"/>
        <rFont val="等线"/>
        <family val="3"/>
        <charset val="134"/>
        <scheme val="minor"/>
      </rPr>
      <t>化禄</t>
    </r>
    <r>
      <rPr>
        <sz val="11"/>
        <color theme="1"/>
        <rFont val="等线"/>
        <family val="2"/>
        <charset val="134"/>
        <scheme val="minor"/>
      </rPr>
      <t>，将竞争力转化为财禄，如竞争获利，但易因财惹争端。见</t>
    </r>
    <r>
      <rPr>
        <b/>
        <sz val="11"/>
        <color theme="1"/>
        <rFont val="等线"/>
        <family val="3"/>
        <charset val="134"/>
        <scheme val="minor"/>
      </rPr>
      <t>化权</t>
    </r>
    <r>
      <rPr>
        <sz val="11"/>
        <color theme="1"/>
        <rFont val="等线"/>
        <family val="2"/>
        <charset val="134"/>
        <scheme val="minor"/>
      </rPr>
      <t>，强化决断力与竞争中的掌控权，但更显霸道。见</t>
    </r>
    <r>
      <rPr>
        <b/>
        <sz val="11"/>
        <color theme="1"/>
        <rFont val="等线"/>
        <family val="3"/>
        <charset val="134"/>
        <scheme val="minor"/>
      </rPr>
      <t>化科</t>
    </r>
    <r>
      <rPr>
        <sz val="11"/>
        <color theme="1"/>
        <rFont val="等线"/>
        <family val="2"/>
        <charset val="134"/>
        <scheme val="minor"/>
      </rPr>
      <t>，因竞争、决断或处理危机获得名声，但名中带煞。见</t>
    </r>
    <r>
      <rPr>
        <b/>
        <sz val="11"/>
        <color theme="1"/>
        <rFont val="等线"/>
        <family val="3"/>
        <charset val="134"/>
        <scheme val="minor"/>
      </rPr>
      <t>化忌</t>
    </r>
    <r>
      <rPr>
        <sz val="11"/>
        <color theme="1"/>
        <rFont val="等线"/>
        <family val="2"/>
        <charset val="134"/>
        <scheme val="minor"/>
      </rPr>
      <t>，</t>
    </r>
    <r>
      <rPr>
        <b/>
        <sz val="11"/>
        <color theme="1"/>
        <rFont val="等线"/>
        <family val="3"/>
        <charset val="134"/>
        <scheme val="minor"/>
      </rPr>
      <t>伤害性质加剧</t>
    </r>
    <r>
      <rPr>
        <sz val="11"/>
        <color theme="1"/>
        <rFont val="等线"/>
        <family val="2"/>
        <charset val="134"/>
        <scheme val="minor"/>
      </rPr>
      <t>，冲突必然发生且后果严重，刑伤最显。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</si>
</sst>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等线"/>
      <family val="2"/>
      <charset val="134"/>
      <scheme val="minor"/>
    </font>
    <font>
      <b/>
      <sz val="11"/>
      <color theme="1"/>
      <name val="等线"/>
      <family val="3"/>
      <charset val="134"/>
      <scheme val="minor"/>
    </font>
    <font>
      <sz val="9"/>
      <name val="等线"/>
      <family val="2"/>
      <charset val="134"/>
      <scheme val="minor"/>
    </font>
    <font>
      <b/>
      <sz val="13.5"/>
      <color theme="1"/>
      <name val="等线"/>
      <family val="3"/>
      <charset val="134"/>
      <scheme val="minor"/>
    </font>
    <font>
      <sz val="12"/>
      <color theme="1"/>
      <name val="等线"/>
      <family val="3"/>
      <charset val="134"/>
      <scheme val="minor"/>
    </font>
    <font>
      <b/>
      <sz val="12"/>
      <color theme="1"/>
      <name val="等线"/>
      <family val="3"/>
      <charset val="134"/>
      <scheme val="minor"/>
    </font>
    <font>
      <i/>
      <sz val="11"/>
      <color theme="1"/>
      <name val="等线"/>
      <family val="3"/>
      <charset val="134"/>
      <scheme val="minor"/>
    </font>
    <font>
      <sz val="11"/>
      <color rgb="FFFF0000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E0E0E0"/>
      </left>
      <right style="medium">
        <color rgb="FFE0E0E0"/>
      </right>
      <top style="medium">
        <color rgb="FFE0E0E0"/>
      </top>
      <bottom style="medium">
        <color rgb="FFE0E0E0"/>
      </bottom>
      <diagonal/>
    </border>
  </borders>
  <cellStyleXfs count="1">
    <xf numFmtId="0" fontId="0" fillId="0" borderId="0">
      <alignment vertical="center"/>
    </xf>
  </cellStyleXfs>
  <cellXfs count="20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3" fillId="0" borderId="0" xfId="0" applyFont="1">
      <alignment vertical="center"/>
    </xf>
    <xf numFmtId="0" fontId="0" fillId="0" borderId="0" xfId="0" applyAlignment="1">
      <alignment horizontal="left" vertical="center" indent="1"/>
    </xf>
    <xf numFmtId="0" fontId="1" fillId="0" borderId="0" xfId="0" applyFont="1" applyAlignment="1">
      <alignment horizontal="left" vertical="center" indent="1"/>
    </xf>
    <xf numFmtId="0" fontId="1" fillId="0" borderId="0" xfId="0" applyFont="1" applyAlignment="1">
      <alignment horizontal="left" vertical="center" indent="2"/>
    </xf>
    <xf numFmtId="0" fontId="0" fillId="0" borderId="0" xfId="0" applyAlignment="1">
      <alignment horizontal="left" vertical="center" indent="2"/>
    </xf>
    <xf numFmtId="0" fontId="0" fillId="0" borderId="0" xfId="0" applyAlignment="1">
      <alignment horizontal="left" vertical="center" indent="3"/>
    </xf>
    <xf numFmtId="0" fontId="4" fillId="0" borderId="0" xfId="0" applyFont="1">
      <alignment vertical="center"/>
    </xf>
    <xf numFmtId="0" fontId="5" fillId="0" borderId="1" xfId="0" applyFont="1" applyBorder="1" applyAlignment="1">
      <alignment horizontal="center" vertical="center" wrapText="1"/>
    </xf>
    <xf numFmtId="0" fontId="5" fillId="0" borderId="0" xfId="0" applyFont="1">
      <alignment vertical="center"/>
    </xf>
    <xf numFmtId="0" fontId="5" fillId="0" borderId="1" xfId="0" applyFont="1" applyBorder="1" applyAlignment="1">
      <alignment horizontal="left" vertical="center" wrapText="1" indent="1"/>
    </xf>
    <xf numFmtId="0" fontId="4" fillId="0" borderId="1" xfId="0" applyFont="1" applyBorder="1" applyAlignment="1">
      <alignment horizontal="left" vertical="center" wrapText="1" indent="1"/>
    </xf>
    <xf numFmtId="0" fontId="6" fillId="0" borderId="0" xfId="0" applyFont="1">
      <alignment vertical="center"/>
    </xf>
    <xf numFmtId="0" fontId="1" fillId="0" borderId="0" xfId="0" applyFont="1" applyAlignment="1">
      <alignment horizontal="left" vertical="center" indent="3"/>
    </xf>
    <xf numFmtId="0" fontId="6" fillId="0" borderId="0" xfId="0" applyFont="1" applyAlignment="1">
      <alignment horizontal="left" vertical="center" indent="2"/>
    </xf>
    <xf numFmtId="0" fontId="7" fillId="0" borderId="0" xfId="0" applyFont="1" applyAlignment="1">
      <alignment horizontal="left" vertical="center" indent="2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7" Type="http://schemas.openxmlformats.org/officeDocument/2006/relationships/worksheet" Target="worksheets/sheet7.xml"/><Relationship Id="rId71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66" Type="http://schemas.openxmlformats.org/officeDocument/2006/relationships/worksheet" Target="worksheets/sheet66.xml"/><Relationship Id="rId5" Type="http://schemas.openxmlformats.org/officeDocument/2006/relationships/worksheet" Target="worksheets/sheet5.xml"/><Relationship Id="rId61" Type="http://schemas.openxmlformats.org/officeDocument/2006/relationships/worksheet" Target="worksheets/sheet61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worksheet" Target="worksheets/sheet64.xml"/><Relationship Id="rId69" Type="http://schemas.openxmlformats.org/officeDocument/2006/relationships/theme" Target="theme/theme1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calcChain" Target="calcChain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F5FF27-68BD-412A-A321-22A0C5D4D51F}">
  <dimension ref="B1:G82"/>
  <sheetViews>
    <sheetView topLeftCell="A23" zoomScaleNormal="100" workbookViewId="0">
      <selection activeCell="B1" sqref="B1:D42"/>
    </sheetView>
  </sheetViews>
  <sheetFormatPr defaultRowHeight="14.25" x14ac:dyDescent="0.2"/>
  <cols>
    <col min="1" max="1" width="2.75" customWidth="1"/>
    <col min="2" max="2" width="15.625" customWidth="1"/>
    <col min="3" max="3" width="43.125" customWidth="1"/>
    <col min="4" max="4" width="32.75" customWidth="1"/>
  </cols>
  <sheetData>
    <row r="1" spans="2:7" ht="17.25" x14ac:dyDescent="0.2">
      <c r="B1" s="5" t="s">
        <v>148</v>
      </c>
      <c r="G1" t="str">
        <f>"&lt;dl&gt;&lt;dt&gt;" &amp; B1 &amp; "&lt;/dt&gt;&lt;dd&gt;" &amp; C1 &amp; "&lt;/dd&gt;&lt;dd&gt;" &amp; D1 &amp; "&lt;/dd&gt;&lt;/dl&gt;"</f>
        <v>&lt;dl&gt;&lt;dt&gt;紫微星​&lt;/dt&gt;&lt;dd&gt;&lt;/dd&gt;&lt;dd&gt;&lt;/dd&gt;&lt;/dl&gt;</v>
      </c>
    </row>
    <row r="3" spans="2:7" x14ac:dyDescent="0.2">
      <c r="B3" s="1" t="s">
        <v>149</v>
      </c>
    </row>
    <row r="4" spans="2:7" x14ac:dyDescent="0.2">
      <c r="B4" s="1" t="s">
        <v>150</v>
      </c>
    </row>
    <row r="5" spans="2:7" x14ac:dyDescent="0.2">
      <c r="B5" s="1" t="s">
        <v>151</v>
      </c>
    </row>
    <row r="6" spans="2:7" x14ac:dyDescent="0.2">
      <c r="B6" s="1" t="s">
        <v>152</v>
      </c>
    </row>
    <row r="9" spans="2:7" ht="17.25" x14ac:dyDescent="0.2">
      <c r="B9" s="5" t="s">
        <v>153</v>
      </c>
    </row>
    <row r="11" spans="2:7" x14ac:dyDescent="0.2">
      <c r="B11" t="s">
        <v>154</v>
      </c>
    </row>
    <row r="12" spans="2:7" x14ac:dyDescent="0.2">
      <c r="B12" s="2" t="s">
        <v>155</v>
      </c>
      <c r="C12" s="2" t="s">
        <v>156</v>
      </c>
      <c r="D12" s="2" t="s">
        <v>157</v>
      </c>
    </row>
    <row r="13" spans="2:7" x14ac:dyDescent="0.2">
      <c r="B13" s="3" t="s">
        <v>158</v>
      </c>
      <c r="C13" s="4" t="s">
        <v>159</v>
      </c>
      <c r="D13" s="4" t="s">
        <v>160</v>
      </c>
    </row>
    <row r="14" spans="2:7" x14ac:dyDescent="0.2">
      <c r="B14" s="3" t="s">
        <v>161</v>
      </c>
      <c r="C14" s="4" t="s">
        <v>162</v>
      </c>
      <c r="D14" s="4" t="s">
        <v>163</v>
      </c>
    </row>
    <row r="15" spans="2:7" ht="28.5" x14ac:dyDescent="0.2">
      <c r="B15" s="3" t="s">
        <v>164</v>
      </c>
      <c r="C15" s="4" t="s">
        <v>165</v>
      </c>
      <c r="D15" s="4" t="s">
        <v>166</v>
      </c>
    </row>
    <row r="16" spans="2:7" x14ac:dyDescent="0.2">
      <c r="B16" s="3" t="s">
        <v>167</v>
      </c>
      <c r="C16" s="4" t="s">
        <v>168</v>
      </c>
      <c r="D16" s="4" t="s">
        <v>169</v>
      </c>
    </row>
    <row r="17" spans="2:7" x14ac:dyDescent="0.2">
      <c r="B17" s="3" t="s">
        <v>170</v>
      </c>
      <c r="C17" s="4" t="s">
        <v>171</v>
      </c>
      <c r="D17" s="4" t="s">
        <v>172</v>
      </c>
    </row>
    <row r="20" spans="2:7" ht="17.25" x14ac:dyDescent="0.2">
      <c r="B20" s="5" t="s">
        <v>173</v>
      </c>
    </row>
    <row r="22" spans="2:7" ht="15" thickBot="1" x14ac:dyDescent="0.25">
      <c r="B22" t="s">
        <v>174</v>
      </c>
    </row>
    <row r="23" spans="2:7" ht="16.5" thickBot="1" x14ac:dyDescent="0.25">
      <c r="B23" s="2" t="s">
        <v>175</v>
      </c>
      <c r="C23" s="2" t="s">
        <v>176</v>
      </c>
      <c r="D23" s="2" t="s">
        <v>177</v>
      </c>
      <c r="E23" s="12"/>
    </row>
    <row r="24" spans="2:7" ht="16.5" thickBot="1" x14ac:dyDescent="0.25">
      <c r="B24" s="3" t="s">
        <v>178</v>
      </c>
      <c r="C24" s="4" t="s">
        <v>179</v>
      </c>
      <c r="D24" s="4" t="s">
        <v>180</v>
      </c>
      <c r="E24" s="15"/>
      <c r="G24" t="str">
        <f t="shared" ref="G24:G52" si="0">"&lt;dl&gt;&lt;dt&gt;" &amp; B24 &amp; "&lt;/dt&gt;&lt;dd&gt;" &amp; C24 &amp; "&lt;/dd&gt;&lt;dd&gt;" &amp; D24 &amp; "&lt;/dd&gt;&lt;/dl&gt;"</f>
        <v>&lt;dl&gt;&lt;dt&gt;文昌​&lt;/dt&gt;&lt;dd&gt;传播权威内容（官方宣言/专利文书）&lt;/dd&gt;&lt;dd&gt;扭曲重要信息（谣言惑众/政策歪曲）&lt;/dd&gt;&lt;/dl&gt;</v>
      </c>
    </row>
    <row r="25" spans="2:7" ht="16.5" thickBot="1" x14ac:dyDescent="0.25">
      <c r="B25" s="3" t="s">
        <v>181</v>
      </c>
      <c r="C25" s="4" t="s">
        <v>182</v>
      </c>
      <c r="D25" s="4" t="s">
        <v>183</v>
      </c>
      <c r="E25" s="15"/>
      <c r="G25" t="str">
        <f t="shared" si="0"/>
        <v>&lt;dl&gt;&lt;dt&gt;文曲​&lt;/dt&gt;&lt;dd&gt;顶级文化内容（传世名作/核心机密）&lt;/dd&gt;&lt;dd&gt;内容空洞浮夸（虚假广告/学术造假）&lt;/dd&gt;&lt;/dl&gt;</v>
      </c>
    </row>
    <row r="26" spans="2:7" ht="16.5" thickBot="1" x14ac:dyDescent="0.25">
      <c r="B26" s="3" t="s">
        <v>184</v>
      </c>
      <c r="C26" s="4" t="s">
        <v>185</v>
      </c>
      <c r="D26" s="4" t="s">
        <v>186</v>
      </c>
      <c r="E26" s="15"/>
      <c r="G26" t="str">
        <f t="shared" si="0"/>
        <v>&lt;dl&gt;&lt;dt&gt;左辅​&lt;/dt&gt;&lt;dd&gt;多重尊贵（双领导制/多学位）&lt;/dd&gt;&lt;dd&gt;权威分散（多头管理混乱）&lt;/dd&gt;&lt;/dl&gt;</v>
      </c>
    </row>
    <row r="27" spans="2:7" ht="16.5" thickBot="1" x14ac:dyDescent="0.25">
      <c r="B27" s="3" t="s">
        <v>187</v>
      </c>
      <c r="C27" s="4" t="s">
        <v>188</v>
      </c>
      <c r="D27" s="4" t="s">
        <v>189</v>
      </c>
      <c r="E27" s="15"/>
      <c r="G27" t="str">
        <f t="shared" si="0"/>
        <v>&lt;dl&gt;&lt;dt&gt;火星​&lt;/dt&gt;&lt;dd&gt;高速高调（火箭发射/明星走红）&lt;/dd&gt;&lt;dd&gt;尊贵被焚（名人丑闻/大厦火灾）&lt;/dd&gt;&lt;/dl&gt;</v>
      </c>
    </row>
    <row r="28" spans="2:7" ht="16.5" thickBot="1" x14ac:dyDescent="0.25">
      <c r="B28" s="3" t="s">
        <v>190</v>
      </c>
      <c r="C28" s="4" t="s">
        <v>191</v>
      </c>
      <c r="D28" s="4" t="s">
        <v>192</v>
      </c>
      <c r="E28" s="15"/>
      <c r="G28" t="str">
        <f t="shared" si="0"/>
        <v>&lt;dl&gt;&lt;dt&gt;擎羊​&lt;/dt&gt;&lt;dd&gt;权威切割（重大改革/外科手术）&lt;/dd&gt;&lt;dd&gt;尊贵受损（毁容/降职）&lt;/dd&gt;&lt;/dl&gt;</v>
      </c>
    </row>
    <row r="29" spans="2:7" ht="16.5" thickBot="1" x14ac:dyDescent="0.25">
      <c r="B29" s="3" t="s">
        <v>193</v>
      </c>
      <c r="C29" s="4" t="s">
        <v>194</v>
      </c>
      <c r="D29" s="4" t="s">
        <v>195</v>
      </c>
      <c r="E29" s="15"/>
      <c r="G29" t="str">
        <f t="shared" si="0"/>
        <v>&lt;dl&gt;&lt;dt&gt;地劫​&lt;/dt&gt;&lt;dd&gt;失去唯一性（皇权颠覆/专利失效）&lt;/dd&gt;&lt;dd&gt;表面尊贵实则空洞（镀金首饰）&lt;/dd&gt;&lt;/dl&gt;</v>
      </c>
    </row>
    <row r="30" spans="2:7" ht="28.5" x14ac:dyDescent="0.2">
      <c r="B30" s="3" t="s">
        <v>196</v>
      </c>
      <c r="C30" s="4" t="s">
        <v>197</v>
      </c>
      <c r="D30" s="4" t="s">
        <v>198</v>
      </c>
    </row>
    <row r="33" spans="2:7" ht="18" thickBot="1" x14ac:dyDescent="0.25">
      <c r="B33" s="5" t="s">
        <v>199</v>
      </c>
    </row>
    <row r="34" spans="2:7" ht="16.5" thickBot="1" x14ac:dyDescent="0.25">
      <c r="E34" s="12"/>
    </row>
    <row r="35" spans="2:7" ht="16.5" thickBot="1" x14ac:dyDescent="0.25">
      <c r="B35" s="2" t="s">
        <v>200</v>
      </c>
      <c r="C35" s="2" t="s">
        <v>156</v>
      </c>
      <c r="D35" s="2" t="s">
        <v>157</v>
      </c>
      <c r="E35" s="15"/>
      <c r="G35" t="str">
        <f t="shared" si="0"/>
        <v>&lt;dl&gt;&lt;dt&gt;宫位&lt;/dt&gt;&lt;dd&gt;庙旺（7-10）象义&lt;/dd&gt;&lt;dd&gt;落陷（1-3）象义&lt;/dd&gt;&lt;/dl&gt;</v>
      </c>
    </row>
    <row r="36" spans="2:7" ht="16.5" thickBot="1" x14ac:dyDescent="0.25">
      <c r="B36" s="3" t="s">
        <v>201</v>
      </c>
      <c r="C36" s="4" t="s">
        <v>202</v>
      </c>
      <c r="D36" s="4" t="s">
        <v>203</v>
      </c>
      <c r="E36" s="15"/>
      <c r="G36" t="str">
        <f t="shared" si="0"/>
        <v>&lt;dl&gt;&lt;dt&gt;命宫​&lt;/dt&gt;&lt;dd&gt;天生贵气（领袖气质/学霸）&lt;/dd&gt;&lt;dd&gt;孤高自负（人缘差/眼高手低）&lt;/dd&gt;&lt;/dl&gt;</v>
      </c>
    </row>
    <row r="37" spans="2:7" ht="16.5" thickBot="1" x14ac:dyDescent="0.25">
      <c r="B37" s="3" t="s">
        <v>3</v>
      </c>
      <c r="C37" s="4" t="s">
        <v>204</v>
      </c>
      <c r="D37" s="4" t="s">
        <v>205</v>
      </c>
      <c r="E37" s="15"/>
      <c r="G37" t="str">
        <f t="shared" si="0"/>
        <v>&lt;dl&gt;&lt;dt&gt;财帛宫​&lt;/dt&gt;&lt;dd&gt;体面收入（高薪/遗产）&lt;/dd&gt;&lt;dd&gt;虚耗钱财（充大款/投资泡沫）&lt;/dd&gt;&lt;/dl&gt;</v>
      </c>
    </row>
    <row r="38" spans="2:7" ht="16.5" thickBot="1" x14ac:dyDescent="0.25">
      <c r="B38" s="3" t="s">
        <v>206</v>
      </c>
      <c r="C38" s="4" t="s">
        <v>207</v>
      </c>
      <c r="D38" s="4" t="s">
        <v>208</v>
      </c>
      <c r="E38" s="15"/>
      <c r="G38" t="str">
        <f t="shared" si="0"/>
        <v>&lt;dl&gt;&lt;dt&gt;官禄宫​&lt;/dt&gt;&lt;dd&gt;管理阶层（CEO/公务员）&lt;/dd&gt;&lt;dd&gt;空有头衔（傀儡领导/闲职）&lt;/dd&gt;&lt;/dl&gt;</v>
      </c>
    </row>
    <row r="39" spans="2:7" ht="16.5" thickBot="1" x14ac:dyDescent="0.25">
      <c r="B39" s="3" t="s">
        <v>0</v>
      </c>
      <c r="C39" s="4" t="s">
        <v>209</v>
      </c>
      <c r="D39" s="4" t="s">
        <v>210</v>
      </c>
      <c r="E39" s="15"/>
      <c r="G39" t="str">
        <f t="shared" si="0"/>
        <v>&lt;dl&gt;&lt;dt&gt;田宅宫​&lt;/dt&gt;&lt;dd&gt;豪华房产（别墅/地标建筑）&lt;/dd&gt;&lt;dd&gt;家道中落（抵押豪宅/凶宅）&lt;/dd&gt;&lt;/dl&gt;</v>
      </c>
    </row>
    <row r="40" spans="2:7" ht="16.5" thickBot="1" x14ac:dyDescent="0.25">
      <c r="B40" s="3" t="s">
        <v>6</v>
      </c>
      <c r="C40" s="4" t="s">
        <v>211</v>
      </c>
      <c r="D40" s="4" t="s">
        <v>212</v>
      </c>
      <c r="E40" s="15"/>
      <c r="G40" t="str">
        <f t="shared" si="0"/>
        <v>&lt;dl&gt;&lt;dt&gt;疾厄宫​&lt;/dt&gt;&lt;dd&gt;重要器官病（心脏病/脑瘤）&lt;/dd&gt;&lt;dd&gt;脾胃虚弱（富贵病/消化不良）&lt;/dd&gt;&lt;/dl&gt;</v>
      </c>
    </row>
    <row r="41" spans="2:7" ht="16.5" thickBot="1" x14ac:dyDescent="0.25">
      <c r="B41" s="3" t="s">
        <v>15</v>
      </c>
      <c r="C41" s="4" t="s">
        <v>213</v>
      </c>
      <c r="D41" s="4" t="s">
        <v>214</v>
      </c>
      <c r="E41" s="15"/>
      <c r="G41" t="str">
        <f t="shared" si="0"/>
        <v>&lt;dl&gt;&lt;dt&gt;迁移宫​&lt;/dt&gt;&lt;dd&gt;出入高端场所（国际会议/贵族学校）&lt;/dd&gt;&lt;dd&gt;虚张声势（装阔/蹭高端场合）&lt;/dd&gt;&lt;/dl&gt;</v>
      </c>
    </row>
    <row r="42" spans="2:7" ht="16.5" thickBot="1" x14ac:dyDescent="0.25">
      <c r="E42" s="15"/>
      <c r="G42" t="str">
        <f t="shared" si="0"/>
        <v>&lt;dl&gt;&lt;dt&gt;&lt;/dt&gt;&lt;dd&gt;&lt;/dd&gt;&lt;dd&gt;&lt;/dd&gt;&lt;/dl&gt;</v>
      </c>
    </row>
    <row r="43" spans="2:7" ht="16.5" thickBot="1" x14ac:dyDescent="0.25">
      <c r="B43" s="14"/>
      <c r="C43" s="15"/>
      <c r="D43" s="15"/>
      <c r="E43" s="15"/>
      <c r="G43" t="str">
        <f t="shared" si="0"/>
        <v>&lt;dl&gt;&lt;dt&gt;&lt;/dt&gt;&lt;dd&gt;&lt;/dd&gt;&lt;dd&gt;&lt;/dd&gt;&lt;/dl&gt;</v>
      </c>
    </row>
    <row r="46" spans="2:7" ht="17.25" x14ac:dyDescent="0.2">
      <c r="B46" s="5"/>
    </row>
    <row r="47" spans="2:7" ht="16.5" thickBot="1" x14ac:dyDescent="0.25">
      <c r="B47" s="11"/>
    </row>
    <row r="48" spans="2:7" ht="16.5" thickBot="1" x14ac:dyDescent="0.25">
      <c r="B48" s="12"/>
      <c r="C48" s="12"/>
      <c r="D48" s="12"/>
      <c r="E48" s="12"/>
    </row>
    <row r="49" spans="2:7" ht="16.5" thickBot="1" x14ac:dyDescent="0.25">
      <c r="B49" s="14"/>
      <c r="C49" s="15"/>
      <c r="D49" s="15"/>
      <c r="E49" s="15"/>
      <c r="G49" t="str">
        <f t="shared" si="0"/>
        <v>&lt;dl&gt;&lt;dt&gt;&lt;/dt&gt;&lt;dd&gt;&lt;/dd&gt;&lt;dd&gt;&lt;/dd&gt;&lt;/dl&gt;</v>
      </c>
    </row>
    <row r="50" spans="2:7" ht="16.5" thickBot="1" x14ac:dyDescent="0.25">
      <c r="B50" s="14"/>
      <c r="C50" s="15"/>
      <c r="D50" s="15"/>
      <c r="E50" s="15"/>
      <c r="G50" t="str">
        <f t="shared" si="0"/>
        <v>&lt;dl&gt;&lt;dt&gt;&lt;/dt&gt;&lt;dd&gt;&lt;/dd&gt;&lt;dd&gt;&lt;/dd&gt;&lt;/dl&gt;</v>
      </c>
    </row>
    <row r="51" spans="2:7" ht="16.5" thickBot="1" x14ac:dyDescent="0.25">
      <c r="B51" s="14"/>
      <c r="C51" s="15"/>
      <c r="D51" s="15"/>
      <c r="E51" s="15"/>
      <c r="G51" t="str">
        <f t="shared" si="0"/>
        <v>&lt;dl&gt;&lt;dt&gt;&lt;/dt&gt;&lt;dd&gt;&lt;/dd&gt;&lt;dd&gt;&lt;/dd&gt;&lt;/dl&gt;</v>
      </c>
    </row>
    <row r="52" spans="2:7" ht="16.5" thickBot="1" x14ac:dyDescent="0.25">
      <c r="B52" s="14"/>
      <c r="C52" s="15"/>
      <c r="D52" s="15"/>
      <c r="E52" s="15"/>
      <c r="G52" t="str">
        <f t="shared" si="0"/>
        <v>&lt;dl&gt;&lt;dt&gt;&lt;/dt&gt;&lt;dd&gt;&lt;/dd&gt;&lt;dd&gt;&lt;/dd&gt;&lt;/dl&gt;</v>
      </c>
    </row>
    <row r="55" spans="2:7" ht="17.25" x14ac:dyDescent="0.2">
      <c r="B55" s="5"/>
    </row>
    <row r="56" spans="2:7" x14ac:dyDescent="0.2">
      <c r="B56" s="6"/>
    </row>
    <row r="57" spans="2:7" x14ac:dyDescent="0.2">
      <c r="B57" s="7"/>
    </row>
    <row r="58" spans="2:7" x14ac:dyDescent="0.2">
      <c r="B58" s="6"/>
    </row>
    <row r="59" spans="2:7" x14ac:dyDescent="0.2">
      <c r="B59" s="8"/>
    </row>
    <row r="60" spans="2:7" x14ac:dyDescent="0.2">
      <c r="B60" s="8"/>
    </row>
    <row r="64" spans="2:7" ht="17.25" x14ac:dyDescent="0.2">
      <c r="B64" s="5"/>
    </row>
    <row r="65" spans="2:2" x14ac:dyDescent="0.2">
      <c r="B65" s="6"/>
    </row>
    <row r="66" spans="2:2" x14ac:dyDescent="0.2">
      <c r="B66" s="7"/>
    </row>
    <row r="67" spans="2:2" x14ac:dyDescent="0.2">
      <c r="B67" s="6"/>
    </row>
    <row r="68" spans="2:2" x14ac:dyDescent="0.2">
      <c r="B68" s="9"/>
    </row>
    <row r="69" spans="2:2" x14ac:dyDescent="0.2">
      <c r="B69" s="9"/>
    </row>
    <row r="70" spans="2:2" x14ac:dyDescent="0.2">
      <c r="B70" s="7"/>
    </row>
    <row r="71" spans="2:2" x14ac:dyDescent="0.2">
      <c r="B71" s="6"/>
    </row>
    <row r="72" spans="2:2" x14ac:dyDescent="0.2">
      <c r="B72" s="9"/>
    </row>
    <row r="73" spans="2:2" x14ac:dyDescent="0.2">
      <c r="B73" s="9"/>
    </row>
    <row r="77" spans="2:2" ht="17.25" x14ac:dyDescent="0.2">
      <c r="B77" s="5"/>
    </row>
    <row r="80" spans="2:2" x14ac:dyDescent="0.2">
      <c r="B80" s="16"/>
    </row>
    <row r="81" spans="2:2" x14ac:dyDescent="0.2">
      <c r="B81" s="6"/>
    </row>
    <row r="82" spans="2:2" x14ac:dyDescent="0.2">
      <c r="B82" s="6"/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A72684-AED1-46C8-B286-C73E08579A91}">
  <dimension ref="B1:G82"/>
  <sheetViews>
    <sheetView topLeftCell="A58" zoomScaleNormal="100" workbookViewId="0">
      <selection activeCell="B2" sqref="B2"/>
    </sheetView>
  </sheetViews>
  <sheetFormatPr defaultRowHeight="14.25" x14ac:dyDescent="0.2"/>
  <cols>
    <col min="1" max="1" width="2.75" customWidth="1"/>
    <col min="2" max="2" width="15.625" customWidth="1"/>
    <col min="3" max="3" width="43.125" customWidth="1"/>
    <col min="4" max="4" width="32.75" customWidth="1"/>
  </cols>
  <sheetData>
    <row r="1" spans="2:7" x14ac:dyDescent="0.2">
      <c r="G1" t="str">
        <f>"&lt;dl&gt;&lt;dt&gt;" &amp; B1 &amp; "&lt;/dt&gt;&lt;dd&gt;" &amp; C1 &amp; "&lt;/dd&gt;&lt;dd&gt;" &amp; D1 &amp; "&lt;/dd&gt;&lt;/dl&gt;"</f>
        <v>&lt;dl&gt;&lt;dt&gt;&lt;/dt&gt;&lt;dd&gt;&lt;/dd&gt;&lt;dd&gt;&lt;/dd&gt;&lt;/dl&gt;</v>
      </c>
    </row>
    <row r="2" spans="2:7" x14ac:dyDescent="0.2">
      <c r="B2" t="s">
        <v>22</v>
      </c>
    </row>
    <row r="5" spans="2:7" ht="17.25" x14ac:dyDescent="0.2">
      <c r="B5" s="5" t="s">
        <v>23</v>
      </c>
    </row>
    <row r="7" spans="2:7" x14ac:dyDescent="0.2">
      <c r="B7" s="1" t="s">
        <v>24</v>
      </c>
    </row>
    <row r="8" spans="2:7" x14ac:dyDescent="0.2">
      <c r="B8" s="6"/>
    </row>
    <row r="9" spans="2:7" x14ac:dyDescent="0.2">
      <c r="B9" s="7" t="s">
        <v>25</v>
      </c>
    </row>
    <row r="10" spans="2:7" x14ac:dyDescent="0.2">
      <c r="B10" s="6"/>
    </row>
    <row r="11" spans="2:7" x14ac:dyDescent="0.2">
      <c r="B11" s="8" t="s">
        <v>26</v>
      </c>
    </row>
    <row r="12" spans="2:7" x14ac:dyDescent="0.2">
      <c r="B12" s="8" t="s">
        <v>27</v>
      </c>
    </row>
    <row r="13" spans="2:7" x14ac:dyDescent="0.2">
      <c r="B13" s="8" t="s">
        <v>28</v>
      </c>
    </row>
    <row r="14" spans="2:7" x14ac:dyDescent="0.2">
      <c r="B14" s="8" t="s">
        <v>29</v>
      </c>
    </row>
    <row r="15" spans="2:7" x14ac:dyDescent="0.2">
      <c r="B15" s="9"/>
    </row>
    <row r="16" spans="2:7" x14ac:dyDescent="0.2">
      <c r="B16" s="10" t="s">
        <v>30</v>
      </c>
    </row>
    <row r="17" spans="2:7" x14ac:dyDescent="0.2">
      <c r="B17" s="10" t="s">
        <v>31</v>
      </c>
    </row>
    <row r="21" spans="2:7" ht="17.25" x14ac:dyDescent="0.2">
      <c r="B21" s="5" t="s">
        <v>32</v>
      </c>
    </row>
    <row r="22" spans="2:7" ht="16.5" thickBot="1" x14ac:dyDescent="0.25">
      <c r="B22" s="11"/>
    </row>
    <row r="23" spans="2:7" ht="16.5" thickBot="1" x14ac:dyDescent="0.25">
      <c r="B23" s="12" t="s">
        <v>18</v>
      </c>
      <c r="C23" s="12" t="s">
        <v>19</v>
      </c>
      <c r="D23" s="12" t="s">
        <v>20</v>
      </c>
      <c r="E23" s="12" t="s">
        <v>21</v>
      </c>
    </row>
    <row r="24" spans="2:7" ht="16.5" thickBot="1" x14ac:dyDescent="0.25">
      <c r="B24" s="14" t="s">
        <v>33</v>
      </c>
      <c r="C24" s="15" t="s">
        <v>1</v>
      </c>
      <c r="D24" s="15" t="s">
        <v>2</v>
      </c>
      <c r="E24" s="15"/>
      <c r="G24" t="str">
        <f t="shared" ref="G24:G52" si="0">"&lt;dl&gt;&lt;dt&gt;" &amp; B24 &amp; "&lt;/dt&gt;&lt;dd&gt;" &amp; C24 &amp; "&lt;/dd&gt;&lt;dd&gt;" &amp; D24 &amp; "&lt;/dd&gt;&lt;/dl&gt;"</f>
        <v>&lt;dl&gt;&lt;dt&gt;田宅宫​&lt;/dt&gt;&lt;dd&gt;家宅广阔（别墅、地标建筑）&lt;/dd&gt;&lt;dd&gt;家道中落（抵押房产、凶宅）&lt;/dd&gt;&lt;/dl&gt;</v>
      </c>
    </row>
    <row r="25" spans="2:7" ht="16.5" thickBot="1" x14ac:dyDescent="0.25">
      <c r="B25" s="14" t="s">
        <v>34</v>
      </c>
      <c r="C25" s="15" t="s">
        <v>4</v>
      </c>
      <c r="D25" s="15" t="s">
        <v>5</v>
      </c>
      <c r="E25" s="15"/>
      <c r="G25" t="str">
        <f t="shared" si="0"/>
        <v>&lt;dl&gt;&lt;dt&gt;财帛宫​&lt;/dt&gt;&lt;dd&gt;储蓄力强（固定资产、稳定理财）&lt;/dd&gt;&lt;dd&gt;资源虚耗（投资泡沫、账目漏洞）&lt;/dd&gt;&lt;/dl&gt;</v>
      </c>
    </row>
    <row r="26" spans="2:7" ht="16.5" thickBot="1" x14ac:dyDescent="0.25">
      <c r="B26" s="14" t="s">
        <v>35</v>
      </c>
      <c r="C26" s="15" t="s">
        <v>7</v>
      </c>
      <c r="D26" s="15" t="s">
        <v>8</v>
      </c>
      <c r="E26" s="15"/>
      <c r="G26" t="str">
        <f t="shared" si="0"/>
        <v>&lt;dl&gt;&lt;dt&gt;疾厄宫​&lt;/dt&gt;&lt;dd&gt;脾胃健康（土主中焦）&lt;/dd&gt;&lt;dd&gt;胃病（+铃星主胃痛）&lt;/dd&gt;&lt;/dl&gt;</v>
      </c>
    </row>
    <row r="27" spans="2:7" ht="16.5" thickBot="1" x14ac:dyDescent="0.25">
      <c r="B27" s="14" t="s">
        <v>36</v>
      </c>
      <c r="C27" s="15" t="s">
        <v>10</v>
      </c>
      <c r="D27" s="15" t="s">
        <v>11</v>
      </c>
      <c r="E27" s="15"/>
      <c r="G27" t="str">
        <f t="shared" si="0"/>
        <v>&lt;dl&gt;&lt;dt&gt;父母宫​&lt;/dt&gt;&lt;dd&gt;长辈为靠山（政府关系、师承名门）&lt;/dd&gt;&lt;dd&gt;文书问题（+文昌忌：证书造假）&lt;/dd&gt;&lt;/dl&gt;</v>
      </c>
    </row>
    <row r="28" spans="2:7" ht="16.5" thickBot="1" x14ac:dyDescent="0.25">
      <c r="B28" s="14" t="s">
        <v>37</v>
      </c>
      <c r="C28" s="15" t="s">
        <v>13</v>
      </c>
      <c r="D28" s="15" t="s">
        <v>14</v>
      </c>
      <c r="E28" s="15"/>
      <c r="G28" t="str">
        <f t="shared" si="0"/>
        <v>&lt;dl&gt;&lt;dt&gt;交友宫​&lt;/dt&gt;&lt;dd&gt;贵人圈层（高端人脉）&lt;/dd&gt;&lt;dd&gt;孤立无援（小人背叛）&lt;/dd&gt;&lt;/dl&gt;</v>
      </c>
    </row>
    <row r="29" spans="2:7" ht="16.5" thickBot="1" x14ac:dyDescent="0.25">
      <c r="B29" s="14" t="s">
        <v>38</v>
      </c>
      <c r="C29" s="15" t="s">
        <v>16</v>
      </c>
      <c r="D29" s="15" t="s">
        <v>17</v>
      </c>
      <c r="E29" s="15"/>
      <c r="G29" t="str">
        <f t="shared" si="0"/>
        <v>&lt;dl&gt;&lt;dt&gt;迁移宫​&lt;/dt&gt;&lt;dd&gt;异地置产（跨国资产）&lt;/dd&gt;&lt;dd&gt;漂泊无定（+天马：频繁搬家）&lt;/dd&gt;&lt;/dl&gt;</v>
      </c>
    </row>
    <row r="32" spans="2:7" ht="17.25" x14ac:dyDescent="0.2">
      <c r="B32" s="5" t="s">
        <v>39</v>
      </c>
    </row>
    <row r="33" spans="2:7" ht="16.5" thickBot="1" x14ac:dyDescent="0.25">
      <c r="B33" s="11"/>
    </row>
    <row r="34" spans="2:7" ht="16.5" thickBot="1" x14ac:dyDescent="0.25">
      <c r="B34" s="12" t="s">
        <v>40</v>
      </c>
      <c r="C34" s="12" t="s">
        <v>41</v>
      </c>
      <c r="D34" s="12" t="s">
        <v>42</v>
      </c>
      <c r="E34" s="12" t="s">
        <v>21</v>
      </c>
    </row>
    <row r="35" spans="2:7" ht="16.5" thickBot="1" x14ac:dyDescent="0.25">
      <c r="B35" s="14" t="s">
        <v>43</v>
      </c>
      <c r="C35" s="15" t="s">
        <v>44</v>
      </c>
      <c r="D35" s="15" t="s">
        <v>45</v>
      </c>
      <c r="E35" s="15"/>
      <c r="G35" t="str">
        <f t="shared" si="0"/>
        <v>&lt;dl&gt;&lt;dt&gt;天府+铃星​&lt;/dt&gt;&lt;dd&gt;空间内热闹（社群活跃）&lt;/dd&gt;&lt;dd&gt;家宅不宁（房屋纠纷）&lt;/dd&gt;&lt;/dl&gt;</v>
      </c>
    </row>
    <row r="36" spans="2:7" ht="16.5" thickBot="1" x14ac:dyDescent="0.25">
      <c r="B36" s="14" t="s">
        <v>46</v>
      </c>
      <c r="C36" s="15" t="s">
        <v>47</v>
      </c>
      <c r="D36" s="15" t="s">
        <v>48</v>
      </c>
      <c r="E36" s="15"/>
      <c r="G36" t="str">
        <f t="shared" si="0"/>
        <v>&lt;dl&gt;&lt;dt&gt;天府+地劫​&lt;/dt&gt;&lt;dd&gt;资源流失（突发破财）&lt;/dd&gt;&lt;dd&gt;家道中空（祖产败尽）&lt;/dd&gt;&lt;/dl&gt;</v>
      </c>
    </row>
    <row r="37" spans="2:7" ht="16.5" thickBot="1" x14ac:dyDescent="0.25">
      <c r="B37" s="14" t="s">
        <v>49</v>
      </c>
      <c r="C37" s="15" t="s">
        <v>50</v>
      </c>
      <c r="D37" s="15" t="s">
        <v>51</v>
      </c>
      <c r="E37" s="15"/>
      <c r="G37" t="str">
        <f t="shared" si="0"/>
        <v>&lt;dl&gt;&lt;dt&gt;天府+文昌​&lt;/dt&gt;&lt;dd&gt;腹有锦绣（学识渊博）&lt;/dd&gt;&lt;dd&gt;虚有其表（证书无效）&lt;/dd&gt;&lt;/dl&gt;</v>
      </c>
    </row>
    <row r="38" spans="2:7" ht="16.5" thickBot="1" x14ac:dyDescent="0.25">
      <c r="B38" s="14" t="s">
        <v>52</v>
      </c>
      <c r="C38" s="15" t="s">
        <v>53</v>
      </c>
      <c r="D38" s="15" t="s">
        <v>54</v>
      </c>
      <c r="E38" s="15"/>
      <c r="G38" t="str">
        <f t="shared" si="0"/>
        <v>&lt;dl&gt;&lt;dt&gt;天府+天喜​&lt;/dt&gt;&lt;dd&gt;家宅喜庆（婚宴场所）&lt;/dd&gt;&lt;dd&gt;虚假欢庆（表面和睦）&lt;/dd&gt;&lt;/dl&gt;</v>
      </c>
    </row>
    <row r="39" spans="2:7" ht="16.5" thickBot="1" x14ac:dyDescent="0.25">
      <c r="B39" s="14" t="s">
        <v>55</v>
      </c>
      <c r="C39" s="15" t="s">
        <v>56</v>
      </c>
      <c r="D39" s="15" t="s">
        <v>57</v>
      </c>
      <c r="E39" s="15"/>
      <c r="G39" t="str">
        <f t="shared" si="0"/>
        <v>&lt;dl&gt;&lt;dt&gt;天府+陀罗​&lt;/dt&gt;&lt;dd&gt;空间稳固（长期持有房产）&lt;/dd&gt;&lt;dd&gt;发展停滞（项目烂尾）&lt;/dd&gt;&lt;/dl&gt;</v>
      </c>
    </row>
    <row r="40" spans="2:7" ht="16.5" thickBot="1" x14ac:dyDescent="0.25">
      <c r="B40" s="14" t="s">
        <v>58</v>
      </c>
      <c r="C40" s="15" t="s">
        <v>59</v>
      </c>
      <c r="D40" s="15" t="s">
        <v>60</v>
      </c>
      <c r="E40" s="15"/>
      <c r="G40" t="str">
        <f t="shared" si="0"/>
        <v>&lt;dl&gt;&lt;dt&gt;天府+阴煞​&lt;/dt&gt;&lt;dd&gt;灵性空间（寺庙、祠堂）&lt;/dd&gt;&lt;dd&gt;阴气积聚（凶宅风水）&lt;/dd&gt;&lt;/dl&gt;</v>
      </c>
    </row>
    <row r="41" spans="2:7" ht="16.5" thickBot="1" x14ac:dyDescent="0.25">
      <c r="B41" s="14" t="s">
        <v>61</v>
      </c>
      <c r="C41" s="15" t="s">
        <v>62</v>
      </c>
      <c r="D41" s="15" t="s">
        <v>63</v>
      </c>
      <c r="E41" s="15"/>
      <c r="G41" t="str">
        <f t="shared" si="0"/>
        <v>&lt;dl&gt;&lt;dt&gt;天府+凤阁​&lt;/dt&gt;&lt;dd&gt;高档房产（豪宅、会所）&lt;/dd&gt;&lt;dd&gt;空间局促（蜗居）&lt;/dd&gt;&lt;/dl&gt;</v>
      </c>
    </row>
    <row r="42" spans="2:7" ht="16.5" thickBot="1" x14ac:dyDescent="0.25">
      <c r="B42" s="14" t="s">
        <v>64</v>
      </c>
      <c r="C42" s="15" t="s">
        <v>65</v>
      </c>
      <c r="D42" s="15" t="s">
        <v>66</v>
      </c>
      <c r="E42" s="15"/>
      <c r="G42" t="str">
        <f t="shared" si="0"/>
        <v>&lt;dl&gt;&lt;dt&gt;天府+天刑​&lt;/dt&gt;&lt;dd&gt;法律空间（法院、监狱）&lt;/dd&gt;&lt;dd&gt;空间禁锢（囚禁感）&lt;/dd&gt;&lt;/dl&gt;</v>
      </c>
    </row>
    <row r="43" spans="2:7" ht="16.5" thickBot="1" x14ac:dyDescent="0.25">
      <c r="B43" s="14" t="s">
        <v>67</v>
      </c>
      <c r="C43" s="15" t="s">
        <v>68</v>
      </c>
      <c r="D43" s="15" t="s">
        <v>69</v>
      </c>
      <c r="E43" s="15"/>
      <c r="G43" t="str">
        <f t="shared" si="0"/>
        <v>&lt;dl&gt;&lt;dt&gt;天府+地空​&lt;/dt&gt;&lt;dd&gt;虚拟空间（网络平台）&lt;/dd&gt;&lt;dd&gt;资源泡沫（虚假投资）&lt;/dd&gt;&lt;/dl&gt;</v>
      </c>
    </row>
    <row r="46" spans="2:7" ht="17.25" x14ac:dyDescent="0.2">
      <c r="B46" s="5" t="s">
        <v>70</v>
      </c>
    </row>
    <row r="47" spans="2:7" ht="16.5" thickBot="1" x14ac:dyDescent="0.25">
      <c r="B47" s="11"/>
    </row>
    <row r="48" spans="2:7" ht="16.5" thickBot="1" x14ac:dyDescent="0.25">
      <c r="B48" s="12" t="s">
        <v>71</v>
      </c>
      <c r="C48" s="12" t="s">
        <v>72</v>
      </c>
      <c r="D48" s="12" t="s">
        <v>73</v>
      </c>
      <c r="E48" s="12" t="s">
        <v>21</v>
      </c>
    </row>
    <row r="49" spans="2:7" ht="16.5" thickBot="1" x14ac:dyDescent="0.25">
      <c r="B49" s="14" t="s">
        <v>74</v>
      </c>
      <c r="C49" s="15" t="s">
        <v>75</v>
      </c>
      <c r="D49" s="15" t="s">
        <v>76</v>
      </c>
      <c r="E49" s="15"/>
      <c r="G49" t="str">
        <f t="shared" si="0"/>
        <v>&lt;dl&gt;&lt;dt&gt;天府+紫微​&lt;/dt&gt;&lt;dd&gt;权威空间（政府大楼、银行）&lt;/dd&gt;&lt;dd&gt;辰/戌宫：入狱象（空间束缚）&lt;/dd&gt;&lt;/dl&gt;</v>
      </c>
    </row>
    <row r="50" spans="2:7" ht="16.5" thickBot="1" x14ac:dyDescent="0.25">
      <c r="B50" s="14" t="s">
        <v>77</v>
      </c>
      <c r="C50" s="15" t="s">
        <v>78</v>
      </c>
      <c r="D50" s="15" t="s">
        <v>79</v>
      </c>
      <c r="E50" s="15"/>
      <c r="G50" t="str">
        <f t="shared" si="0"/>
        <v>&lt;dl&gt;&lt;dt&gt;天府+武曲​&lt;/dt&gt;&lt;dd&gt;金融空间（银行、保险柜）&lt;/dd&gt;&lt;dd&gt;账目混乱（+地劫：财务漏洞）&lt;/dd&gt;&lt;/dl&gt;</v>
      </c>
    </row>
    <row r="51" spans="2:7" ht="16.5" thickBot="1" x14ac:dyDescent="0.25">
      <c r="B51" s="14" t="s">
        <v>80</v>
      </c>
      <c r="C51" s="15" t="s">
        <v>81</v>
      </c>
      <c r="D51" s="15" t="s">
        <v>82</v>
      </c>
      <c r="E51" s="15"/>
      <c r="G51" t="str">
        <f t="shared" si="0"/>
        <v>&lt;dl&gt;&lt;dt&gt;天府+廉贞​&lt;/dt&gt;&lt;dd&gt;掌控空间（公司总部、电子系统）&lt;/dd&gt;&lt;dd&gt;戌宫化忌：失控（服务器崩溃）&lt;/dd&gt;&lt;/dl&gt;</v>
      </c>
    </row>
    <row r="52" spans="2:7" ht="16.5" thickBot="1" x14ac:dyDescent="0.25">
      <c r="B52" s="14" t="s">
        <v>83</v>
      </c>
      <c r="C52" s="15" t="s">
        <v>84</v>
      </c>
      <c r="D52" s="15" t="s">
        <v>85</v>
      </c>
      <c r="E52" s="15"/>
      <c r="G52" t="str">
        <f t="shared" si="0"/>
        <v>&lt;dl&gt;&lt;dt&gt;天府+太阳​&lt;/dt&gt;&lt;dd&gt;公共空间（广场、地标）&lt;/dd&gt;&lt;dd&gt;寅宫落陷：权威崩塌（烂尾工程）&lt;/dd&gt;&lt;/dl&gt;</v>
      </c>
    </row>
    <row r="55" spans="2:7" ht="17.25" x14ac:dyDescent="0.2">
      <c r="B55" s="5" t="s">
        <v>86</v>
      </c>
    </row>
    <row r="56" spans="2:7" x14ac:dyDescent="0.2">
      <c r="B56" s="6"/>
    </row>
    <row r="57" spans="2:7" x14ac:dyDescent="0.2">
      <c r="B57" s="7" t="s">
        <v>87</v>
      </c>
    </row>
    <row r="58" spans="2:7" x14ac:dyDescent="0.2">
      <c r="B58" s="6"/>
    </row>
    <row r="59" spans="2:7" x14ac:dyDescent="0.2">
      <c r="B59" s="8" t="s">
        <v>88</v>
      </c>
    </row>
    <row r="60" spans="2:7" x14ac:dyDescent="0.2">
      <c r="B60" s="8" t="s">
        <v>89</v>
      </c>
    </row>
    <row r="64" spans="2:7" ht="17.25" x14ac:dyDescent="0.2">
      <c r="B64" s="5" t="s">
        <v>90</v>
      </c>
    </row>
    <row r="65" spans="2:2" x14ac:dyDescent="0.2">
      <c r="B65" s="6"/>
    </row>
    <row r="66" spans="2:2" x14ac:dyDescent="0.2">
      <c r="B66" s="7" t="s">
        <v>91</v>
      </c>
    </row>
    <row r="67" spans="2:2" x14ac:dyDescent="0.2">
      <c r="B67" s="6"/>
    </row>
    <row r="68" spans="2:2" x14ac:dyDescent="0.2">
      <c r="B68" s="9" t="s">
        <v>92</v>
      </c>
    </row>
    <row r="69" spans="2:2" x14ac:dyDescent="0.2">
      <c r="B69" s="9" t="s">
        <v>93</v>
      </c>
    </row>
    <row r="70" spans="2:2" x14ac:dyDescent="0.2">
      <c r="B70" s="7" t="s">
        <v>94</v>
      </c>
    </row>
    <row r="71" spans="2:2" x14ac:dyDescent="0.2">
      <c r="B71" s="6"/>
    </row>
    <row r="72" spans="2:2" x14ac:dyDescent="0.2">
      <c r="B72" s="9" t="s">
        <v>95</v>
      </c>
    </row>
    <row r="73" spans="2:2" x14ac:dyDescent="0.2">
      <c r="B73" s="9" t="s">
        <v>96</v>
      </c>
    </row>
    <row r="77" spans="2:2" ht="17.25" x14ac:dyDescent="0.2">
      <c r="B77" s="5" t="s">
        <v>97</v>
      </c>
    </row>
    <row r="80" spans="2:2" x14ac:dyDescent="0.2">
      <c r="B80" s="16" t="s">
        <v>98</v>
      </c>
    </row>
    <row r="81" spans="2:2" x14ac:dyDescent="0.2">
      <c r="B81" s="6"/>
    </row>
    <row r="82" spans="2:2" x14ac:dyDescent="0.2">
      <c r="B82" s="6" t="s">
        <v>99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ACD793-D16C-4000-B8D6-C0C28B7C1798}">
  <dimension ref="B1:G88"/>
  <sheetViews>
    <sheetView zoomScaleNormal="100" workbookViewId="0">
      <selection activeCell="B1" sqref="B1:F88"/>
    </sheetView>
  </sheetViews>
  <sheetFormatPr defaultRowHeight="14.25" x14ac:dyDescent="0.2"/>
  <cols>
    <col min="1" max="1" width="2.75" customWidth="1"/>
    <col min="2" max="2" width="15.625" customWidth="1"/>
    <col min="3" max="3" width="43.125" customWidth="1"/>
    <col min="4" max="4" width="32.75" customWidth="1"/>
  </cols>
  <sheetData>
    <row r="1" spans="2:7" ht="17.25" x14ac:dyDescent="0.2">
      <c r="B1" s="5" t="s">
        <v>370</v>
      </c>
      <c r="G1" t="str">
        <f>"&lt;dl&gt;&lt;dt&gt;" &amp; B1 &amp; "&lt;/dt&gt;&lt;dd&gt;" &amp; C1 &amp; "&lt;/dd&gt;&lt;dd&gt;" &amp; D1 &amp; "&lt;/dd&gt;&lt;/dl&gt;"</f>
        <v>&lt;dl&gt;&lt;dt&gt;天梁星​&lt;/dt&gt;&lt;dd&gt;&lt;/dd&gt;&lt;dd&gt;&lt;/dd&gt;&lt;/dl&gt;</v>
      </c>
    </row>
    <row r="3" spans="2:7" x14ac:dyDescent="0.2">
      <c r="B3" s="1" t="s">
        <v>371</v>
      </c>
    </row>
    <row r="4" spans="2:7" x14ac:dyDescent="0.2">
      <c r="B4" s="1" t="s">
        <v>372</v>
      </c>
    </row>
    <row r="5" spans="2:7" x14ac:dyDescent="0.2">
      <c r="B5" s="1" t="s">
        <v>373</v>
      </c>
    </row>
    <row r="6" spans="2:7" x14ac:dyDescent="0.2">
      <c r="B6" s="1" t="s">
        <v>374</v>
      </c>
    </row>
    <row r="9" spans="2:7" ht="17.25" x14ac:dyDescent="0.2">
      <c r="B9" s="5" t="s">
        <v>375</v>
      </c>
    </row>
    <row r="11" spans="2:7" x14ac:dyDescent="0.2">
      <c r="B11" s="2" t="s">
        <v>376</v>
      </c>
      <c r="C11" s="2" t="s">
        <v>377</v>
      </c>
      <c r="D11" s="2" t="s">
        <v>21</v>
      </c>
    </row>
    <row r="12" spans="2:7" ht="28.5" x14ac:dyDescent="0.2">
      <c r="B12" s="3" t="s">
        <v>378</v>
      </c>
      <c r="C12" s="4" t="s">
        <v>379</v>
      </c>
      <c r="D12" s="4"/>
    </row>
    <row r="13" spans="2:7" ht="28.5" x14ac:dyDescent="0.2">
      <c r="B13" s="3" t="s">
        <v>380</v>
      </c>
      <c r="C13" s="4" t="s">
        <v>381</v>
      </c>
      <c r="D13" s="4"/>
    </row>
    <row r="14" spans="2:7" ht="28.5" x14ac:dyDescent="0.2">
      <c r="B14" s="3" t="s">
        <v>382</v>
      </c>
      <c r="C14" s="4" t="s">
        <v>383</v>
      </c>
      <c r="D14" s="4"/>
    </row>
    <row r="15" spans="2:7" x14ac:dyDescent="0.2">
      <c r="B15" s="3" t="s">
        <v>384</v>
      </c>
      <c r="C15" s="4" t="s">
        <v>385</v>
      </c>
      <c r="D15" s="4"/>
    </row>
    <row r="16" spans="2:7" ht="28.5" x14ac:dyDescent="0.2">
      <c r="B16" s="3" t="s">
        <v>386</v>
      </c>
      <c r="C16" s="4" t="s">
        <v>387</v>
      </c>
      <c r="D16" s="4"/>
    </row>
    <row r="19" spans="2:7" ht="17.25" x14ac:dyDescent="0.2">
      <c r="B19" s="5" t="s">
        <v>388</v>
      </c>
    </row>
    <row r="21" spans="2:7" ht="15.75" x14ac:dyDescent="0.2">
      <c r="B21" s="13" t="s">
        <v>389</v>
      </c>
    </row>
    <row r="23" spans="2:7" x14ac:dyDescent="0.2">
      <c r="B23" s="2" t="s">
        <v>390</v>
      </c>
      <c r="C23" s="2" t="s">
        <v>391</v>
      </c>
      <c r="D23" s="2" t="s">
        <v>392</v>
      </c>
      <c r="E23" s="2" t="s">
        <v>21</v>
      </c>
    </row>
    <row r="24" spans="2:7" ht="28.5" x14ac:dyDescent="0.2">
      <c r="B24" s="3" t="s">
        <v>393</v>
      </c>
      <c r="C24" s="4" t="s">
        <v>394</v>
      </c>
      <c r="D24" s="4" t="s">
        <v>395</v>
      </c>
      <c r="E24" s="4"/>
      <c r="G24" t="str">
        <f t="shared" ref="G24:G52" si="0">"&lt;dl&gt;&lt;dt&gt;" &amp; B24 &amp; "&lt;/dt&gt;&lt;dd&gt;" &amp; C24 &amp; "&lt;/dd&gt;&lt;dd&gt;" &amp; D24 &amp; "&lt;/dd&gt;&lt;/dl&gt;"</f>
        <v>&lt;dl&gt;&lt;dt&gt;支撑体系​&lt;/dt&gt;&lt;dd&gt;权威支柱（政府法规/家族族长/企业高管）&lt;/dd&gt;&lt;dd&gt;支撑失效（企业倒闭/脊柱伤病/承诺落空）&lt;/dd&gt;&lt;/dl&gt;</v>
      </c>
    </row>
    <row r="25" spans="2:7" x14ac:dyDescent="0.2">
      <c r="B25" s="3" t="s">
        <v>396</v>
      </c>
      <c r="C25" s="4" t="s">
        <v>397</v>
      </c>
      <c r="D25" s="4" t="s">
        <v>398</v>
      </c>
      <c r="E25" s="4"/>
      <c r="G25" t="str">
        <f t="shared" si="0"/>
        <v>&lt;dl&gt;&lt;dt&gt;规则属性​&lt;/dt&gt;&lt;dd&gt;本层空间规则（现实法律/行业标准）&lt;/dd&gt;&lt;dd&gt;外层空间规则（玄学/灵体契约）&lt;/dd&gt;&lt;/dl&gt;</v>
      </c>
    </row>
    <row r="26" spans="2:7" x14ac:dyDescent="0.2">
      <c r="B26" s="3" t="s">
        <v>399</v>
      </c>
      <c r="C26" s="4" t="s">
        <v>400</v>
      </c>
      <c r="D26" s="4" t="s">
        <v>401</v>
      </c>
      <c r="E26" s="4"/>
      <c r="G26" t="str">
        <f t="shared" si="0"/>
        <v>&lt;dl&gt;&lt;dt&gt;公共事务​&lt;/dt&gt;&lt;dd&gt;达成共识（合同签订/政策落地）&lt;/dd&gt;&lt;dd&gt;未达成共识（谈判破裂/条款争议）&lt;/dd&gt;&lt;/dl&gt;</v>
      </c>
    </row>
    <row r="27" spans="2:7" x14ac:dyDescent="0.2">
      <c r="B27" s="3" t="s">
        <v>402</v>
      </c>
      <c r="C27" s="4" t="s">
        <v>403</v>
      </c>
      <c r="D27" s="4" t="s">
        <v>404</v>
      </c>
      <c r="E27" s="4"/>
      <c r="G27" t="str">
        <f t="shared" si="0"/>
        <v>&lt;dl&gt;&lt;dt&gt;遗传表征​&lt;/dt&gt;&lt;dd&gt;家族荫庇（祖产/优质基因）&lt;/dd&gt;&lt;dd&gt;遗传缺陷（先天疾病/家族诅咒）&lt;/dd&gt;&lt;/dl&gt;</v>
      </c>
    </row>
    <row r="28" spans="2:7" x14ac:dyDescent="0.2">
      <c r="G28" t="str">
        <f t="shared" si="0"/>
        <v>&lt;dl&gt;&lt;dt&gt;&lt;/dt&gt;&lt;dd&gt;&lt;/dd&gt;&lt;dd&gt;&lt;/dd&gt;&lt;/dl&gt;</v>
      </c>
    </row>
    <row r="29" spans="2:7" ht="15.75" x14ac:dyDescent="0.2">
      <c r="B29" s="13" t="s">
        <v>405</v>
      </c>
      <c r="G29" t="str">
        <f t="shared" si="0"/>
        <v>&lt;dl&gt;&lt;dt&gt;2. 特殊状态​&lt;/dt&gt;&lt;dd&gt;&lt;/dd&gt;&lt;dd&gt;&lt;/dd&gt;&lt;/dl&gt;</v>
      </c>
    </row>
    <row r="30" spans="2:7" x14ac:dyDescent="0.2">
      <c r="B30" s="6"/>
    </row>
    <row r="31" spans="2:7" x14ac:dyDescent="0.2">
      <c r="B31" s="7" t="s">
        <v>406</v>
      </c>
    </row>
    <row r="32" spans="2:7" x14ac:dyDescent="0.2">
      <c r="B32" s="7" t="s">
        <v>407</v>
      </c>
    </row>
    <row r="33" spans="2:7" x14ac:dyDescent="0.2">
      <c r="B33" s="6"/>
    </row>
    <row r="34" spans="2:7" x14ac:dyDescent="0.2">
      <c r="B34" s="9" t="s">
        <v>408</v>
      </c>
    </row>
    <row r="35" spans="2:7" x14ac:dyDescent="0.2">
      <c r="B35" s="9" t="s">
        <v>409</v>
      </c>
      <c r="G35" t="str">
        <f t="shared" si="0"/>
        <v>&lt;dl&gt;&lt;dt&gt;疾厄宫天梁+天刑：遗传性脊柱疾病&lt;/dt&gt;&lt;dd&gt;&lt;/dd&gt;&lt;dd&gt;&lt;/dd&gt;&lt;/dl&gt;</v>
      </c>
    </row>
    <row r="36" spans="2:7" x14ac:dyDescent="0.2">
      <c r="G36" t="str">
        <f t="shared" si="0"/>
        <v>&lt;dl&gt;&lt;dt&gt;&lt;/dt&gt;&lt;dd&gt;&lt;/dd&gt;&lt;dd&gt;&lt;/dd&gt;&lt;/dl&gt;</v>
      </c>
    </row>
    <row r="37" spans="2:7" x14ac:dyDescent="0.2">
      <c r="G37" t="str">
        <f t="shared" si="0"/>
        <v>&lt;dl&gt;&lt;dt&gt;&lt;/dt&gt;&lt;dd&gt;&lt;/dd&gt;&lt;dd&gt;&lt;/dd&gt;&lt;/dl&gt;</v>
      </c>
    </row>
    <row r="38" spans="2:7" x14ac:dyDescent="0.2">
      <c r="G38" t="str">
        <f t="shared" si="0"/>
        <v>&lt;dl&gt;&lt;dt&gt;&lt;/dt&gt;&lt;dd&gt;&lt;/dd&gt;&lt;dd&gt;&lt;/dd&gt;&lt;/dl&gt;</v>
      </c>
    </row>
    <row r="39" spans="2:7" ht="17.25" x14ac:dyDescent="0.2">
      <c r="B39" s="5" t="s">
        <v>410</v>
      </c>
      <c r="G39" t="str">
        <f t="shared" si="0"/>
        <v>&lt;dl&gt;&lt;dt&gt;三、组合象义​&lt;/dt&gt;&lt;dd&gt;&lt;/dd&gt;&lt;dd&gt;&lt;/dd&gt;&lt;/dl&gt;</v>
      </c>
    </row>
    <row r="40" spans="2:7" x14ac:dyDescent="0.2">
      <c r="G40" t="str">
        <f t="shared" si="0"/>
        <v>&lt;dl&gt;&lt;dt&gt;&lt;/dt&gt;&lt;dd&gt;&lt;/dd&gt;&lt;dd&gt;&lt;/dd&gt;&lt;/dl&gt;</v>
      </c>
    </row>
    <row r="41" spans="2:7" ht="15.75" x14ac:dyDescent="0.2">
      <c r="B41" s="13" t="s">
        <v>411</v>
      </c>
      <c r="G41" t="str">
        <f t="shared" si="0"/>
        <v>&lt;dl&gt;&lt;dt&gt;1. 主星组合​&lt;/dt&gt;&lt;dd&gt;&lt;/dd&gt;&lt;dd&gt;&lt;/dd&gt;&lt;/dl&gt;</v>
      </c>
    </row>
    <row r="42" spans="2:7" x14ac:dyDescent="0.2">
      <c r="G42" t="str">
        <f t="shared" si="0"/>
        <v>&lt;dl&gt;&lt;dt&gt;&lt;/dt&gt;&lt;dd&gt;&lt;/dd&gt;&lt;dd&gt;&lt;/dd&gt;&lt;/dl&gt;</v>
      </c>
    </row>
    <row r="43" spans="2:7" x14ac:dyDescent="0.2">
      <c r="B43" s="2" t="s">
        <v>71</v>
      </c>
      <c r="C43" s="2" t="s">
        <v>412</v>
      </c>
      <c r="D43" s="2" t="s">
        <v>413</v>
      </c>
      <c r="E43" s="2" t="s">
        <v>21</v>
      </c>
      <c r="G43" t="str">
        <f t="shared" si="0"/>
        <v>&lt;dl&gt;&lt;dt&gt;组合​&lt;/dt&gt;&lt;dd&gt;庙旺象义​&lt;/dd&gt;&lt;dd&gt;落陷象义​&lt;/dd&gt;&lt;/dl&gt;</v>
      </c>
    </row>
    <row r="44" spans="2:7" x14ac:dyDescent="0.2">
      <c r="B44" s="3" t="s">
        <v>414</v>
      </c>
      <c r="C44" s="4" t="s">
        <v>415</v>
      </c>
      <c r="D44" s="4" t="s">
        <v>416</v>
      </c>
      <c r="E44" s="4"/>
    </row>
    <row r="45" spans="2:7" x14ac:dyDescent="0.2">
      <c r="B45" s="3" t="s">
        <v>417</v>
      </c>
      <c r="C45" s="4" t="s">
        <v>418</v>
      </c>
      <c r="D45" s="4" t="s">
        <v>419</v>
      </c>
      <c r="E45" s="4"/>
    </row>
    <row r="46" spans="2:7" x14ac:dyDescent="0.2">
      <c r="B46" s="3" t="s">
        <v>420</v>
      </c>
      <c r="C46" s="4" t="s">
        <v>421</v>
      </c>
      <c r="D46" s="4" t="s">
        <v>422</v>
      </c>
      <c r="E46" s="4"/>
    </row>
    <row r="47" spans="2:7" x14ac:dyDescent="0.2">
      <c r="B47" s="3" t="s">
        <v>423</v>
      </c>
      <c r="C47" s="4" t="s">
        <v>424</v>
      </c>
      <c r="D47" s="4" t="s">
        <v>425</v>
      </c>
      <c r="E47" s="4"/>
    </row>
    <row r="49" spans="2:7" ht="15.75" x14ac:dyDescent="0.2">
      <c r="B49" s="13" t="s">
        <v>426</v>
      </c>
      <c r="G49" t="str">
        <f t="shared" si="0"/>
        <v>&lt;dl&gt;&lt;dt&gt;2. 辅星组合​&lt;/dt&gt;&lt;dd&gt;&lt;/dd&gt;&lt;dd&gt;&lt;/dd&gt;&lt;/dl&gt;</v>
      </c>
    </row>
    <row r="50" spans="2:7" x14ac:dyDescent="0.2">
      <c r="G50" t="str">
        <f t="shared" si="0"/>
        <v>&lt;dl&gt;&lt;dt&gt;&lt;/dt&gt;&lt;dd&gt;&lt;/dd&gt;&lt;dd&gt;&lt;/dd&gt;&lt;/dl&gt;</v>
      </c>
    </row>
    <row r="51" spans="2:7" x14ac:dyDescent="0.2">
      <c r="B51" s="2" t="s">
        <v>40</v>
      </c>
      <c r="C51" s="2" t="s">
        <v>427</v>
      </c>
      <c r="D51" s="2" t="s">
        <v>428</v>
      </c>
      <c r="E51" s="2" t="s">
        <v>21</v>
      </c>
      <c r="G51" t="str">
        <f t="shared" si="0"/>
        <v>&lt;dl&gt;&lt;dt&gt;辅星​&lt;/dt&gt;&lt;dd&gt;吉象（庙旺）​&lt;/dd&gt;&lt;dd&gt;凶象（落陷）​&lt;/dd&gt;&lt;/dl&gt;</v>
      </c>
    </row>
    <row r="52" spans="2:7" x14ac:dyDescent="0.2">
      <c r="B52" s="3" t="s">
        <v>429</v>
      </c>
      <c r="C52" s="4" t="s">
        <v>430</v>
      </c>
      <c r="D52" s="4" t="s">
        <v>431</v>
      </c>
      <c r="E52" s="4"/>
      <c r="G52" t="str">
        <f t="shared" si="0"/>
        <v>&lt;dl&gt;&lt;dt&gt;天梁+文昌​&lt;/dt&gt;&lt;dd&gt;文书支柱（法典编纂/学术传承）&lt;/dd&gt;&lt;dd&gt;规则歪曲（法律漏洞/学术抄袭）&lt;/dd&gt;&lt;/dl&gt;</v>
      </c>
    </row>
    <row r="53" spans="2:7" x14ac:dyDescent="0.2">
      <c r="B53" s="3" t="s">
        <v>432</v>
      </c>
      <c r="C53" s="4" t="s">
        <v>433</v>
      </c>
      <c r="D53" s="4" t="s">
        <v>434</v>
      </c>
      <c r="E53" s="4"/>
    </row>
    <row r="54" spans="2:7" x14ac:dyDescent="0.2">
      <c r="B54" s="3" t="s">
        <v>435</v>
      </c>
      <c r="C54" s="4" t="s">
        <v>436</v>
      </c>
      <c r="D54" s="4" t="s">
        <v>437</v>
      </c>
      <c r="E54" s="4"/>
    </row>
    <row r="55" spans="2:7" x14ac:dyDescent="0.2">
      <c r="B55" s="3" t="s">
        <v>438</v>
      </c>
      <c r="C55" s="4" t="s">
        <v>439</v>
      </c>
      <c r="D55" s="4" t="s">
        <v>440</v>
      </c>
      <c r="E55" s="4"/>
    </row>
    <row r="58" spans="2:7" ht="17.25" x14ac:dyDescent="0.2">
      <c r="B58" s="5" t="s">
        <v>441</v>
      </c>
    </row>
    <row r="60" spans="2:7" x14ac:dyDescent="0.2">
      <c r="B60" s="2" t="s">
        <v>18</v>
      </c>
      <c r="C60" s="2" t="s">
        <v>412</v>
      </c>
      <c r="D60" s="2" t="s">
        <v>413</v>
      </c>
      <c r="E60" s="2" t="s">
        <v>21</v>
      </c>
    </row>
    <row r="61" spans="2:7" x14ac:dyDescent="0.2">
      <c r="B61" s="3" t="s">
        <v>201</v>
      </c>
      <c r="C61" s="4" t="s">
        <v>442</v>
      </c>
      <c r="D61" s="4" t="s">
        <v>443</v>
      </c>
      <c r="E61" s="4"/>
    </row>
    <row r="62" spans="2:7" x14ac:dyDescent="0.2">
      <c r="B62" s="3" t="s">
        <v>9</v>
      </c>
      <c r="C62" s="4" t="s">
        <v>444</v>
      </c>
      <c r="D62" s="4" t="s">
        <v>445</v>
      </c>
      <c r="E62" s="4"/>
    </row>
    <row r="63" spans="2:7" x14ac:dyDescent="0.2">
      <c r="B63" s="3" t="s">
        <v>0</v>
      </c>
      <c r="C63" s="4" t="s">
        <v>446</v>
      </c>
      <c r="D63" s="4" t="s">
        <v>447</v>
      </c>
      <c r="E63" s="4"/>
    </row>
    <row r="64" spans="2:7" x14ac:dyDescent="0.2">
      <c r="B64" s="3" t="s">
        <v>6</v>
      </c>
      <c r="C64" s="4" t="s">
        <v>448</v>
      </c>
      <c r="D64" s="4" t="s">
        <v>449</v>
      </c>
      <c r="E64" s="4"/>
    </row>
    <row r="65" spans="2:6" x14ac:dyDescent="0.2">
      <c r="B65" s="3" t="s">
        <v>206</v>
      </c>
      <c r="C65" s="4" t="s">
        <v>450</v>
      </c>
      <c r="D65" s="4" t="s">
        <v>451</v>
      </c>
      <c r="E65" s="4"/>
    </row>
    <row r="68" spans="2:6" ht="17.25" x14ac:dyDescent="0.2">
      <c r="B68" s="5" t="s">
        <v>86</v>
      </c>
    </row>
    <row r="70" spans="2:6" x14ac:dyDescent="0.2">
      <c r="B70" s="2" t="s">
        <v>250</v>
      </c>
      <c r="C70" s="2" t="s">
        <v>452</v>
      </c>
      <c r="D70" s="2" t="s">
        <v>453</v>
      </c>
      <c r="E70" s="2" t="s">
        <v>454</v>
      </c>
      <c r="F70" s="2" t="s">
        <v>21</v>
      </c>
    </row>
    <row r="71" spans="2:6" ht="57" x14ac:dyDescent="0.2">
      <c r="B71" s="3" t="s">
        <v>455</v>
      </c>
      <c r="C71" s="4" t="s">
        <v>456</v>
      </c>
      <c r="D71" s="4" t="s">
        <v>457</v>
      </c>
      <c r="E71" s="4" t="s">
        <v>458</v>
      </c>
      <c r="F71" s="4"/>
    </row>
    <row r="72" spans="2:6" ht="57" x14ac:dyDescent="0.2">
      <c r="B72" s="3" t="s">
        <v>459</v>
      </c>
      <c r="C72" s="4" t="s">
        <v>460</v>
      </c>
      <c r="D72" s="4" t="s">
        <v>461</v>
      </c>
      <c r="E72" s="4" t="s">
        <v>462</v>
      </c>
      <c r="F72" s="4"/>
    </row>
    <row r="73" spans="2:6" ht="57" x14ac:dyDescent="0.2">
      <c r="B73" s="3" t="s">
        <v>463</v>
      </c>
      <c r="C73" s="4" t="s">
        <v>464</v>
      </c>
      <c r="D73" s="4" t="s">
        <v>465</v>
      </c>
      <c r="E73" s="4" t="s">
        <v>466</v>
      </c>
      <c r="F73" s="4"/>
    </row>
    <row r="74" spans="2:6" ht="57" x14ac:dyDescent="0.2">
      <c r="B74" s="3" t="s">
        <v>467</v>
      </c>
      <c r="C74" s="4" t="s">
        <v>468</v>
      </c>
      <c r="D74" s="4" t="s">
        <v>469</v>
      </c>
      <c r="E74" s="4" t="s">
        <v>470</v>
      </c>
      <c r="F74" s="4"/>
    </row>
    <row r="77" spans="2:6" ht="17.25" x14ac:dyDescent="0.2">
      <c r="B77" s="5" t="s">
        <v>90</v>
      </c>
    </row>
    <row r="78" spans="2:6" x14ac:dyDescent="0.2">
      <c r="B78" s="6"/>
    </row>
    <row r="79" spans="2:6" x14ac:dyDescent="0.2">
      <c r="B79" s="7" t="s">
        <v>471</v>
      </c>
    </row>
    <row r="80" spans="2:6" x14ac:dyDescent="0.2">
      <c r="B80" s="6"/>
    </row>
    <row r="81" spans="2:2" x14ac:dyDescent="0.2">
      <c r="B81" s="9" t="s">
        <v>472</v>
      </c>
    </row>
    <row r="82" spans="2:2" x14ac:dyDescent="0.2">
      <c r="B82" s="9" t="s">
        <v>473</v>
      </c>
    </row>
    <row r="83" spans="2:2" x14ac:dyDescent="0.2">
      <c r="B83" s="9" t="s">
        <v>474</v>
      </c>
    </row>
    <row r="84" spans="2:2" x14ac:dyDescent="0.2">
      <c r="B84" s="7" t="s">
        <v>475</v>
      </c>
    </row>
    <row r="85" spans="2:2" x14ac:dyDescent="0.2">
      <c r="B85" s="6"/>
    </row>
    <row r="86" spans="2:2" x14ac:dyDescent="0.2">
      <c r="B86" s="9" t="s">
        <v>476</v>
      </c>
    </row>
    <row r="87" spans="2:2" x14ac:dyDescent="0.2">
      <c r="B87" s="9" t="s">
        <v>477</v>
      </c>
    </row>
    <row r="88" spans="2:2" x14ac:dyDescent="0.2">
      <c r="B88" s="9" t="s">
        <v>478</v>
      </c>
    </row>
  </sheetData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8A0B3D-D3D0-4F4A-8156-36BC603FDB6F}">
  <dimension ref="B1:G82"/>
  <sheetViews>
    <sheetView zoomScaleNormal="100" workbookViewId="0">
      <selection activeCell="D41" sqref="D41"/>
    </sheetView>
  </sheetViews>
  <sheetFormatPr defaultRowHeight="14.25" x14ac:dyDescent="0.2"/>
  <cols>
    <col min="1" max="1" width="2.75" customWidth="1"/>
    <col min="2" max="2" width="15.625" customWidth="1"/>
    <col min="3" max="3" width="43.125" customWidth="1"/>
    <col min="4" max="4" width="41.125" customWidth="1"/>
  </cols>
  <sheetData>
    <row r="1" spans="2:7" ht="17.25" x14ac:dyDescent="0.2">
      <c r="B1" s="5" t="s">
        <v>690</v>
      </c>
      <c r="G1" t="str">
        <f>"&lt;dl&gt;&lt;dt&gt;" &amp; B1 &amp; "&lt;/dt&gt;&lt;dd&gt;" &amp; C1 &amp; "&lt;/dd&gt;&lt;dd&gt;" &amp; D1 &amp; "&lt;/dd&gt;&lt;/dl&gt;"</f>
        <v>&lt;dl&gt;&lt;dt&gt;一、天相定义&lt;/dt&gt;&lt;dd&gt;&lt;/dd&gt;&lt;dd&gt;&lt;/dd&gt;&lt;/dl&gt;</v>
      </c>
    </row>
    <row r="2" spans="2:7" x14ac:dyDescent="0.2">
      <c r="B2" s="6"/>
    </row>
    <row r="3" spans="2:7" x14ac:dyDescent="0.2">
      <c r="B3" s="7" t="s">
        <v>691</v>
      </c>
    </row>
    <row r="4" spans="2:7" x14ac:dyDescent="0.2">
      <c r="B4" s="7" t="s">
        <v>692</v>
      </c>
    </row>
    <row r="5" spans="2:7" x14ac:dyDescent="0.2">
      <c r="B5" s="6"/>
    </row>
    <row r="6" spans="2:7" x14ac:dyDescent="0.2">
      <c r="B6" s="8" t="s">
        <v>693</v>
      </c>
    </row>
    <row r="7" spans="2:7" x14ac:dyDescent="0.2">
      <c r="B7" s="8" t="s">
        <v>694</v>
      </c>
    </row>
    <row r="8" spans="2:7" x14ac:dyDescent="0.2">
      <c r="B8" s="8" t="s">
        <v>695</v>
      </c>
    </row>
    <row r="9" spans="2:7" x14ac:dyDescent="0.2">
      <c r="B9" s="8" t="s">
        <v>696</v>
      </c>
    </row>
    <row r="10" spans="2:7" x14ac:dyDescent="0.2">
      <c r="B10" s="9"/>
    </row>
    <row r="11" spans="2:7" x14ac:dyDescent="0.2">
      <c r="B11" s="10" t="s">
        <v>697</v>
      </c>
    </row>
    <row r="12" spans="2:7" x14ac:dyDescent="0.2">
      <c r="B12" s="10" t="s">
        <v>698</v>
      </c>
    </row>
    <row r="16" spans="2:7" ht="17.25" x14ac:dyDescent="0.2">
      <c r="B16" s="5" t="s">
        <v>699</v>
      </c>
    </row>
    <row r="18" spans="2:7" x14ac:dyDescent="0.2">
      <c r="B18" s="2" t="s">
        <v>18</v>
      </c>
      <c r="C18" s="2" t="s">
        <v>222</v>
      </c>
      <c r="D18" s="2" t="s">
        <v>700</v>
      </c>
    </row>
    <row r="19" spans="2:7" ht="28.5" x14ac:dyDescent="0.2">
      <c r="B19" s="3" t="s">
        <v>201</v>
      </c>
      <c r="C19" s="4" t="s">
        <v>701</v>
      </c>
      <c r="D19" s="4" t="s">
        <v>702</v>
      </c>
    </row>
    <row r="20" spans="2:7" ht="28.5" x14ac:dyDescent="0.2">
      <c r="B20" s="3" t="s">
        <v>9</v>
      </c>
      <c r="C20" s="4" t="s">
        <v>703</v>
      </c>
      <c r="D20" s="4" t="s">
        <v>704</v>
      </c>
    </row>
    <row r="21" spans="2:7" ht="28.5" x14ac:dyDescent="0.2">
      <c r="B21" s="3" t="s">
        <v>116</v>
      </c>
      <c r="C21" s="4" t="s">
        <v>705</v>
      </c>
      <c r="D21" s="4" t="s">
        <v>706</v>
      </c>
    </row>
    <row r="22" spans="2:7" ht="28.5" x14ac:dyDescent="0.2">
      <c r="B22" s="3" t="s">
        <v>0</v>
      </c>
      <c r="C22" s="4" t="s">
        <v>707</v>
      </c>
      <c r="D22" s="4" t="s">
        <v>708</v>
      </c>
    </row>
    <row r="23" spans="2:7" ht="28.5" x14ac:dyDescent="0.2">
      <c r="B23" s="3" t="s">
        <v>206</v>
      </c>
      <c r="C23" s="4" t="s">
        <v>709</v>
      </c>
      <c r="D23" s="4" t="s">
        <v>710</v>
      </c>
    </row>
    <row r="24" spans="2:7" ht="28.5" x14ac:dyDescent="0.2">
      <c r="B24" s="3" t="s">
        <v>6</v>
      </c>
      <c r="C24" s="4" t="s">
        <v>711</v>
      </c>
      <c r="D24" s="4" t="s">
        <v>712</v>
      </c>
      <c r="G24" t="str">
        <f t="shared" ref="G24:G52" si="0">"&lt;dl&gt;&lt;dt&gt;" &amp; B24 &amp; "&lt;/dt&gt;&lt;dd&gt;" &amp; C24 &amp; "&lt;/dd&gt;&lt;dd&gt;" &amp; D24 &amp; "&lt;/dd&gt;&lt;/dl&gt;"</f>
        <v>&lt;dl&gt;&lt;dt&gt;疾厄宫​&lt;/dt&gt;&lt;dd&gt;身体系统&lt;/dd&gt;&lt;dd&gt;皮肤、消化系统（天相+火星：胃灼热）；免疫系统（+天梁：慢性病需长期呵护）。&lt;/dd&gt;&lt;/dl&gt;</v>
      </c>
    </row>
    <row r="25" spans="2:7" ht="28.5" x14ac:dyDescent="0.2">
      <c r="B25" s="3" t="s">
        <v>3</v>
      </c>
      <c r="C25" s="4" t="s">
        <v>713</v>
      </c>
      <c r="D25" s="4" t="s">
        <v>714</v>
      </c>
      <c r="G25" t="str">
        <f t="shared" si="0"/>
        <v>&lt;dl&gt;&lt;dt&gt;财帛宫​&lt;/dt&gt;&lt;dd&gt;生计来源&lt;/dd&gt;&lt;dd&gt;稳定收入（工资）；消费观（庙旺：注重品质；落陷：浪费）。&lt;/dd&gt;&lt;/dl&gt;</v>
      </c>
    </row>
    <row r="26" spans="2:7" ht="28.5" x14ac:dyDescent="0.2">
      <c r="B26" s="3" t="s">
        <v>128</v>
      </c>
      <c r="C26" s="4" t="s">
        <v>715</v>
      </c>
      <c r="D26" s="4" t="s">
        <v>716</v>
      </c>
      <c r="G26" t="str">
        <f t="shared" si="0"/>
        <v>&lt;dl&gt;&lt;dt&gt;子女宫​&lt;/dt&gt;&lt;dd&gt;亲子关系/性生活&lt;/dd&gt;&lt;dd&gt;对孩子过度保护；性生活卫生（+阴煞：避孕措施）。&lt;/dd&gt;&lt;/dl&gt;</v>
      </c>
    </row>
    <row r="27" spans="2:7" x14ac:dyDescent="0.2">
      <c r="G27" t="str">
        <f t="shared" si="0"/>
        <v>&lt;dl&gt;&lt;dt&gt;&lt;/dt&gt;&lt;dd&gt;&lt;/dd&gt;&lt;dd&gt;&lt;/dd&gt;&lt;/dl&gt;</v>
      </c>
    </row>
    <row r="28" spans="2:7" x14ac:dyDescent="0.2">
      <c r="G28" t="str">
        <f t="shared" si="0"/>
        <v>&lt;dl&gt;&lt;dt&gt;&lt;/dt&gt;&lt;dd&gt;&lt;/dd&gt;&lt;dd&gt;&lt;/dd&gt;&lt;/dl&gt;</v>
      </c>
    </row>
    <row r="29" spans="2:7" ht="17.25" x14ac:dyDescent="0.2">
      <c r="B29" s="5" t="s">
        <v>717</v>
      </c>
      <c r="G29" t="str">
        <f t="shared" si="0"/>
        <v>&lt;dl&gt;&lt;dt&gt;三、星曜位置与庙陷&lt;/dt&gt;&lt;dd&gt;&lt;/dd&gt;&lt;dd&gt;&lt;/dd&gt;&lt;/dl&gt;</v>
      </c>
    </row>
    <row r="31" spans="2:7" x14ac:dyDescent="0.2">
      <c r="B31" s="2" t="s">
        <v>718</v>
      </c>
      <c r="C31" s="2" t="s">
        <v>719</v>
      </c>
      <c r="D31" s="2" t="s">
        <v>720</v>
      </c>
    </row>
    <row r="32" spans="2:7" x14ac:dyDescent="0.2">
      <c r="B32" s="4" t="s">
        <v>721</v>
      </c>
      <c r="C32" s="4" t="s">
        <v>722</v>
      </c>
      <c r="D32" s="4" t="s">
        <v>723</v>
      </c>
    </row>
    <row r="33" spans="2:7" x14ac:dyDescent="0.2">
      <c r="B33" s="4" t="s">
        <v>724</v>
      </c>
      <c r="C33" s="4" t="s">
        <v>725</v>
      </c>
      <c r="D33" s="4" t="s">
        <v>726</v>
      </c>
    </row>
    <row r="34" spans="2:7" x14ac:dyDescent="0.2">
      <c r="B34" s="4" t="s">
        <v>727</v>
      </c>
      <c r="C34" s="4" t="s">
        <v>728</v>
      </c>
      <c r="D34" s="4" t="s">
        <v>729</v>
      </c>
    </row>
    <row r="35" spans="2:7" ht="28.5" x14ac:dyDescent="0.2">
      <c r="B35" s="4" t="s">
        <v>730</v>
      </c>
      <c r="C35" s="4" t="s">
        <v>731</v>
      </c>
      <c r="D35" s="4" t="s">
        <v>732</v>
      </c>
    </row>
    <row r="36" spans="2:7" x14ac:dyDescent="0.2">
      <c r="B36" s="6"/>
      <c r="G36" t="str">
        <f t="shared" si="0"/>
        <v>&lt;dl&gt;&lt;dt&gt;&lt;/dt&gt;&lt;dd&gt;&lt;/dd&gt;&lt;dd&gt;&lt;/dd&gt;&lt;/dl&gt;</v>
      </c>
    </row>
    <row r="37" spans="2:7" x14ac:dyDescent="0.2">
      <c r="B37" s="7" t="s">
        <v>733</v>
      </c>
      <c r="G37" t="str">
        <f t="shared" si="0"/>
        <v>&lt;dl&gt;&lt;dt&gt;注：水位（亥子丑）庙旺时天相力量最强，火位（巳午未）落陷时最弱。&lt;/dt&gt;&lt;dd&gt;&lt;/dd&gt;&lt;dd&gt;&lt;/dd&gt;&lt;/dl&gt;</v>
      </c>
    </row>
    <row r="38" spans="2:7" x14ac:dyDescent="0.2">
      <c r="G38" t="str">
        <f t="shared" si="0"/>
        <v>&lt;dl&gt;&lt;dt&gt;&lt;/dt&gt;&lt;dd&gt;&lt;/dd&gt;&lt;dd&gt;&lt;/dd&gt;&lt;/dl&gt;</v>
      </c>
    </row>
    <row r="39" spans="2:7" x14ac:dyDescent="0.2">
      <c r="G39" t="str">
        <f t="shared" si="0"/>
        <v>&lt;dl&gt;&lt;dt&gt;&lt;/dt&gt;&lt;dd&gt;&lt;/dd&gt;&lt;dd&gt;&lt;/dd&gt;&lt;/dl&gt;</v>
      </c>
    </row>
    <row r="40" spans="2:7" x14ac:dyDescent="0.2">
      <c r="G40" t="str">
        <f t="shared" si="0"/>
        <v>&lt;dl&gt;&lt;dt&gt;&lt;/dt&gt;&lt;dd&gt;&lt;/dd&gt;&lt;dd&gt;&lt;/dd&gt;&lt;/dl&gt;</v>
      </c>
    </row>
    <row r="41" spans="2:7" ht="17.25" x14ac:dyDescent="0.2">
      <c r="B41" s="5" t="s">
        <v>734</v>
      </c>
      <c r="G41" t="str">
        <f t="shared" si="0"/>
        <v>&lt;dl&gt;&lt;dt&gt;四、主星组合象义&lt;/dt&gt;&lt;dd&gt;&lt;/dd&gt;&lt;dd&gt;&lt;/dd&gt;&lt;/dl&gt;</v>
      </c>
    </row>
    <row r="42" spans="2:7" x14ac:dyDescent="0.2">
      <c r="G42" t="str">
        <f t="shared" si="0"/>
        <v>&lt;dl&gt;&lt;dt&gt;&lt;/dt&gt;&lt;dd&gt;&lt;/dd&gt;&lt;dd&gt;&lt;/dd&gt;&lt;/dl&gt;</v>
      </c>
    </row>
    <row r="43" spans="2:7" x14ac:dyDescent="0.2">
      <c r="B43" s="2" t="s">
        <v>71</v>
      </c>
      <c r="C43" s="2" t="s">
        <v>222</v>
      </c>
      <c r="D43" s="2" t="s">
        <v>700</v>
      </c>
      <c r="G43" t="str">
        <f t="shared" si="0"/>
        <v>&lt;dl&gt;&lt;dt&gt;组合​&lt;/dt&gt;&lt;dd&gt;核心象义​&lt;/dd&gt;&lt;dd&gt;具体表现​&lt;/dd&gt;&lt;/dl&gt;</v>
      </c>
    </row>
    <row r="44" spans="2:7" ht="28.5" x14ac:dyDescent="0.2">
      <c r="B44" s="3" t="s">
        <v>167</v>
      </c>
      <c r="C44" s="4" t="s">
        <v>735</v>
      </c>
      <c r="D44" s="4" t="s">
        <v>736</v>
      </c>
    </row>
    <row r="45" spans="2:7" ht="28.5" x14ac:dyDescent="0.2">
      <c r="B45" s="3" t="s">
        <v>737</v>
      </c>
      <c r="C45" s="4" t="s">
        <v>738</v>
      </c>
      <c r="D45" s="4" t="s">
        <v>739</v>
      </c>
    </row>
    <row r="46" spans="2:7" ht="28.5" x14ac:dyDescent="0.2">
      <c r="B46" s="3" t="s">
        <v>740</v>
      </c>
      <c r="C46" s="4" t="s">
        <v>741</v>
      </c>
      <c r="D46" s="4" t="s">
        <v>742</v>
      </c>
    </row>
    <row r="47" spans="2:7" ht="28.5" x14ac:dyDescent="0.2">
      <c r="B47" s="3" t="s">
        <v>743</v>
      </c>
      <c r="C47" s="4" t="s">
        <v>744</v>
      </c>
      <c r="D47" s="4" t="s">
        <v>745</v>
      </c>
    </row>
    <row r="49" spans="2:7" x14ac:dyDescent="0.2">
      <c r="G49" t="str">
        <f t="shared" si="0"/>
        <v>&lt;dl&gt;&lt;dt&gt;&lt;/dt&gt;&lt;dd&gt;&lt;/dd&gt;&lt;dd&gt;&lt;/dd&gt;&lt;/dl&gt;</v>
      </c>
    </row>
    <row r="50" spans="2:7" ht="17.25" x14ac:dyDescent="0.2">
      <c r="B50" s="5" t="s">
        <v>746</v>
      </c>
      <c r="G50" t="str">
        <f t="shared" si="0"/>
        <v>&lt;dl&gt;&lt;dt&gt;五、辅星组合象义&lt;/dt&gt;&lt;dd&gt;&lt;/dd&gt;&lt;dd&gt;&lt;/dd&gt;&lt;/dl&gt;</v>
      </c>
    </row>
    <row r="51" spans="2:7" x14ac:dyDescent="0.2">
      <c r="G51" t="str">
        <f t="shared" si="0"/>
        <v>&lt;dl&gt;&lt;dt&gt;&lt;/dt&gt;&lt;dd&gt;&lt;/dd&gt;&lt;dd&gt;&lt;/dd&gt;&lt;/dl&gt;</v>
      </c>
    </row>
    <row r="52" spans="2:7" x14ac:dyDescent="0.2">
      <c r="B52" s="2" t="s">
        <v>40</v>
      </c>
      <c r="C52" s="2" t="s">
        <v>534</v>
      </c>
      <c r="D52" s="2" t="s">
        <v>73</v>
      </c>
      <c r="G52" t="str">
        <f t="shared" si="0"/>
        <v>&lt;dl&gt;&lt;dt&gt;辅星​&lt;/dt&gt;&lt;dd&gt;叠加象义​&lt;/dd&gt;&lt;dd&gt;典型案例​&lt;/dd&gt;&lt;/dl&gt;</v>
      </c>
    </row>
    <row r="53" spans="2:7" ht="28.5" x14ac:dyDescent="0.2">
      <c r="B53" s="3" t="s">
        <v>178</v>
      </c>
      <c r="C53" s="4" t="s">
        <v>747</v>
      </c>
      <c r="D53" s="4" t="s">
        <v>748</v>
      </c>
    </row>
    <row r="54" spans="2:7" ht="28.5" x14ac:dyDescent="0.2">
      <c r="B54" s="3" t="s">
        <v>181</v>
      </c>
      <c r="C54" s="4" t="s">
        <v>749</v>
      </c>
      <c r="D54" s="4" t="s">
        <v>750</v>
      </c>
    </row>
    <row r="55" spans="2:7" x14ac:dyDescent="0.2">
      <c r="B55" s="3" t="s">
        <v>271</v>
      </c>
      <c r="C55" s="4" t="s">
        <v>751</v>
      </c>
      <c r="D55" s="4" t="s">
        <v>752</v>
      </c>
    </row>
    <row r="56" spans="2:7" x14ac:dyDescent="0.2">
      <c r="B56" s="3" t="s">
        <v>187</v>
      </c>
      <c r="C56" s="4" t="s">
        <v>753</v>
      </c>
      <c r="D56" s="4" t="s">
        <v>754</v>
      </c>
    </row>
    <row r="57" spans="2:7" x14ac:dyDescent="0.2">
      <c r="B57" s="3" t="s">
        <v>190</v>
      </c>
      <c r="C57" s="4" t="s">
        <v>755</v>
      </c>
      <c r="D57" s="4" t="s">
        <v>756</v>
      </c>
    </row>
    <row r="58" spans="2:7" ht="28.5" x14ac:dyDescent="0.2">
      <c r="B58" s="3" t="s">
        <v>279</v>
      </c>
      <c r="C58" s="4" t="s">
        <v>757</v>
      </c>
      <c r="D58" s="4" t="s">
        <v>758</v>
      </c>
    </row>
    <row r="59" spans="2:7" ht="28.5" x14ac:dyDescent="0.2">
      <c r="B59" s="3" t="s">
        <v>196</v>
      </c>
      <c r="C59" s="4" t="s">
        <v>759</v>
      </c>
      <c r="D59" s="4" t="s">
        <v>760</v>
      </c>
    </row>
    <row r="62" spans="2:7" ht="17.25" x14ac:dyDescent="0.2">
      <c r="B62" s="5" t="s">
        <v>761</v>
      </c>
    </row>
    <row r="63" spans="2:7" x14ac:dyDescent="0.2">
      <c r="B63" s="6"/>
    </row>
    <row r="64" spans="2:7" x14ac:dyDescent="0.2">
      <c r="B64" s="7" t="s">
        <v>762</v>
      </c>
    </row>
    <row r="65" spans="2:2" x14ac:dyDescent="0.2">
      <c r="B65" s="7" t="s">
        <v>763</v>
      </c>
    </row>
    <row r="66" spans="2:2" x14ac:dyDescent="0.2">
      <c r="B66" s="6"/>
    </row>
    <row r="67" spans="2:2" x14ac:dyDescent="0.2">
      <c r="B67" s="9" t="s">
        <v>764</v>
      </c>
    </row>
    <row r="68" spans="2:2" x14ac:dyDescent="0.2">
      <c r="B68" s="9" t="s">
        <v>765</v>
      </c>
    </row>
    <row r="69" spans="2:2" x14ac:dyDescent="0.2">
      <c r="B69" s="7" t="s">
        <v>766</v>
      </c>
    </row>
    <row r="70" spans="2:2" x14ac:dyDescent="0.2">
      <c r="B70" s="6"/>
    </row>
    <row r="71" spans="2:2" x14ac:dyDescent="0.2">
      <c r="B71" s="8" t="s">
        <v>767</v>
      </c>
    </row>
    <row r="72" spans="2:2" x14ac:dyDescent="0.2">
      <c r="B72" s="8" t="s">
        <v>768</v>
      </c>
    </row>
    <row r="73" spans="2:2" x14ac:dyDescent="0.2">
      <c r="B73" s="9"/>
    </row>
    <row r="77" spans="2:2" ht="17.25" x14ac:dyDescent="0.2">
      <c r="B77" s="5"/>
    </row>
    <row r="80" spans="2:2" x14ac:dyDescent="0.2">
      <c r="B80" s="16"/>
    </row>
    <row r="81" spans="2:2" x14ac:dyDescent="0.2">
      <c r="B81" s="6"/>
    </row>
    <row r="82" spans="2:2" x14ac:dyDescent="0.2">
      <c r="B82" s="6"/>
    </row>
  </sheetData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B9050C-A50B-428E-BAF1-80F53536ACE8}">
  <dimension ref="B1:G82"/>
  <sheetViews>
    <sheetView zoomScaleNormal="100" workbookViewId="0">
      <selection activeCell="C12" sqref="C12"/>
    </sheetView>
  </sheetViews>
  <sheetFormatPr defaultRowHeight="14.25" x14ac:dyDescent="0.2"/>
  <cols>
    <col min="1" max="1" width="2.75" customWidth="1"/>
    <col min="2" max="2" width="15.625" customWidth="1"/>
    <col min="3" max="3" width="43.125" customWidth="1"/>
    <col min="4" max="4" width="32.75" customWidth="1"/>
  </cols>
  <sheetData>
    <row r="1" spans="2:7" ht="17.25" x14ac:dyDescent="0.2">
      <c r="B1" s="5" t="s">
        <v>375</v>
      </c>
      <c r="G1" t="str">
        <f>"&lt;dl&gt;&lt;dt&gt;" &amp; B1 &amp; "&lt;/dt&gt;&lt;dd&gt;" &amp; C1 &amp; "&lt;/dd&gt;&lt;dd&gt;" &amp; D1 &amp; "&lt;/dd&gt;&lt;/dl&gt;"</f>
        <v>&lt;dl&gt;&lt;dt&gt;一、基础属性​&lt;/dt&gt;&lt;dd&gt;&lt;/dd&gt;&lt;dd&gt;&lt;/dd&gt;&lt;/dl&gt;</v>
      </c>
    </row>
    <row r="3" spans="2:7" x14ac:dyDescent="0.2">
      <c r="B3" s="2" t="s">
        <v>376</v>
      </c>
      <c r="C3" s="2" t="s">
        <v>377</v>
      </c>
      <c r="D3" s="2" t="s">
        <v>21</v>
      </c>
    </row>
    <row r="4" spans="2:7" x14ac:dyDescent="0.2">
      <c r="B4" s="3" t="s">
        <v>620</v>
      </c>
      <c r="C4" s="4" t="s">
        <v>621</v>
      </c>
      <c r="D4" s="4"/>
    </row>
    <row r="5" spans="2:7" x14ac:dyDescent="0.2">
      <c r="B5" s="3" t="s">
        <v>622</v>
      </c>
      <c r="C5" s="4" t="s">
        <v>623</v>
      </c>
      <c r="D5" s="4"/>
    </row>
    <row r="6" spans="2:7" ht="28.5" x14ac:dyDescent="0.2">
      <c r="B6" s="3" t="s">
        <v>624</v>
      </c>
      <c r="C6" s="4" t="s">
        <v>625</v>
      </c>
      <c r="D6" s="4"/>
    </row>
    <row r="7" spans="2:7" ht="28.5" x14ac:dyDescent="0.2">
      <c r="B7" s="3" t="s">
        <v>386</v>
      </c>
      <c r="C7" s="4" t="s">
        <v>626</v>
      </c>
      <c r="D7" s="4"/>
    </row>
    <row r="10" spans="2:7" ht="17.25" x14ac:dyDescent="0.2">
      <c r="B10" s="5" t="s">
        <v>388</v>
      </c>
    </row>
    <row r="12" spans="2:7" ht="15.75" x14ac:dyDescent="0.2">
      <c r="B12" s="13" t="s">
        <v>627</v>
      </c>
    </row>
    <row r="14" spans="2:7" x14ac:dyDescent="0.2">
      <c r="B14" s="2" t="s">
        <v>390</v>
      </c>
      <c r="C14" s="2" t="s">
        <v>391</v>
      </c>
      <c r="D14" s="2" t="s">
        <v>392</v>
      </c>
      <c r="E14" s="2"/>
    </row>
    <row r="15" spans="2:7" x14ac:dyDescent="0.2">
      <c r="B15" s="3" t="s">
        <v>628</v>
      </c>
      <c r="C15" s="4" t="s">
        <v>629</v>
      </c>
      <c r="D15" s="4" t="s">
        <v>630</v>
      </c>
      <c r="E15" s="4"/>
    </row>
    <row r="16" spans="2:7" x14ac:dyDescent="0.2">
      <c r="B16" s="3" t="s">
        <v>631</v>
      </c>
      <c r="C16" s="4" t="s">
        <v>632</v>
      </c>
      <c r="D16" s="4" t="s">
        <v>633</v>
      </c>
      <c r="E16" s="4"/>
    </row>
    <row r="17" spans="2:7" x14ac:dyDescent="0.2">
      <c r="B17" s="3" t="s">
        <v>634</v>
      </c>
      <c r="C17" s="4" t="s">
        <v>635</v>
      </c>
      <c r="D17" s="4" t="s">
        <v>636</v>
      </c>
      <c r="E17" s="4"/>
    </row>
    <row r="18" spans="2:7" x14ac:dyDescent="0.2">
      <c r="B18" s="3" t="s">
        <v>637</v>
      </c>
      <c r="C18" s="4" t="s">
        <v>638</v>
      </c>
      <c r="D18" s="4" t="s">
        <v>639</v>
      </c>
      <c r="E18" s="4"/>
    </row>
    <row r="20" spans="2:7" ht="15.75" x14ac:dyDescent="0.2">
      <c r="B20" s="13" t="s">
        <v>405</v>
      </c>
    </row>
    <row r="21" spans="2:7" x14ac:dyDescent="0.2">
      <c r="B21" s="6"/>
    </row>
    <row r="22" spans="2:7" x14ac:dyDescent="0.2">
      <c r="B22" s="7" t="s">
        <v>640</v>
      </c>
    </row>
    <row r="23" spans="2:7" x14ac:dyDescent="0.2">
      <c r="B23" s="7" t="s">
        <v>641</v>
      </c>
    </row>
    <row r="24" spans="2:7" x14ac:dyDescent="0.2">
      <c r="G24" t="str">
        <f t="shared" ref="G24:G52" si="0">"&lt;dl&gt;&lt;dt&gt;" &amp; B24 &amp; "&lt;/dt&gt;&lt;dd&gt;" &amp; C24 &amp; "&lt;/dd&gt;&lt;dd&gt;" &amp; D24 &amp; "&lt;/dd&gt;&lt;/dl&gt;"</f>
        <v>&lt;dl&gt;&lt;dt&gt;&lt;/dt&gt;&lt;dd&gt;&lt;/dd&gt;&lt;dd&gt;&lt;/dd&gt;&lt;/dl&gt;</v>
      </c>
    </row>
    <row r="25" spans="2:7" x14ac:dyDescent="0.2">
      <c r="G25" t="str">
        <f t="shared" si="0"/>
        <v>&lt;dl&gt;&lt;dt&gt;&lt;/dt&gt;&lt;dd&gt;&lt;/dd&gt;&lt;dd&gt;&lt;/dd&gt;&lt;/dl&gt;</v>
      </c>
    </row>
    <row r="26" spans="2:7" x14ac:dyDescent="0.2">
      <c r="G26" t="str">
        <f t="shared" si="0"/>
        <v>&lt;dl&gt;&lt;dt&gt;&lt;/dt&gt;&lt;dd&gt;&lt;/dd&gt;&lt;dd&gt;&lt;/dd&gt;&lt;/dl&gt;</v>
      </c>
    </row>
    <row r="27" spans="2:7" ht="17.25" x14ac:dyDescent="0.2">
      <c r="B27" s="5" t="s">
        <v>410</v>
      </c>
      <c r="G27" t="str">
        <f t="shared" si="0"/>
        <v>&lt;dl&gt;&lt;dt&gt;三、组合象义​&lt;/dt&gt;&lt;dd&gt;&lt;/dd&gt;&lt;dd&gt;&lt;/dd&gt;&lt;/dl&gt;</v>
      </c>
    </row>
    <row r="28" spans="2:7" x14ac:dyDescent="0.2">
      <c r="G28" t="str">
        <f t="shared" si="0"/>
        <v>&lt;dl&gt;&lt;dt&gt;&lt;/dt&gt;&lt;dd&gt;&lt;/dd&gt;&lt;dd&gt;&lt;/dd&gt;&lt;/dl&gt;</v>
      </c>
    </row>
    <row r="29" spans="2:7" ht="15.75" x14ac:dyDescent="0.2">
      <c r="B29" s="13" t="s">
        <v>411</v>
      </c>
      <c r="G29" t="str">
        <f t="shared" si="0"/>
        <v>&lt;dl&gt;&lt;dt&gt;1. 主星组合​&lt;/dt&gt;&lt;dd&gt;&lt;/dd&gt;&lt;dd&gt;&lt;/dd&gt;&lt;/dl&gt;</v>
      </c>
    </row>
    <row r="31" spans="2:7" x14ac:dyDescent="0.2">
      <c r="B31" s="2" t="s">
        <v>71</v>
      </c>
      <c r="C31" s="2" t="s">
        <v>412</v>
      </c>
      <c r="D31" s="2" t="s">
        <v>413</v>
      </c>
      <c r="E31" s="2"/>
    </row>
    <row r="32" spans="2:7" x14ac:dyDescent="0.2">
      <c r="B32" s="3" t="s">
        <v>642</v>
      </c>
      <c r="C32" s="4" t="s">
        <v>643</v>
      </c>
      <c r="D32" s="4" t="s">
        <v>644</v>
      </c>
      <c r="E32" s="4"/>
    </row>
    <row r="33" spans="2:7" x14ac:dyDescent="0.2">
      <c r="B33" s="3" t="s">
        <v>645</v>
      </c>
      <c r="C33" s="4" t="s">
        <v>646</v>
      </c>
      <c r="D33" s="4" t="s">
        <v>647</v>
      </c>
      <c r="E33" s="4"/>
    </row>
    <row r="34" spans="2:7" x14ac:dyDescent="0.2">
      <c r="B34" s="3" t="s">
        <v>648</v>
      </c>
      <c r="C34" s="4" t="s">
        <v>649</v>
      </c>
      <c r="D34" s="4" t="s">
        <v>650</v>
      </c>
      <c r="E34" s="4"/>
    </row>
    <row r="35" spans="2:7" x14ac:dyDescent="0.2">
      <c r="B35" s="3" t="s">
        <v>651</v>
      </c>
      <c r="C35" s="4" t="s">
        <v>652</v>
      </c>
      <c r="D35" s="4" t="s">
        <v>653</v>
      </c>
      <c r="E35" s="4"/>
      <c r="G35" t="str">
        <f t="shared" si="0"/>
        <v>&lt;dl&gt;&lt;dt&gt;太阳+七杀​&lt;/dt&gt;&lt;dd&gt;刚性突破（军事行动）&lt;/dd&gt;&lt;dd&gt;暴力失控（冲突升级）&lt;/dd&gt;&lt;/dl&gt;</v>
      </c>
    </row>
    <row r="36" spans="2:7" x14ac:dyDescent="0.2">
      <c r="G36" t="str">
        <f t="shared" si="0"/>
        <v>&lt;dl&gt;&lt;dt&gt;&lt;/dt&gt;&lt;dd&gt;&lt;/dd&gt;&lt;dd&gt;&lt;/dd&gt;&lt;/dl&gt;</v>
      </c>
    </row>
    <row r="37" spans="2:7" ht="15.75" x14ac:dyDescent="0.2">
      <c r="B37" s="13" t="s">
        <v>426</v>
      </c>
      <c r="G37" t="str">
        <f t="shared" si="0"/>
        <v>&lt;dl&gt;&lt;dt&gt;2. 辅星组合​&lt;/dt&gt;&lt;dd&gt;&lt;/dd&gt;&lt;dd&gt;&lt;/dd&gt;&lt;/dl&gt;</v>
      </c>
    </row>
    <row r="38" spans="2:7" x14ac:dyDescent="0.2">
      <c r="G38" t="str">
        <f t="shared" si="0"/>
        <v>&lt;dl&gt;&lt;dt&gt;&lt;/dt&gt;&lt;dd&gt;&lt;/dd&gt;&lt;dd&gt;&lt;/dd&gt;&lt;/dl&gt;</v>
      </c>
    </row>
    <row r="39" spans="2:7" x14ac:dyDescent="0.2">
      <c r="B39" s="2" t="s">
        <v>40</v>
      </c>
      <c r="C39" s="2" t="s">
        <v>427</v>
      </c>
      <c r="D39" s="2" t="s">
        <v>428</v>
      </c>
      <c r="E39" s="2"/>
      <c r="G39" t="str">
        <f t="shared" si="0"/>
        <v>&lt;dl&gt;&lt;dt&gt;辅星​&lt;/dt&gt;&lt;dd&gt;吉象（庙旺）​&lt;/dd&gt;&lt;dd&gt;凶象（落陷）​&lt;/dd&gt;&lt;/dl&gt;</v>
      </c>
    </row>
    <row r="40" spans="2:7" x14ac:dyDescent="0.2">
      <c r="B40" s="3" t="s">
        <v>654</v>
      </c>
      <c r="C40" s="4" t="s">
        <v>655</v>
      </c>
      <c r="D40" s="4" t="s">
        <v>656</v>
      </c>
      <c r="E40" s="4"/>
      <c r="G40" t="str">
        <f t="shared" si="0"/>
        <v>&lt;dl&gt;&lt;dt&gt;太阳+左辅​&lt;/dt&gt;&lt;dd&gt;多点发散（多平台宣传）&lt;/dd&gt;&lt;dd&gt;冗余干扰（信息过载）&lt;/dd&gt;&lt;/dl&gt;</v>
      </c>
    </row>
    <row r="41" spans="2:7" x14ac:dyDescent="0.2">
      <c r="B41" s="3" t="s">
        <v>657</v>
      </c>
      <c r="C41" s="4" t="s">
        <v>658</v>
      </c>
      <c r="D41" s="4" t="s">
        <v>659</v>
      </c>
      <c r="E41" s="4"/>
      <c r="G41" t="str">
        <f t="shared" si="0"/>
        <v>&lt;dl&gt;&lt;dt&gt;太阳+右弼​&lt;/dt&gt;&lt;dd&gt;灵活转向（策略调整）&lt;/dd&gt;&lt;dd&gt;路径僵化（固执己见）&lt;/dd&gt;&lt;/dl&gt;</v>
      </c>
    </row>
    <row r="42" spans="2:7" x14ac:dyDescent="0.2">
      <c r="B42" s="3" t="s">
        <v>660</v>
      </c>
      <c r="C42" s="4" t="s">
        <v>661</v>
      </c>
      <c r="D42" s="4" t="s">
        <v>662</v>
      </c>
      <c r="E42" s="4"/>
      <c r="G42" t="str">
        <f t="shared" si="0"/>
        <v>&lt;dl&gt;&lt;dt&gt;太阳+文昌​&lt;/dt&gt;&lt;dd&gt;精密传播（数据公开）&lt;/dd&gt;&lt;dd&gt;信息失真（谣言扩散）&lt;/dd&gt;&lt;/dl&gt;</v>
      </c>
    </row>
    <row r="43" spans="2:7" x14ac:dyDescent="0.2">
      <c r="B43" s="3" t="s">
        <v>663</v>
      </c>
      <c r="C43" s="4" t="s">
        <v>664</v>
      </c>
      <c r="D43" s="4" t="s">
        <v>665</v>
      </c>
      <c r="E43" s="4"/>
      <c r="G43" t="str">
        <f t="shared" si="0"/>
        <v>&lt;dl&gt;&lt;dt&gt;太阳+铃星​&lt;/dt&gt;&lt;dd&gt;突发曝光（丑闻揭露）&lt;/dd&gt;&lt;dd&gt;持续困扰（负面舆情）&lt;/dd&gt;&lt;/dl&gt;</v>
      </c>
    </row>
    <row r="46" spans="2:7" ht="17.25" x14ac:dyDescent="0.2">
      <c r="B46" s="5" t="s">
        <v>441</v>
      </c>
    </row>
    <row r="48" spans="2:7" x14ac:dyDescent="0.2">
      <c r="B48" s="2" t="s">
        <v>18</v>
      </c>
      <c r="C48" s="2" t="s">
        <v>412</v>
      </c>
      <c r="D48" s="2" t="s">
        <v>413</v>
      </c>
      <c r="E48" s="2"/>
    </row>
    <row r="49" spans="2:7" x14ac:dyDescent="0.2">
      <c r="B49" s="3" t="s">
        <v>201</v>
      </c>
      <c r="C49" s="4" t="s">
        <v>666</v>
      </c>
      <c r="D49" s="4" t="s">
        <v>667</v>
      </c>
      <c r="E49" s="4"/>
      <c r="G49" t="str">
        <f t="shared" si="0"/>
        <v>&lt;dl&gt;&lt;dt&gt;命宫​&lt;/dt&gt;&lt;dd&gt;热情开朗（领袖气质）&lt;/dd&gt;&lt;dd&gt;消极悲观（自闭倾向）&lt;/dd&gt;&lt;/dl&gt;</v>
      </c>
    </row>
    <row r="50" spans="2:7" x14ac:dyDescent="0.2">
      <c r="B50" s="3" t="s">
        <v>12</v>
      </c>
      <c r="C50" s="4" t="s">
        <v>668</v>
      </c>
      <c r="D50" s="4" t="s">
        <v>669</v>
      </c>
      <c r="E50" s="4"/>
      <c r="G50" t="str">
        <f t="shared" si="0"/>
        <v>&lt;dl&gt;&lt;dt&gt;交友宫​&lt;/dt&gt;&lt;dd&gt;贵人相助（人脉广阔）&lt;/dd&gt;&lt;dd&gt;小人环绕（人际孤立）&lt;/dd&gt;&lt;/dl&gt;</v>
      </c>
    </row>
    <row r="51" spans="2:7" x14ac:dyDescent="0.2">
      <c r="B51" s="3" t="s">
        <v>15</v>
      </c>
      <c r="C51" s="4" t="s">
        <v>670</v>
      </c>
      <c r="D51" s="4" t="s">
        <v>671</v>
      </c>
      <c r="E51" s="4"/>
      <c r="G51" t="str">
        <f t="shared" si="0"/>
        <v>&lt;dl&gt;&lt;dt&gt;迁移宫​&lt;/dt&gt;&lt;dd&gt;远行机遇（留学/移民）&lt;/dd&gt;&lt;dd&gt;外界排斥（签证受阻）&lt;/dd&gt;&lt;/dl&gt;</v>
      </c>
    </row>
    <row r="52" spans="2:7" x14ac:dyDescent="0.2">
      <c r="B52" s="3" t="s">
        <v>6</v>
      </c>
      <c r="C52" s="4" t="s">
        <v>672</v>
      </c>
      <c r="D52" s="4" t="s">
        <v>673</v>
      </c>
      <c r="E52" s="4"/>
      <c r="G52" t="str">
        <f t="shared" si="0"/>
        <v>&lt;dl&gt;&lt;dt&gt;疾厄宫​&lt;/dt&gt;&lt;dd&gt;高血压/眼疾（火性病症）&lt;/dd&gt;&lt;dd&gt;气血虚弱（慢性疲劳）&lt;/dd&gt;&lt;/dl&gt;</v>
      </c>
    </row>
    <row r="53" spans="2:7" x14ac:dyDescent="0.2">
      <c r="B53" s="3" t="s">
        <v>3</v>
      </c>
      <c r="C53" s="4" t="s">
        <v>674</v>
      </c>
      <c r="D53" s="4" t="s">
        <v>675</v>
      </c>
      <c r="E53" s="4"/>
    </row>
    <row r="56" spans="2:7" ht="17.25" x14ac:dyDescent="0.2">
      <c r="B56" s="5" t="s">
        <v>86</v>
      </c>
    </row>
    <row r="58" spans="2:7" x14ac:dyDescent="0.2">
      <c r="B58" s="2" t="s">
        <v>250</v>
      </c>
      <c r="C58" s="2" t="s">
        <v>453</v>
      </c>
      <c r="D58" s="2" t="s">
        <v>454</v>
      </c>
      <c r="E58" s="2"/>
    </row>
    <row r="59" spans="2:7" x14ac:dyDescent="0.2">
      <c r="B59" s="3" t="s">
        <v>253</v>
      </c>
      <c r="C59" s="4" t="s">
        <v>676</v>
      </c>
      <c r="D59" s="4" t="s">
        <v>677</v>
      </c>
      <c r="E59" s="4"/>
    </row>
    <row r="60" spans="2:7" x14ac:dyDescent="0.2">
      <c r="B60" s="3" t="s">
        <v>256</v>
      </c>
      <c r="C60" s="4" t="s">
        <v>678</v>
      </c>
      <c r="D60" s="4" t="s">
        <v>679</v>
      </c>
      <c r="E60" s="4"/>
    </row>
    <row r="61" spans="2:7" x14ac:dyDescent="0.2">
      <c r="B61" s="3" t="s">
        <v>259</v>
      </c>
      <c r="C61" s="4" t="s">
        <v>680</v>
      </c>
      <c r="D61" s="4" t="s">
        <v>681</v>
      </c>
      <c r="E61" s="4"/>
    </row>
    <row r="62" spans="2:7" x14ac:dyDescent="0.2">
      <c r="B62" s="3" t="s">
        <v>467</v>
      </c>
      <c r="C62" s="4" t="s">
        <v>682</v>
      </c>
      <c r="D62" s="4" t="s">
        <v>683</v>
      </c>
      <c r="E62" s="4"/>
    </row>
    <row r="65" spans="2:2" ht="17.25" x14ac:dyDescent="0.2">
      <c r="B65" s="5" t="s">
        <v>90</v>
      </c>
    </row>
    <row r="66" spans="2:2" x14ac:dyDescent="0.2">
      <c r="B66" s="6"/>
    </row>
    <row r="67" spans="2:2" x14ac:dyDescent="0.2">
      <c r="B67" s="7" t="s">
        <v>684</v>
      </c>
    </row>
    <row r="68" spans="2:2" x14ac:dyDescent="0.2">
      <c r="B68" s="6"/>
    </row>
    <row r="69" spans="2:2" x14ac:dyDescent="0.2">
      <c r="B69" s="9" t="s">
        <v>685</v>
      </c>
    </row>
    <row r="70" spans="2:2" x14ac:dyDescent="0.2">
      <c r="B70" s="9" t="s">
        <v>686</v>
      </c>
    </row>
    <row r="71" spans="2:2" x14ac:dyDescent="0.2">
      <c r="B71" s="7" t="s">
        <v>687</v>
      </c>
    </row>
    <row r="72" spans="2:2" x14ac:dyDescent="0.2">
      <c r="B72" s="6"/>
    </row>
    <row r="73" spans="2:2" x14ac:dyDescent="0.2">
      <c r="B73" s="9" t="s">
        <v>688</v>
      </c>
    </row>
    <row r="74" spans="2:2" x14ac:dyDescent="0.2">
      <c r="B74" s="9" t="s">
        <v>689</v>
      </c>
    </row>
    <row r="77" spans="2:2" ht="17.25" x14ac:dyDescent="0.2">
      <c r="B77" s="5"/>
    </row>
    <row r="80" spans="2:2" x14ac:dyDescent="0.2">
      <c r="B80" s="16"/>
    </row>
    <row r="81" spans="2:2" x14ac:dyDescent="0.2">
      <c r="B81" s="6"/>
    </row>
    <row r="82" spans="2:2" x14ac:dyDescent="0.2">
      <c r="B82" s="6"/>
    </row>
  </sheetData>
  <phoneticPr fontId="2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EF8203-6FA0-41D5-AF92-E259B5614122}">
  <dimension ref="B1:G81"/>
  <sheetViews>
    <sheetView topLeftCell="A62" zoomScaleNormal="100" workbookViewId="0">
      <selection activeCell="H25" sqref="H24:H25"/>
    </sheetView>
  </sheetViews>
  <sheetFormatPr defaultRowHeight="14.25" x14ac:dyDescent="0.2"/>
  <cols>
    <col min="1" max="1" width="2.75" customWidth="1"/>
    <col min="2" max="2" width="15.625" customWidth="1"/>
    <col min="3" max="3" width="46" customWidth="1"/>
    <col min="4" max="4" width="51.25" customWidth="1"/>
  </cols>
  <sheetData>
    <row r="1" spans="2:7" ht="17.25" x14ac:dyDescent="0.2">
      <c r="B1" s="5" t="s">
        <v>552</v>
      </c>
      <c r="G1" t="str">
        <f>"&lt;dl&gt;&lt;dt&gt;" &amp; B1 &amp; "&lt;/dt&gt;&lt;dd&gt;" &amp; C1 &amp; "&lt;/dd&gt;&lt;dd&gt;" &amp; D1 &amp; "&lt;/dd&gt;&lt;/dl&gt;"</f>
        <v>&lt;dl&gt;&lt;dt&gt;一、太阴定义​&lt;/dt&gt;&lt;dd&gt;&lt;/dd&gt;&lt;dd&gt;&lt;/dd&gt;&lt;/dl&gt;</v>
      </c>
    </row>
    <row r="3" spans="2:7" x14ac:dyDescent="0.2">
      <c r="B3" s="1" t="s">
        <v>553</v>
      </c>
    </row>
    <row r="4" spans="2:7" x14ac:dyDescent="0.2">
      <c r="B4" s="1" t="s">
        <v>554</v>
      </c>
    </row>
    <row r="5" spans="2:7" x14ac:dyDescent="0.2">
      <c r="B5" s="1" t="s">
        <v>25</v>
      </c>
    </row>
    <row r="6" spans="2:7" x14ac:dyDescent="0.2">
      <c r="B6" s="6"/>
    </row>
    <row r="7" spans="2:7" x14ac:dyDescent="0.2">
      <c r="B7" s="7" t="s">
        <v>555</v>
      </c>
    </row>
    <row r="8" spans="2:7" x14ac:dyDescent="0.2">
      <c r="B8" s="9" t="s">
        <v>556</v>
      </c>
    </row>
    <row r="9" spans="2:7" x14ac:dyDescent="0.2">
      <c r="B9" s="7" t="s">
        <v>557</v>
      </c>
    </row>
    <row r="10" spans="2:7" x14ac:dyDescent="0.2">
      <c r="B10" s="6"/>
    </row>
    <row r="11" spans="2:7" x14ac:dyDescent="0.2">
      <c r="B11" s="9" t="s">
        <v>558</v>
      </c>
    </row>
    <row r="12" spans="2:7" x14ac:dyDescent="0.2">
      <c r="B12" s="7" t="s">
        <v>559</v>
      </c>
    </row>
    <row r="13" spans="2:7" x14ac:dyDescent="0.2">
      <c r="B13" s="6"/>
    </row>
    <row r="14" spans="2:7" x14ac:dyDescent="0.2">
      <c r="B14" s="9" t="s">
        <v>560</v>
      </c>
    </row>
    <row r="15" spans="2:7" x14ac:dyDescent="0.2">
      <c r="B15" s="7" t="s">
        <v>561</v>
      </c>
    </row>
    <row r="19" spans="2:7" ht="17.25" x14ac:dyDescent="0.2">
      <c r="B19" s="5" t="s">
        <v>221</v>
      </c>
    </row>
    <row r="21" spans="2:7" ht="15" thickBot="1" x14ac:dyDescent="0.25">
      <c r="B21" s="2" t="s">
        <v>18</v>
      </c>
      <c r="C21" s="2" t="s">
        <v>222</v>
      </c>
      <c r="D21" s="2" t="s">
        <v>562</v>
      </c>
    </row>
    <row r="22" spans="2:7" ht="16.5" thickBot="1" x14ac:dyDescent="0.25">
      <c r="B22" s="3" t="s">
        <v>201</v>
      </c>
      <c r="C22" s="4" t="s">
        <v>563</v>
      </c>
      <c r="D22" s="4" t="s">
        <v>564</v>
      </c>
      <c r="E22" s="12"/>
    </row>
    <row r="23" spans="2:7" ht="16.5" thickBot="1" x14ac:dyDescent="0.25">
      <c r="B23" s="3" t="s">
        <v>9</v>
      </c>
      <c r="C23" s="4" t="s">
        <v>565</v>
      </c>
      <c r="D23" s="4" t="s">
        <v>566</v>
      </c>
      <c r="E23" s="15"/>
      <c r="G23" t="str">
        <f t="shared" ref="G23:G51" si="0">"&lt;dl&gt;&lt;dt&gt;" &amp; B23 &amp; "&lt;/dt&gt;&lt;dd&gt;" &amp; C23 &amp; "&lt;/dd&gt;&lt;dd&gt;" &amp; D23 &amp; "&lt;/dd&gt;&lt;/dl&gt;"</f>
        <v>&lt;dl&gt;&lt;dt&gt;父母宫​&lt;/dt&gt;&lt;dd&gt;母亲影响力；文书存储（证书/遗嘱）&lt;/dd&gt;&lt;dd&gt;太阴陷+阴煞：母亲健康隐疾；+天刑：遗产纠纷&lt;/dd&gt;&lt;/dl&gt;</v>
      </c>
    </row>
    <row r="24" spans="2:7" ht="16.5" thickBot="1" x14ac:dyDescent="0.25">
      <c r="B24" s="3" t="s">
        <v>3</v>
      </c>
      <c r="C24" s="4" t="s">
        <v>567</v>
      </c>
      <c r="D24" s="4" t="s">
        <v>568</v>
      </c>
      <c r="E24" s="15"/>
      <c r="G24" t="str">
        <f t="shared" si="0"/>
        <v>&lt;dl&gt;&lt;dt&gt;财帛宫​&lt;/dt&gt;&lt;dd&gt;财富流动模式&lt;/dd&gt;&lt;dd&gt;庙：稳定理财；陷+地劫：破财；+禄存：暗财（灰色收入）&lt;/dd&gt;&lt;/dl&gt;</v>
      </c>
    </row>
    <row r="25" spans="2:7" ht="16.5" thickBot="1" x14ac:dyDescent="0.25">
      <c r="B25" s="3" t="s">
        <v>6</v>
      </c>
      <c r="C25" s="4" t="s">
        <v>569</v>
      </c>
      <c r="D25" s="4" t="s">
        <v>570</v>
      </c>
      <c r="E25" s="15"/>
      <c r="G25" t="str">
        <f t="shared" si="0"/>
        <v>&lt;dl&gt;&lt;dt&gt;疾厄宫​&lt;/dt&gt;&lt;dd&gt;水相关疾病（妇科/泌尿/淋巴）&lt;/dd&gt;&lt;dd&gt;+天哭：抑郁症；+擎羊：手术留疤&lt;/dd&gt;&lt;/dl&gt;</v>
      </c>
    </row>
    <row r="26" spans="2:7" ht="16.5" thickBot="1" x14ac:dyDescent="0.25">
      <c r="B26" s="3" t="s">
        <v>128</v>
      </c>
      <c r="C26" s="4" t="s">
        <v>571</v>
      </c>
      <c r="D26" s="4" t="s">
        <v>572</v>
      </c>
      <c r="E26" s="15"/>
      <c r="G26" t="str">
        <f t="shared" si="0"/>
        <v>&lt;dl&gt;&lt;dt&gt;子女宫​&lt;/dt&gt;&lt;dd&gt;隐性子女（流产/领养）；子女性格安静&lt;/dd&gt;&lt;dd&gt;太阴忌+天虚：难孕；+红鸾：私生子&lt;/dd&gt;&lt;/dl&gt;</v>
      </c>
    </row>
    <row r="27" spans="2:7" ht="16.5" thickBot="1" x14ac:dyDescent="0.25">
      <c r="B27" s="3" t="s">
        <v>0</v>
      </c>
      <c r="C27" s="4" t="s">
        <v>573</v>
      </c>
      <c r="D27" s="4" t="s">
        <v>574</v>
      </c>
      <c r="E27" s="15"/>
      <c r="G27" t="str">
        <f t="shared" si="0"/>
        <v>&lt;dl&gt;&lt;dt&gt;田宅宫​&lt;/dt&gt;&lt;dd&gt;家宅水性（近水/泳池）；家族记忆&lt;/dd&gt;&lt;dd&gt;庙：家族底蕴深；陷+地空：房屋漏水&lt;/dd&gt;&lt;/dl&gt;</v>
      </c>
    </row>
    <row r="28" spans="2:7" ht="16.5" thickBot="1" x14ac:dyDescent="0.25">
      <c r="B28" s="3" t="s">
        <v>125</v>
      </c>
      <c r="C28" s="4" t="s">
        <v>575</v>
      </c>
      <c r="D28" s="4" t="s">
        <v>576</v>
      </c>
      <c r="E28" s="15"/>
      <c r="G28" t="str">
        <f t="shared" si="0"/>
        <v>&lt;dl&gt;&lt;dt&gt;夫妻宫​&lt;/dt&gt;&lt;dd&gt;妻子特质/感情存储&lt;/dd&gt;&lt;dd&gt;庙：配偶体贴；陷+火星：冷暴力；+文曲：情书传情&lt;/dd&gt;&lt;/dl&gt;</v>
      </c>
    </row>
    <row r="29" spans="2:7" x14ac:dyDescent="0.2">
      <c r="B29" s="3" t="s">
        <v>206</v>
      </c>
      <c r="C29" s="4" t="s">
        <v>577</v>
      </c>
      <c r="D29" s="4" t="s">
        <v>578</v>
      </c>
    </row>
    <row r="30" spans="2:7" x14ac:dyDescent="0.2">
      <c r="B30" s="3" t="s">
        <v>15</v>
      </c>
      <c r="C30" s="4" t="s">
        <v>579</v>
      </c>
      <c r="D30" s="4" t="s">
        <v>580</v>
      </c>
    </row>
    <row r="31" spans="2:7" x14ac:dyDescent="0.2">
      <c r="B31" s="3" t="s">
        <v>116</v>
      </c>
      <c r="C31" s="4" t="s">
        <v>581</v>
      </c>
      <c r="D31" s="4" t="s">
        <v>582</v>
      </c>
    </row>
    <row r="32" spans="2:7" ht="15" thickBot="1" x14ac:dyDescent="0.25"/>
    <row r="33" spans="2:7" ht="16.5" thickBot="1" x14ac:dyDescent="0.25">
      <c r="E33" s="12"/>
    </row>
    <row r="34" spans="2:7" ht="18" thickBot="1" x14ac:dyDescent="0.25">
      <c r="B34" s="5" t="s">
        <v>583</v>
      </c>
      <c r="E34" s="15"/>
      <c r="G34" t="str">
        <f t="shared" si="0"/>
        <v>&lt;dl&gt;&lt;dt&gt;三、星曜状态吉凶​&lt;/dt&gt;&lt;dd&gt;&lt;/dd&gt;&lt;dd&gt;&lt;/dd&gt;&lt;/dl&gt;</v>
      </c>
    </row>
    <row r="35" spans="2:7" ht="16.5" thickBot="1" x14ac:dyDescent="0.25">
      <c r="E35" s="15"/>
      <c r="G35" t="str">
        <f t="shared" si="0"/>
        <v>&lt;dl&gt;&lt;dt&gt;&lt;/dt&gt;&lt;dd&gt;&lt;/dd&gt;&lt;dd&gt;&lt;/dd&gt;&lt;/dl&gt;</v>
      </c>
    </row>
    <row r="36" spans="2:7" ht="16.5" thickBot="1" x14ac:dyDescent="0.25">
      <c r="B36" s="2" t="s">
        <v>584</v>
      </c>
      <c r="C36" s="2" t="s">
        <v>585</v>
      </c>
      <c r="D36" s="2" t="s">
        <v>586</v>
      </c>
      <c r="E36" s="15"/>
      <c r="G36" t="str">
        <f t="shared" si="0"/>
        <v>&lt;dl&gt;&lt;dt&gt;状态​&lt;/dt&gt;&lt;dd&gt;特质​&lt;/dd&gt;&lt;dd&gt;四化联动​&lt;/dd&gt;&lt;/dl&gt;</v>
      </c>
    </row>
    <row r="37" spans="2:7" ht="16.5" thickBot="1" x14ac:dyDescent="0.25">
      <c r="B37" s="3" t="s">
        <v>587</v>
      </c>
      <c r="C37" s="4" t="s">
        <v>588</v>
      </c>
      <c r="D37" s="4" t="s">
        <v>589</v>
      </c>
      <c r="E37" s="15"/>
      <c r="G37" t="str">
        <f t="shared" si="0"/>
        <v>&lt;dl&gt;&lt;dt&gt;庙旺​ (子、亥、酉)&lt;/dt&gt;&lt;dd&gt;存储力强、情感丰沛&lt;/dd&gt;&lt;dd&gt;化禄：存财增福；化忌：过度囤积引发抑郁&lt;/dd&gt;&lt;/dl&gt;</v>
      </c>
    </row>
    <row r="38" spans="2:7" ht="16.5" thickBot="1" x14ac:dyDescent="0.25">
      <c r="B38" s="3" t="s">
        <v>590</v>
      </c>
      <c r="C38" s="4" t="s">
        <v>591</v>
      </c>
      <c r="D38" s="4" t="s">
        <v>592</v>
      </c>
      <c r="E38" s="15"/>
      <c r="G38" t="str">
        <f t="shared" si="0"/>
        <v>&lt;dl&gt;&lt;dt&gt;落陷​ (巳、午、未)&lt;/dt&gt;&lt;dd&gt;存储空洞、情感疏离&lt;/dd&gt;&lt;dd&gt;化禄：虚情假意；化忌：彻底失去（财/情）&lt;/dd&gt;&lt;/dl&gt;</v>
      </c>
    </row>
    <row r="39" spans="2:7" ht="16.5" thickBot="1" x14ac:dyDescent="0.25">
      <c r="B39" s="3" t="s">
        <v>593</v>
      </c>
      <c r="C39" s="4" t="s">
        <v>594</v>
      </c>
      <c r="D39" s="4" t="s">
        <v>595</v>
      </c>
      <c r="E39" s="15"/>
      <c r="G39" t="str">
        <f t="shared" si="0"/>
        <v>&lt;dl&gt;&lt;dt&gt;平势​ (其他宫位)&lt;/dt&gt;&lt;dd&gt;波动性存储&lt;/dd&gt;&lt;dd&gt;化权：强制管理存储；化科：缓慢积累&lt;/dd&gt;&lt;/dl&gt;</v>
      </c>
    </row>
    <row r="40" spans="2:7" ht="16.5" thickBot="1" x14ac:dyDescent="0.25">
      <c r="E40" s="15"/>
      <c r="G40" t="str">
        <f t="shared" si="0"/>
        <v>&lt;dl&gt;&lt;dt&gt;&lt;/dt&gt;&lt;dd&gt;&lt;/dd&gt;&lt;dd&gt;&lt;/dd&gt;&lt;/dl&gt;</v>
      </c>
    </row>
    <row r="41" spans="2:7" ht="16.5" thickBot="1" x14ac:dyDescent="0.25">
      <c r="E41" s="15"/>
      <c r="G41" t="str">
        <f t="shared" si="0"/>
        <v>&lt;dl&gt;&lt;dt&gt;&lt;/dt&gt;&lt;dd&gt;&lt;/dd&gt;&lt;dd&gt;&lt;/dd&gt;&lt;/dl&gt;</v>
      </c>
    </row>
    <row r="42" spans="2:7" ht="18" thickBot="1" x14ac:dyDescent="0.25">
      <c r="B42" s="5" t="s">
        <v>596</v>
      </c>
      <c r="E42" s="15"/>
      <c r="G42" t="str">
        <f t="shared" si="0"/>
        <v>&lt;dl&gt;&lt;dt&gt;四、辅星组合关键象义​&lt;/dt&gt;&lt;dd&gt;&lt;/dd&gt;&lt;dd&gt;&lt;/dd&gt;&lt;/dl&gt;</v>
      </c>
    </row>
    <row r="44" spans="2:7" x14ac:dyDescent="0.2">
      <c r="B44" s="2" t="s">
        <v>40</v>
      </c>
      <c r="C44" s="2" t="s">
        <v>534</v>
      </c>
      <c r="D44" s="2" t="s">
        <v>113</v>
      </c>
    </row>
    <row r="45" spans="2:7" x14ac:dyDescent="0.2">
      <c r="B45" s="3" t="s">
        <v>181</v>
      </c>
      <c r="C45" s="4" t="s">
        <v>597</v>
      </c>
      <c r="D45" s="4" t="s">
        <v>598</v>
      </c>
    </row>
    <row r="46" spans="2:7" ht="15" thickBot="1" x14ac:dyDescent="0.25">
      <c r="B46" s="3" t="s">
        <v>178</v>
      </c>
      <c r="C46" s="4" t="s">
        <v>599</v>
      </c>
      <c r="D46" s="4" t="s">
        <v>600</v>
      </c>
    </row>
    <row r="47" spans="2:7" ht="16.5" thickBot="1" x14ac:dyDescent="0.25">
      <c r="B47" s="3" t="s">
        <v>193</v>
      </c>
      <c r="C47" s="4" t="s">
        <v>601</v>
      </c>
      <c r="D47" s="4" t="s">
        <v>602</v>
      </c>
      <c r="E47" s="12"/>
    </row>
    <row r="48" spans="2:7" ht="16.5" thickBot="1" x14ac:dyDescent="0.25">
      <c r="B48" s="3" t="s">
        <v>279</v>
      </c>
      <c r="C48" s="4" t="s">
        <v>603</v>
      </c>
      <c r="D48" s="4" t="s">
        <v>604</v>
      </c>
      <c r="E48" s="15"/>
      <c r="G48" t="str">
        <f t="shared" si="0"/>
        <v>&lt;dl&gt;&lt;dt&gt;地空​&lt;/dt&gt;&lt;dd&gt;存储虚胀（泡沫资产）&lt;/dd&gt;&lt;dd&gt;财帛+太阴地空：虚假投资&lt;/dd&gt;&lt;/dl&gt;</v>
      </c>
    </row>
    <row r="49" spans="2:7" ht="16.5" thickBot="1" x14ac:dyDescent="0.25">
      <c r="B49" s="3" t="s">
        <v>190</v>
      </c>
      <c r="C49" s="4" t="s">
        <v>605</v>
      </c>
      <c r="D49" s="4" t="s">
        <v>606</v>
      </c>
      <c r="E49" s="15"/>
      <c r="G49" t="str">
        <f t="shared" si="0"/>
        <v>&lt;dl&gt;&lt;dt&gt;擎羊​&lt;/dt&gt;&lt;dd&gt;切割存储&lt;/dd&gt;&lt;dd&gt;疾厄+太阴擎羊：切除子宫&lt;/dd&gt;&lt;/dl&gt;</v>
      </c>
    </row>
    <row r="50" spans="2:7" ht="16.5" thickBot="1" x14ac:dyDescent="0.25">
      <c r="B50" s="3" t="s">
        <v>271</v>
      </c>
      <c r="C50" s="4" t="s">
        <v>607</v>
      </c>
      <c r="D50" s="4" t="s">
        <v>608</v>
      </c>
      <c r="E50" s="15"/>
      <c r="G50" t="str">
        <f t="shared" si="0"/>
        <v>&lt;dl&gt;&lt;dt&gt;铃星​&lt;/dt&gt;&lt;dd&gt;存储烦恼&lt;/dd&gt;&lt;dd&gt;福德+太阴铃星：心事积压成疾&lt;/dd&gt;&lt;/dl&gt;</v>
      </c>
    </row>
    <row r="51" spans="2:7" ht="16.5" thickBot="1" x14ac:dyDescent="0.25">
      <c r="B51" s="3" t="s">
        <v>292</v>
      </c>
      <c r="C51" s="4" t="s">
        <v>609</v>
      </c>
      <c r="D51" s="4" t="s">
        <v>610</v>
      </c>
      <c r="E51" s="15"/>
      <c r="G51" t="str">
        <f t="shared" si="0"/>
        <v>&lt;dl&gt;&lt;dt&gt;天姚​&lt;/dt&gt;&lt;dd&gt;存储情欲&lt;/dd&gt;&lt;dd&gt;子女宫+太阴天姚：隐性性生活&lt;/dd&gt;&lt;/dl&gt;</v>
      </c>
    </row>
    <row r="52" spans="2:7" x14ac:dyDescent="0.2">
      <c r="B52" s="3" t="s">
        <v>196</v>
      </c>
      <c r="C52" s="4" t="s">
        <v>611</v>
      </c>
      <c r="D52" s="4" t="s">
        <v>612</v>
      </c>
    </row>
    <row r="55" spans="2:7" ht="17.25" x14ac:dyDescent="0.2">
      <c r="B55" s="5" t="s">
        <v>613</v>
      </c>
    </row>
    <row r="56" spans="2:7" x14ac:dyDescent="0.2">
      <c r="B56" s="6"/>
    </row>
    <row r="57" spans="2:7" x14ac:dyDescent="0.2">
      <c r="B57" s="7" t="s">
        <v>614</v>
      </c>
    </row>
    <row r="58" spans="2:7" x14ac:dyDescent="0.2">
      <c r="B58" s="6"/>
    </row>
    <row r="59" spans="2:7" x14ac:dyDescent="0.2">
      <c r="B59" s="9" t="s">
        <v>615</v>
      </c>
    </row>
    <row r="60" spans="2:7" x14ac:dyDescent="0.2">
      <c r="B60" s="7" t="s">
        <v>616</v>
      </c>
    </row>
    <row r="61" spans="2:7" x14ac:dyDescent="0.2">
      <c r="B61" s="6"/>
    </row>
    <row r="62" spans="2:7" x14ac:dyDescent="0.2">
      <c r="B62" s="9" t="s">
        <v>617</v>
      </c>
    </row>
    <row r="63" spans="2:7" x14ac:dyDescent="0.2">
      <c r="B63" s="7" t="s">
        <v>618</v>
      </c>
    </row>
    <row r="64" spans="2:7" x14ac:dyDescent="0.2">
      <c r="B64" s="6"/>
    </row>
    <row r="65" spans="2:2" x14ac:dyDescent="0.2">
      <c r="B65" s="9" t="s">
        <v>619</v>
      </c>
    </row>
    <row r="66" spans="2:2" x14ac:dyDescent="0.2">
      <c r="B66" s="6"/>
    </row>
    <row r="67" spans="2:2" x14ac:dyDescent="0.2">
      <c r="B67" s="9"/>
    </row>
    <row r="68" spans="2:2" x14ac:dyDescent="0.2">
      <c r="B68" s="9"/>
    </row>
    <row r="69" spans="2:2" x14ac:dyDescent="0.2">
      <c r="B69" s="7"/>
    </row>
    <row r="70" spans="2:2" x14ac:dyDescent="0.2">
      <c r="B70" s="6"/>
    </row>
    <row r="71" spans="2:2" x14ac:dyDescent="0.2">
      <c r="B71" s="9"/>
    </row>
    <row r="72" spans="2:2" x14ac:dyDescent="0.2">
      <c r="B72" s="9"/>
    </row>
    <row r="76" spans="2:2" ht="17.25" x14ac:dyDescent="0.2">
      <c r="B76" s="5"/>
    </row>
    <row r="79" spans="2:2" x14ac:dyDescent="0.2">
      <c r="B79" s="16"/>
    </row>
    <row r="80" spans="2:2" x14ac:dyDescent="0.2">
      <c r="B80" s="6"/>
    </row>
    <row r="81" spans="2:2" x14ac:dyDescent="0.2">
      <c r="B81" s="6"/>
    </row>
  </sheetData>
  <phoneticPr fontId="2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E4B7D4-B62A-42A8-9883-707CC4B15152}">
  <dimension ref="B1:G82"/>
  <sheetViews>
    <sheetView topLeftCell="A55" zoomScaleNormal="100" workbookViewId="0">
      <selection activeCell="F25" sqref="F25:F28"/>
    </sheetView>
  </sheetViews>
  <sheetFormatPr defaultRowHeight="14.25" x14ac:dyDescent="0.2"/>
  <cols>
    <col min="1" max="1" width="2.75" customWidth="1"/>
    <col min="2" max="2" width="15.625" customWidth="1"/>
    <col min="3" max="3" width="43.125" customWidth="1"/>
    <col min="4" max="4" width="32.75" customWidth="1"/>
  </cols>
  <sheetData>
    <row r="1" spans="2:7" ht="17.25" x14ac:dyDescent="0.2">
      <c r="B1" s="5" t="s">
        <v>1060</v>
      </c>
      <c r="G1" t="str">
        <f>"&lt;dl&gt;&lt;dt&gt;" &amp; B1 &amp; "&lt;/dt&gt;&lt;dd&gt;" &amp; C1 &amp; "&lt;/dd&gt;&lt;dd&gt;" &amp; D1 &amp; "&lt;/dd&gt;&lt;/dl&gt;"</f>
        <v>&lt;dl&gt;&lt;dt&gt;一、破军定义​&lt;/dt&gt;&lt;dd&gt;&lt;/dd&gt;&lt;dd&gt;&lt;/dd&gt;&lt;/dl&gt;</v>
      </c>
    </row>
    <row r="3" spans="2:7" x14ac:dyDescent="0.2">
      <c r="B3" s="1" t="s">
        <v>553</v>
      </c>
    </row>
    <row r="4" spans="2:7" x14ac:dyDescent="0.2">
      <c r="B4" s="1" t="s">
        <v>313</v>
      </c>
    </row>
    <row r="5" spans="2:7" x14ac:dyDescent="0.2">
      <c r="B5" s="6"/>
    </row>
    <row r="6" spans="2:7" x14ac:dyDescent="0.2">
      <c r="B6" s="7" t="s">
        <v>1061</v>
      </c>
    </row>
    <row r="7" spans="2:7" x14ac:dyDescent="0.2">
      <c r="B7" s="7" t="s">
        <v>1062</v>
      </c>
    </row>
    <row r="8" spans="2:7" x14ac:dyDescent="0.2">
      <c r="B8" s="7" t="s">
        <v>1063</v>
      </c>
    </row>
    <row r="9" spans="2:7" x14ac:dyDescent="0.2">
      <c r="B9" s="7" t="s">
        <v>1064</v>
      </c>
    </row>
    <row r="13" spans="2:7" ht="17.25" x14ac:dyDescent="0.2">
      <c r="B13" s="5" t="s">
        <v>221</v>
      </c>
    </row>
    <row r="15" spans="2:7" x14ac:dyDescent="0.2">
      <c r="B15" s="2" t="s">
        <v>18</v>
      </c>
      <c r="C15" s="2" t="s">
        <v>1065</v>
      </c>
      <c r="D15" s="2" t="s">
        <v>1066</v>
      </c>
      <c r="E15" s="2"/>
    </row>
    <row r="16" spans="2:7" x14ac:dyDescent="0.2">
      <c r="B16" s="3" t="s">
        <v>201</v>
      </c>
      <c r="C16" s="4" t="s">
        <v>1067</v>
      </c>
      <c r="D16" s="4" t="s">
        <v>1068</v>
      </c>
      <c r="E16" s="4"/>
    </row>
    <row r="17" spans="2:7" x14ac:dyDescent="0.2">
      <c r="B17" s="3" t="s">
        <v>3</v>
      </c>
      <c r="C17" s="4" t="s">
        <v>1069</v>
      </c>
      <c r="D17" s="4" t="s">
        <v>1070</v>
      </c>
      <c r="E17" s="4"/>
    </row>
    <row r="18" spans="2:7" x14ac:dyDescent="0.2">
      <c r="B18" s="3" t="s">
        <v>6</v>
      </c>
      <c r="C18" s="4" t="s">
        <v>1071</v>
      </c>
      <c r="D18" s="4" t="s">
        <v>1072</v>
      </c>
      <c r="E18" s="4"/>
    </row>
    <row r="19" spans="2:7" x14ac:dyDescent="0.2">
      <c r="B19" s="3" t="s">
        <v>15</v>
      </c>
      <c r="C19" s="4" t="s">
        <v>1073</v>
      </c>
      <c r="D19" s="4" t="s">
        <v>1074</v>
      </c>
      <c r="E19" s="4"/>
    </row>
    <row r="20" spans="2:7" x14ac:dyDescent="0.2">
      <c r="B20" s="3" t="s">
        <v>125</v>
      </c>
      <c r="C20" s="4" t="s">
        <v>1075</v>
      </c>
      <c r="D20" s="4" t="s">
        <v>1076</v>
      </c>
      <c r="E20" s="4"/>
    </row>
    <row r="23" spans="2:7" ht="17.25" x14ac:dyDescent="0.2">
      <c r="B23" s="5" t="s">
        <v>1077</v>
      </c>
    </row>
    <row r="24" spans="2:7" x14ac:dyDescent="0.2">
      <c r="G24" t="str">
        <f t="shared" ref="G24:G52" si="0">"&lt;dl&gt;&lt;dt&gt;" &amp; B24 &amp; "&lt;/dt&gt;&lt;dd&gt;" &amp; C24 &amp; "&lt;/dd&gt;&lt;dd&gt;" &amp; D24 &amp; "&lt;/dd&gt;&lt;/dl&gt;"</f>
        <v>&lt;dl&gt;&lt;dt&gt;&lt;/dt&gt;&lt;dd&gt;&lt;/dd&gt;&lt;dd&gt;&lt;/dd&gt;&lt;/dl&gt;</v>
      </c>
    </row>
    <row r="25" spans="2:7" x14ac:dyDescent="0.2">
      <c r="B25" s="2" t="s">
        <v>718</v>
      </c>
      <c r="C25" s="2" t="s">
        <v>584</v>
      </c>
      <c r="D25" s="2" t="s">
        <v>1078</v>
      </c>
      <c r="E25" s="2"/>
    </row>
    <row r="26" spans="2:7" x14ac:dyDescent="0.2">
      <c r="B26" s="3" t="s">
        <v>1080</v>
      </c>
      <c r="C26" s="4" t="s">
        <v>788</v>
      </c>
      <c r="D26" s="4" t="s">
        <v>1081</v>
      </c>
      <c r="E26" s="4"/>
    </row>
    <row r="27" spans="2:7" x14ac:dyDescent="0.2">
      <c r="B27" s="3" t="s">
        <v>1082</v>
      </c>
      <c r="C27" s="4" t="s">
        <v>863</v>
      </c>
      <c r="D27" s="4" t="s">
        <v>1083</v>
      </c>
      <c r="E27" s="4"/>
    </row>
    <row r="28" spans="2:7" x14ac:dyDescent="0.2">
      <c r="B28" s="3" t="s">
        <v>1084</v>
      </c>
      <c r="C28" s="4" t="s">
        <v>791</v>
      </c>
      <c r="D28" s="4" t="s">
        <v>1085</v>
      </c>
      <c r="E28" s="4"/>
    </row>
    <row r="29" spans="2:7" x14ac:dyDescent="0.2">
      <c r="G29" t="str">
        <f t="shared" si="0"/>
        <v>&lt;dl&gt;&lt;dt&gt;&lt;/dt&gt;&lt;dd&gt;&lt;/dd&gt;&lt;dd&gt;&lt;/dd&gt;&lt;/dl&gt;</v>
      </c>
    </row>
    <row r="31" spans="2:7" ht="17.25" x14ac:dyDescent="0.2">
      <c r="B31" s="5" t="s">
        <v>265</v>
      </c>
    </row>
    <row r="33" spans="2:7" ht="15.75" x14ac:dyDescent="0.2">
      <c r="B33" s="13" t="s">
        <v>1086</v>
      </c>
    </row>
    <row r="35" spans="2:7" x14ac:dyDescent="0.2">
      <c r="B35" s="2" t="s">
        <v>40</v>
      </c>
      <c r="C35" s="2" t="s">
        <v>427</v>
      </c>
      <c r="D35" s="2" t="s">
        <v>428</v>
      </c>
      <c r="E35" s="2"/>
      <c r="G35" t="str">
        <f t="shared" si="0"/>
        <v>&lt;dl&gt;&lt;dt&gt;辅星​&lt;/dt&gt;&lt;dd&gt;吉象（庙旺）​&lt;/dd&gt;&lt;dd&gt;凶象（落陷）​&lt;/dd&gt;&lt;/dl&gt;</v>
      </c>
    </row>
    <row r="36" spans="2:7" x14ac:dyDescent="0.2">
      <c r="B36" s="3" t="s">
        <v>1087</v>
      </c>
      <c r="C36" s="4" t="s">
        <v>1088</v>
      </c>
      <c r="D36" s="4" t="s">
        <v>1089</v>
      </c>
      <c r="E36" s="4"/>
      <c r="G36" t="str">
        <f t="shared" si="0"/>
        <v>&lt;dl&gt;&lt;dt&gt;破军+擎羊​&lt;/dt&gt;&lt;dd&gt;精准切割（外科手术）&lt;/dd&gt;&lt;dd&gt;暴力伤害（械斗/家暴）&lt;/dd&gt;&lt;/dl&gt;</v>
      </c>
    </row>
    <row r="37" spans="2:7" x14ac:dyDescent="0.2">
      <c r="B37" s="3" t="s">
        <v>1090</v>
      </c>
      <c r="C37" s="4" t="s">
        <v>1091</v>
      </c>
      <c r="D37" s="4" t="s">
        <v>1092</v>
      </c>
      <c r="E37" s="4"/>
      <c r="G37" t="str">
        <f t="shared" si="0"/>
        <v>&lt;dl&gt;&lt;dt&gt;破军+地劫​&lt;/dt&gt;&lt;dd&gt;创新性破局（技术革命）&lt;/dd&gt;&lt;dd&gt;资源掏空（投资泡沫/破产）&lt;/dd&gt;&lt;/dl&gt;</v>
      </c>
    </row>
    <row r="38" spans="2:7" x14ac:dyDescent="0.2">
      <c r="B38" s="3" t="s">
        <v>1093</v>
      </c>
      <c r="C38" s="4" t="s">
        <v>1094</v>
      </c>
      <c r="D38" s="4" t="s">
        <v>1095</v>
      </c>
      <c r="E38" s="4"/>
      <c r="G38" t="str">
        <f t="shared" si="0"/>
        <v>&lt;dl&gt;&lt;dt&gt;破军+火星​&lt;/dt&gt;&lt;dd&gt;突发性突破（专利发明）&lt;/dd&gt;&lt;dd&gt;灾难性破坏（爆炸/火灾）&lt;/dd&gt;&lt;/dl&gt;</v>
      </c>
    </row>
    <row r="39" spans="2:7" x14ac:dyDescent="0.2">
      <c r="G39" t="str">
        <f t="shared" si="0"/>
        <v>&lt;dl&gt;&lt;dt&gt;&lt;/dt&gt;&lt;dd&gt;&lt;/dd&gt;&lt;dd&gt;&lt;/dd&gt;&lt;/dl&gt;</v>
      </c>
    </row>
    <row r="40" spans="2:7" ht="15.75" x14ac:dyDescent="0.2">
      <c r="B40" s="13" t="s">
        <v>1096</v>
      </c>
      <c r="G40" t="str">
        <f t="shared" si="0"/>
        <v>&lt;dl&gt;&lt;dt&gt;2. 吉星组合​&lt;/dt&gt;&lt;dd&gt;&lt;/dd&gt;&lt;dd&gt;&lt;/dd&gt;&lt;/dl&gt;</v>
      </c>
    </row>
    <row r="41" spans="2:7" x14ac:dyDescent="0.2">
      <c r="G41" t="str">
        <f t="shared" si="0"/>
        <v>&lt;dl&gt;&lt;dt&gt;&lt;/dt&gt;&lt;dd&gt;&lt;/dd&gt;&lt;dd&gt;&lt;/dd&gt;&lt;/dl&gt;</v>
      </c>
    </row>
    <row r="42" spans="2:7" x14ac:dyDescent="0.2">
      <c r="B42" s="2" t="s">
        <v>40</v>
      </c>
      <c r="C42" s="2" t="s">
        <v>1097</v>
      </c>
      <c r="D42" s="2" t="s">
        <v>73</v>
      </c>
      <c r="G42" t="str">
        <f t="shared" si="0"/>
        <v>&lt;dl&gt;&lt;dt&gt;辅星​&lt;/dt&gt;&lt;dd&gt;叠加效应​&lt;/dd&gt;&lt;dd&gt;典型案例​&lt;/dd&gt;&lt;/dl&gt;</v>
      </c>
    </row>
    <row r="43" spans="2:7" x14ac:dyDescent="0.2">
      <c r="B43" s="3" t="s">
        <v>1098</v>
      </c>
      <c r="C43" s="4" t="s">
        <v>1099</v>
      </c>
      <c r="D43" s="4" t="s">
        <v>1100</v>
      </c>
      <c r="G43" t="str">
        <f t="shared" si="0"/>
        <v>&lt;dl&gt;&lt;dt&gt;破军+左辅​&lt;/dt&gt;&lt;dd&gt;多次突破（连续创业）&lt;/dd&gt;&lt;dd&gt;+财帛宫：融资多轮&lt;/dd&gt;&lt;/dl&gt;</v>
      </c>
    </row>
    <row r="44" spans="2:7" x14ac:dyDescent="0.2">
      <c r="B44" s="3" t="s">
        <v>1101</v>
      </c>
      <c r="C44" s="4" t="s">
        <v>1102</v>
      </c>
      <c r="D44" s="4" t="s">
        <v>1103</v>
      </c>
    </row>
    <row r="45" spans="2:7" x14ac:dyDescent="0.2">
      <c r="B45" s="3" t="s">
        <v>1104</v>
      </c>
      <c r="C45" s="4" t="s">
        <v>1105</v>
      </c>
      <c r="D45" s="4" t="s">
        <v>1106</v>
      </c>
    </row>
    <row r="48" spans="2:7" ht="17.25" x14ac:dyDescent="0.2">
      <c r="B48" s="5" t="s">
        <v>1107</v>
      </c>
    </row>
    <row r="49" spans="2:7" x14ac:dyDescent="0.2">
      <c r="B49" s="6"/>
      <c r="G49" t="str">
        <f t="shared" si="0"/>
        <v>&lt;dl&gt;&lt;dt&gt;&lt;/dt&gt;&lt;dd&gt;&lt;/dd&gt;&lt;dd&gt;&lt;/dd&gt;&lt;/dl&gt;</v>
      </c>
    </row>
    <row r="50" spans="2:7" x14ac:dyDescent="0.2">
      <c r="B50" s="7" t="s">
        <v>1108</v>
      </c>
      <c r="G50" t="str">
        <f t="shared" si="0"/>
        <v>&lt;dl&gt;&lt;dt&gt;1. 化禄（借武曲）：&lt;/dt&gt;&lt;dd&gt;&lt;/dd&gt;&lt;dd&gt;&lt;/dd&gt;&lt;/dl&gt;</v>
      </c>
    </row>
    <row r="51" spans="2:7" x14ac:dyDescent="0.2">
      <c r="B51" s="6"/>
      <c r="G51" t="str">
        <f t="shared" si="0"/>
        <v>&lt;dl&gt;&lt;dt&gt;&lt;/dt&gt;&lt;dd&gt;&lt;/dd&gt;&lt;dd&gt;&lt;/dd&gt;&lt;/dl&gt;</v>
      </c>
    </row>
    <row r="52" spans="2:7" x14ac:dyDescent="0.2">
      <c r="B52" s="9" t="s">
        <v>1109</v>
      </c>
      <c r="G52" t="str">
        <f t="shared" si="0"/>
        <v>&lt;dl&gt;&lt;dt&gt;增强突破力（庙旺：变革成功；落陷：盲目扩张）。&lt;/dt&gt;&lt;dd&gt;&lt;/dd&gt;&lt;dd&gt;&lt;/dd&gt;&lt;/dl&gt;</v>
      </c>
    </row>
    <row r="53" spans="2:7" x14ac:dyDescent="0.2">
      <c r="B53" s="7" t="s">
        <v>1110</v>
      </c>
    </row>
    <row r="54" spans="2:7" x14ac:dyDescent="0.2">
      <c r="B54" s="6"/>
    </row>
    <row r="55" spans="2:7" x14ac:dyDescent="0.2">
      <c r="B55" s="9" t="s">
        <v>1111</v>
      </c>
    </row>
    <row r="56" spans="2:7" x14ac:dyDescent="0.2">
      <c r="B56" s="7" t="s">
        <v>1112</v>
      </c>
    </row>
    <row r="57" spans="2:7" x14ac:dyDescent="0.2">
      <c r="B57" s="6"/>
    </row>
    <row r="58" spans="2:7" x14ac:dyDescent="0.2">
      <c r="B58" s="9" t="s">
        <v>1113</v>
      </c>
    </row>
    <row r="62" spans="2:7" ht="17.25" x14ac:dyDescent="0.2">
      <c r="B62" s="5" t="s">
        <v>305</v>
      </c>
    </row>
    <row r="63" spans="2:7" x14ac:dyDescent="0.2">
      <c r="B63" s="6"/>
    </row>
    <row r="64" spans="2:7" x14ac:dyDescent="0.2">
      <c r="B64" s="7" t="s">
        <v>1114</v>
      </c>
    </row>
    <row r="65" spans="2:2" x14ac:dyDescent="0.2">
      <c r="B65" s="6"/>
    </row>
    <row r="66" spans="2:2" x14ac:dyDescent="0.2">
      <c r="B66" s="9" t="s">
        <v>1115</v>
      </c>
    </row>
    <row r="67" spans="2:2" x14ac:dyDescent="0.2">
      <c r="B67" s="7" t="s">
        <v>1116</v>
      </c>
    </row>
    <row r="68" spans="2:2" x14ac:dyDescent="0.2">
      <c r="B68" s="6"/>
    </row>
    <row r="69" spans="2:2" x14ac:dyDescent="0.2">
      <c r="B69" s="9" t="s">
        <v>1117</v>
      </c>
    </row>
    <row r="70" spans="2:2" x14ac:dyDescent="0.2">
      <c r="B70" s="7" t="s">
        <v>1118</v>
      </c>
    </row>
    <row r="71" spans="2:2" x14ac:dyDescent="0.2">
      <c r="B71" s="6"/>
    </row>
    <row r="72" spans="2:2" x14ac:dyDescent="0.2">
      <c r="B72" s="9" t="s">
        <v>1119</v>
      </c>
    </row>
    <row r="73" spans="2:2" x14ac:dyDescent="0.2">
      <c r="B73" s="9"/>
    </row>
    <row r="77" spans="2:2" ht="17.25" x14ac:dyDescent="0.2">
      <c r="B77" s="5"/>
    </row>
    <row r="80" spans="2:2" x14ac:dyDescent="0.2">
      <c r="B80" s="16"/>
    </row>
    <row r="81" spans="2:2" x14ac:dyDescent="0.2">
      <c r="B81" s="6"/>
    </row>
    <row r="82" spans="2:2" x14ac:dyDescent="0.2">
      <c r="B82" s="6"/>
    </row>
  </sheetData>
  <phoneticPr fontId="2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FE3B96-17E7-43F1-90D4-3BB89431AFDC}">
  <dimension ref="B1:E80"/>
  <sheetViews>
    <sheetView topLeftCell="A6" zoomScaleNormal="100" workbookViewId="0">
      <selection activeCell="C28" sqref="C28"/>
    </sheetView>
  </sheetViews>
  <sheetFormatPr defaultRowHeight="14.25" x14ac:dyDescent="0.2"/>
  <cols>
    <col min="1" max="1" width="2.75" customWidth="1"/>
    <col min="2" max="2" width="15.625" customWidth="1"/>
    <col min="3" max="3" width="43.125" customWidth="1"/>
    <col min="4" max="4" width="32.75" customWidth="1"/>
  </cols>
  <sheetData>
    <row r="1" spans="2:5" ht="17.25" x14ac:dyDescent="0.2">
      <c r="B1" s="5" t="s">
        <v>375</v>
      </c>
    </row>
    <row r="3" spans="2:5" x14ac:dyDescent="0.2">
      <c r="B3" s="2" t="s">
        <v>376</v>
      </c>
      <c r="C3" s="2" t="s">
        <v>377</v>
      </c>
      <c r="D3" s="2" t="s">
        <v>21</v>
      </c>
    </row>
    <row r="4" spans="2:5" x14ac:dyDescent="0.2">
      <c r="B4" s="3" t="s">
        <v>620</v>
      </c>
      <c r="C4" s="4" t="s">
        <v>981</v>
      </c>
      <c r="D4" s="4"/>
    </row>
    <row r="5" spans="2:5" x14ac:dyDescent="0.2">
      <c r="B5" s="3" t="s">
        <v>622</v>
      </c>
      <c r="C5" s="4" t="s">
        <v>982</v>
      </c>
      <c r="D5" s="4"/>
    </row>
    <row r="6" spans="2:5" ht="28.5" x14ac:dyDescent="0.2">
      <c r="B6" s="3" t="s">
        <v>624</v>
      </c>
      <c r="C6" s="4" t="s">
        <v>983</v>
      </c>
      <c r="D6" s="4"/>
    </row>
    <row r="7" spans="2:5" x14ac:dyDescent="0.2">
      <c r="B7" s="3" t="s">
        <v>984</v>
      </c>
      <c r="C7" s="4" t="s">
        <v>985</v>
      </c>
      <c r="D7" s="4"/>
    </row>
    <row r="10" spans="2:5" ht="17.25" x14ac:dyDescent="0.2">
      <c r="B10" s="5" t="s">
        <v>388</v>
      </c>
    </row>
    <row r="12" spans="2:5" ht="15.75" x14ac:dyDescent="0.2">
      <c r="B12" s="13" t="s">
        <v>627</v>
      </c>
    </row>
    <row r="14" spans="2:5" x14ac:dyDescent="0.2">
      <c r="B14" s="2" t="s">
        <v>390</v>
      </c>
      <c r="C14" s="2" t="s">
        <v>986</v>
      </c>
      <c r="D14" s="2" t="s">
        <v>392</v>
      </c>
      <c r="E14" s="2"/>
    </row>
    <row r="15" spans="2:5" x14ac:dyDescent="0.2">
      <c r="B15" s="3" t="s">
        <v>987</v>
      </c>
      <c r="C15" s="4" t="s">
        <v>988</v>
      </c>
      <c r="D15" s="4" t="s">
        <v>989</v>
      </c>
      <c r="E15" s="4"/>
    </row>
    <row r="16" spans="2:5" x14ac:dyDescent="0.2">
      <c r="B16" s="3" t="s">
        <v>990</v>
      </c>
      <c r="C16" s="4" t="s">
        <v>991</v>
      </c>
      <c r="D16" s="4" t="s">
        <v>992</v>
      </c>
      <c r="E16" s="4"/>
    </row>
    <row r="17" spans="2:5" x14ac:dyDescent="0.2">
      <c r="B17" s="3" t="s">
        <v>993</v>
      </c>
      <c r="C17" s="4" t="s">
        <v>994</v>
      </c>
      <c r="D17" s="4" t="s">
        <v>995</v>
      </c>
      <c r="E17" s="4"/>
    </row>
    <row r="19" spans="2:5" ht="15.75" x14ac:dyDescent="0.2">
      <c r="B19" s="13" t="s">
        <v>996</v>
      </c>
    </row>
    <row r="21" spans="2:5" x14ac:dyDescent="0.2">
      <c r="B21" s="2" t="s">
        <v>18</v>
      </c>
      <c r="C21" s="2" t="s">
        <v>497</v>
      </c>
      <c r="D21" s="2" t="s">
        <v>113</v>
      </c>
    </row>
    <row r="22" spans="2:5" x14ac:dyDescent="0.2">
      <c r="B22" s="3" t="s">
        <v>6</v>
      </c>
      <c r="C22" s="4" t="s">
        <v>997</v>
      </c>
      <c r="D22" s="4" t="s">
        <v>998</v>
      </c>
    </row>
    <row r="23" spans="2:5" x14ac:dyDescent="0.2">
      <c r="B23" s="3" t="s">
        <v>3</v>
      </c>
      <c r="C23" s="4" t="s">
        <v>999</v>
      </c>
      <c r="D23" s="4" t="s">
        <v>1000</v>
      </c>
    </row>
    <row r="24" spans="2:5" x14ac:dyDescent="0.2">
      <c r="B24" s="3" t="s">
        <v>15</v>
      </c>
      <c r="C24" s="4" t="s">
        <v>1001</v>
      </c>
      <c r="D24" s="4" t="s">
        <v>1002</v>
      </c>
    </row>
    <row r="25" spans="2:5" x14ac:dyDescent="0.2">
      <c r="B25" s="3" t="s">
        <v>128</v>
      </c>
      <c r="C25" s="4" t="s">
        <v>1003</v>
      </c>
      <c r="D25" s="4" t="s">
        <v>1004</v>
      </c>
    </row>
    <row r="26" spans="2:5" x14ac:dyDescent="0.2">
      <c r="B26" s="3" t="s">
        <v>125</v>
      </c>
      <c r="C26" s="4" t="s">
        <v>1005</v>
      </c>
      <c r="D26" s="4" t="s">
        <v>1006</v>
      </c>
    </row>
    <row r="28" spans="2:5" ht="17.25" x14ac:dyDescent="0.2">
      <c r="B28" s="5" t="s">
        <v>410</v>
      </c>
    </row>
    <row r="30" spans="2:5" ht="15.75" x14ac:dyDescent="0.2">
      <c r="B30" s="13" t="s">
        <v>1007</v>
      </c>
    </row>
    <row r="32" spans="2:5" x14ac:dyDescent="0.2">
      <c r="B32" s="2" t="s">
        <v>40</v>
      </c>
      <c r="C32" s="2" t="s">
        <v>427</v>
      </c>
      <c r="D32" s="2" t="s">
        <v>428</v>
      </c>
      <c r="E32" s="2"/>
    </row>
    <row r="33" spans="2:5" x14ac:dyDescent="0.2">
      <c r="B33" s="3" t="s">
        <v>1008</v>
      </c>
      <c r="C33" s="4" t="s">
        <v>1009</v>
      </c>
      <c r="D33" s="4" t="s">
        <v>1010</v>
      </c>
      <c r="E33" s="4"/>
    </row>
    <row r="34" spans="2:5" x14ac:dyDescent="0.2">
      <c r="B34" s="3" t="s">
        <v>1011</v>
      </c>
      <c r="C34" s="4" t="s">
        <v>1012</v>
      </c>
      <c r="D34" s="4" t="s">
        <v>1013</v>
      </c>
      <c r="E34" s="4"/>
    </row>
    <row r="35" spans="2:5" x14ac:dyDescent="0.2">
      <c r="B35" s="3" t="s">
        <v>1014</v>
      </c>
      <c r="C35" s="4" t="s">
        <v>1015</v>
      </c>
      <c r="D35" s="4" t="s">
        <v>1016</v>
      </c>
      <c r="E35" s="4"/>
    </row>
    <row r="36" spans="2:5" x14ac:dyDescent="0.2">
      <c r="B36" s="3" t="s">
        <v>1017</v>
      </c>
      <c r="C36" s="4" t="s">
        <v>1018</v>
      </c>
      <c r="D36" s="4" t="s">
        <v>1019</v>
      </c>
      <c r="E36" s="4"/>
    </row>
    <row r="37" spans="2:5" x14ac:dyDescent="0.2">
      <c r="B37" s="3" t="s">
        <v>1020</v>
      </c>
      <c r="C37" s="4" t="s">
        <v>1021</v>
      </c>
      <c r="D37" s="4" t="s">
        <v>1022</v>
      </c>
      <c r="E37" s="4"/>
    </row>
    <row r="38" spans="2:5" x14ac:dyDescent="0.2">
      <c r="B38" s="3" t="s">
        <v>1023</v>
      </c>
      <c r="C38" s="4" t="s">
        <v>1024</v>
      </c>
      <c r="D38" s="4" t="s">
        <v>1025</v>
      </c>
      <c r="E38" s="4"/>
    </row>
    <row r="40" spans="2:5" ht="15.75" x14ac:dyDescent="0.2">
      <c r="B40" s="13" t="s">
        <v>1026</v>
      </c>
    </row>
    <row r="42" spans="2:5" x14ac:dyDescent="0.2">
      <c r="B42" s="2" t="s">
        <v>71</v>
      </c>
      <c r="C42" s="2" t="s">
        <v>72</v>
      </c>
      <c r="D42" s="2" t="s">
        <v>73</v>
      </c>
      <c r="E42" s="2"/>
    </row>
    <row r="43" spans="2:5" x14ac:dyDescent="0.2">
      <c r="B43" s="3" t="s">
        <v>1027</v>
      </c>
      <c r="C43" s="4" t="s">
        <v>1028</v>
      </c>
      <c r="D43" s="4" t="s">
        <v>1029</v>
      </c>
      <c r="E43" s="4"/>
    </row>
    <row r="44" spans="2:5" x14ac:dyDescent="0.2">
      <c r="B44" s="3" t="s">
        <v>1030</v>
      </c>
      <c r="C44" s="4" t="s">
        <v>1031</v>
      </c>
      <c r="D44" s="4" t="s">
        <v>1032</v>
      </c>
      <c r="E44" s="4"/>
    </row>
    <row r="45" spans="2:5" x14ac:dyDescent="0.2">
      <c r="B45" s="3" t="s">
        <v>1033</v>
      </c>
      <c r="C45" s="4" t="s">
        <v>1034</v>
      </c>
      <c r="D45" s="4" t="s">
        <v>1035</v>
      </c>
      <c r="E45" s="4"/>
    </row>
    <row r="46" spans="2:5" x14ac:dyDescent="0.2">
      <c r="B46" s="3" t="s">
        <v>1036</v>
      </c>
      <c r="C46" s="4" t="s">
        <v>1037</v>
      </c>
      <c r="D46" s="4" t="s">
        <v>1038</v>
      </c>
      <c r="E46" s="4"/>
    </row>
    <row r="49" spans="2:2" ht="17.25" x14ac:dyDescent="0.2">
      <c r="B49" s="5" t="s">
        <v>1039</v>
      </c>
    </row>
    <row r="50" spans="2:2" x14ac:dyDescent="0.2">
      <c r="B50" s="6"/>
    </row>
    <row r="51" spans="2:2" x14ac:dyDescent="0.2">
      <c r="B51" s="7" t="s">
        <v>1040</v>
      </c>
    </row>
    <row r="52" spans="2:2" x14ac:dyDescent="0.2">
      <c r="B52" s="6"/>
    </row>
    <row r="53" spans="2:2" x14ac:dyDescent="0.2">
      <c r="B53" s="9" t="s">
        <v>1041</v>
      </c>
    </row>
    <row r="54" spans="2:2" x14ac:dyDescent="0.2">
      <c r="B54" s="7" t="s">
        <v>1042</v>
      </c>
    </row>
    <row r="55" spans="2:2" x14ac:dyDescent="0.2">
      <c r="B55" s="6"/>
    </row>
    <row r="56" spans="2:2" x14ac:dyDescent="0.2">
      <c r="B56" s="9" t="s">
        <v>1043</v>
      </c>
    </row>
    <row r="57" spans="2:2" x14ac:dyDescent="0.2">
      <c r="B57" s="7" t="s">
        <v>1044</v>
      </c>
    </row>
    <row r="58" spans="2:2" x14ac:dyDescent="0.2">
      <c r="B58" s="6"/>
    </row>
    <row r="59" spans="2:2" x14ac:dyDescent="0.2">
      <c r="B59" s="9" t="s">
        <v>1045</v>
      </c>
    </row>
    <row r="63" spans="2:2" ht="17.25" x14ac:dyDescent="0.2">
      <c r="B63" s="5" t="s">
        <v>86</v>
      </c>
    </row>
    <row r="65" spans="2:5" x14ac:dyDescent="0.2">
      <c r="B65" s="2" t="s">
        <v>250</v>
      </c>
      <c r="C65" s="2" t="s">
        <v>1046</v>
      </c>
      <c r="D65" s="2" t="s">
        <v>1047</v>
      </c>
      <c r="E65" s="2"/>
    </row>
    <row r="66" spans="2:5" x14ac:dyDescent="0.2">
      <c r="B66" s="3" t="s">
        <v>253</v>
      </c>
      <c r="C66" s="4" t="s">
        <v>1048</v>
      </c>
      <c r="D66" s="4" t="s">
        <v>1049</v>
      </c>
      <c r="E66" s="4"/>
    </row>
    <row r="67" spans="2:5" x14ac:dyDescent="0.2">
      <c r="B67" s="3" t="s">
        <v>262</v>
      </c>
      <c r="C67" s="4" t="s">
        <v>1050</v>
      </c>
      <c r="D67" s="4" t="s">
        <v>1051</v>
      </c>
      <c r="E67" s="4"/>
    </row>
    <row r="68" spans="2:5" x14ac:dyDescent="0.2">
      <c r="B68" s="3" t="s">
        <v>256</v>
      </c>
      <c r="C68" s="4" t="s">
        <v>1052</v>
      </c>
      <c r="D68" s="4" t="s">
        <v>1053</v>
      </c>
      <c r="E68" s="4"/>
    </row>
    <row r="71" spans="2:5" ht="17.25" x14ac:dyDescent="0.2">
      <c r="B71" s="5" t="s">
        <v>90</v>
      </c>
    </row>
    <row r="72" spans="2:5" x14ac:dyDescent="0.2">
      <c r="B72" s="6"/>
    </row>
    <row r="73" spans="2:5" x14ac:dyDescent="0.2">
      <c r="B73" s="7" t="s">
        <v>1054</v>
      </c>
    </row>
    <row r="74" spans="2:5" x14ac:dyDescent="0.2">
      <c r="B74" s="6"/>
    </row>
    <row r="75" spans="2:5" x14ac:dyDescent="0.2">
      <c r="B75" s="9" t="s">
        <v>1055</v>
      </c>
    </row>
    <row r="76" spans="2:5" x14ac:dyDescent="0.2">
      <c r="B76" s="9" t="s">
        <v>1056</v>
      </c>
    </row>
    <row r="77" spans="2:5" x14ac:dyDescent="0.2">
      <c r="B77" s="7" t="s">
        <v>1057</v>
      </c>
    </row>
    <row r="78" spans="2:5" x14ac:dyDescent="0.2">
      <c r="B78" s="6"/>
    </row>
    <row r="79" spans="2:5" x14ac:dyDescent="0.2">
      <c r="B79" s="9" t="s">
        <v>1058</v>
      </c>
    </row>
    <row r="80" spans="2:5" x14ac:dyDescent="0.2">
      <c r="B80" s="9" t="s">
        <v>1059</v>
      </c>
    </row>
  </sheetData>
  <phoneticPr fontId="2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F4D9AC-1DF9-4960-B778-9A598C4E8869}">
  <dimension ref="B1:G82"/>
  <sheetViews>
    <sheetView topLeftCell="A41" zoomScaleNormal="100" workbookViewId="0">
      <selection activeCell="B1" sqref="B1:D75"/>
    </sheetView>
  </sheetViews>
  <sheetFormatPr defaultRowHeight="14.25" x14ac:dyDescent="0.2"/>
  <cols>
    <col min="1" max="1" width="2.75" customWidth="1"/>
    <col min="2" max="2" width="15.625" customWidth="1"/>
    <col min="3" max="3" width="43.125" customWidth="1"/>
    <col min="4" max="4" width="32.75" customWidth="1"/>
  </cols>
  <sheetData>
    <row r="1" spans="2:7" ht="17.25" x14ac:dyDescent="0.2">
      <c r="B1" s="5" t="s">
        <v>215</v>
      </c>
      <c r="G1" t="str">
        <f>"&lt;dl&gt;&lt;dt&gt;" &amp; B1 &amp; "&lt;/dt&gt;&lt;dd&gt;" &amp; C1 &amp; "&lt;/dd&gt;&lt;dd&gt;" &amp; D1 &amp; "&lt;/dd&gt;&lt;/dl&gt;"</f>
        <v>&lt;dl&gt;&lt;dt&gt;一、巨门定义​&lt;/dt&gt;&lt;dd&gt;&lt;/dd&gt;&lt;dd&gt;&lt;/dd&gt;&lt;/dl&gt;</v>
      </c>
    </row>
    <row r="3" spans="2:7" x14ac:dyDescent="0.2">
      <c r="B3" s="1" t="s">
        <v>216</v>
      </c>
    </row>
    <row r="4" spans="2:7" x14ac:dyDescent="0.2">
      <c r="B4" s="6"/>
    </row>
    <row r="5" spans="2:7" x14ac:dyDescent="0.2">
      <c r="B5" s="7" t="s">
        <v>217</v>
      </c>
    </row>
    <row r="6" spans="2:7" x14ac:dyDescent="0.2">
      <c r="B6" s="7" t="s">
        <v>218</v>
      </c>
    </row>
    <row r="7" spans="2:7" x14ac:dyDescent="0.2">
      <c r="B7" s="7" t="s">
        <v>219</v>
      </c>
    </row>
    <row r="8" spans="2:7" x14ac:dyDescent="0.2">
      <c r="B8" s="7" t="s">
        <v>220</v>
      </c>
    </row>
    <row r="12" spans="2:7" ht="17.25" x14ac:dyDescent="0.2">
      <c r="B12" s="5" t="s">
        <v>221</v>
      </c>
    </row>
    <row r="14" spans="2:7" x14ac:dyDescent="0.2">
      <c r="B14" s="2" t="s">
        <v>18</v>
      </c>
      <c r="C14" s="2" t="s">
        <v>222</v>
      </c>
      <c r="D14" s="2" t="s">
        <v>223</v>
      </c>
    </row>
    <row r="15" spans="2:7" ht="28.5" x14ac:dyDescent="0.2">
      <c r="B15" s="3" t="s">
        <v>201</v>
      </c>
      <c r="C15" s="4" t="s">
        <v>224</v>
      </c>
      <c r="D15" s="4" t="s">
        <v>225</v>
      </c>
    </row>
    <row r="16" spans="2:7" ht="28.5" x14ac:dyDescent="0.2">
      <c r="B16" s="3" t="s">
        <v>9</v>
      </c>
      <c r="C16" s="4" t="s">
        <v>226</v>
      </c>
      <c r="D16" s="4" t="s">
        <v>227</v>
      </c>
    </row>
    <row r="17" spans="2:7" x14ac:dyDescent="0.2">
      <c r="B17" s="3" t="s">
        <v>116</v>
      </c>
      <c r="C17" s="4" t="s">
        <v>228</v>
      </c>
      <c r="D17" s="4" t="s">
        <v>229</v>
      </c>
    </row>
    <row r="18" spans="2:7" x14ac:dyDescent="0.2">
      <c r="B18" s="3" t="s">
        <v>0</v>
      </c>
      <c r="C18" s="4" t="s">
        <v>230</v>
      </c>
      <c r="D18" s="4" t="s">
        <v>231</v>
      </c>
    </row>
    <row r="19" spans="2:7" x14ac:dyDescent="0.2">
      <c r="B19" s="3" t="s">
        <v>206</v>
      </c>
      <c r="C19" s="4" t="s">
        <v>232</v>
      </c>
      <c r="D19" s="4" t="s">
        <v>233</v>
      </c>
    </row>
    <row r="20" spans="2:7" x14ac:dyDescent="0.2">
      <c r="B20" s="3" t="s">
        <v>12</v>
      </c>
      <c r="C20" s="4" t="s">
        <v>234</v>
      </c>
      <c r="D20" s="4" t="s">
        <v>235</v>
      </c>
    </row>
    <row r="21" spans="2:7" x14ac:dyDescent="0.2">
      <c r="B21" s="3" t="s">
        <v>15</v>
      </c>
      <c r="C21" s="4" t="s">
        <v>236</v>
      </c>
      <c r="D21" s="4" t="s">
        <v>237</v>
      </c>
    </row>
    <row r="22" spans="2:7" ht="15" thickBot="1" x14ac:dyDescent="0.25">
      <c r="B22" s="3" t="s">
        <v>6</v>
      </c>
      <c r="C22" s="4" t="s">
        <v>238</v>
      </c>
      <c r="D22" s="4" t="s">
        <v>239</v>
      </c>
    </row>
    <row r="23" spans="2:7" ht="16.5" thickBot="1" x14ac:dyDescent="0.25">
      <c r="B23" s="3" t="s">
        <v>3</v>
      </c>
      <c r="C23" s="4" t="s">
        <v>240</v>
      </c>
      <c r="D23" s="4" t="s">
        <v>241</v>
      </c>
      <c r="E23" s="12"/>
    </row>
    <row r="24" spans="2:7" ht="16.5" thickBot="1" x14ac:dyDescent="0.25">
      <c r="B24" s="3" t="s">
        <v>128</v>
      </c>
      <c r="C24" s="4" t="s">
        <v>242</v>
      </c>
      <c r="D24" s="4" t="s">
        <v>243</v>
      </c>
      <c r="E24" s="15"/>
      <c r="G24" t="str">
        <f t="shared" ref="G24:G52" si="0">"&lt;dl&gt;&lt;dt&gt;" &amp; B24 &amp; "&lt;/dt&gt;&lt;dd&gt;" &amp; C24 &amp; "&lt;/dd&gt;&lt;dd&gt;" &amp; D24 &amp; "&lt;/dd&gt;&lt;/dl&gt;"</f>
        <v>&lt;dl&gt;&lt;dt&gt;子女宫​&lt;/dt&gt;&lt;dd&gt;生育通道：+天喜=顺产；+天刑=剖腹产&lt;/dd&gt;&lt;dd&gt;儿童语言障碍；青春期叛逆&lt;/dd&gt;&lt;/dl&gt;</v>
      </c>
    </row>
    <row r="25" spans="2:7" ht="16.5" thickBot="1" x14ac:dyDescent="0.25">
      <c r="B25" s="3" t="s">
        <v>125</v>
      </c>
      <c r="C25" s="4" t="s">
        <v>244</v>
      </c>
      <c r="D25" s="4" t="s">
        <v>245</v>
      </c>
      <c r="E25" s="15"/>
      <c r="G25" t="str">
        <f t="shared" si="0"/>
        <v>&lt;dl&gt;&lt;dt&gt;夫妻宫​&lt;/dt&gt;&lt;dd&gt;感情沟通：庙旺=甜言蜜语；落陷+巨门忌=冷战&lt;/dd&gt;&lt;dd&gt;离婚协议；婚外情曝光&lt;/dd&gt;&lt;/dl&gt;</v>
      </c>
    </row>
    <row r="26" spans="2:7" ht="16.5" thickBot="1" x14ac:dyDescent="0.25">
      <c r="B26" s="3" t="s">
        <v>246</v>
      </c>
      <c r="C26" s="4" t="s">
        <v>247</v>
      </c>
      <c r="D26" s="4" t="s">
        <v>248</v>
      </c>
      <c r="E26" s="15"/>
      <c r="G26" t="str">
        <f t="shared" si="0"/>
        <v>&lt;dl&gt;&lt;dt&gt;兄弟宫​&lt;/dt&gt;&lt;dd&gt;手足隔阂：+右弼=替兄弟代言；+天哭=兄弟反目&lt;/dd&gt;&lt;dd&gt;遗产争夺；合伙纠纷&lt;/dd&gt;&lt;/dl&gt;</v>
      </c>
    </row>
    <row r="27" spans="2:7" ht="16.5" thickBot="1" x14ac:dyDescent="0.25">
      <c r="E27" s="15"/>
      <c r="G27" t="str">
        <f t="shared" si="0"/>
        <v>&lt;dl&gt;&lt;dt&gt;&lt;/dt&gt;&lt;dd&gt;&lt;/dd&gt;&lt;dd&gt;&lt;/dd&gt;&lt;/dl&gt;</v>
      </c>
    </row>
    <row r="28" spans="2:7" ht="16.5" thickBot="1" x14ac:dyDescent="0.25">
      <c r="E28" s="15"/>
      <c r="G28" t="str">
        <f t="shared" si="0"/>
        <v>&lt;dl&gt;&lt;dt&gt;&lt;/dt&gt;&lt;dd&gt;&lt;/dd&gt;&lt;dd&gt;&lt;/dd&gt;&lt;/dl&gt;</v>
      </c>
    </row>
    <row r="29" spans="2:7" ht="18" thickBot="1" x14ac:dyDescent="0.25">
      <c r="B29" s="5" t="s">
        <v>249</v>
      </c>
      <c r="E29" s="15"/>
      <c r="G29" t="str">
        <f t="shared" si="0"/>
        <v>&lt;dl&gt;&lt;dt&gt;三、四化象义​&lt;/dt&gt;&lt;dd&gt;&lt;/dd&gt;&lt;dd&gt;&lt;/dd&gt;&lt;/dl&gt;</v>
      </c>
    </row>
    <row r="31" spans="2:7" x14ac:dyDescent="0.2">
      <c r="B31" s="2" t="s">
        <v>250</v>
      </c>
      <c r="C31" s="2" t="s">
        <v>251</v>
      </c>
      <c r="D31" s="2" t="s">
        <v>252</v>
      </c>
    </row>
    <row r="32" spans="2:7" x14ac:dyDescent="0.2">
      <c r="B32" s="3" t="s">
        <v>253</v>
      </c>
      <c r="C32" s="4" t="s">
        <v>254</v>
      </c>
      <c r="D32" s="4" t="s">
        <v>255</v>
      </c>
    </row>
    <row r="33" spans="2:7" ht="15" thickBot="1" x14ac:dyDescent="0.25">
      <c r="B33" s="3" t="s">
        <v>256</v>
      </c>
      <c r="C33" s="4" t="s">
        <v>257</v>
      </c>
      <c r="D33" s="4" t="s">
        <v>258</v>
      </c>
    </row>
    <row r="34" spans="2:7" ht="16.5" thickBot="1" x14ac:dyDescent="0.25">
      <c r="B34" s="3" t="s">
        <v>259</v>
      </c>
      <c r="C34" s="4" t="s">
        <v>260</v>
      </c>
      <c r="D34" s="4" t="s">
        <v>261</v>
      </c>
      <c r="E34" s="12"/>
    </row>
    <row r="35" spans="2:7" ht="16.5" thickBot="1" x14ac:dyDescent="0.25">
      <c r="B35" s="3" t="s">
        <v>262</v>
      </c>
      <c r="C35" s="4" t="s">
        <v>263</v>
      </c>
      <c r="D35" s="4" t="s">
        <v>264</v>
      </c>
      <c r="E35" s="15"/>
      <c r="G35" t="str">
        <f t="shared" si="0"/>
        <v>&lt;dl&gt;&lt;dt&gt;化忌​&lt;/dt&gt;&lt;dd&gt;言多必失（诉讼败诉、机密泄露）&lt;/dd&gt;&lt;dd&gt;沟通绝境（失语症、社交恐惧）&lt;/dd&gt;&lt;/dl&gt;</v>
      </c>
    </row>
    <row r="36" spans="2:7" ht="16.5" thickBot="1" x14ac:dyDescent="0.25">
      <c r="E36" s="15"/>
      <c r="G36" t="str">
        <f t="shared" si="0"/>
        <v>&lt;dl&gt;&lt;dt&gt;&lt;/dt&gt;&lt;dd&gt;&lt;/dd&gt;&lt;dd&gt;&lt;/dd&gt;&lt;/dl&gt;</v>
      </c>
    </row>
    <row r="37" spans="2:7" ht="16.5" thickBot="1" x14ac:dyDescent="0.25">
      <c r="E37" s="15"/>
      <c r="G37" t="str">
        <f t="shared" si="0"/>
        <v>&lt;dl&gt;&lt;dt&gt;&lt;/dt&gt;&lt;dd&gt;&lt;/dd&gt;&lt;dd&gt;&lt;/dd&gt;&lt;/dl&gt;</v>
      </c>
    </row>
    <row r="38" spans="2:7" ht="18" thickBot="1" x14ac:dyDescent="0.25">
      <c r="B38" s="5" t="s">
        <v>265</v>
      </c>
      <c r="E38" s="15"/>
      <c r="G38" t="str">
        <f t="shared" si="0"/>
        <v>&lt;dl&gt;&lt;dt&gt;四、辅星组合象义​&lt;/dt&gt;&lt;dd&gt;&lt;/dd&gt;&lt;dd&gt;&lt;/dd&gt;&lt;/dl&gt;</v>
      </c>
    </row>
    <row r="39" spans="2:7" ht="16.5" thickBot="1" x14ac:dyDescent="0.25">
      <c r="E39" s="15"/>
      <c r="G39" t="str">
        <f t="shared" si="0"/>
        <v>&lt;dl&gt;&lt;dt&gt;&lt;/dt&gt;&lt;dd&gt;&lt;/dd&gt;&lt;dd&gt;&lt;/dd&gt;&lt;/dl&gt;</v>
      </c>
    </row>
    <row r="40" spans="2:7" ht="16.5" thickBot="1" x14ac:dyDescent="0.25">
      <c r="B40" s="2" t="s">
        <v>40</v>
      </c>
      <c r="C40" s="2" t="s">
        <v>266</v>
      </c>
      <c r="D40" s="2" t="s">
        <v>73</v>
      </c>
      <c r="E40" s="15"/>
      <c r="G40" t="str">
        <f t="shared" si="0"/>
        <v>&lt;dl&gt;&lt;dt&gt;辅星​&lt;/dt&gt;&lt;dd&gt;交互象义​&lt;/dd&gt;&lt;dd&gt;典型案例​&lt;/dd&gt;&lt;/dl&gt;</v>
      </c>
    </row>
    <row r="41" spans="2:7" ht="16.5" thickBot="1" x14ac:dyDescent="0.25">
      <c r="B41" s="3" t="s">
        <v>178</v>
      </c>
      <c r="C41" s="4" t="s">
        <v>267</v>
      </c>
      <c r="D41" s="4" t="s">
        <v>268</v>
      </c>
      <c r="E41" s="15"/>
      <c r="G41" t="str">
        <f t="shared" si="0"/>
        <v>&lt;dl&gt;&lt;dt&gt;文昌​&lt;/dt&gt;&lt;dd&gt;文书门路：+巨门=合同条款；化忌=文字陷阱&lt;/dd&gt;&lt;dd&gt;法律文件漏洞；学术抄袭&lt;/dd&gt;&lt;/dl&gt;</v>
      </c>
    </row>
    <row r="42" spans="2:7" ht="16.5" thickBot="1" x14ac:dyDescent="0.25">
      <c r="B42" s="3" t="s">
        <v>181</v>
      </c>
      <c r="C42" s="4" t="s">
        <v>269</v>
      </c>
      <c r="D42" s="4" t="s">
        <v>270</v>
      </c>
      <c r="E42" s="15"/>
      <c r="G42" t="str">
        <f t="shared" si="0"/>
        <v>&lt;dl&gt;&lt;dt&gt;文曲​&lt;/dt&gt;&lt;dd&gt;艺术表达：+巨门=声乐表演；化忌=歌词争议&lt;/dd&gt;&lt;dd&gt;演唱会口误；版权纠纷&lt;/dd&gt;&lt;/dl&gt;</v>
      </c>
    </row>
    <row r="43" spans="2:7" ht="16.5" thickBot="1" x14ac:dyDescent="0.25">
      <c r="B43" s="3" t="s">
        <v>271</v>
      </c>
      <c r="C43" s="4" t="s">
        <v>272</v>
      </c>
      <c r="D43" s="4" t="s">
        <v>273</v>
      </c>
      <c r="E43" s="15"/>
      <c r="G43" t="str">
        <f t="shared" si="0"/>
        <v>&lt;dl&gt;&lt;dt&gt;铃星​&lt;/dt&gt;&lt;dd&gt;言语摩擦：+巨门=争吵不休；+天刑=法庭辩论&lt;/dd&gt;&lt;dd&gt;夫妻骂战；网络骂战&lt;/dd&gt;&lt;/dl&gt;</v>
      </c>
    </row>
    <row r="44" spans="2:7" x14ac:dyDescent="0.2">
      <c r="B44" s="3" t="s">
        <v>190</v>
      </c>
      <c r="C44" s="4" t="s">
        <v>274</v>
      </c>
      <c r="D44" s="4" t="s">
        <v>275</v>
      </c>
    </row>
    <row r="45" spans="2:7" x14ac:dyDescent="0.2">
      <c r="B45" s="3" t="s">
        <v>276</v>
      </c>
      <c r="C45" s="4" t="s">
        <v>277</v>
      </c>
      <c r="D45" s="4" t="s">
        <v>278</v>
      </c>
    </row>
    <row r="46" spans="2:7" x14ac:dyDescent="0.2">
      <c r="B46" s="3" t="s">
        <v>279</v>
      </c>
      <c r="C46" s="4" t="s">
        <v>280</v>
      </c>
      <c r="D46" s="4" t="s">
        <v>281</v>
      </c>
    </row>
    <row r="47" spans="2:7" ht="15" thickBot="1" x14ac:dyDescent="0.25">
      <c r="B47" s="3" t="s">
        <v>193</v>
      </c>
      <c r="C47" s="4" t="s">
        <v>282</v>
      </c>
      <c r="D47" s="4" t="s">
        <v>283</v>
      </c>
    </row>
    <row r="48" spans="2:7" ht="16.5" thickBot="1" x14ac:dyDescent="0.25">
      <c r="B48" s="3" t="s">
        <v>284</v>
      </c>
      <c r="C48" s="4" t="s">
        <v>285</v>
      </c>
      <c r="D48" s="4" t="s">
        <v>286</v>
      </c>
      <c r="E48" s="12"/>
    </row>
    <row r="49" spans="2:7" ht="16.5" thickBot="1" x14ac:dyDescent="0.25">
      <c r="B49" s="3" t="s">
        <v>196</v>
      </c>
      <c r="C49" s="4" t="s">
        <v>287</v>
      </c>
      <c r="D49" s="4" t="s">
        <v>288</v>
      </c>
      <c r="E49" s="15"/>
      <c r="G49" t="str">
        <f t="shared" si="0"/>
        <v>&lt;dl&gt;&lt;dt&gt;阴煞​&lt;/dt&gt;&lt;dd&gt;隐秘门道：+巨门=间谍活动；+田宅=房屋闹鬼&lt;/dd&gt;&lt;dd&gt;窃听丑闻；风水煞位&lt;/dd&gt;&lt;/dl&gt;</v>
      </c>
    </row>
    <row r="50" spans="2:7" ht="16.5" thickBot="1" x14ac:dyDescent="0.25">
      <c r="B50" s="3" t="s">
        <v>289</v>
      </c>
      <c r="C50" s="4" t="s">
        <v>290</v>
      </c>
      <c r="D50" s="4" t="s">
        <v>291</v>
      </c>
      <c r="E50" s="15"/>
      <c r="G50" t="str">
        <f t="shared" si="0"/>
        <v>&lt;dl&gt;&lt;dt&gt;天喜​&lt;/dt&gt;&lt;dd&gt;喜庆之门：+巨门=婚礼致辞；+夫妻=表白成功&lt;/dd&gt;&lt;dd&gt;求婚宣言；庆典主持&lt;/dd&gt;&lt;/dl&gt;</v>
      </c>
    </row>
    <row r="51" spans="2:7" ht="16.5" thickBot="1" x14ac:dyDescent="0.25">
      <c r="B51" s="3" t="s">
        <v>292</v>
      </c>
      <c r="C51" s="4" t="s">
        <v>293</v>
      </c>
      <c r="D51" s="4" t="s">
        <v>294</v>
      </c>
      <c r="E51" s="15"/>
      <c r="G51" t="str">
        <f t="shared" si="0"/>
        <v>&lt;dl&gt;&lt;dt&gt;天姚​&lt;/dt&gt;&lt;dd&gt;桃色口舌：+巨门=暧昧短信；化忌=性丑闻&lt;/dd&gt;&lt;dd&gt;桃色绯闻；色情直播&lt;/dd&gt;&lt;/dl&gt;</v>
      </c>
    </row>
    <row r="52" spans="2:7" ht="16.5" thickBot="1" x14ac:dyDescent="0.25">
      <c r="E52" s="15"/>
      <c r="G52" t="str">
        <f t="shared" si="0"/>
        <v>&lt;dl&gt;&lt;dt&gt;&lt;/dt&gt;&lt;dd&gt;&lt;/dd&gt;&lt;dd&gt;&lt;/dd&gt;&lt;/dl&gt;</v>
      </c>
    </row>
    <row r="54" spans="2:7" ht="17.25" x14ac:dyDescent="0.2">
      <c r="B54" s="5" t="s">
        <v>295</v>
      </c>
    </row>
    <row r="55" spans="2:7" x14ac:dyDescent="0.2">
      <c r="B55" s="6"/>
    </row>
    <row r="56" spans="2:7" x14ac:dyDescent="0.2">
      <c r="B56" s="7" t="s">
        <v>296</v>
      </c>
    </row>
    <row r="57" spans="2:7" x14ac:dyDescent="0.2">
      <c r="B57" s="6"/>
    </row>
    <row r="58" spans="2:7" x14ac:dyDescent="0.2">
      <c r="B58" s="8" t="s">
        <v>297</v>
      </c>
    </row>
    <row r="59" spans="2:7" x14ac:dyDescent="0.2">
      <c r="B59" s="8" t="s">
        <v>298</v>
      </c>
    </row>
    <row r="60" spans="2:7" x14ac:dyDescent="0.2">
      <c r="B60" s="7" t="s">
        <v>299</v>
      </c>
    </row>
    <row r="61" spans="2:7" x14ac:dyDescent="0.2">
      <c r="B61" s="6"/>
    </row>
    <row r="62" spans="2:7" x14ac:dyDescent="0.2">
      <c r="B62" s="8" t="s">
        <v>300</v>
      </c>
    </row>
    <row r="63" spans="2:7" x14ac:dyDescent="0.2">
      <c r="B63" s="8" t="s">
        <v>301</v>
      </c>
    </row>
    <row r="64" spans="2:7" x14ac:dyDescent="0.2">
      <c r="B64" s="7" t="s">
        <v>302</v>
      </c>
    </row>
    <row r="65" spans="2:2" x14ac:dyDescent="0.2">
      <c r="B65" s="6"/>
    </row>
    <row r="66" spans="2:2" x14ac:dyDescent="0.2">
      <c r="B66" s="8" t="s">
        <v>303</v>
      </c>
    </row>
    <row r="67" spans="2:2" x14ac:dyDescent="0.2">
      <c r="B67" s="8" t="s">
        <v>304</v>
      </c>
    </row>
    <row r="71" spans="2:2" ht="17.25" x14ac:dyDescent="0.2">
      <c r="B71" s="5" t="s">
        <v>305</v>
      </c>
    </row>
    <row r="72" spans="2:2" x14ac:dyDescent="0.2">
      <c r="B72" s="6"/>
    </row>
    <row r="73" spans="2:2" x14ac:dyDescent="0.2">
      <c r="B73" s="7" t="s">
        <v>306</v>
      </c>
    </row>
    <row r="74" spans="2:2" x14ac:dyDescent="0.2">
      <c r="B74" s="7" t="s">
        <v>307</v>
      </c>
    </row>
    <row r="75" spans="2:2" x14ac:dyDescent="0.2">
      <c r="B75" s="7" t="s">
        <v>308</v>
      </c>
    </row>
    <row r="77" spans="2:2" ht="17.25" x14ac:dyDescent="0.2">
      <c r="B77" s="5"/>
    </row>
    <row r="80" spans="2:2" x14ac:dyDescent="0.2">
      <c r="B80" s="16"/>
    </row>
    <row r="81" spans="2:2" x14ac:dyDescent="0.2">
      <c r="B81" s="6"/>
    </row>
    <row r="82" spans="2:2" x14ac:dyDescent="0.2">
      <c r="B82" s="6"/>
    </row>
  </sheetData>
  <phoneticPr fontId="2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FAD34D-9C04-46FE-B9B6-159E05180FD0}">
  <dimension ref="B1:G82"/>
  <sheetViews>
    <sheetView topLeftCell="A48" zoomScaleNormal="100" workbookViewId="0">
      <selection activeCell="C82" sqref="C82"/>
    </sheetView>
  </sheetViews>
  <sheetFormatPr defaultRowHeight="14.25" x14ac:dyDescent="0.2"/>
  <cols>
    <col min="1" max="1" width="2.75" customWidth="1"/>
    <col min="2" max="2" width="15.625" customWidth="1"/>
    <col min="3" max="3" width="43.125" customWidth="1"/>
    <col min="4" max="4" width="32.75" customWidth="1"/>
  </cols>
  <sheetData>
    <row r="1" spans="2:7" ht="17.25" x14ac:dyDescent="0.2">
      <c r="B1" s="5" t="s">
        <v>309</v>
      </c>
      <c r="G1" t="str">
        <f>"&lt;dl&gt;&lt;dt&gt;" &amp; B1 &amp; "&lt;/dt&gt;&lt;dd&gt;" &amp; C1 &amp; "&lt;/dd&gt;&lt;dd&gt;" &amp; D1 &amp; "&lt;/dd&gt;&lt;/dl&gt;"</f>
        <v>&lt;dl&gt;&lt;dt&gt;一、天机定义​&lt;/dt&gt;&lt;dd&gt;&lt;/dd&gt;&lt;dd&gt;&lt;/dd&gt;&lt;/dl&gt;</v>
      </c>
    </row>
    <row r="3" spans="2:7" x14ac:dyDescent="0.2">
      <c r="B3" s="1" t="s">
        <v>310</v>
      </c>
    </row>
    <row r="4" spans="2:7" x14ac:dyDescent="0.2">
      <c r="B4" s="1" t="s">
        <v>311</v>
      </c>
    </row>
    <row r="5" spans="2:7" x14ac:dyDescent="0.2">
      <c r="B5" s="1" t="s">
        <v>312</v>
      </c>
    </row>
    <row r="6" spans="2:7" x14ac:dyDescent="0.2">
      <c r="B6" s="1" t="s">
        <v>313</v>
      </c>
    </row>
    <row r="7" spans="2:7" x14ac:dyDescent="0.2">
      <c r="B7" s="6"/>
    </row>
    <row r="8" spans="2:7" x14ac:dyDescent="0.2">
      <c r="B8" s="7" t="s">
        <v>314</v>
      </c>
    </row>
    <row r="9" spans="2:7" x14ac:dyDescent="0.2">
      <c r="B9" s="7" t="s">
        <v>315</v>
      </c>
    </row>
    <row r="10" spans="2:7" x14ac:dyDescent="0.2">
      <c r="B10" s="7" t="s">
        <v>316</v>
      </c>
    </row>
    <row r="14" spans="2:7" ht="17.25" x14ac:dyDescent="0.2">
      <c r="B14" s="5" t="s">
        <v>317</v>
      </c>
    </row>
    <row r="16" spans="2:7" x14ac:dyDescent="0.2">
      <c r="B16" s="2" t="s">
        <v>18</v>
      </c>
      <c r="C16" s="2" t="s">
        <v>222</v>
      </c>
      <c r="D16" s="2" t="s">
        <v>318</v>
      </c>
    </row>
    <row r="17" spans="2:7" x14ac:dyDescent="0.2">
      <c r="B17" s="3" t="s">
        <v>201</v>
      </c>
      <c r="C17" s="4" t="s">
        <v>319</v>
      </c>
      <c r="D17" s="4" t="s">
        <v>320</v>
      </c>
    </row>
    <row r="18" spans="2:7" x14ac:dyDescent="0.2">
      <c r="B18" s="3" t="s">
        <v>9</v>
      </c>
      <c r="C18" s="4" t="s">
        <v>321</v>
      </c>
      <c r="D18" s="4" t="s">
        <v>322</v>
      </c>
    </row>
    <row r="19" spans="2:7" x14ac:dyDescent="0.2">
      <c r="B19" s="3" t="s">
        <v>6</v>
      </c>
      <c r="C19" s="4" t="s">
        <v>323</v>
      </c>
      <c r="D19" s="4" t="s">
        <v>324</v>
      </c>
    </row>
    <row r="20" spans="2:7" x14ac:dyDescent="0.2">
      <c r="B20" s="3" t="s">
        <v>15</v>
      </c>
      <c r="C20" s="4" t="s">
        <v>325</v>
      </c>
      <c r="D20" s="4" t="s">
        <v>326</v>
      </c>
    </row>
    <row r="21" spans="2:7" x14ac:dyDescent="0.2">
      <c r="B21" s="3" t="s">
        <v>3</v>
      </c>
      <c r="C21" s="4" t="s">
        <v>327</v>
      </c>
      <c r="D21" s="4" t="s">
        <v>328</v>
      </c>
    </row>
    <row r="22" spans="2:7" ht="15" thickBot="1" x14ac:dyDescent="0.25">
      <c r="B22" s="3" t="s">
        <v>0</v>
      </c>
      <c r="C22" s="4" t="s">
        <v>329</v>
      </c>
      <c r="D22" s="4" t="s">
        <v>330</v>
      </c>
    </row>
    <row r="23" spans="2:7" ht="16.5" thickBot="1" x14ac:dyDescent="0.25">
      <c r="E23" s="12"/>
    </row>
    <row r="24" spans="2:7" ht="16.5" thickBot="1" x14ac:dyDescent="0.25">
      <c r="E24" s="15"/>
      <c r="G24" t="str">
        <f t="shared" ref="G24:G52" si="0">"&lt;dl&gt;&lt;dt&gt;" &amp; B24 &amp; "&lt;/dt&gt;&lt;dd&gt;" &amp; C24 &amp; "&lt;/dd&gt;&lt;dd&gt;" &amp; D24 &amp; "&lt;/dd&gt;&lt;/dl&gt;"</f>
        <v>&lt;dl&gt;&lt;dt&gt;&lt;/dt&gt;&lt;dd&gt;&lt;/dd&gt;&lt;dd&gt;&lt;/dd&gt;&lt;/dl&gt;</v>
      </c>
    </row>
    <row r="25" spans="2:7" ht="18" thickBot="1" x14ac:dyDescent="0.25">
      <c r="B25" s="5" t="s">
        <v>331</v>
      </c>
      <c r="E25" s="15"/>
      <c r="G25" t="str">
        <f t="shared" si="0"/>
        <v>&lt;dl&gt;&lt;dt&gt;三、星曜互动与四化​&lt;/dt&gt;&lt;dd&gt;&lt;/dd&gt;&lt;dd&gt;&lt;/dd&gt;&lt;/dl&gt;</v>
      </c>
    </row>
    <row r="26" spans="2:7" ht="16.5" thickBot="1" x14ac:dyDescent="0.25">
      <c r="B26" s="6"/>
      <c r="E26" s="15"/>
      <c r="G26" t="str">
        <f t="shared" si="0"/>
        <v>&lt;dl&gt;&lt;dt&gt;&lt;/dt&gt;&lt;dd&gt;&lt;/dd&gt;&lt;dd&gt;&lt;/dd&gt;&lt;/dl&gt;</v>
      </c>
    </row>
    <row r="27" spans="2:7" ht="16.5" thickBot="1" x14ac:dyDescent="0.25">
      <c r="B27" s="7" t="s">
        <v>332</v>
      </c>
      <c r="E27" s="15"/>
      <c r="G27" t="str">
        <f t="shared" si="0"/>
        <v>&lt;dl&gt;&lt;dt&gt;1. 庙陷影响：&lt;/dt&gt;&lt;dd&gt;&lt;/dd&gt;&lt;dd&gt;&lt;/dd&gt;&lt;/dl&gt;</v>
      </c>
    </row>
    <row r="28" spans="2:7" ht="16.5" thickBot="1" x14ac:dyDescent="0.25">
      <c r="B28" s="6"/>
      <c r="E28" s="15"/>
      <c r="G28" t="str">
        <f t="shared" si="0"/>
        <v>&lt;dl&gt;&lt;dt&gt;&lt;/dt&gt;&lt;dd&gt;&lt;/dd&gt;&lt;dd&gt;&lt;/dd&gt;&lt;/dl&gt;</v>
      </c>
    </row>
    <row r="29" spans="2:7" ht="16.5" thickBot="1" x14ac:dyDescent="0.25">
      <c r="B29" s="9" t="s">
        <v>333</v>
      </c>
      <c r="E29" s="15"/>
      <c r="G29" t="str">
        <f t="shared" si="0"/>
        <v>&lt;dl&gt;&lt;dt&gt;木水位（寅、卯、亥）：庙旺（6-7级），动势强劲&lt;/dt&gt;&lt;dd&gt;&lt;/dd&gt;&lt;dd&gt;&lt;/dd&gt;&lt;/dl&gt;</v>
      </c>
    </row>
    <row r="30" spans="2:7" x14ac:dyDescent="0.2">
      <c r="B30" s="9" t="s">
        <v>334</v>
      </c>
    </row>
    <row r="31" spans="2:7" x14ac:dyDescent="0.2">
      <c r="B31" s="7" t="s">
        <v>335</v>
      </c>
    </row>
    <row r="32" spans="2:7" x14ac:dyDescent="0.2">
      <c r="B32" s="6"/>
    </row>
    <row r="33" spans="2:7" ht="15" thickBot="1" x14ac:dyDescent="0.25">
      <c r="B33" s="8" t="s">
        <v>336</v>
      </c>
    </row>
    <row r="34" spans="2:7" ht="16.5" thickBot="1" x14ac:dyDescent="0.25">
      <c r="B34" s="8" t="s">
        <v>337</v>
      </c>
      <c r="E34" s="12"/>
    </row>
    <row r="35" spans="2:7" ht="16.5" thickBot="1" x14ac:dyDescent="0.25">
      <c r="B35" s="8" t="s">
        <v>338</v>
      </c>
      <c r="E35" s="15"/>
      <c r="G35" t="str">
        <f t="shared" si="0"/>
        <v>&lt;dl&gt;&lt;dt&gt;化忌（戊干）：中断/错误动向（例：机械故障、决策失误）&lt;/dt&gt;&lt;dd&gt;&lt;/dd&gt;&lt;dd&gt;&lt;/dd&gt;&lt;/dl&gt;</v>
      </c>
    </row>
    <row r="36" spans="2:7" ht="16.5" thickBot="1" x14ac:dyDescent="0.25">
      <c r="E36" s="15"/>
      <c r="G36" t="str">
        <f t="shared" si="0"/>
        <v>&lt;dl&gt;&lt;dt&gt;&lt;/dt&gt;&lt;dd&gt;&lt;/dd&gt;&lt;dd&gt;&lt;/dd&gt;&lt;/dl&gt;</v>
      </c>
    </row>
    <row r="37" spans="2:7" ht="16.5" thickBot="1" x14ac:dyDescent="0.25">
      <c r="E37" s="15"/>
      <c r="G37" t="str">
        <f t="shared" si="0"/>
        <v>&lt;dl&gt;&lt;dt&gt;&lt;/dt&gt;&lt;dd&gt;&lt;/dd&gt;&lt;dd&gt;&lt;/dd&gt;&lt;/dl&gt;</v>
      </c>
    </row>
    <row r="38" spans="2:7" ht="16.5" thickBot="1" x14ac:dyDescent="0.25">
      <c r="E38" s="15"/>
      <c r="G38" t="str">
        <f t="shared" si="0"/>
        <v>&lt;dl&gt;&lt;dt&gt;&lt;/dt&gt;&lt;dd&gt;&lt;/dd&gt;&lt;dd&gt;&lt;/dd&gt;&lt;/dl&gt;</v>
      </c>
    </row>
    <row r="39" spans="2:7" ht="18" thickBot="1" x14ac:dyDescent="0.25">
      <c r="B39" s="5" t="s">
        <v>265</v>
      </c>
      <c r="E39" s="15"/>
      <c r="G39" t="str">
        <f t="shared" si="0"/>
        <v>&lt;dl&gt;&lt;dt&gt;四、辅星组合象义​&lt;/dt&gt;&lt;dd&gt;&lt;/dd&gt;&lt;dd&gt;&lt;/dd&gt;&lt;/dl&gt;</v>
      </c>
    </row>
    <row r="40" spans="2:7" ht="16.5" thickBot="1" x14ac:dyDescent="0.25">
      <c r="E40" s="15"/>
      <c r="G40" t="str">
        <f t="shared" si="0"/>
        <v>&lt;dl&gt;&lt;dt&gt;&lt;/dt&gt;&lt;dd&gt;&lt;/dd&gt;&lt;dd&gt;&lt;/dd&gt;&lt;/dl&gt;</v>
      </c>
    </row>
    <row r="41" spans="2:7" ht="16.5" thickBot="1" x14ac:dyDescent="0.25">
      <c r="B41" s="2" t="s">
        <v>40</v>
      </c>
      <c r="C41" s="2" t="s">
        <v>339</v>
      </c>
      <c r="D41" s="2" t="s">
        <v>340</v>
      </c>
      <c r="E41" s="15"/>
      <c r="G41" t="str">
        <f t="shared" si="0"/>
        <v>&lt;dl&gt;&lt;dt&gt;辅星​&lt;/dt&gt;&lt;dd&gt;组合象义​&lt;/dd&gt;&lt;dd&gt;案例​&lt;/dd&gt;&lt;/dl&gt;</v>
      </c>
    </row>
    <row r="42" spans="2:7" ht="16.5" thickBot="1" x14ac:dyDescent="0.25">
      <c r="B42" s="3" t="s">
        <v>341</v>
      </c>
      <c r="C42" s="4" t="s">
        <v>342</v>
      </c>
      <c r="D42" s="4" t="s">
        <v>343</v>
      </c>
      <c r="E42" s="15"/>
      <c r="G42" t="str">
        <f t="shared" si="0"/>
        <v>&lt;dl&gt;&lt;dt&gt;天机+陀罗​&lt;/dt&gt;&lt;dd&gt;反复转动&lt;/dd&gt;&lt;dd&gt;关节疾病、循环性工作&lt;/dd&gt;&lt;/dl&gt;</v>
      </c>
    </row>
    <row r="43" spans="2:7" ht="16.5" thickBot="1" x14ac:dyDescent="0.25">
      <c r="B43" s="3" t="s">
        <v>344</v>
      </c>
      <c r="C43" s="4" t="s">
        <v>345</v>
      </c>
      <c r="D43" s="4" t="s">
        <v>346</v>
      </c>
      <c r="E43" s="15"/>
      <c r="G43" t="str">
        <f t="shared" si="0"/>
        <v>&lt;dl&gt;&lt;dt&gt;天机+火星​&lt;/dt&gt;&lt;dd&gt;急速变动&lt;/dd&gt;&lt;dd&gt;突发车祸、电子设备短路&lt;/dd&gt;&lt;/dl&gt;</v>
      </c>
    </row>
    <row r="44" spans="2:7" x14ac:dyDescent="0.2">
      <c r="B44" s="3" t="s">
        <v>347</v>
      </c>
      <c r="C44" s="4" t="s">
        <v>348</v>
      </c>
      <c r="D44" s="4" t="s">
        <v>349</v>
      </c>
    </row>
    <row r="45" spans="2:7" x14ac:dyDescent="0.2">
      <c r="B45" s="3" t="s">
        <v>350</v>
      </c>
      <c r="C45" s="4" t="s">
        <v>351</v>
      </c>
      <c r="D45" s="4" t="s">
        <v>352</v>
      </c>
    </row>
    <row r="47" spans="2:7" ht="15" thickBot="1" x14ac:dyDescent="0.25"/>
    <row r="48" spans="2:7" ht="18" thickBot="1" x14ac:dyDescent="0.25">
      <c r="B48" s="5" t="s">
        <v>353</v>
      </c>
      <c r="E48" s="12"/>
    </row>
    <row r="49" spans="2:7" ht="16.5" thickBot="1" x14ac:dyDescent="0.25">
      <c r="B49" s="6"/>
      <c r="E49" s="15"/>
      <c r="G49" t="str">
        <f t="shared" si="0"/>
        <v>&lt;dl&gt;&lt;dt&gt;&lt;/dt&gt;&lt;dd&gt;&lt;/dd&gt;&lt;dd&gt;&lt;/dd&gt;&lt;/dl&gt;</v>
      </c>
    </row>
    <row r="50" spans="2:7" ht="16.5" thickBot="1" x14ac:dyDescent="0.25">
      <c r="B50" s="7" t="s">
        <v>354</v>
      </c>
      <c r="E50" s="15"/>
      <c r="G50" t="str">
        <f t="shared" si="0"/>
        <v>&lt;dl&gt;&lt;dt&gt;1. 天机+太阴（水流动）​&lt;/dt&gt;&lt;dd&gt;&lt;/dd&gt;&lt;dd&gt;&lt;/dd&gt;&lt;/dl&gt;</v>
      </c>
    </row>
    <row r="51" spans="2:7" ht="16.5" thickBot="1" x14ac:dyDescent="0.25">
      <c r="B51" s="6"/>
      <c r="E51" s="15"/>
      <c r="G51" t="str">
        <f t="shared" si="0"/>
        <v>&lt;dl&gt;&lt;dt&gt;&lt;/dt&gt;&lt;dd&gt;&lt;/dd&gt;&lt;dd&gt;&lt;/dd&gt;&lt;/dl&gt;</v>
      </c>
    </row>
    <row r="52" spans="2:7" ht="16.5" thickBot="1" x14ac:dyDescent="0.25">
      <c r="B52" s="8" t="s">
        <v>355</v>
      </c>
      <c r="E52" s="15"/>
      <c r="G52" t="str">
        <f t="shared" si="0"/>
        <v>&lt;dl&gt;&lt;dt&gt;象义：资金流动、情感传递&lt;/dt&gt;&lt;dd&gt;&lt;/dd&gt;&lt;dd&gt;&lt;/dd&gt;&lt;/dl&gt;</v>
      </c>
    </row>
    <row r="53" spans="2:7" x14ac:dyDescent="0.2">
      <c r="B53" s="8" t="s">
        <v>356</v>
      </c>
    </row>
    <row r="54" spans="2:7" x14ac:dyDescent="0.2">
      <c r="B54" s="9"/>
    </row>
    <row r="55" spans="2:7" x14ac:dyDescent="0.2">
      <c r="B55" s="10" t="s">
        <v>357</v>
      </c>
    </row>
    <row r="56" spans="2:7" x14ac:dyDescent="0.2">
      <c r="B56" s="10" t="s">
        <v>358</v>
      </c>
    </row>
    <row r="57" spans="2:7" x14ac:dyDescent="0.2">
      <c r="B57" s="7" t="s">
        <v>359</v>
      </c>
    </row>
    <row r="58" spans="2:7" x14ac:dyDescent="0.2">
      <c r="B58" s="6"/>
    </row>
    <row r="59" spans="2:7" x14ac:dyDescent="0.2">
      <c r="B59" s="8" t="s">
        <v>360</v>
      </c>
    </row>
    <row r="60" spans="2:7" x14ac:dyDescent="0.2">
      <c r="B60" s="8" t="s">
        <v>356</v>
      </c>
    </row>
    <row r="61" spans="2:7" x14ac:dyDescent="0.2">
      <c r="B61" s="9"/>
    </row>
    <row r="62" spans="2:7" x14ac:dyDescent="0.2">
      <c r="B62" s="10" t="s">
        <v>361</v>
      </c>
    </row>
    <row r="63" spans="2:7" x14ac:dyDescent="0.2">
      <c r="B63" s="10" t="s">
        <v>362</v>
      </c>
    </row>
    <row r="67" spans="2:2" ht="17.25" x14ac:dyDescent="0.2">
      <c r="B67" s="5" t="s">
        <v>363</v>
      </c>
    </row>
    <row r="68" spans="2:2" x14ac:dyDescent="0.2">
      <c r="B68" s="6"/>
    </row>
    <row r="69" spans="2:2" x14ac:dyDescent="0.2">
      <c r="B69" s="7" t="s">
        <v>364</v>
      </c>
    </row>
    <row r="70" spans="2:2" x14ac:dyDescent="0.2">
      <c r="B70" s="6"/>
    </row>
    <row r="71" spans="2:2" x14ac:dyDescent="0.2">
      <c r="B71" s="9" t="s">
        <v>365</v>
      </c>
    </row>
    <row r="72" spans="2:2" x14ac:dyDescent="0.2">
      <c r="B72" s="9" t="s">
        <v>366</v>
      </c>
    </row>
    <row r="73" spans="2:2" x14ac:dyDescent="0.2">
      <c r="B73" s="7" t="s">
        <v>367</v>
      </c>
    </row>
    <row r="74" spans="2:2" x14ac:dyDescent="0.2">
      <c r="B74" s="6"/>
    </row>
    <row r="75" spans="2:2" x14ac:dyDescent="0.2">
      <c r="B75" s="9" t="s">
        <v>368</v>
      </c>
    </row>
    <row r="76" spans="2:2" x14ac:dyDescent="0.2">
      <c r="B76" s="9" t="s">
        <v>369</v>
      </c>
    </row>
    <row r="77" spans="2:2" ht="17.25" x14ac:dyDescent="0.2">
      <c r="B77" s="5"/>
    </row>
    <row r="80" spans="2:2" x14ac:dyDescent="0.2">
      <c r="B80" s="16"/>
    </row>
    <row r="81" spans="2:2" x14ac:dyDescent="0.2">
      <c r="B81" s="6"/>
    </row>
    <row r="82" spans="2:2" x14ac:dyDescent="0.2">
      <c r="B82" s="6"/>
    </row>
  </sheetData>
  <phoneticPr fontId="2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1AE98B-40CE-4855-BF08-9462AA25F41B}">
  <dimension ref="B1:G97"/>
  <sheetViews>
    <sheetView topLeftCell="A51" zoomScaleNormal="100" workbookViewId="0">
      <selection activeCell="F37" sqref="F37:F43"/>
    </sheetView>
  </sheetViews>
  <sheetFormatPr defaultRowHeight="14.25" x14ac:dyDescent="0.2"/>
  <cols>
    <col min="1" max="1" width="2.75" customWidth="1"/>
    <col min="2" max="2" width="15.625" customWidth="1"/>
    <col min="3" max="3" width="43.125" customWidth="1"/>
    <col min="4" max="4" width="32.75" customWidth="1"/>
  </cols>
  <sheetData>
    <row r="1" spans="2:7" ht="17.25" x14ac:dyDescent="0.2">
      <c r="B1" s="5" t="s">
        <v>904</v>
      </c>
      <c r="G1" t="str">
        <f>"&lt;dl&gt;&lt;dt&gt;" &amp; B1 &amp; "&lt;/dt&gt;&lt;dd&gt;" &amp; C1 &amp; "&lt;/dd&gt;&lt;dd&gt;" &amp; D1 &amp; "&lt;/dd&gt;&lt;/dl&gt;"</f>
        <v>&lt;dl&gt;&lt;dt&gt;一、天同定义​&lt;/dt&gt;&lt;dd&gt;&lt;/dd&gt;&lt;dd&gt;&lt;/dd&gt;&lt;/dl&gt;</v>
      </c>
    </row>
    <row r="3" spans="2:7" x14ac:dyDescent="0.2">
      <c r="B3" s="1" t="s">
        <v>905</v>
      </c>
    </row>
    <row r="4" spans="2:7" x14ac:dyDescent="0.2">
      <c r="B4" s="6"/>
    </row>
    <row r="5" spans="2:7" x14ac:dyDescent="0.2">
      <c r="B5" s="7" t="s">
        <v>906</v>
      </c>
    </row>
    <row r="6" spans="2:7" x14ac:dyDescent="0.2">
      <c r="B6" s="6"/>
    </row>
    <row r="7" spans="2:7" x14ac:dyDescent="0.2">
      <c r="B7" s="9" t="s">
        <v>907</v>
      </c>
    </row>
    <row r="8" spans="2:7" x14ac:dyDescent="0.2">
      <c r="B8" s="9" t="s">
        <v>908</v>
      </c>
    </row>
    <row r="9" spans="2:7" x14ac:dyDescent="0.2">
      <c r="B9" s="7" t="s">
        <v>909</v>
      </c>
    </row>
    <row r="10" spans="2:7" x14ac:dyDescent="0.2">
      <c r="B10" s="6"/>
    </row>
    <row r="11" spans="2:7" x14ac:dyDescent="0.2">
      <c r="B11" s="9" t="s">
        <v>910</v>
      </c>
    </row>
    <row r="12" spans="2:7" x14ac:dyDescent="0.2">
      <c r="B12" s="9" t="s">
        <v>911</v>
      </c>
    </row>
    <row r="13" spans="2:7" x14ac:dyDescent="0.2">
      <c r="B13" s="7" t="s">
        <v>912</v>
      </c>
    </row>
    <row r="14" spans="2:7" x14ac:dyDescent="0.2">
      <c r="B14" s="6"/>
    </row>
    <row r="15" spans="2:7" x14ac:dyDescent="0.2">
      <c r="B15" s="9" t="s">
        <v>913</v>
      </c>
    </row>
    <row r="16" spans="2:7" x14ac:dyDescent="0.2">
      <c r="B16" s="9" t="s">
        <v>914</v>
      </c>
    </row>
    <row r="17" spans="2:7" x14ac:dyDescent="0.2">
      <c r="B17" s="7" t="s">
        <v>915</v>
      </c>
    </row>
    <row r="18" spans="2:7" x14ac:dyDescent="0.2">
      <c r="B18" s="6"/>
    </row>
    <row r="19" spans="2:7" x14ac:dyDescent="0.2">
      <c r="B19" s="9" t="s">
        <v>916</v>
      </c>
    </row>
    <row r="20" spans="2:7" x14ac:dyDescent="0.2">
      <c r="B20" s="9" t="s">
        <v>917</v>
      </c>
    </row>
    <row r="24" spans="2:7" ht="17.25" x14ac:dyDescent="0.2">
      <c r="B24" s="5" t="s">
        <v>918</v>
      </c>
      <c r="G24" t="str">
        <f t="shared" ref="G24:G52" si="0">"&lt;dl&gt;&lt;dt&gt;" &amp; B24 &amp; "&lt;/dt&gt;&lt;dd&gt;" &amp; C24 &amp; "&lt;/dd&gt;&lt;dd&gt;" &amp; D24 &amp; "&lt;/dd&gt;&lt;/dl&gt;"</f>
        <v>&lt;dl&gt;&lt;dt&gt;二、天同宫位含义​&lt;/dt&gt;&lt;dd&gt;&lt;/dd&gt;&lt;dd&gt;&lt;/dd&gt;&lt;/dl&gt;</v>
      </c>
    </row>
    <row r="25" spans="2:7" x14ac:dyDescent="0.2">
      <c r="G25" t="str">
        <f t="shared" si="0"/>
        <v>&lt;dl&gt;&lt;dt&gt;&lt;/dt&gt;&lt;dd&gt;&lt;/dd&gt;&lt;dd&gt;&lt;/dd&gt;&lt;/dl&gt;</v>
      </c>
    </row>
    <row r="26" spans="2:7" x14ac:dyDescent="0.2">
      <c r="B26" s="2" t="s">
        <v>18</v>
      </c>
      <c r="C26" s="2" t="s">
        <v>222</v>
      </c>
      <c r="D26" s="2" t="s">
        <v>562</v>
      </c>
      <c r="G26" t="str">
        <f t="shared" si="0"/>
        <v>&lt;dl&gt;&lt;dt&gt;宫位​&lt;/dt&gt;&lt;dd&gt;核心象义​&lt;/dd&gt;&lt;dd&gt;典型应用​&lt;/dd&gt;&lt;/dl&gt;</v>
      </c>
    </row>
    <row r="27" spans="2:7" x14ac:dyDescent="0.2">
      <c r="B27" s="3" t="s">
        <v>201</v>
      </c>
      <c r="C27" s="4" t="s">
        <v>919</v>
      </c>
      <c r="D27" s="4" t="s">
        <v>920</v>
      </c>
      <c r="G27" t="str">
        <f t="shared" si="0"/>
        <v>&lt;dl&gt;&lt;dt&gt;命宫​&lt;/dt&gt;&lt;dd&gt;本性天真，抗压能力弱&lt;/dd&gt;&lt;dd&gt;+煞星：玻璃心；+文昌：文艺天赋&lt;/dd&gt;&lt;/dl&gt;</v>
      </c>
    </row>
    <row r="28" spans="2:7" x14ac:dyDescent="0.2">
      <c r="B28" s="3" t="s">
        <v>3</v>
      </c>
      <c r="C28" s="4" t="s">
        <v>921</v>
      </c>
      <c r="D28" s="4" t="s">
        <v>922</v>
      </c>
      <c r="G28" t="str">
        <f t="shared" si="0"/>
        <v>&lt;dl&gt;&lt;dt&gt;财帛宫​&lt;/dt&gt;&lt;dd&gt;消费观享乐主义&lt;/dd&gt;&lt;dd&gt;化忌：为快乐挥霍；化禄：意外之财&lt;/dd&gt;&lt;/dl&gt;</v>
      </c>
    </row>
    <row r="29" spans="2:7" x14ac:dyDescent="0.2">
      <c r="B29" s="3" t="s">
        <v>206</v>
      </c>
      <c r="C29" s="4" t="s">
        <v>923</v>
      </c>
      <c r="D29" s="4" t="s">
        <v>924</v>
      </c>
      <c r="G29" t="str">
        <f t="shared" si="0"/>
        <v>&lt;dl&gt;&lt;dt&gt;官禄宫​&lt;/dt&gt;&lt;dd&gt;工作追求轻松&lt;/dd&gt;&lt;dd&gt;落陷+天梁：被迫承担重任&lt;/dd&gt;&lt;/dl&gt;</v>
      </c>
    </row>
    <row r="30" spans="2:7" x14ac:dyDescent="0.2">
      <c r="B30" s="3" t="s">
        <v>128</v>
      </c>
      <c r="C30" s="4" t="s">
        <v>925</v>
      </c>
      <c r="D30" s="4" t="s">
        <v>926</v>
      </c>
    </row>
    <row r="31" spans="2:7" x14ac:dyDescent="0.2">
      <c r="B31" s="3" t="s">
        <v>6</v>
      </c>
      <c r="C31" s="4" t="s">
        <v>927</v>
      </c>
      <c r="D31" s="4" t="s">
        <v>928</v>
      </c>
    </row>
    <row r="32" spans="2:7" x14ac:dyDescent="0.2">
      <c r="B32" s="3" t="s">
        <v>15</v>
      </c>
      <c r="C32" s="4" t="s">
        <v>929</v>
      </c>
      <c r="D32" s="4" t="s">
        <v>930</v>
      </c>
    </row>
    <row r="35" spans="2:7" ht="17.25" x14ac:dyDescent="0.2">
      <c r="B35" s="5" t="s">
        <v>931</v>
      </c>
      <c r="G35" t="str">
        <f t="shared" si="0"/>
        <v>&lt;dl&gt;&lt;dt&gt;三、天同星曜状态​&lt;/dt&gt;&lt;dd&gt;&lt;/dd&gt;&lt;dd&gt;&lt;/dd&gt;&lt;/dl&gt;</v>
      </c>
    </row>
    <row r="36" spans="2:7" x14ac:dyDescent="0.2">
      <c r="G36" t="str">
        <f t="shared" si="0"/>
        <v>&lt;dl&gt;&lt;dt&gt;&lt;/dt&gt;&lt;dd&gt;&lt;/dd&gt;&lt;dd&gt;&lt;/dd&gt;&lt;/dl&gt;</v>
      </c>
    </row>
    <row r="37" spans="2:7" x14ac:dyDescent="0.2">
      <c r="B37" s="2" t="s">
        <v>718</v>
      </c>
      <c r="C37" s="2" t="s">
        <v>932</v>
      </c>
      <c r="D37" s="2" t="s">
        <v>933</v>
      </c>
    </row>
    <row r="38" spans="2:7" x14ac:dyDescent="0.2">
      <c r="B38" s="3" t="s">
        <v>934</v>
      </c>
      <c r="C38" s="4" t="s">
        <v>935</v>
      </c>
      <c r="D38" s="4" t="s">
        <v>936</v>
      </c>
    </row>
    <row r="39" spans="2:7" x14ac:dyDescent="0.2">
      <c r="B39" s="3" t="s">
        <v>867</v>
      </c>
      <c r="C39" s="4" t="s">
        <v>935</v>
      </c>
      <c r="D39" s="4" t="s">
        <v>937</v>
      </c>
    </row>
    <row r="40" spans="2:7" x14ac:dyDescent="0.2">
      <c r="B40" s="3" t="s">
        <v>938</v>
      </c>
      <c r="C40" s="4" t="s">
        <v>939</v>
      </c>
      <c r="D40" s="4" t="s">
        <v>940</v>
      </c>
    </row>
    <row r="41" spans="2:7" x14ac:dyDescent="0.2">
      <c r="B41" s="3" t="s">
        <v>941</v>
      </c>
      <c r="C41" s="4" t="s">
        <v>939</v>
      </c>
      <c r="D41" s="4" t="s">
        <v>942</v>
      </c>
    </row>
    <row r="42" spans="2:7" x14ac:dyDescent="0.2">
      <c r="B42" s="3" t="s">
        <v>943</v>
      </c>
      <c r="C42" s="4" t="s">
        <v>944</v>
      </c>
      <c r="D42" s="4" t="s">
        <v>945</v>
      </c>
    </row>
    <row r="43" spans="2:7" x14ac:dyDescent="0.2">
      <c r="B43" s="3" t="s">
        <v>946</v>
      </c>
      <c r="C43" s="4" t="s">
        <v>944</v>
      </c>
      <c r="D43" s="4" t="s">
        <v>947</v>
      </c>
    </row>
    <row r="46" spans="2:7" ht="17.25" x14ac:dyDescent="0.2">
      <c r="B46" s="5" t="s">
        <v>948</v>
      </c>
    </row>
    <row r="48" spans="2:7" ht="15.75" x14ac:dyDescent="0.2">
      <c r="B48" s="13" t="s">
        <v>949</v>
      </c>
    </row>
    <row r="49" spans="2:7" x14ac:dyDescent="0.2">
      <c r="B49" s="6"/>
      <c r="G49" t="str">
        <f t="shared" si="0"/>
        <v>&lt;dl&gt;&lt;dt&gt;&lt;/dt&gt;&lt;dd&gt;&lt;/dd&gt;&lt;dd&gt;&lt;/dd&gt;&lt;/dl&gt;</v>
      </c>
    </row>
    <row r="50" spans="2:7" x14ac:dyDescent="0.2">
      <c r="B50" s="7" t="s">
        <v>950</v>
      </c>
      <c r="G50" t="str">
        <f t="shared" si="0"/>
        <v>&lt;dl&gt;&lt;dt&gt;核心：内心感受与存储机制的交互&lt;/dt&gt;&lt;dd&gt;&lt;/dd&gt;&lt;dd&gt;&lt;/dd&gt;&lt;/dl&gt;</v>
      </c>
    </row>
    <row r="51" spans="2:7" x14ac:dyDescent="0.2">
      <c r="B51" s="7" t="s">
        <v>951</v>
      </c>
      <c r="G51" t="str">
        <f t="shared" si="0"/>
        <v>&lt;dl&gt;&lt;dt&gt;庙旺（子亥）：&lt;/dt&gt;&lt;dd&gt;&lt;/dd&gt;&lt;dd&gt;&lt;/dd&gt;&lt;/dl&gt;</v>
      </c>
    </row>
    <row r="52" spans="2:7" x14ac:dyDescent="0.2">
      <c r="B52" s="6"/>
      <c r="G52" t="str">
        <f t="shared" si="0"/>
        <v>&lt;dl&gt;&lt;dt&gt;&lt;/dt&gt;&lt;dd&gt;&lt;/dd&gt;&lt;dd&gt;&lt;/dd&gt;&lt;/dl&gt;</v>
      </c>
    </row>
    <row r="53" spans="2:7" x14ac:dyDescent="0.2">
      <c r="B53" s="9" t="s">
        <v>952</v>
      </c>
    </row>
    <row r="54" spans="2:7" x14ac:dyDescent="0.2">
      <c r="B54" s="9" t="s">
        <v>953</v>
      </c>
    </row>
    <row r="55" spans="2:7" x14ac:dyDescent="0.2">
      <c r="B55" s="7" t="s">
        <v>954</v>
      </c>
    </row>
    <row r="56" spans="2:7" x14ac:dyDescent="0.2">
      <c r="B56" s="6"/>
    </row>
    <row r="57" spans="2:7" x14ac:dyDescent="0.2">
      <c r="B57" s="9" t="s">
        <v>955</v>
      </c>
    </row>
    <row r="58" spans="2:7" x14ac:dyDescent="0.2">
      <c r="B58" s="9" t="s">
        <v>956</v>
      </c>
    </row>
    <row r="60" spans="2:7" ht="15.75" x14ac:dyDescent="0.2">
      <c r="B60" s="13" t="s">
        <v>957</v>
      </c>
    </row>
    <row r="61" spans="2:7" x14ac:dyDescent="0.2">
      <c r="B61" s="6"/>
    </row>
    <row r="62" spans="2:7" x14ac:dyDescent="0.2">
      <c r="B62" s="7" t="s">
        <v>958</v>
      </c>
    </row>
    <row r="63" spans="2:7" x14ac:dyDescent="0.2">
      <c r="B63" s="7" t="s">
        <v>959</v>
      </c>
    </row>
    <row r="64" spans="2:7" x14ac:dyDescent="0.2">
      <c r="B64" s="6"/>
    </row>
    <row r="65" spans="2:2" x14ac:dyDescent="0.2">
      <c r="B65" s="9" t="s">
        <v>960</v>
      </c>
    </row>
    <row r="66" spans="2:2" x14ac:dyDescent="0.2">
      <c r="B66" s="9" t="s">
        <v>961</v>
      </c>
    </row>
    <row r="67" spans="2:2" x14ac:dyDescent="0.2">
      <c r="B67" s="7" t="s">
        <v>962</v>
      </c>
    </row>
    <row r="68" spans="2:2" x14ac:dyDescent="0.2">
      <c r="B68" s="6"/>
    </row>
    <row r="69" spans="2:2" x14ac:dyDescent="0.2">
      <c r="B69" s="9" t="s">
        <v>963</v>
      </c>
    </row>
    <row r="71" spans="2:2" ht="15.75" x14ac:dyDescent="0.2">
      <c r="B71" s="13" t="s">
        <v>964</v>
      </c>
    </row>
    <row r="72" spans="2:2" x14ac:dyDescent="0.2">
      <c r="B72" s="6"/>
    </row>
    <row r="73" spans="2:2" x14ac:dyDescent="0.2">
      <c r="B73" s="7" t="s">
        <v>965</v>
      </c>
    </row>
    <row r="74" spans="2:2" x14ac:dyDescent="0.2">
      <c r="B74" s="7" t="s">
        <v>966</v>
      </c>
    </row>
    <row r="75" spans="2:2" x14ac:dyDescent="0.2">
      <c r="B75" s="6"/>
    </row>
    <row r="76" spans="2:2" x14ac:dyDescent="0.2">
      <c r="B76" s="9" t="s">
        <v>967</v>
      </c>
    </row>
    <row r="77" spans="2:2" x14ac:dyDescent="0.2">
      <c r="B77" s="9" t="s">
        <v>968</v>
      </c>
    </row>
    <row r="79" spans="2:2" ht="15.75" x14ac:dyDescent="0.2">
      <c r="B79" s="13" t="s">
        <v>969</v>
      </c>
    </row>
    <row r="80" spans="2:2" x14ac:dyDescent="0.2">
      <c r="B80" s="6"/>
    </row>
    <row r="81" spans="2:2" x14ac:dyDescent="0.2">
      <c r="B81" s="7" t="s">
        <v>970</v>
      </c>
    </row>
    <row r="82" spans="2:2" x14ac:dyDescent="0.2">
      <c r="B82" s="6" t="s">
        <v>971</v>
      </c>
    </row>
    <row r="83" spans="2:2" x14ac:dyDescent="0.2">
      <c r="B83" s="7" t="s">
        <v>972</v>
      </c>
    </row>
    <row r="84" spans="2:2" x14ac:dyDescent="0.2">
      <c r="B84" s="6" t="s">
        <v>973</v>
      </c>
    </row>
    <row r="88" spans="2:2" ht="17.25" x14ac:dyDescent="0.2">
      <c r="B88" s="5" t="s">
        <v>974</v>
      </c>
    </row>
    <row r="89" spans="2:2" x14ac:dyDescent="0.2">
      <c r="B89" s="6"/>
    </row>
    <row r="90" spans="2:2" x14ac:dyDescent="0.2">
      <c r="B90" s="7" t="s">
        <v>975</v>
      </c>
    </row>
    <row r="91" spans="2:2" x14ac:dyDescent="0.2">
      <c r="B91" s="6"/>
    </row>
    <row r="92" spans="2:2" x14ac:dyDescent="0.2">
      <c r="B92" s="9" t="s">
        <v>976</v>
      </c>
    </row>
    <row r="93" spans="2:2" x14ac:dyDescent="0.2">
      <c r="B93" s="9" t="s">
        <v>977</v>
      </c>
    </row>
    <row r="94" spans="2:2" x14ac:dyDescent="0.2">
      <c r="B94" s="7" t="s">
        <v>978</v>
      </c>
    </row>
    <row r="95" spans="2:2" x14ac:dyDescent="0.2">
      <c r="B95" s="6"/>
    </row>
    <row r="96" spans="2:2" x14ac:dyDescent="0.2">
      <c r="B96" s="9" t="s">
        <v>979</v>
      </c>
    </row>
    <row r="97" spans="2:2" x14ac:dyDescent="0.2">
      <c r="B97" s="9" t="s">
        <v>980</v>
      </c>
    </row>
  </sheetData>
  <phoneticPr fontId="2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E59D90-00B4-4D9D-8072-CE9529E48A65}">
  <dimension ref="B1:G75"/>
  <sheetViews>
    <sheetView zoomScaleNormal="100" workbookViewId="0">
      <selection activeCell="C17" sqref="C17"/>
    </sheetView>
  </sheetViews>
  <sheetFormatPr defaultRowHeight="14.25" x14ac:dyDescent="0.2"/>
  <cols>
    <col min="1" max="1" width="2.75" customWidth="1"/>
    <col min="2" max="2" width="15.625" customWidth="1"/>
    <col min="3" max="3" width="43.125" customWidth="1"/>
    <col min="4" max="4" width="39.75" customWidth="1"/>
  </cols>
  <sheetData>
    <row r="1" spans="2:7" ht="17.25" x14ac:dyDescent="0.2">
      <c r="B1" s="5" t="s">
        <v>479</v>
      </c>
      <c r="G1" t="e">
        <f>"&lt;dl&gt;&lt;dt&gt;" &amp;#REF! &amp; "&lt;/dt&gt;&lt;dd&gt;" &amp;#REF! &amp; "&lt;/dd&gt;&lt;dd&gt;" &amp;#REF! &amp; "&lt;/dd&gt;&lt;/dl&gt;"</f>
        <v>#REF!</v>
      </c>
    </row>
    <row r="3" spans="2:7" x14ac:dyDescent="0.2">
      <c r="B3" s="1" t="s">
        <v>480</v>
      </c>
    </row>
    <row r="4" spans="2:7" x14ac:dyDescent="0.2">
      <c r="B4" s="6"/>
    </row>
    <row r="5" spans="2:7" x14ac:dyDescent="0.2">
      <c r="B5" s="7" t="s">
        <v>25</v>
      </c>
    </row>
    <row r="6" spans="2:7" x14ac:dyDescent="0.2">
      <c r="B6" s="6"/>
    </row>
    <row r="7" spans="2:7" x14ac:dyDescent="0.2">
      <c r="B7" s="8" t="s">
        <v>481</v>
      </c>
    </row>
    <row r="8" spans="2:7" x14ac:dyDescent="0.2">
      <c r="B8" s="8" t="s">
        <v>482</v>
      </c>
    </row>
    <row r="9" spans="2:7" x14ac:dyDescent="0.2">
      <c r="B9" s="8" t="s">
        <v>483</v>
      </c>
    </row>
    <row r="10" spans="2:7" x14ac:dyDescent="0.2">
      <c r="B10" s="8" t="s">
        <v>484</v>
      </c>
    </row>
    <row r="14" spans="2:7" ht="17.25" x14ac:dyDescent="0.2">
      <c r="B14" s="5" t="s">
        <v>485</v>
      </c>
    </row>
    <row r="16" spans="2:7" x14ac:dyDescent="0.2">
      <c r="B16" s="2" t="s">
        <v>200</v>
      </c>
      <c r="C16" s="2" t="s">
        <v>486</v>
      </c>
      <c r="D16" s="2" t="s">
        <v>487</v>
      </c>
    </row>
    <row r="17" spans="2:7" x14ac:dyDescent="0.2">
      <c r="B17" s="3" t="s">
        <v>488</v>
      </c>
      <c r="C17" s="4" t="s">
        <v>489</v>
      </c>
      <c r="D17" s="4" t="s">
        <v>490</v>
      </c>
    </row>
    <row r="18" spans="2:7" x14ac:dyDescent="0.2">
      <c r="B18" s="3" t="s">
        <v>491</v>
      </c>
      <c r="C18" s="4" t="s">
        <v>489</v>
      </c>
      <c r="D18" s="4" t="s">
        <v>492</v>
      </c>
    </row>
    <row r="19" spans="2:7" x14ac:dyDescent="0.2">
      <c r="B19" s="3" t="s">
        <v>493</v>
      </c>
      <c r="C19" s="4" t="s">
        <v>494</v>
      </c>
      <c r="D19" s="4" t="s">
        <v>495</v>
      </c>
    </row>
    <row r="22" spans="2:7" ht="18" thickBot="1" x14ac:dyDescent="0.25">
      <c r="B22" s="5" t="s">
        <v>496</v>
      </c>
    </row>
    <row r="23" spans="2:7" ht="16.5" thickBot="1" x14ac:dyDescent="0.25">
      <c r="E23" s="12"/>
    </row>
    <row r="24" spans="2:7" ht="16.5" thickBot="1" x14ac:dyDescent="0.25">
      <c r="B24" s="2" t="s">
        <v>18</v>
      </c>
      <c r="C24" s="2" t="s">
        <v>497</v>
      </c>
      <c r="D24" s="2" t="s">
        <v>113</v>
      </c>
      <c r="E24" s="15"/>
      <c r="G24" t="e">
        <f>"&lt;dl&gt;&lt;dt&gt;" &amp;#REF! &amp; "&lt;/dt&gt;&lt;dd&gt;" &amp;#REF! &amp; "&lt;/dd&gt;&lt;dd&gt;" &amp;#REF! &amp; "&lt;/dd&gt;&lt;/dl&gt;"</f>
        <v>#REF!</v>
      </c>
    </row>
    <row r="25" spans="2:7" ht="16.5" thickBot="1" x14ac:dyDescent="0.25">
      <c r="B25" s="3" t="s">
        <v>201</v>
      </c>
      <c r="C25" s="4" t="s">
        <v>498</v>
      </c>
      <c r="D25" s="4" t="s">
        <v>499</v>
      </c>
      <c r="E25" s="15"/>
      <c r="G25" t="e">
        <f>"&lt;dl&gt;&lt;dt&gt;" &amp;#REF! &amp; "&lt;/dt&gt;&lt;dd&gt;" &amp;#REF! &amp; "&lt;/dd&gt;&lt;dd&gt;" &amp;#REF! &amp; "&lt;/dd&gt;&lt;/dl&gt;"</f>
        <v>#REF!</v>
      </c>
    </row>
    <row r="26" spans="2:7" ht="16.5" thickBot="1" x14ac:dyDescent="0.25">
      <c r="B26" s="3" t="s">
        <v>3</v>
      </c>
      <c r="C26" s="4" t="s">
        <v>500</v>
      </c>
      <c r="D26" s="4" t="s">
        <v>501</v>
      </c>
      <c r="E26" s="15"/>
      <c r="G26" t="e">
        <f>"&lt;dl&gt;&lt;dt&gt;" &amp;#REF! &amp; "&lt;/dt&gt;&lt;dd&gt;" &amp;#REF! &amp; "&lt;/dd&gt;&lt;dd&gt;" &amp;#REF! &amp; "&lt;/dd&gt;&lt;/dl&gt;"</f>
        <v>#REF!</v>
      </c>
    </row>
    <row r="27" spans="2:7" ht="16.5" thickBot="1" x14ac:dyDescent="0.25">
      <c r="B27" s="3" t="s">
        <v>6</v>
      </c>
      <c r="C27" s="4" t="s">
        <v>502</v>
      </c>
      <c r="D27" s="4" t="s">
        <v>503</v>
      </c>
      <c r="E27" s="15"/>
      <c r="G27" t="e">
        <f>"&lt;dl&gt;&lt;dt&gt;" &amp;#REF! &amp; "&lt;/dt&gt;&lt;dd&gt;" &amp;#REF! &amp; "&lt;/dd&gt;&lt;dd&gt;" &amp;#REF! &amp; "&lt;/dd&gt;&lt;/dl&gt;"</f>
        <v>#REF!</v>
      </c>
    </row>
    <row r="28" spans="2:7" ht="16.5" thickBot="1" x14ac:dyDescent="0.25">
      <c r="B28" s="3" t="s">
        <v>125</v>
      </c>
      <c r="C28" s="4" t="s">
        <v>504</v>
      </c>
      <c r="D28" s="4" t="s">
        <v>505</v>
      </c>
      <c r="E28" s="15"/>
      <c r="G28" t="e">
        <f>"&lt;dl&gt;&lt;dt&gt;" &amp;#REF! &amp; "&lt;/dt&gt;&lt;dd&gt;" &amp;#REF! &amp; "&lt;/dd&gt;&lt;dd&gt;" &amp;#REF! &amp; "&lt;/dd&gt;&lt;/dl&gt;"</f>
        <v>#REF!</v>
      </c>
    </row>
    <row r="29" spans="2:7" ht="16.5" thickBot="1" x14ac:dyDescent="0.25">
      <c r="B29" s="3" t="s">
        <v>206</v>
      </c>
      <c r="C29" s="4" t="s">
        <v>506</v>
      </c>
      <c r="D29" s="4" t="s">
        <v>507</v>
      </c>
      <c r="E29" s="15"/>
      <c r="G29" t="e">
        <f>"&lt;dl&gt;&lt;dt&gt;" &amp;#REF! &amp; "&lt;/dt&gt;&lt;dd&gt;" &amp;#REF! &amp; "&lt;/dd&gt;&lt;dd&gt;" &amp;#REF! &amp; "&lt;/dd&gt;&lt;/dl&gt;"</f>
        <v>#REF!</v>
      </c>
    </row>
    <row r="32" spans="2:7" ht="17.25" x14ac:dyDescent="0.2">
      <c r="B32" s="5" t="s">
        <v>70</v>
      </c>
    </row>
    <row r="33" spans="2:7" ht="15" thickBot="1" x14ac:dyDescent="0.25"/>
    <row r="34" spans="2:7" ht="16.5" thickBot="1" x14ac:dyDescent="0.25">
      <c r="B34" s="2" t="s">
        <v>71</v>
      </c>
      <c r="C34" s="2" t="s">
        <v>222</v>
      </c>
      <c r="D34" s="2" t="s">
        <v>508</v>
      </c>
      <c r="E34" s="12"/>
    </row>
    <row r="35" spans="2:7" ht="16.5" thickBot="1" x14ac:dyDescent="0.25">
      <c r="B35" s="3" t="s">
        <v>509</v>
      </c>
      <c r="C35" s="4" t="s">
        <v>510</v>
      </c>
      <c r="D35" s="4" t="s">
        <v>511</v>
      </c>
      <c r="E35" s="15"/>
      <c r="G35" t="e">
        <f>"&lt;dl&gt;&lt;dt&gt;" &amp;#REF! &amp; "&lt;/dt&gt;&lt;dd&gt;" &amp;#REF! &amp; "&lt;/dd&gt;&lt;dd&gt;" &amp;#REF! &amp; "&lt;/dd&gt;&lt;/dl&gt;"</f>
        <v>#REF!</v>
      </c>
    </row>
    <row r="36" spans="2:7" ht="16.5" thickBot="1" x14ac:dyDescent="0.25">
      <c r="B36" s="3" t="s">
        <v>512</v>
      </c>
      <c r="C36" s="4" t="s">
        <v>513</v>
      </c>
      <c r="D36" s="4" t="s">
        <v>514</v>
      </c>
      <c r="E36" s="15"/>
      <c r="G36" t="e">
        <f>"&lt;dl&gt;&lt;dt&gt;" &amp;#REF! &amp; "&lt;/dt&gt;&lt;dd&gt;" &amp;#REF! &amp; "&lt;/dd&gt;&lt;dd&gt;" &amp;#REF! &amp; "&lt;/dd&gt;&lt;/dl&gt;"</f>
        <v>#REF!</v>
      </c>
    </row>
    <row r="37" spans="2:7" ht="16.5" thickBot="1" x14ac:dyDescent="0.25">
      <c r="B37" s="3" t="s">
        <v>515</v>
      </c>
      <c r="C37" s="4" t="s">
        <v>516</v>
      </c>
      <c r="D37" s="4" t="s">
        <v>517</v>
      </c>
      <c r="E37" s="15"/>
      <c r="G37" t="e">
        <f>"&lt;dl&gt;&lt;dt&gt;" &amp;#REF! &amp; "&lt;/dt&gt;&lt;dd&gt;" &amp;#REF! &amp; "&lt;/dd&gt;&lt;dd&gt;" &amp;#REF! &amp; "&lt;/dd&gt;&lt;/dl&gt;"</f>
        <v>#REF!</v>
      </c>
    </row>
    <row r="38" spans="2:7" ht="16.5" thickBot="1" x14ac:dyDescent="0.25">
      <c r="B38" s="3" t="s">
        <v>518</v>
      </c>
      <c r="C38" s="4" t="s">
        <v>519</v>
      </c>
      <c r="D38" s="4" t="s">
        <v>520</v>
      </c>
      <c r="E38" s="15"/>
      <c r="G38" t="e">
        <f>"&lt;dl&gt;&lt;dt&gt;" &amp;#REF! &amp; "&lt;/dt&gt;&lt;dd&gt;" &amp;#REF! &amp; "&lt;/dd&gt;&lt;dd&gt;" &amp;#REF! &amp; "&lt;/dd&gt;&lt;/dl&gt;"</f>
        <v>#REF!</v>
      </c>
    </row>
    <row r="39" spans="2:7" ht="16.5" thickBot="1" x14ac:dyDescent="0.25">
      <c r="B39" s="3" t="s">
        <v>521</v>
      </c>
      <c r="C39" s="4" t="s">
        <v>522</v>
      </c>
      <c r="D39" s="4" t="s">
        <v>523</v>
      </c>
      <c r="E39" s="15"/>
      <c r="G39" t="e">
        <f>"&lt;dl&gt;&lt;dt&gt;" &amp;#REF! &amp; "&lt;/dt&gt;&lt;dd&gt;" &amp;#REF! &amp; "&lt;/dd&gt;&lt;dd&gt;" &amp;#REF! &amp; "&lt;/dd&gt;&lt;/dl&gt;"</f>
        <v>#REF!</v>
      </c>
    </row>
    <row r="40" spans="2:7" ht="16.5" thickBot="1" x14ac:dyDescent="0.25">
      <c r="B40" s="3" t="s">
        <v>524</v>
      </c>
      <c r="C40" s="4" t="s">
        <v>525</v>
      </c>
      <c r="D40" s="4" t="s">
        <v>526</v>
      </c>
      <c r="E40" s="15"/>
      <c r="G40" t="e">
        <f>"&lt;dl&gt;&lt;dt&gt;" &amp;#REF! &amp; "&lt;/dt&gt;&lt;dd&gt;" &amp;#REF! &amp; "&lt;/dd&gt;&lt;dd&gt;" &amp;#REF! &amp; "&lt;/dd&gt;&lt;/dl&gt;"</f>
        <v>#REF!</v>
      </c>
    </row>
    <row r="41" spans="2:7" ht="16.5" thickBot="1" x14ac:dyDescent="0.25">
      <c r="E41" s="15"/>
      <c r="G41" t="e">
        <f>"&lt;dl&gt;&lt;dt&gt;" &amp;#REF! &amp; "&lt;/dt&gt;&lt;dd&gt;" &amp;#REF! &amp; "&lt;/dd&gt;&lt;dd&gt;" &amp;#REF! &amp; "&lt;/dd&gt;&lt;/dl&gt;"</f>
        <v>#REF!</v>
      </c>
    </row>
    <row r="42" spans="2:7" ht="16.5" thickBot="1" x14ac:dyDescent="0.25">
      <c r="E42" s="15"/>
      <c r="G42" t="e">
        <f>"&lt;dl&gt;&lt;dt&gt;" &amp;#REF! &amp; "&lt;/dt&gt;&lt;dd&gt;" &amp;#REF! &amp; "&lt;/dd&gt;&lt;dd&gt;" &amp;#REF! &amp; "&lt;/dd&gt;&lt;/dl&gt;"</f>
        <v>#REF!</v>
      </c>
    </row>
    <row r="43" spans="2:7" ht="18" thickBot="1" x14ac:dyDescent="0.25">
      <c r="B43" s="5" t="s">
        <v>527</v>
      </c>
      <c r="E43" s="15"/>
      <c r="G43" t="e">
        <f>"&lt;dl&gt;&lt;dt&gt;" &amp;#REF! &amp; "&lt;/dt&gt;&lt;dd&gt;" &amp;#REF! &amp; "&lt;/dd&gt;&lt;dd&gt;" &amp;#REF! &amp; "&lt;/dd&gt;&lt;/dl&gt;"</f>
        <v>#REF!</v>
      </c>
    </row>
    <row r="44" spans="2:7" x14ac:dyDescent="0.2">
      <c r="B44" s="6"/>
    </row>
    <row r="45" spans="2:7" x14ac:dyDescent="0.2">
      <c r="B45" s="7" t="s">
        <v>528</v>
      </c>
    </row>
    <row r="46" spans="2:7" x14ac:dyDescent="0.2">
      <c r="B46" s="6"/>
    </row>
    <row r="47" spans="2:7" ht="15" thickBot="1" x14ac:dyDescent="0.25">
      <c r="B47" s="9" t="s">
        <v>529</v>
      </c>
    </row>
    <row r="48" spans="2:7" ht="16.5" thickBot="1" x14ac:dyDescent="0.25">
      <c r="B48" s="7" t="s">
        <v>530</v>
      </c>
      <c r="E48" s="12"/>
    </row>
    <row r="49" spans="2:7" ht="16.5" thickBot="1" x14ac:dyDescent="0.25">
      <c r="B49" s="6"/>
      <c r="E49" s="15"/>
      <c r="G49" t="e">
        <f>"&lt;dl&gt;&lt;dt&gt;" &amp;#REF! &amp; "&lt;/dt&gt;&lt;dd&gt;" &amp;#REF! &amp; "&lt;/dd&gt;&lt;dd&gt;" &amp;#REF! &amp; "&lt;/dd&gt;&lt;/dl&gt;"</f>
        <v>#REF!</v>
      </c>
    </row>
    <row r="50" spans="2:7" ht="16.5" thickBot="1" x14ac:dyDescent="0.25">
      <c r="B50" s="9" t="s">
        <v>531</v>
      </c>
      <c r="E50" s="15"/>
      <c r="G50" t="e">
        <f>"&lt;dl&gt;&lt;dt&gt;" &amp;#REF! &amp; "&lt;/dt&gt;&lt;dd&gt;" &amp;#REF! &amp; "&lt;/dd&gt;&lt;dd&gt;" &amp;#REF! &amp; "&lt;/dd&gt;&lt;/dl&gt;"</f>
        <v>#REF!</v>
      </c>
    </row>
    <row r="51" spans="2:7" ht="16.5" thickBot="1" x14ac:dyDescent="0.25">
      <c r="B51" s="9" t="s">
        <v>532</v>
      </c>
      <c r="E51" s="15"/>
      <c r="G51" t="e">
        <f>"&lt;dl&gt;&lt;dt&gt;" &amp;#REF! &amp; "&lt;/dt&gt;&lt;dd&gt;" &amp;#REF! &amp; "&lt;/dd&gt;&lt;dd&gt;" &amp;#REF! &amp; "&lt;/dd&gt;&lt;/dl&gt;"</f>
        <v>#REF!</v>
      </c>
    </row>
    <row r="52" spans="2:7" ht="16.5" thickBot="1" x14ac:dyDescent="0.25">
      <c r="E52" s="15"/>
      <c r="G52" t="e">
        <f>"&lt;dl&gt;&lt;dt&gt;" &amp;#REF! &amp; "&lt;/dt&gt;&lt;dd&gt;" &amp;#REF! &amp; "&lt;/dd&gt;&lt;dd&gt;" &amp;#REF! &amp; "&lt;/dd&gt;&lt;/dl&gt;"</f>
        <v>#REF!</v>
      </c>
    </row>
    <row r="55" spans="2:7" ht="17.25" x14ac:dyDescent="0.2">
      <c r="B55" s="5" t="s">
        <v>533</v>
      </c>
    </row>
    <row r="57" spans="2:7" x14ac:dyDescent="0.2">
      <c r="B57" s="2" t="s">
        <v>40</v>
      </c>
      <c r="C57" s="2" t="s">
        <v>534</v>
      </c>
      <c r="D57" s="2" t="s">
        <v>113</v>
      </c>
    </row>
    <row r="58" spans="2:7" x14ac:dyDescent="0.2">
      <c r="B58" s="3" t="s">
        <v>187</v>
      </c>
      <c r="C58" s="4" t="s">
        <v>535</v>
      </c>
      <c r="D58" s="4" t="s">
        <v>536</v>
      </c>
    </row>
    <row r="59" spans="2:7" x14ac:dyDescent="0.2">
      <c r="B59" s="3" t="s">
        <v>271</v>
      </c>
      <c r="C59" s="4" t="s">
        <v>537</v>
      </c>
      <c r="D59" s="4" t="s">
        <v>538</v>
      </c>
    </row>
    <row r="60" spans="2:7" x14ac:dyDescent="0.2">
      <c r="B60" s="3" t="s">
        <v>193</v>
      </c>
      <c r="C60" s="4" t="s">
        <v>539</v>
      </c>
      <c r="D60" s="4" t="s">
        <v>540</v>
      </c>
    </row>
    <row r="61" spans="2:7" x14ac:dyDescent="0.2">
      <c r="B61" s="3" t="s">
        <v>284</v>
      </c>
      <c r="C61" s="4" t="s">
        <v>541</v>
      </c>
      <c r="D61" s="4" t="s">
        <v>542</v>
      </c>
    </row>
    <row r="62" spans="2:7" x14ac:dyDescent="0.2">
      <c r="B62" s="3" t="s">
        <v>292</v>
      </c>
      <c r="C62" s="4" t="s">
        <v>543</v>
      </c>
      <c r="D62" s="4" t="s">
        <v>544</v>
      </c>
    </row>
    <row r="65" spans="2:2" ht="17.25" x14ac:dyDescent="0.2">
      <c r="B65" s="5" t="s">
        <v>545</v>
      </c>
    </row>
    <row r="66" spans="2:2" x14ac:dyDescent="0.2">
      <c r="B66" s="6"/>
    </row>
    <row r="67" spans="2:2" x14ac:dyDescent="0.2">
      <c r="B67" s="7" t="s">
        <v>546</v>
      </c>
    </row>
    <row r="68" spans="2:2" x14ac:dyDescent="0.2">
      <c r="B68" s="6"/>
    </row>
    <row r="69" spans="2:2" x14ac:dyDescent="0.2">
      <c r="B69" s="9" t="s">
        <v>547</v>
      </c>
    </row>
    <row r="70" spans="2:2" x14ac:dyDescent="0.2">
      <c r="B70" s="7" t="s">
        <v>548</v>
      </c>
    </row>
    <row r="71" spans="2:2" x14ac:dyDescent="0.2">
      <c r="B71" s="6"/>
    </row>
    <row r="72" spans="2:2" x14ac:dyDescent="0.2">
      <c r="B72" s="9" t="s">
        <v>549</v>
      </c>
    </row>
    <row r="73" spans="2:2" x14ac:dyDescent="0.2">
      <c r="B73" s="7" t="s">
        <v>550</v>
      </c>
    </row>
    <row r="74" spans="2:2" x14ac:dyDescent="0.2">
      <c r="B74" s="6"/>
    </row>
    <row r="75" spans="2:2" x14ac:dyDescent="0.2">
      <c r="B75" s="9" t="s">
        <v>551</v>
      </c>
    </row>
  </sheetData>
  <phoneticPr fontId="2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9EC976-4A4E-4FD4-9663-94D7CCFEFF18}">
  <dimension ref="B1:G82"/>
  <sheetViews>
    <sheetView topLeftCell="A40" zoomScaleNormal="100" workbookViewId="0">
      <selection activeCell="D16" sqref="D16"/>
    </sheetView>
  </sheetViews>
  <sheetFormatPr defaultRowHeight="14.25" x14ac:dyDescent="0.2"/>
  <cols>
    <col min="1" max="1" width="2.75" customWidth="1"/>
    <col min="2" max="2" width="15.625" customWidth="1"/>
    <col min="3" max="3" width="43.125" customWidth="1"/>
    <col min="4" max="4" width="32.75" customWidth="1"/>
  </cols>
  <sheetData>
    <row r="1" spans="2:7" ht="17.25" x14ac:dyDescent="0.2">
      <c r="B1" s="5" t="s">
        <v>835</v>
      </c>
      <c r="G1" t="str">
        <f>"&lt;dl&gt;&lt;dt&gt;" &amp; B1 &amp; "&lt;/dt&gt;&lt;dd&gt;" &amp; C1 &amp; "&lt;/dd&gt;&lt;dd&gt;" &amp; D1 &amp; "&lt;/dd&gt;&lt;/dl&gt;"</f>
        <v>&lt;dl&gt;&lt;dt&gt;一、贪狼定义​&lt;/dt&gt;&lt;dd&gt;&lt;/dd&gt;&lt;dd&gt;&lt;/dd&gt;&lt;/dl&gt;</v>
      </c>
    </row>
    <row r="3" spans="2:7" x14ac:dyDescent="0.2">
      <c r="B3" s="1" t="s">
        <v>836</v>
      </c>
    </row>
    <row r="4" spans="2:7" x14ac:dyDescent="0.2">
      <c r="B4" s="1" t="s">
        <v>837</v>
      </c>
    </row>
    <row r="5" spans="2:7" x14ac:dyDescent="0.2">
      <c r="B5" s="1" t="s">
        <v>838</v>
      </c>
    </row>
    <row r="6" spans="2:7" x14ac:dyDescent="0.2">
      <c r="B6" s="1" t="s">
        <v>313</v>
      </c>
    </row>
    <row r="7" spans="2:7" x14ac:dyDescent="0.2">
      <c r="B7" s="6"/>
    </row>
    <row r="8" spans="2:7" x14ac:dyDescent="0.2">
      <c r="B8" s="7" t="s">
        <v>839</v>
      </c>
    </row>
    <row r="9" spans="2:7" x14ac:dyDescent="0.2">
      <c r="B9" s="7" t="s">
        <v>840</v>
      </c>
    </row>
    <row r="10" spans="2:7" x14ac:dyDescent="0.2">
      <c r="B10" s="7" t="s">
        <v>841</v>
      </c>
    </row>
    <row r="11" spans="2:7" x14ac:dyDescent="0.2">
      <c r="B11" s="7" t="s">
        <v>842</v>
      </c>
    </row>
    <row r="12" spans="2:7" x14ac:dyDescent="0.2">
      <c r="B12" s="7" t="s">
        <v>843</v>
      </c>
    </row>
    <row r="13" spans="2:7" x14ac:dyDescent="0.2">
      <c r="B13" s="6"/>
    </row>
    <row r="14" spans="2:7" x14ac:dyDescent="0.2">
      <c r="B14" s="9" t="s">
        <v>844</v>
      </c>
    </row>
    <row r="15" spans="2:7" x14ac:dyDescent="0.2">
      <c r="B15" s="9" t="s">
        <v>845</v>
      </c>
    </row>
    <row r="19" spans="2:7" ht="17.25" x14ac:dyDescent="0.2">
      <c r="B19" s="5" t="s">
        <v>846</v>
      </c>
    </row>
    <row r="21" spans="2:7" x14ac:dyDescent="0.2">
      <c r="B21" s="2" t="s">
        <v>18</v>
      </c>
      <c r="C21" s="2" t="s">
        <v>497</v>
      </c>
      <c r="D21" s="2" t="s">
        <v>847</v>
      </c>
    </row>
    <row r="22" spans="2:7" ht="28.5" x14ac:dyDescent="0.2">
      <c r="B22" s="3" t="s">
        <v>201</v>
      </c>
      <c r="C22" s="4" t="s">
        <v>848</v>
      </c>
      <c r="D22" s="4" t="s">
        <v>849</v>
      </c>
    </row>
    <row r="23" spans="2:7" ht="28.5" x14ac:dyDescent="0.2">
      <c r="B23" s="3" t="s">
        <v>3</v>
      </c>
      <c r="C23" s="4" t="s">
        <v>850</v>
      </c>
      <c r="D23" s="4" t="s">
        <v>851</v>
      </c>
    </row>
    <row r="24" spans="2:7" ht="28.5" x14ac:dyDescent="0.2">
      <c r="B24" s="3" t="s">
        <v>128</v>
      </c>
      <c r="C24" s="4" t="s">
        <v>852</v>
      </c>
      <c r="D24" s="4" t="s">
        <v>853</v>
      </c>
      <c r="G24" t="str">
        <f t="shared" ref="G24:G52" si="0">"&lt;dl&gt;&lt;dt&gt;" &amp; B24 &amp; "&lt;/dt&gt;&lt;dd&gt;" &amp; C24 &amp; "&lt;/dd&gt;&lt;dd&gt;" &amp; D24 &amp; "&lt;/dd&gt;&lt;/dl&gt;"</f>
        <v>&lt;dl&gt;&lt;dt&gt;子女宫​&lt;/dt&gt;&lt;dd&gt;肉体关系&lt;/dd&gt;&lt;dd&gt;性生活频率；+天喜：多子女；+铃星：性冷淡。&lt;/dd&gt;&lt;/dl&gt;</v>
      </c>
    </row>
    <row r="25" spans="2:7" ht="28.5" x14ac:dyDescent="0.2">
      <c r="B25" s="3" t="s">
        <v>6</v>
      </c>
      <c r="C25" s="4" t="s">
        <v>854</v>
      </c>
      <c r="D25" s="4" t="s">
        <v>855</v>
      </c>
      <c r="G25" t="str">
        <f t="shared" si="0"/>
        <v>&lt;dl&gt;&lt;dt&gt;疾厄宫​&lt;/dt&gt;&lt;dd&gt;病灶体积&lt;/dd&gt;&lt;dd&gt;+廉贞：肿瘤大小；+文昌：骨骼畸形。&lt;/dd&gt;&lt;/dl&gt;</v>
      </c>
    </row>
    <row r="26" spans="2:7" ht="28.5" x14ac:dyDescent="0.2">
      <c r="B26" s="3" t="s">
        <v>15</v>
      </c>
      <c r="C26" s="4" t="s">
        <v>856</v>
      </c>
      <c r="D26" s="4" t="s">
        <v>857</v>
      </c>
      <c r="G26" t="str">
        <f t="shared" si="0"/>
        <v>&lt;dl&gt;&lt;dt&gt;迁移宫​&lt;/dt&gt;&lt;dd&gt;空间移动&lt;/dd&gt;&lt;dd&gt;远行规模（庙旺：跨国；落陷：短途）。&lt;/dd&gt;&lt;/dl&gt;</v>
      </c>
    </row>
    <row r="27" spans="2:7" x14ac:dyDescent="0.2">
      <c r="B27" s="3" t="s">
        <v>206</v>
      </c>
      <c r="C27" s="4" t="s">
        <v>858</v>
      </c>
      <c r="D27" s="4" t="s">
        <v>859</v>
      </c>
      <c r="G27" t="str">
        <f t="shared" si="0"/>
        <v>&lt;dl&gt;&lt;dt&gt;官禄宫​&lt;/dt&gt;&lt;dd&gt;事业规模&lt;/dd&gt;&lt;dd&gt;创业野心；+地空：盲目扩张。&lt;/dd&gt;&lt;/dl&gt;</v>
      </c>
    </row>
    <row r="28" spans="2:7" x14ac:dyDescent="0.2">
      <c r="G28" t="str">
        <f t="shared" si="0"/>
        <v>&lt;dl&gt;&lt;dt&gt;&lt;/dt&gt;&lt;dd&gt;&lt;/dd&gt;&lt;dd&gt;&lt;/dd&gt;&lt;/dl&gt;</v>
      </c>
    </row>
    <row r="29" spans="2:7" x14ac:dyDescent="0.2">
      <c r="G29" t="str">
        <f t="shared" si="0"/>
        <v>&lt;dl&gt;&lt;dt&gt;&lt;/dt&gt;&lt;dd&gt;&lt;/dd&gt;&lt;dd&gt;&lt;/dd&gt;&lt;/dl&gt;</v>
      </c>
    </row>
    <row r="30" spans="2:7" ht="17.25" x14ac:dyDescent="0.2">
      <c r="B30" s="5" t="s">
        <v>860</v>
      </c>
    </row>
    <row r="32" spans="2:7" x14ac:dyDescent="0.2">
      <c r="B32" s="2" t="s">
        <v>18</v>
      </c>
      <c r="C32" s="2" t="s">
        <v>584</v>
      </c>
      <c r="D32" s="2" t="s">
        <v>861</v>
      </c>
    </row>
    <row r="33" spans="2:7" x14ac:dyDescent="0.2">
      <c r="B33" s="3" t="s">
        <v>862</v>
      </c>
      <c r="C33" s="4" t="s">
        <v>900</v>
      </c>
      <c r="D33" s="4" t="s">
        <v>864</v>
      </c>
    </row>
    <row r="34" spans="2:7" x14ac:dyDescent="0.2">
      <c r="B34" s="3" t="s">
        <v>865</v>
      </c>
      <c r="C34" s="4" t="s">
        <v>901</v>
      </c>
      <c r="D34" s="4" t="s">
        <v>866</v>
      </c>
    </row>
    <row r="35" spans="2:7" x14ac:dyDescent="0.2">
      <c r="B35" s="3" t="s">
        <v>867</v>
      </c>
      <c r="C35" s="4" t="s">
        <v>902</v>
      </c>
      <c r="D35" s="4" t="s">
        <v>868</v>
      </c>
    </row>
    <row r="36" spans="2:7" x14ac:dyDescent="0.2">
      <c r="B36" s="3" t="s">
        <v>869</v>
      </c>
      <c r="C36" s="4" t="s">
        <v>903</v>
      </c>
      <c r="D36" s="4" t="s">
        <v>870</v>
      </c>
    </row>
    <row r="37" spans="2:7" x14ac:dyDescent="0.2">
      <c r="G37" t="str">
        <f t="shared" si="0"/>
        <v>&lt;dl&gt;&lt;dt&gt;&lt;/dt&gt;&lt;dd&gt;&lt;/dd&gt;&lt;dd&gt;&lt;/dd&gt;&lt;/dl&gt;</v>
      </c>
    </row>
    <row r="38" spans="2:7" x14ac:dyDescent="0.2">
      <c r="G38" t="str">
        <f t="shared" si="0"/>
        <v>&lt;dl&gt;&lt;dt&gt;&lt;/dt&gt;&lt;dd&gt;&lt;/dd&gt;&lt;dd&gt;&lt;/dd&gt;&lt;/dl&gt;</v>
      </c>
    </row>
    <row r="39" spans="2:7" ht="17.25" x14ac:dyDescent="0.2">
      <c r="B39" s="5" t="s">
        <v>871</v>
      </c>
      <c r="G39" t="str">
        <f t="shared" si="0"/>
        <v>&lt;dl&gt;&lt;dt&gt;四、贪狼组合象义​&lt;/dt&gt;&lt;dd&gt;&lt;/dd&gt;&lt;dd&gt;&lt;/dd&gt;&lt;/dl&gt;</v>
      </c>
    </row>
    <row r="40" spans="2:7" x14ac:dyDescent="0.2">
      <c r="G40" t="str">
        <f t="shared" si="0"/>
        <v>&lt;dl&gt;&lt;dt&gt;&lt;/dt&gt;&lt;dd&gt;&lt;/dd&gt;&lt;dd&gt;&lt;/dd&gt;&lt;/dl&gt;</v>
      </c>
    </row>
    <row r="41" spans="2:7" ht="15.75" x14ac:dyDescent="0.2">
      <c r="B41" s="13" t="s">
        <v>411</v>
      </c>
      <c r="G41" t="str">
        <f t="shared" si="0"/>
        <v>&lt;dl&gt;&lt;dt&gt;1. 主星组合​&lt;/dt&gt;&lt;dd&gt;&lt;/dd&gt;&lt;dd&gt;&lt;/dd&gt;&lt;/dl&gt;</v>
      </c>
    </row>
    <row r="42" spans="2:7" x14ac:dyDescent="0.2">
      <c r="G42" t="str">
        <f t="shared" si="0"/>
        <v>&lt;dl&gt;&lt;dt&gt;&lt;/dt&gt;&lt;dd&gt;&lt;/dd&gt;&lt;dd&gt;&lt;/dd&gt;&lt;/dl&gt;</v>
      </c>
    </row>
    <row r="43" spans="2:7" x14ac:dyDescent="0.2">
      <c r="B43" s="2" t="s">
        <v>71</v>
      </c>
      <c r="C43" s="2" t="s">
        <v>497</v>
      </c>
      <c r="D43" s="2" t="s">
        <v>340</v>
      </c>
      <c r="G43" t="str">
        <f t="shared" si="0"/>
        <v>&lt;dl&gt;&lt;dt&gt;组合​&lt;/dt&gt;&lt;dd&gt;象义​&lt;/dd&gt;&lt;dd&gt;案例​&lt;/dd&gt;&lt;/dl&gt;</v>
      </c>
    </row>
    <row r="44" spans="2:7" ht="28.5" x14ac:dyDescent="0.2">
      <c r="B44" s="3" t="s">
        <v>872</v>
      </c>
      <c r="C44" s="4" t="s">
        <v>873</v>
      </c>
      <c r="D44" s="4" t="s">
        <v>874</v>
      </c>
    </row>
    <row r="45" spans="2:7" ht="28.5" x14ac:dyDescent="0.2">
      <c r="B45" s="3" t="s">
        <v>875</v>
      </c>
      <c r="C45" s="4" t="s">
        <v>876</v>
      </c>
      <c r="D45" s="4" t="s">
        <v>877</v>
      </c>
    </row>
    <row r="46" spans="2:7" ht="28.5" x14ac:dyDescent="0.2">
      <c r="B46" s="3" t="s">
        <v>878</v>
      </c>
      <c r="C46" s="4" t="s">
        <v>879</v>
      </c>
      <c r="D46" s="4" t="s">
        <v>880</v>
      </c>
    </row>
    <row r="48" spans="2:7" ht="15.75" x14ac:dyDescent="0.2">
      <c r="B48" s="13" t="s">
        <v>426</v>
      </c>
    </row>
    <row r="49" spans="2:7" x14ac:dyDescent="0.2">
      <c r="G49" t="str">
        <f t="shared" si="0"/>
        <v>&lt;dl&gt;&lt;dt&gt;&lt;/dt&gt;&lt;dd&gt;&lt;/dd&gt;&lt;dd&gt;&lt;/dd&gt;&lt;/dl&gt;</v>
      </c>
    </row>
    <row r="50" spans="2:7" x14ac:dyDescent="0.2">
      <c r="B50" s="2" t="s">
        <v>40</v>
      </c>
      <c r="C50" s="2" t="s">
        <v>497</v>
      </c>
      <c r="D50" s="2" t="s">
        <v>452</v>
      </c>
      <c r="G50" t="str">
        <f t="shared" si="0"/>
        <v>&lt;dl&gt;&lt;dt&gt;辅星​&lt;/dt&gt;&lt;dd&gt;象义​&lt;/dd&gt;&lt;dd&gt;触发条件​&lt;/dd&gt;&lt;/dl&gt;</v>
      </c>
    </row>
    <row r="51" spans="2:7" ht="28.5" x14ac:dyDescent="0.2">
      <c r="B51" s="3" t="s">
        <v>881</v>
      </c>
      <c r="C51" s="4" t="s">
        <v>882</v>
      </c>
      <c r="D51" s="4" t="s">
        <v>883</v>
      </c>
      <c r="G51" t="str">
        <f t="shared" si="0"/>
        <v>&lt;dl&gt;&lt;dt&gt;贪狼 + 火星​&lt;/dt&gt;&lt;dd&gt;欲望爆发&lt;/dd&gt;&lt;dd&gt;投资冲动（火星急）+ 体积扩大（贪狼）→ 盲目加仓。&lt;/dd&gt;&lt;/dl&gt;</v>
      </c>
    </row>
    <row r="52" spans="2:7" ht="28.5" x14ac:dyDescent="0.2">
      <c r="B52" s="3" t="s">
        <v>884</v>
      </c>
      <c r="C52" s="4" t="s">
        <v>885</v>
      </c>
      <c r="D52" s="4" t="s">
        <v>886</v>
      </c>
      <c r="G52" t="str">
        <f t="shared" si="0"/>
        <v>&lt;dl&gt;&lt;dt&gt;贪狼 + 地空​&lt;/dt&gt;&lt;dd&gt;虚妄膨胀&lt;/dd&gt;&lt;dd&gt;地空（过分） + 贪狼庙（欲望大）→ 融资骗局。&lt;/dd&gt;&lt;/dl&gt;</v>
      </c>
    </row>
    <row r="53" spans="2:7" ht="28.5" x14ac:dyDescent="0.2">
      <c r="B53" s="3" t="s">
        <v>887</v>
      </c>
      <c r="C53" s="4" t="s">
        <v>888</v>
      </c>
      <c r="D53" s="4" t="s">
        <v>889</v>
      </c>
    </row>
    <row r="54" spans="2:7" ht="28.5" x14ac:dyDescent="0.2">
      <c r="B54" s="3" t="s">
        <v>890</v>
      </c>
      <c r="C54" s="4" t="s">
        <v>891</v>
      </c>
      <c r="D54" s="4" t="s">
        <v>892</v>
      </c>
    </row>
    <row r="57" spans="2:7" ht="17.25" x14ac:dyDescent="0.2">
      <c r="B57" s="5" t="s">
        <v>893</v>
      </c>
    </row>
    <row r="58" spans="2:7" x14ac:dyDescent="0.2">
      <c r="B58" s="6"/>
    </row>
    <row r="59" spans="2:7" x14ac:dyDescent="0.2">
      <c r="B59" s="7" t="s">
        <v>894</v>
      </c>
    </row>
    <row r="60" spans="2:7" x14ac:dyDescent="0.2">
      <c r="B60" s="6"/>
    </row>
    <row r="61" spans="2:7" x14ac:dyDescent="0.2">
      <c r="B61" s="9" t="s">
        <v>895</v>
      </c>
    </row>
    <row r="62" spans="2:7" x14ac:dyDescent="0.2">
      <c r="B62" s="9" t="s">
        <v>896</v>
      </c>
    </row>
    <row r="63" spans="2:7" x14ac:dyDescent="0.2">
      <c r="B63" s="7" t="s">
        <v>897</v>
      </c>
    </row>
    <row r="64" spans="2:7" x14ac:dyDescent="0.2">
      <c r="B64" s="6"/>
    </row>
    <row r="65" spans="2:2" x14ac:dyDescent="0.2">
      <c r="B65" s="9" t="s">
        <v>898</v>
      </c>
    </row>
    <row r="66" spans="2:2" x14ac:dyDescent="0.2">
      <c r="B66" s="9" t="s">
        <v>899</v>
      </c>
    </row>
    <row r="67" spans="2:2" x14ac:dyDescent="0.2">
      <c r="B67" s="6"/>
    </row>
    <row r="68" spans="2:2" x14ac:dyDescent="0.2">
      <c r="B68" s="9"/>
    </row>
    <row r="69" spans="2:2" x14ac:dyDescent="0.2">
      <c r="B69" s="9"/>
    </row>
    <row r="70" spans="2:2" x14ac:dyDescent="0.2">
      <c r="B70" s="7"/>
    </row>
    <row r="71" spans="2:2" x14ac:dyDescent="0.2">
      <c r="B71" s="6"/>
    </row>
    <row r="72" spans="2:2" x14ac:dyDescent="0.2">
      <c r="B72" s="9"/>
    </row>
    <row r="73" spans="2:2" x14ac:dyDescent="0.2">
      <c r="B73" s="9"/>
    </row>
    <row r="77" spans="2:2" ht="17.25" x14ac:dyDescent="0.2">
      <c r="B77" s="5"/>
    </row>
    <row r="80" spans="2:2" x14ac:dyDescent="0.2">
      <c r="B80" s="16"/>
    </row>
    <row r="81" spans="2:2" x14ac:dyDescent="0.2">
      <c r="B81" s="6"/>
    </row>
    <row r="82" spans="2:2" x14ac:dyDescent="0.2">
      <c r="B82" s="6"/>
    </row>
  </sheetData>
  <phoneticPr fontId="2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979872-F4F3-4BE4-B38A-60B04BE60843}">
  <dimension ref="B1:G82"/>
  <sheetViews>
    <sheetView topLeftCell="A41" zoomScaleNormal="100" workbookViewId="0">
      <selection activeCell="B1" sqref="B1:D65"/>
    </sheetView>
  </sheetViews>
  <sheetFormatPr defaultRowHeight="14.25" x14ac:dyDescent="0.2"/>
  <cols>
    <col min="1" max="1" width="2.75" customWidth="1"/>
    <col min="2" max="2" width="15.625" customWidth="1"/>
    <col min="3" max="3" width="43.125" customWidth="1"/>
    <col min="4" max="4" width="32.75" customWidth="1"/>
  </cols>
  <sheetData>
    <row r="1" spans="2:7" ht="17.25" x14ac:dyDescent="0.2">
      <c r="B1" s="5" t="s">
        <v>769</v>
      </c>
      <c r="G1" t="str">
        <f>"&lt;dl&gt;&lt;dt&gt;" &amp; B1 &amp; "&lt;/dt&gt;&lt;dd&gt;" &amp; C1 &amp; "&lt;/dd&gt;&lt;dd&gt;" &amp; D1 &amp; "&lt;/dd&gt;&lt;/dl&gt;"</f>
        <v>&lt;dl&gt;&lt;dt&gt;一、武曲定义​&lt;/dt&gt;&lt;dd&gt;&lt;/dd&gt;&lt;dd&gt;&lt;/dd&gt;&lt;/dl&gt;</v>
      </c>
    </row>
    <row r="3" spans="2:7" x14ac:dyDescent="0.2">
      <c r="B3" s="1" t="s">
        <v>770</v>
      </c>
    </row>
    <row r="4" spans="2:7" x14ac:dyDescent="0.2">
      <c r="B4" s="6"/>
    </row>
    <row r="5" spans="2:7" x14ac:dyDescent="0.2">
      <c r="B5" s="7" t="s">
        <v>313</v>
      </c>
    </row>
    <row r="6" spans="2:7" x14ac:dyDescent="0.2">
      <c r="B6" s="6"/>
    </row>
    <row r="7" spans="2:7" x14ac:dyDescent="0.2">
      <c r="B7" s="8" t="s">
        <v>771</v>
      </c>
    </row>
    <row r="8" spans="2:7" x14ac:dyDescent="0.2">
      <c r="B8" s="8" t="s">
        <v>772</v>
      </c>
    </row>
    <row r="9" spans="2:7" x14ac:dyDescent="0.2">
      <c r="B9" s="8" t="s">
        <v>773</v>
      </c>
    </row>
    <row r="10" spans="2:7" x14ac:dyDescent="0.2">
      <c r="B10" s="8" t="s">
        <v>774</v>
      </c>
    </row>
    <row r="11" spans="2:7" x14ac:dyDescent="0.2">
      <c r="B11" s="8" t="s">
        <v>775</v>
      </c>
    </row>
    <row r="15" spans="2:7" ht="17.25" x14ac:dyDescent="0.2">
      <c r="B15" s="5" t="s">
        <v>776</v>
      </c>
    </row>
    <row r="17" spans="2:7" x14ac:dyDescent="0.2">
      <c r="B17" s="2" t="s">
        <v>18</v>
      </c>
      <c r="C17" s="2" t="s">
        <v>497</v>
      </c>
    </row>
    <row r="18" spans="2:7" x14ac:dyDescent="0.2">
      <c r="B18" s="3" t="s">
        <v>201</v>
      </c>
      <c r="C18" s="4" t="s">
        <v>777</v>
      </c>
    </row>
    <row r="19" spans="2:7" ht="28.5" x14ac:dyDescent="0.2">
      <c r="B19" s="3" t="s">
        <v>3</v>
      </c>
      <c r="C19" s="4" t="s">
        <v>778</v>
      </c>
    </row>
    <row r="20" spans="2:7" ht="28.5" x14ac:dyDescent="0.2">
      <c r="B20" s="3" t="s">
        <v>206</v>
      </c>
      <c r="C20" s="4" t="s">
        <v>779</v>
      </c>
    </row>
    <row r="21" spans="2:7" x14ac:dyDescent="0.2">
      <c r="B21" s="3" t="s">
        <v>125</v>
      </c>
      <c r="C21" s="4" t="s">
        <v>780</v>
      </c>
    </row>
    <row r="22" spans="2:7" ht="15" thickBot="1" x14ac:dyDescent="0.25">
      <c r="B22" s="3" t="s">
        <v>6</v>
      </c>
      <c r="C22" s="4" t="s">
        <v>781</v>
      </c>
    </row>
    <row r="23" spans="2:7" ht="16.5" thickBot="1" x14ac:dyDescent="0.25">
      <c r="B23" s="3" t="s">
        <v>15</v>
      </c>
      <c r="C23" s="4" t="s">
        <v>782</v>
      </c>
      <c r="E23" s="12"/>
    </row>
    <row r="24" spans="2:7" ht="29.25" thickBot="1" x14ac:dyDescent="0.25">
      <c r="B24" s="3" t="s">
        <v>0</v>
      </c>
      <c r="C24" s="4" t="s">
        <v>783</v>
      </c>
      <c r="E24" s="15"/>
      <c r="G24" t="str">
        <f t="shared" ref="G24:G52" si="0">"&lt;dl&gt;&lt;dt&gt;" &amp; B24 &amp; "&lt;/dt&gt;&lt;dd&gt;" &amp; C24 &amp; "&lt;/dd&gt;&lt;dd&gt;" &amp; D24 &amp; "&lt;/dd&gt;&lt;/dl&gt;"</f>
        <v>&lt;dl&gt;&lt;dt&gt;田宅宫​&lt;/dt&gt;&lt;dd&gt;家中多金属物品（保险柜、刀具），住宅近银行、军营。&lt;/dd&gt;&lt;dd&gt;&lt;/dd&gt;&lt;/dl&gt;</v>
      </c>
    </row>
    <row r="25" spans="2:7" ht="16.5" thickBot="1" x14ac:dyDescent="0.25">
      <c r="E25" s="15"/>
      <c r="G25" t="str">
        <f t="shared" si="0"/>
        <v>&lt;dl&gt;&lt;dt&gt;&lt;/dt&gt;&lt;dd&gt;&lt;/dd&gt;&lt;dd&gt;&lt;/dd&gt;&lt;/dl&gt;</v>
      </c>
    </row>
    <row r="26" spans="2:7" ht="16.5" thickBot="1" x14ac:dyDescent="0.25">
      <c r="E26" s="15"/>
      <c r="G26" t="str">
        <f t="shared" si="0"/>
        <v>&lt;dl&gt;&lt;dt&gt;&lt;/dt&gt;&lt;dd&gt;&lt;/dd&gt;&lt;dd&gt;&lt;/dd&gt;&lt;/dl&gt;</v>
      </c>
    </row>
    <row r="27" spans="2:7" ht="18" thickBot="1" x14ac:dyDescent="0.25">
      <c r="B27" s="5" t="s">
        <v>784</v>
      </c>
      <c r="E27" s="15"/>
      <c r="G27" t="str">
        <f t="shared" si="0"/>
        <v>&lt;dl&gt;&lt;dt&gt;三、星曜亮度与吉凶​&lt;/dt&gt;&lt;dd&gt;&lt;/dd&gt;&lt;dd&gt;&lt;/dd&gt;&lt;/dl&gt;</v>
      </c>
    </row>
    <row r="28" spans="2:7" ht="16.5" thickBot="1" x14ac:dyDescent="0.25">
      <c r="E28" s="15"/>
      <c r="G28" t="str">
        <f t="shared" si="0"/>
        <v>&lt;dl&gt;&lt;dt&gt;&lt;/dt&gt;&lt;dd&gt;&lt;/dd&gt;&lt;dd&gt;&lt;/dd&gt;&lt;/dl&gt;</v>
      </c>
    </row>
    <row r="29" spans="2:7" ht="16.5" thickBot="1" x14ac:dyDescent="0.25">
      <c r="B29" s="2" t="s">
        <v>718</v>
      </c>
      <c r="C29" s="2" t="s">
        <v>785</v>
      </c>
      <c r="D29" s="2" t="s">
        <v>786</v>
      </c>
      <c r="E29" s="15"/>
      <c r="G29" t="str">
        <f t="shared" si="0"/>
        <v>&lt;dl&gt;&lt;dt&gt;地支​&lt;/dt&gt;&lt;dd&gt;亮度​&lt;/dd&gt;&lt;dd&gt;象义强度​&lt;/dd&gt;&lt;/dl&gt;</v>
      </c>
    </row>
    <row r="30" spans="2:7" x14ac:dyDescent="0.2">
      <c r="B30" s="3" t="s">
        <v>787</v>
      </c>
      <c r="C30" s="4" t="s">
        <v>788</v>
      </c>
      <c r="D30" s="4" t="s">
        <v>789</v>
      </c>
    </row>
    <row r="31" spans="2:7" x14ac:dyDescent="0.2">
      <c r="B31" s="3" t="s">
        <v>790</v>
      </c>
      <c r="C31" s="4" t="s">
        <v>791</v>
      </c>
      <c r="D31" s="4" t="s">
        <v>792</v>
      </c>
    </row>
    <row r="32" spans="2:7" x14ac:dyDescent="0.2">
      <c r="B32" s="3" t="s">
        <v>793</v>
      </c>
      <c r="C32" s="4" t="s">
        <v>794</v>
      </c>
      <c r="D32" s="4" t="s">
        <v>795</v>
      </c>
    </row>
    <row r="33" spans="2:7" ht="15" thickBot="1" x14ac:dyDescent="0.25">
      <c r="B33" s="3" t="s">
        <v>796</v>
      </c>
      <c r="C33" s="4" t="s">
        <v>797</v>
      </c>
      <c r="D33" s="4" t="s">
        <v>798</v>
      </c>
    </row>
    <row r="34" spans="2:7" ht="16.5" thickBot="1" x14ac:dyDescent="0.25">
      <c r="B34" s="3" t="s">
        <v>799</v>
      </c>
      <c r="C34" s="4" t="s">
        <v>800</v>
      </c>
      <c r="D34" s="4" t="s">
        <v>801</v>
      </c>
      <c r="E34" s="12"/>
    </row>
    <row r="35" spans="2:7" ht="16.5" thickBot="1" x14ac:dyDescent="0.25">
      <c r="E35" s="15"/>
      <c r="G35" t="str">
        <f t="shared" si="0"/>
        <v>&lt;dl&gt;&lt;dt&gt;&lt;/dt&gt;&lt;dd&gt;&lt;/dd&gt;&lt;dd&gt;&lt;/dd&gt;&lt;/dl&gt;</v>
      </c>
    </row>
    <row r="36" spans="2:7" ht="16.5" thickBot="1" x14ac:dyDescent="0.25">
      <c r="E36" s="15"/>
      <c r="G36" t="str">
        <f t="shared" si="0"/>
        <v>&lt;dl&gt;&lt;dt&gt;&lt;/dt&gt;&lt;dd&gt;&lt;/dd&gt;&lt;dd&gt;&lt;/dd&gt;&lt;/dl&gt;</v>
      </c>
    </row>
    <row r="37" spans="2:7" ht="18" thickBot="1" x14ac:dyDescent="0.25">
      <c r="B37" s="5" t="s">
        <v>802</v>
      </c>
      <c r="E37" s="15"/>
      <c r="G37" t="str">
        <f t="shared" si="0"/>
        <v>&lt;dl&gt;&lt;dt&gt;四、四化影响​&lt;/dt&gt;&lt;dd&gt;&lt;/dd&gt;&lt;dd&gt;&lt;/dd&gt;&lt;/dl&gt;</v>
      </c>
    </row>
    <row r="38" spans="2:7" ht="16.5" thickBot="1" x14ac:dyDescent="0.25">
      <c r="E38" s="15"/>
      <c r="G38" t="str">
        <f t="shared" si="0"/>
        <v>&lt;dl&gt;&lt;dt&gt;&lt;/dt&gt;&lt;dd&gt;&lt;/dd&gt;&lt;dd&gt;&lt;/dd&gt;&lt;/dl&gt;</v>
      </c>
    </row>
    <row r="39" spans="2:7" ht="16.5" thickBot="1" x14ac:dyDescent="0.25">
      <c r="B39" s="2" t="s">
        <v>250</v>
      </c>
      <c r="C39" s="2" t="s">
        <v>803</v>
      </c>
      <c r="D39" s="2" t="s">
        <v>497</v>
      </c>
      <c r="E39" s="15"/>
      <c r="G39" t="str">
        <f t="shared" si="0"/>
        <v>&lt;dl&gt;&lt;dt&gt;四化​&lt;/dt&gt;&lt;dd&gt;触发宫干​&lt;/dd&gt;&lt;dd&gt;象义​&lt;/dd&gt;&lt;/dl&gt;</v>
      </c>
    </row>
    <row r="40" spans="2:7" ht="29.25" thickBot="1" x14ac:dyDescent="0.25">
      <c r="B40" s="3" t="s">
        <v>253</v>
      </c>
      <c r="C40" s="4" t="s">
        <v>804</v>
      </c>
      <c r="D40" s="4" t="s">
        <v>805</v>
      </c>
      <c r="E40" s="15"/>
      <c r="G40" t="str">
        <f t="shared" si="0"/>
        <v>&lt;dl&gt;&lt;dt&gt;化禄​&lt;/dt&gt;&lt;dd&gt;己干&lt;/dd&gt;&lt;dd&gt;财运爆发（实业、金属交易），但易因固执失机。&lt;/dd&gt;&lt;/dl&gt;</v>
      </c>
    </row>
    <row r="41" spans="2:7" ht="29.25" thickBot="1" x14ac:dyDescent="0.25">
      <c r="B41" s="3" t="s">
        <v>256</v>
      </c>
      <c r="C41" s="4" t="s">
        <v>806</v>
      </c>
      <c r="D41" s="4" t="s">
        <v>807</v>
      </c>
      <c r="E41" s="15"/>
      <c r="G41" t="str">
        <f t="shared" si="0"/>
        <v>&lt;dl&gt;&lt;dt&gt;化权​&lt;/dt&gt;&lt;dd&gt;庚干&lt;/dd&gt;&lt;dd&gt;职权提升（管理、军职），行动力强，但冲突增多。&lt;/dd&gt;&lt;/dl&gt;</v>
      </c>
    </row>
    <row r="42" spans="2:7" ht="29.25" thickBot="1" x14ac:dyDescent="0.25">
      <c r="B42" s="3" t="s">
        <v>259</v>
      </c>
      <c r="C42" s="4" t="s">
        <v>808</v>
      </c>
      <c r="D42" s="4" t="s">
        <v>809</v>
      </c>
      <c r="E42" s="15"/>
      <c r="G42" t="str">
        <f t="shared" si="0"/>
        <v>&lt;dl&gt;&lt;dt&gt;化科​&lt;/dt&gt;&lt;dd&gt;甲干&lt;/dd&gt;&lt;dd&gt;专业名声（金融、技术），化解财务纠纷。&lt;/dd&gt;&lt;/dl&gt;</v>
      </c>
    </row>
    <row r="43" spans="2:7" ht="29.25" thickBot="1" x14ac:dyDescent="0.25">
      <c r="B43" s="3" t="s">
        <v>262</v>
      </c>
      <c r="C43" s="4" t="s">
        <v>810</v>
      </c>
      <c r="D43" s="4" t="s">
        <v>811</v>
      </c>
      <c r="E43" s="15"/>
      <c r="G43" t="str">
        <f t="shared" si="0"/>
        <v>&lt;dl&gt;&lt;dt&gt;化忌​&lt;/dt&gt;&lt;dd&gt;壬干&lt;/dd&gt;&lt;dd&gt;破财、资金冻结，骨骼伤病，人际孤立。&lt;/dd&gt;&lt;/dl&gt;</v>
      </c>
    </row>
    <row r="46" spans="2:7" ht="17.25" x14ac:dyDescent="0.2">
      <c r="B46" s="5" t="s">
        <v>812</v>
      </c>
    </row>
    <row r="47" spans="2:7" ht="15" thickBot="1" x14ac:dyDescent="0.25"/>
    <row r="48" spans="2:7" ht="16.5" thickBot="1" x14ac:dyDescent="0.25">
      <c r="B48" s="2" t="s">
        <v>40</v>
      </c>
      <c r="C48" s="2" t="s">
        <v>339</v>
      </c>
      <c r="D48" s="2" t="s">
        <v>813</v>
      </c>
      <c r="E48" s="12"/>
    </row>
    <row r="49" spans="2:7" ht="29.25" thickBot="1" x14ac:dyDescent="0.25">
      <c r="B49" s="3" t="s">
        <v>187</v>
      </c>
      <c r="C49" s="4" t="s">
        <v>814</v>
      </c>
      <c r="D49" s="4" t="s">
        <v>815</v>
      </c>
      <c r="E49" s="15"/>
      <c r="G49" t="str">
        <f t="shared" si="0"/>
        <v>&lt;dl&gt;&lt;dt&gt;火星​&lt;/dt&gt;&lt;dd&gt;武曲+火星&lt;/dd&gt;&lt;dd&gt;快速破财（股票暴亏）、急性骨伤（扭伤）。&lt;/dd&gt;&lt;/dl&gt;</v>
      </c>
    </row>
    <row r="50" spans="2:7" ht="29.25" thickBot="1" x14ac:dyDescent="0.25">
      <c r="B50" s="3" t="s">
        <v>190</v>
      </c>
      <c r="C50" s="4" t="s">
        <v>816</v>
      </c>
      <c r="D50" s="4" t="s">
        <v>817</v>
      </c>
      <c r="E50" s="15"/>
      <c r="G50" t="str">
        <f t="shared" si="0"/>
        <v>&lt;dl&gt;&lt;dt&gt;擎羊​&lt;/dt&gt;&lt;dd&gt;武曲+擎羊&lt;/dd&gt;&lt;dd&gt;武力冲突（打架）、骨折手术、强制裁员。&lt;/dd&gt;&lt;/dl&gt;</v>
      </c>
    </row>
    <row r="51" spans="2:7" ht="29.25" thickBot="1" x14ac:dyDescent="0.25">
      <c r="B51" s="3" t="s">
        <v>178</v>
      </c>
      <c r="C51" s="4" t="s">
        <v>818</v>
      </c>
      <c r="D51" s="4" t="s">
        <v>819</v>
      </c>
      <c r="E51" s="15"/>
      <c r="G51" t="str">
        <f t="shared" si="0"/>
        <v>&lt;dl&gt;&lt;dt&gt;文昌​&lt;/dt&gt;&lt;dd&gt;武曲+文昌&lt;/dd&gt;&lt;dd&gt;金融文书（贷款合同）、财务审计纠纷。&lt;/dd&gt;&lt;/dl&gt;</v>
      </c>
    </row>
    <row r="52" spans="2:7" ht="29.25" thickBot="1" x14ac:dyDescent="0.25">
      <c r="B52" s="3" t="s">
        <v>279</v>
      </c>
      <c r="C52" s="4" t="s">
        <v>820</v>
      </c>
      <c r="D52" s="4" t="s">
        <v>821</v>
      </c>
      <c r="E52" s="15"/>
      <c r="G52" t="str">
        <f t="shared" si="0"/>
        <v>&lt;dl&gt;&lt;dt&gt;地空​&lt;/dt&gt;&lt;dd&gt;武曲+地空&lt;/dd&gt;&lt;dd&gt;虚财（期货泡沫）、骨质空洞（骨质疏松）。&lt;/dd&gt;&lt;/dl&gt;</v>
      </c>
    </row>
    <row r="53" spans="2:7" ht="28.5" x14ac:dyDescent="0.2">
      <c r="B53" s="3" t="s">
        <v>284</v>
      </c>
      <c r="C53" s="4" t="s">
        <v>822</v>
      </c>
      <c r="D53" s="4" t="s">
        <v>823</v>
      </c>
    </row>
    <row r="54" spans="2:7" ht="28.5" x14ac:dyDescent="0.2">
      <c r="B54" s="3" t="s">
        <v>824</v>
      </c>
      <c r="C54" s="4" t="s">
        <v>825</v>
      </c>
      <c r="D54" s="4" t="s">
        <v>826</v>
      </c>
    </row>
    <row r="55" spans="2:7" ht="28.5" x14ac:dyDescent="0.2">
      <c r="B55" s="3" t="s">
        <v>827</v>
      </c>
      <c r="C55" s="4" t="s">
        <v>828</v>
      </c>
      <c r="D55" s="4" t="s">
        <v>829</v>
      </c>
    </row>
    <row r="58" spans="2:7" ht="17.25" x14ac:dyDescent="0.2">
      <c r="B58" s="5" t="s">
        <v>830</v>
      </c>
    </row>
    <row r="59" spans="2:7" x14ac:dyDescent="0.2">
      <c r="B59" s="6"/>
    </row>
    <row r="60" spans="2:7" x14ac:dyDescent="0.2">
      <c r="B60" s="7" t="s">
        <v>831</v>
      </c>
    </row>
    <row r="61" spans="2:7" x14ac:dyDescent="0.2">
      <c r="B61" s="6"/>
    </row>
    <row r="62" spans="2:7" x14ac:dyDescent="0.2">
      <c r="B62" s="9" t="s">
        <v>832</v>
      </c>
    </row>
    <row r="63" spans="2:7" x14ac:dyDescent="0.2">
      <c r="B63" s="7" t="s">
        <v>833</v>
      </c>
    </row>
    <row r="64" spans="2:7" x14ac:dyDescent="0.2">
      <c r="B64" s="6"/>
    </row>
    <row r="65" spans="2:2" x14ac:dyDescent="0.2">
      <c r="B65" s="9" t="s">
        <v>834</v>
      </c>
    </row>
    <row r="66" spans="2:2" x14ac:dyDescent="0.2">
      <c r="B66" s="7"/>
    </row>
    <row r="67" spans="2:2" x14ac:dyDescent="0.2">
      <c r="B67" s="6"/>
    </row>
    <row r="68" spans="2:2" x14ac:dyDescent="0.2">
      <c r="B68" s="9"/>
    </row>
    <row r="69" spans="2:2" x14ac:dyDescent="0.2">
      <c r="B69" s="9"/>
    </row>
    <row r="70" spans="2:2" x14ac:dyDescent="0.2">
      <c r="B70" s="7"/>
    </row>
    <row r="71" spans="2:2" x14ac:dyDescent="0.2">
      <c r="B71" s="6"/>
    </row>
    <row r="72" spans="2:2" x14ac:dyDescent="0.2">
      <c r="B72" s="9"/>
    </row>
    <row r="73" spans="2:2" x14ac:dyDescent="0.2">
      <c r="B73" s="9"/>
    </row>
    <row r="77" spans="2:2" ht="17.25" x14ac:dyDescent="0.2">
      <c r="B77" s="5"/>
    </row>
    <row r="80" spans="2:2" x14ac:dyDescent="0.2">
      <c r="B80" s="16"/>
    </row>
    <row r="81" spans="2:2" x14ac:dyDescent="0.2">
      <c r="B81" s="6"/>
    </row>
    <row r="82" spans="2:2" x14ac:dyDescent="0.2">
      <c r="B82" s="6"/>
    </row>
  </sheetData>
  <phoneticPr fontId="2" type="noConversion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38B64D-189A-4703-AFDF-C3956BED5613}">
  <dimension ref="B1:E72"/>
  <sheetViews>
    <sheetView zoomScaleNormal="100" workbookViewId="0">
      <selection activeCell="C16" sqref="C16"/>
    </sheetView>
  </sheetViews>
  <sheetFormatPr defaultRowHeight="14.25" x14ac:dyDescent="0.2"/>
  <cols>
    <col min="1" max="1" width="2.75" customWidth="1"/>
    <col min="2" max="2" width="15.625" customWidth="1"/>
    <col min="3" max="3" width="43.125" customWidth="1"/>
    <col min="4" max="4" width="32.75" customWidth="1"/>
  </cols>
  <sheetData>
    <row r="1" spans="2:2" ht="17.25" x14ac:dyDescent="0.2">
      <c r="B1" s="5" t="s">
        <v>1120</v>
      </c>
    </row>
    <row r="3" spans="2:2" x14ac:dyDescent="0.2">
      <c r="B3" s="1" t="s">
        <v>1121</v>
      </c>
    </row>
    <row r="4" spans="2:2" x14ac:dyDescent="0.2">
      <c r="B4" s="1" t="s">
        <v>313</v>
      </c>
    </row>
    <row r="5" spans="2:2" x14ac:dyDescent="0.2">
      <c r="B5" s="6"/>
    </row>
    <row r="6" spans="2:2" x14ac:dyDescent="0.2">
      <c r="B6" s="7" t="s">
        <v>1122</v>
      </c>
    </row>
    <row r="7" spans="2:2" x14ac:dyDescent="0.2">
      <c r="B7" s="7" t="s">
        <v>1123</v>
      </c>
    </row>
    <row r="8" spans="2:2" x14ac:dyDescent="0.2">
      <c r="B8" s="6"/>
    </row>
    <row r="9" spans="2:2" x14ac:dyDescent="0.2">
      <c r="B9" s="8" t="s">
        <v>1124</v>
      </c>
    </row>
    <row r="10" spans="2:2" x14ac:dyDescent="0.2">
      <c r="B10" s="8" t="s">
        <v>1125</v>
      </c>
    </row>
    <row r="11" spans="2:2" x14ac:dyDescent="0.2">
      <c r="B11" s="7" t="s">
        <v>1126</v>
      </c>
    </row>
    <row r="12" spans="2:2" x14ac:dyDescent="0.2">
      <c r="B12" s="6"/>
    </row>
    <row r="13" spans="2:2" x14ac:dyDescent="0.2">
      <c r="B13" s="9" t="s">
        <v>1127</v>
      </c>
    </row>
    <row r="16" spans="2:2" ht="17.25" x14ac:dyDescent="0.2">
      <c r="B16" s="5" t="s">
        <v>496</v>
      </c>
    </row>
    <row r="18" spans="2:5" x14ac:dyDescent="0.2">
      <c r="B18" s="2" t="s">
        <v>18</v>
      </c>
      <c r="C18" s="2" t="s">
        <v>412</v>
      </c>
      <c r="D18" s="2" t="s">
        <v>413</v>
      </c>
      <c r="E18" s="2"/>
    </row>
    <row r="19" spans="2:5" x14ac:dyDescent="0.2">
      <c r="B19" s="3" t="s">
        <v>201</v>
      </c>
      <c r="C19" s="4" t="s">
        <v>1128</v>
      </c>
      <c r="D19" s="4" t="s">
        <v>1129</v>
      </c>
      <c r="E19" s="4"/>
    </row>
    <row r="20" spans="2:5" x14ac:dyDescent="0.2">
      <c r="B20" s="3" t="s">
        <v>9</v>
      </c>
      <c r="C20" s="4" t="s">
        <v>1130</v>
      </c>
      <c r="D20" s="4" t="s">
        <v>1131</v>
      </c>
      <c r="E20" s="4"/>
    </row>
    <row r="21" spans="2:5" x14ac:dyDescent="0.2">
      <c r="B21" s="3" t="s">
        <v>3</v>
      </c>
      <c r="C21" s="4" t="s">
        <v>1132</v>
      </c>
      <c r="D21" s="4" t="s">
        <v>1133</v>
      </c>
      <c r="E21" s="4"/>
    </row>
    <row r="22" spans="2:5" x14ac:dyDescent="0.2">
      <c r="B22" s="3" t="s">
        <v>125</v>
      </c>
      <c r="C22" s="4" t="s">
        <v>1134</v>
      </c>
      <c r="D22" s="4" t="s">
        <v>1135</v>
      </c>
      <c r="E22" s="4"/>
    </row>
    <row r="23" spans="2:5" x14ac:dyDescent="0.2">
      <c r="B23" s="3" t="s">
        <v>128</v>
      </c>
      <c r="C23" s="4" t="s">
        <v>1136</v>
      </c>
      <c r="D23" s="4" t="s">
        <v>1137</v>
      </c>
      <c r="E23" s="4"/>
    </row>
    <row r="24" spans="2:5" x14ac:dyDescent="0.2">
      <c r="B24" s="3" t="s">
        <v>6</v>
      </c>
      <c r="C24" s="4" t="s">
        <v>1138</v>
      </c>
      <c r="D24" s="4" t="s">
        <v>1139</v>
      </c>
      <c r="E24" s="4"/>
    </row>
    <row r="25" spans="2:5" x14ac:dyDescent="0.2">
      <c r="B25" s="3" t="s">
        <v>15</v>
      </c>
      <c r="C25" s="4" t="s">
        <v>1140</v>
      </c>
      <c r="D25" s="4" t="s">
        <v>1141</v>
      </c>
      <c r="E25" s="4"/>
    </row>
    <row r="28" spans="2:5" ht="17.25" x14ac:dyDescent="0.2">
      <c r="B28" s="5" t="s">
        <v>70</v>
      </c>
    </row>
    <row r="30" spans="2:5" x14ac:dyDescent="0.2">
      <c r="B30" s="2" t="s">
        <v>71</v>
      </c>
      <c r="C30" s="2" t="s">
        <v>453</v>
      </c>
      <c r="D30" s="2" t="s">
        <v>454</v>
      </c>
      <c r="E30" s="2"/>
    </row>
    <row r="31" spans="2:5" x14ac:dyDescent="0.2">
      <c r="B31" s="3" t="s">
        <v>1142</v>
      </c>
      <c r="C31" s="4" t="s">
        <v>1143</v>
      </c>
      <c r="D31" s="4" t="s">
        <v>1144</v>
      </c>
      <c r="E31" s="4"/>
    </row>
    <row r="32" spans="2:5" x14ac:dyDescent="0.2">
      <c r="B32" s="3" t="s">
        <v>1145</v>
      </c>
      <c r="C32" s="4" t="s">
        <v>1146</v>
      </c>
      <c r="D32" s="4" t="s">
        <v>1147</v>
      </c>
      <c r="E32" s="4"/>
    </row>
    <row r="33" spans="2:5" x14ac:dyDescent="0.2">
      <c r="B33" s="3" t="s">
        <v>1148</v>
      </c>
      <c r="C33" s="4" t="s">
        <v>1149</v>
      </c>
      <c r="D33" s="4" t="s">
        <v>1150</v>
      </c>
      <c r="E33" s="4"/>
    </row>
    <row r="34" spans="2:5" x14ac:dyDescent="0.2">
      <c r="B34" s="3" t="s">
        <v>1151</v>
      </c>
      <c r="C34" s="4" t="s">
        <v>1152</v>
      </c>
      <c r="D34" s="4" t="s">
        <v>1153</v>
      </c>
      <c r="E34" s="4"/>
    </row>
    <row r="35" spans="2:5" x14ac:dyDescent="0.2">
      <c r="B35" s="3" t="s">
        <v>1154</v>
      </c>
      <c r="C35" s="4" t="s">
        <v>1155</v>
      </c>
      <c r="D35" s="4" t="s">
        <v>1156</v>
      </c>
      <c r="E35" s="4"/>
    </row>
    <row r="38" spans="2:5" ht="17.25" x14ac:dyDescent="0.2">
      <c r="B38" s="5" t="s">
        <v>1157</v>
      </c>
    </row>
    <row r="40" spans="2:5" x14ac:dyDescent="0.2">
      <c r="B40" s="2" t="s">
        <v>40</v>
      </c>
      <c r="C40" s="2" t="s">
        <v>427</v>
      </c>
      <c r="D40" s="2" t="s">
        <v>428</v>
      </c>
      <c r="E40" s="2"/>
    </row>
    <row r="41" spans="2:5" x14ac:dyDescent="0.2">
      <c r="B41" s="3" t="s">
        <v>1158</v>
      </c>
      <c r="C41" s="4" t="s">
        <v>1159</v>
      </c>
      <c r="D41" s="4" t="s">
        <v>1160</v>
      </c>
      <c r="E41" s="4"/>
    </row>
    <row r="42" spans="2:5" x14ac:dyDescent="0.2">
      <c r="B42" s="3" t="s">
        <v>1161</v>
      </c>
      <c r="C42" s="4" t="s">
        <v>1162</v>
      </c>
      <c r="D42" s="4" t="s">
        <v>1163</v>
      </c>
      <c r="E42" s="4"/>
    </row>
    <row r="43" spans="2:5" x14ac:dyDescent="0.2">
      <c r="B43" s="3" t="s">
        <v>1164</v>
      </c>
      <c r="C43" s="4" t="s">
        <v>1165</v>
      </c>
      <c r="D43" s="4" t="s">
        <v>1166</v>
      </c>
      <c r="E43" s="4"/>
    </row>
    <row r="44" spans="2:5" x14ac:dyDescent="0.2">
      <c r="B44" s="3" t="s">
        <v>1167</v>
      </c>
      <c r="C44" s="4" t="s">
        <v>1088</v>
      </c>
      <c r="D44" s="4" t="s">
        <v>1168</v>
      </c>
      <c r="E44" s="4"/>
    </row>
    <row r="45" spans="2:5" x14ac:dyDescent="0.2">
      <c r="B45" s="3" t="s">
        <v>1169</v>
      </c>
      <c r="C45" s="4" t="s">
        <v>1170</v>
      </c>
      <c r="D45" s="4" t="s">
        <v>1171</v>
      </c>
      <c r="E45" s="4"/>
    </row>
    <row r="48" spans="2:5" ht="17.25" x14ac:dyDescent="0.2">
      <c r="B48" s="5" t="s">
        <v>1172</v>
      </c>
    </row>
    <row r="50" spans="2:5" x14ac:dyDescent="0.2">
      <c r="B50" s="2" t="s">
        <v>250</v>
      </c>
      <c r="C50" s="2" t="s">
        <v>453</v>
      </c>
      <c r="D50" s="2" t="s">
        <v>454</v>
      </c>
      <c r="E50" s="2"/>
    </row>
    <row r="51" spans="2:5" x14ac:dyDescent="0.2">
      <c r="B51" s="3" t="s">
        <v>1173</v>
      </c>
      <c r="C51" s="4" t="s">
        <v>1174</v>
      </c>
      <c r="D51" s="4" t="s">
        <v>1175</v>
      </c>
      <c r="E51" s="4"/>
    </row>
    <row r="52" spans="2:5" x14ac:dyDescent="0.2">
      <c r="B52" s="3" t="s">
        <v>1176</v>
      </c>
      <c r="C52" s="4" t="s">
        <v>1177</v>
      </c>
      <c r="D52" s="4" t="s">
        <v>1178</v>
      </c>
      <c r="E52" s="4"/>
    </row>
    <row r="53" spans="2:5" x14ac:dyDescent="0.2">
      <c r="B53" s="3" t="s">
        <v>1179</v>
      </c>
      <c r="C53" s="4" t="s">
        <v>1180</v>
      </c>
      <c r="D53" s="4" t="s">
        <v>1181</v>
      </c>
      <c r="E53" s="4"/>
    </row>
    <row r="54" spans="2:5" x14ac:dyDescent="0.2">
      <c r="B54" s="3" t="s">
        <v>1182</v>
      </c>
      <c r="C54" s="4" t="s">
        <v>1183</v>
      </c>
      <c r="D54" s="4" t="s">
        <v>1184</v>
      </c>
      <c r="E54" s="4"/>
    </row>
    <row r="57" spans="2:5" ht="17.25" x14ac:dyDescent="0.2">
      <c r="B57" s="5" t="s">
        <v>1185</v>
      </c>
    </row>
    <row r="58" spans="2:5" x14ac:dyDescent="0.2">
      <c r="B58" s="6"/>
    </row>
    <row r="59" spans="2:5" x14ac:dyDescent="0.2">
      <c r="B59" s="7" t="s">
        <v>1186</v>
      </c>
    </row>
    <row r="60" spans="2:5" x14ac:dyDescent="0.2">
      <c r="B60" s="6"/>
    </row>
    <row r="61" spans="2:5" x14ac:dyDescent="0.2">
      <c r="B61" s="9" t="s">
        <v>1187</v>
      </c>
    </row>
    <row r="62" spans="2:5" x14ac:dyDescent="0.2">
      <c r="B62" s="9" t="s">
        <v>1188</v>
      </c>
    </row>
    <row r="63" spans="2:5" x14ac:dyDescent="0.2">
      <c r="B63" s="7" t="s">
        <v>1189</v>
      </c>
    </row>
    <row r="64" spans="2:5" x14ac:dyDescent="0.2">
      <c r="B64" s="6"/>
    </row>
    <row r="65" spans="2:2" x14ac:dyDescent="0.2">
      <c r="B65" s="9" t="s">
        <v>1190</v>
      </c>
    </row>
    <row r="66" spans="2:2" x14ac:dyDescent="0.2">
      <c r="B66" s="9" t="s">
        <v>1191</v>
      </c>
    </row>
    <row r="67" spans="2:2" ht="17.25" x14ac:dyDescent="0.2">
      <c r="B67" s="5"/>
    </row>
    <row r="70" spans="2:2" x14ac:dyDescent="0.2">
      <c r="B70" s="16"/>
    </row>
    <row r="71" spans="2:2" x14ac:dyDescent="0.2">
      <c r="B71" s="6"/>
    </row>
    <row r="72" spans="2:2" x14ac:dyDescent="0.2">
      <c r="B72" s="6"/>
    </row>
  </sheetData>
  <phoneticPr fontId="2" type="noConversion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582056-04B1-4B56-B227-FEAB7B0699A0}">
  <dimension ref="B1:G82"/>
  <sheetViews>
    <sheetView topLeftCell="A32" zoomScaleNormal="100" workbookViewId="0">
      <selection activeCell="J49" sqref="J49"/>
    </sheetView>
  </sheetViews>
  <sheetFormatPr defaultRowHeight="14.25" x14ac:dyDescent="0.2"/>
  <cols>
    <col min="1" max="1" width="2.75" customWidth="1"/>
    <col min="2" max="2" width="15.625" customWidth="1"/>
    <col min="3" max="3" width="43.125" customWidth="1"/>
    <col min="4" max="4" width="32.75" customWidth="1"/>
  </cols>
  <sheetData>
    <row r="1" spans="2:7" x14ac:dyDescent="0.2">
      <c r="B1" t="s">
        <v>100</v>
      </c>
      <c r="G1" t="str">
        <f>"&lt;dl&gt;&lt;dt&gt;" &amp; B1 &amp; "&lt;/dt&gt;&lt;dd&gt;" &amp; C1 &amp; "&lt;/dd&gt;&lt;dd&gt;" &amp; D1 &amp; "&lt;/dd&gt;&lt;/dl&gt;"</f>
        <v>&lt;dl&gt;&lt;dt&gt;在紫微斗数中，文曲星属水，主掌内容、文书、传递信息，是决定事物内涵的关键辅星。以下是其核心含义及在不同场景中的应用：&lt;/dt&gt;&lt;dd&gt;&lt;/dd&gt;&lt;dd&gt;&lt;/dd&gt;&lt;/dl&gt;</v>
      </c>
    </row>
    <row r="4" spans="2:7" ht="17.25" x14ac:dyDescent="0.2">
      <c r="B4" s="5" t="s">
        <v>101</v>
      </c>
    </row>
    <row r="5" spans="2:7" x14ac:dyDescent="0.2">
      <c r="B5" s="6"/>
    </row>
    <row r="6" spans="2:7" x14ac:dyDescent="0.2">
      <c r="B6" s="7" t="s">
        <v>102</v>
      </c>
    </row>
    <row r="7" spans="2:7" x14ac:dyDescent="0.2">
      <c r="B7" s="6"/>
    </row>
    <row r="8" spans="2:7" x14ac:dyDescent="0.2">
      <c r="B8" s="8" t="s">
        <v>103</v>
      </c>
    </row>
    <row r="9" spans="2:7" x14ac:dyDescent="0.2">
      <c r="B9" s="8" t="s">
        <v>104</v>
      </c>
    </row>
    <row r="10" spans="2:7" x14ac:dyDescent="0.2">
      <c r="B10" s="8" t="s">
        <v>105</v>
      </c>
    </row>
    <row r="11" spans="2:7" x14ac:dyDescent="0.2">
      <c r="B11" s="9"/>
    </row>
    <row r="12" spans="2:7" x14ac:dyDescent="0.2">
      <c r="B12" s="17" t="s">
        <v>106</v>
      </c>
    </row>
    <row r="13" spans="2:7" x14ac:dyDescent="0.2">
      <c r="B13" s="17" t="s">
        <v>107</v>
      </c>
    </row>
    <row r="14" spans="2:7" x14ac:dyDescent="0.2">
      <c r="B14" s="7" t="s">
        <v>108</v>
      </c>
    </row>
    <row r="15" spans="2:7" x14ac:dyDescent="0.2">
      <c r="B15" s="6"/>
    </row>
    <row r="16" spans="2:7" x14ac:dyDescent="0.2">
      <c r="B16" s="8" t="s">
        <v>109</v>
      </c>
    </row>
    <row r="17" spans="2:7" x14ac:dyDescent="0.2">
      <c r="B17" s="8" t="s">
        <v>110</v>
      </c>
    </row>
    <row r="21" spans="2:7" ht="17.25" x14ac:dyDescent="0.2">
      <c r="B21" s="5" t="s">
        <v>111</v>
      </c>
    </row>
    <row r="22" spans="2:7" ht="15" thickBot="1" x14ac:dyDescent="0.25"/>
    <row r="23" spans="2:7" ht="16.5" thickBot="1" x14ac:dyDescent="0.25">
      <c r="B23" s="2" t="s">
        <v>18</v>
      </c>
      <c r="C23" s="2" t="s">
        <v>112</v>
      </c>
      <c r="D23" s="2" t="s">
        <v>113</v>
      </c>
      <c r="E23" s="12"/>
    </row>
    <row r="24" spans="2:7" ht="16.5" thickBot="1" x14ac:dyDescent="0.25">
      <c r="B24" s="3" t="s">
        <v>9</v>
      </c>
      <c r="C24" s="4" t="s">
        <v>114</v>
      </c>
      <c r="D24" s="4" t="s">
        <v>115</v>
      </c>
      <c r="E24" s="15"/>
      <c r="G24" t="str">
        <f t="shared" ref="G24:G52" si="0">"&lt;dl&gt;&lt;dt&gt;" &amp; B24 &amp; "&lt;/dt&gt;&lt;dd&gt;" &amp; C24 &amp; "&lt;/dd&gt;&lt;dd&gt;" &amp; D24 &amp; "&lt;/dd&gt;&lt;/dl&gt;"</f>
        <v>&lt;dl&gt;&lt;dt&gt;父母宫​&lt;/dt&gt;&lt;dd&gt;文书合同、证书、长辈学识&lt;/dd&gt;&lt;dd&gt;签约条款问题、学历证书真伪&lt;/dd&gt;&lt;/dl&gt;</v>
      </c>
    </row>
    <row r="25" spans="2:7" ht="16.5" thickBot="1" x14ac:dyDescent="0.25">
      <c r="B25" s="3" t="s">
        <v>116</v>
      </c>
      <c r="C25" s="4" t="s">
        <v>117</v>
      </c>
      <c r="D25" s="4" t="s">
        <v>118</v>
      </c>
      <c r="E25" s="15"/>
      <c r="G25" t="str">
        <f t="shared" si="0"/>
        <v>&lt;dl&gt;&lt;dt&gt;福德宫​&lt;/dt&gt;&lt;dd&gt;思想内容、精神感悟&lt;/dd&gt;&lt;dd&gt;内心纠结、灵感创意&lt;/dd&gt;&lt;/dl&gt;</v>
      </c>
    </row>
    <row r="26" spans="2:7" ht="16.5" thickBot="1" x14ac:dyDescent="0.25">
      <c r="B26" s="3" t="s">
        <v>15</v>
      </c>
      <c r="C26" s="4" t="s">
        <v>119</v>
      </c>
      <c r="D26" s="4" t="s">
        <v>120</v>
      </c>
      <c r="E26" s="15"/>
      <c r="G26" t="str">
        <f t="shared" si="0"/>
        <v>&lt;dl&gt;&lt;dt&gt;迁移宫​&lt;/dt&gt;&lt;dd&gt;外界消息、异地信息&lt;/dd&gt;&lt;dd&gt;留学通知、移民政策变动&lt;/dd&gt;&lt;/dl&gt;</v>
      </c>
    </row>
    <row r="27" spans="2:7" ht="16.5" thickBot="1" x14ac:dyDescent="0.25">
      <c r="B27" s="3" t="s">
        <v>6</v>
      </c>
      <c r="C27" s="4" t="s">
        <v>121</v>
      </c>
      <c r="D27" s="4" t="s">
        <v>122</v>
      </c>
      <c r="E27" s="15"/>
      <c r="G27" t="str">
        <f t="shared" si="0"/>
        <v>&lt;dl&gt;&lt;dt&gt;疾厄宫​&lt;/dt&gt;&lt;dd&gt;身体信息（DNA、病历）&lt;/dd&gt;&lt;dd&gt;基因检测报告、健康档案&lt;/dd&gt;&lt;/dl&gt;</v>
      </c>
    </row>
    <row r="28" spans="2:7" ht="16.5" thickBot="1" x14ac:dyDescent="0.25">
      <c r="B28" s="3" t="s">
        <v>3</v>
      </c>
      <c r="C28" s="4" t="s">
        <v>123</v>
      </c>
      <c r="D28" s="4" t="s">
        <v>124</v>
      </c>
      <c r="E28" s="15"/>
      <c r="G28" t="str">
        <f t="shared" si="0"/>
        <v>&lt;dl&gt;&lt;dt&gt;财帛宫​&lt;/dt&gt;&lt;dd&gt;财务内容（账目、投资方案）&lt;/dd&gt;&lt;dd&gt;审计漏洞、理财协议陷阱&lt;/dd&gt;&lt;/dl&gt;</v>
      </c>
    </row>
    <row r="29" spans="2:7" ht="16.5" thickBot="1" x14ac:dyDescent="0.25">
      <c r="B29" s="3" t="s">
        <v>125</v>
      </c>
      <c r="C29" s="4" t="s">
        <v>126</v>
      </c>
      <c r="D29" s="4" t="s">
        <v>127</v>
      </c>
      <c r="E29" s="15"/>
      <c r="G29" t="str">
        <f t="shared" si="0"/>
        <v>&lt;dl&gt;&lt;dt&gt;夫妻宫​&lt;/dt&gt;&lt;dd&gt;感情表达、承诺内容&lt;/dd&gt;&lt;dd&gt;甜言蜜语 vs. 欺骗性承诺&lt;/dd&gt;&lt;/dl&gt;</v>
      </c>
    </row>
    <row r="30" spans="2:7" x14ac:dyDescent="0.2">
      <c r="B30" s="3" t="s">
        <v>128</v>
      </c>
      <c r="C30" s="4" t="s">
        <v>129</v>
      </c>
      <c r="D30" s="4" t="s">
        <v>130</v>
      </c>
    </row>
    <row r="33" spans="2:7" ht="18" thickBot="1" x14ac:dyDescent="0.25">
      <c r="B33" s="5" t="s">
        <v>131</v>
      </c>
    </row>
    <row r="34" spans="2:7" ht="16.5" thickBot="1" x14ac:dyDescent="0.25">
      <c r="B34" s="6"/>
      <c r="E34" s="12"/>
    </row>
    <row r="35" spans="2:7" ht="16.5" thickBot="1" x14ac:dyDescent="0.25">
      <c r="B35" s="7" t="s">
        <v>132</v>
      </c>
      <c r="E35" s="15"/>
      <c r="G35" t="str">
        <f t="shared" si="0"/>
        <v>&lt;dl&gt;&lt;dt&gt;1. 文曲+煞星（如铃星、地劫）：&lt;/dt&gt;&lt;dd&gt;&lt;/dd&gt;&lt;dd&gt;&lt;/dd&gt;&lt;/dl&gt;</v>
      </c>
    </row>
    <row r="36" spans="2:7" ht="16.5" thickBot="1" x14ac:dyDescent="0.25">
      <c r="B36" s="6"/>
      <c r="E36" s="15"/>
      <c r="G36" t="str">
        <f t="shared" si="0"/>
        <v>&lt;dl&gt;&lt;dt&gt;&lt;/dt&gt;&lt;dd&gt;&lt;/dd&gt;&lt;dd&gt;&lt;/dd&gt;&lt;/dl&gt;</v>
      </c>
    </row>
    <row r="37" spans="2:7" ht="16.5" thickBot="1" x14ac:dyDescent="0.25">
      <c r="B37" s="8" t="s">
        <v>133</v>
      </c>
      <c r="E37" s="15"/>
      <c r="G37" t="str">
        <f t="shared" si="0"/>
        <v>&lt;dl&gt;&lt;dt&gt;文曲铃星：内容引发烦恼（如争议性文章、投诉信）。&lt;/dt&gt;&lt;dd&gt;&lt;/dd&gt;&lt;dd&gt;&lt;/dd&gt;&lt;/dl&gt;</v>
      </c>
    </row>
    <row r="38" spans="2:7" ht="16.5" thickBot="1" x14ac:dyDescent="0.25">
      <c r="B38" s="8" t="s">
        <v>134</v>
      </c>
      <c r="E38" s="15"/>
      <c r="G38" t="str">
        <f t="shared" si="0"/>
        <v>&lt;dl&gt;&lt;dt&gt;文曲地劫：信息缺失或漏洞（合同漏洞、数据丢失）。&lt;/dt&gt;&lt;dd&gt;&lt;/dd&gt;&lt;dd&gt;&lt;/dd&gt;&lt;/dl&gt;</v>
      </c>
    </row>
    <row r="39" spans="2:7" ht="16.5" thickBot="1" x14ac:dyDescent="0.25">
      <c r="B39" s="7" t="s">
        <v>135</v>
      </c>
      <c r="E39" s="15"/>
      <c r="G39" t="str">
        <f t="shared" si="0"/>
        <v>&lt;dl&gt;&lt;dt&gt;2. 文曲+吉星（如天梁、天相）：&lt;/dt&gt;&lt;dd&gt;&lt;/dd&gt;&lt;dd&gt;&lt;/dd&gt;&lt;/dl&gt;</v>
      </c>
    </row>
    <row r="40" spans="2:7" ht="16.5" thickBot="1" x14ac:dyDescent="0.25">
      <c r="B40" s="6"/>
      <c r="E40" s="15"/>
      <c r="G40" t="str">
        <f t="shared" si="0"/>
        <v>&lt;dl&gt;&lt;dt&gt;&lt;/dt&gt;&lt;dd&gt;&lt;/dd&gt;&lt;dd&gt;&lt;/dd&gt;&lt;/dl&gt;</v>
      </c>
    </row>
    <row r="41" spans="2:7" ht="16.5" thickBot="1" x14ac:dyDescent="0.25">
      <c r="B41" s="8" t="s">
        <v>136</v>
      </c>
      <c r="E41" s="15"/>
      <c r="G41" t="str">
        <f t="shared" si="0"/>
        <v>&lt;dl&gt;&lt;dt&gt;文曲天梁：权威内容（法律法规、学术著作）。&lt;/dt&gt;&lt;dd&gt;&lt;/dd&gt;&lt;dd&gt;&lt;/dd&gt;&lt;/dl&gt;</v>
      </c>
    </row>
    <row r="42" spans="2:7" ht="16.5" thickBot="1" x14ac:dyDescent="0.25">
      <c r="B42" s="8" t="s">
        <v>137</v>
      </c>
      <c r="E42" s="15"/>
      <c r="G42" t="str">
        <f t="shared" si="0"/>
        <v>&lt;dl&gt;&lt;dt&gt;文曲天相：生活化内容（菜谱、使用说明书）。&lt;/dt&gt;&lt;dd&gt;&lt;/dd&gt;&lt;dd&gt;&lt;/dd&gt;&lt;/dl&gt;</v>
      </c>
    </row>
    <row r="43" spans="2:7" ht="16.5" thickBot="1" x14ac:dyDescent="0.25">
      <c r="B43" s="7" t="s">
        <v>138</v>
      </c>
      <c r="E43" s="15"/>
      <c r="G43" t="str">
        <f t="shared" si="0"/>
        <v>&lt;dl&gt;&lt;dt&gt;3. 文曲化忌：&lt;/dt&gt;&lt;dd&gt;&lt;/dd&gt;&lt;dd&gt;&lt;/dd&gt;&lt;/dl&gt;</v>
      </c>
    </row>
    <row r="44" spans="2:7" x14ac:dyDescent="0.2">
      <c r="B44" s="6"/>
    </row>
    <row r="45" spans="2:7" x14ac:dyDescent="0.2">
      <c r="B45" s="9" t="s">
        <v>139</v>
      </c>
    </row>
    <row r="47" spans="2:7" ht="15" thickBot="1" x14ac:dyDescent="0.25"/>
    <row r="48" spans="2:7" ht="16.5" thickBot="1" x14ac:dyDescent="0.25">
      <c r="E48" s="12"/>
    </row>
    <row r="49" spans="2:7" ht="18" thickBot="1" x14ac:dyDescent="0.25">
      <c r="B49" s="5" t="s">
        <v>140</v>
      </c>
      <c r="E49" s="15"/>
      <c r="G49" t="str">
        <f t="shared" si="0"/>
        <v>&lt;dl&gt;&lt;dt&gt;四、实际案例参考&lt;/dt&gt;&lt;dd&gt;&lt;/dd&gt;&lt;dd&gt;&lt;/dd&gt;&lt;/dl&gt;</v>
      </c>
    </row>
    <row r="50" spans="2:7" ht="16.5" thickBot="1" x14ac:dyDescent="0.25">
      <c r="B50" s="6"/>
      <c r="E50" s="15"/>
      <c r="G50" t="str">
        <f t="shared" si="0"/>
        <v>&lt;dl&gt;&lt;dt&gt;&lt;/dt&gt;&lt;dd&gt;&lt;/dd&gt;&lt;dd&gt;&lt;/dd&gt;&lt;/dl&gt;</v>
      </c>
    </row>
    <row r="51" spans="2:7" ht="16.5" thickBot="1" x14ac:dyDescent="0.25">
      <c r="B51" s="7" t="s">
        <v>141</v>
      </c>
      <c r="E51" s="15"/>
      <c r="G51" t="str">
        <f t="shared" si="0"/>
        <v>&lt;dl&gt;&lt;dt&gt;占工作：文曲在官禄宫+文昌 → 从事文案、编辑、教育等需深度内容输出的职业。&lt;/dt&gt;&lt;dd&gt;&lt;/dd&gt;&lt;dd&gt;&lt;/dd&gt;&lt;/dl&gt;</v>
      </c>
    </row>
    <row r="52" spans="2:7" ht="16.5" thickBot="1" x14ac:dyDescent="0.25">
      <c r="B52" s="7" t="s">
        <v>142</v>
      </c>
      <c r="E52" s="15"/>
      <c r="G52" t="str">
        <f t="shared" si="0"/>
        <v>&lt;dl&gt;&lt;dt&gt;占健康：文曲在疾厄宫+天刑 → 病历误诊或隐瞒病情。&lt;/dt&gt;&lt;dd&gt;&lt;/dd&gt;&lt;dd&gt;&lt;/dd&gt;&lt;/dl&gt;</v>
      </c>
    </row>
    <row r="53" spans="2:7" x14ac:dyDescent="0.2">
      <c r="B53" s="7" t="s">
        <v>143</v>
      </c>
    </row>
    <row r="57" spans="2:7" ht="17.25" x14ac:dyDescent="0.2">
      <c r="B57" s="5" t="s">
        <v>144</v>
      </c>
    </row>
    <row r="58" spans="2:7" x14ac:dyDescent="0.2">
      <c r="B58" s="6"/>
    </row>
    <row r="59" spans="2:7" x14ac:dyDescent="0.2">
      <c r="B59" s="7" t="s">
        <v>145</v>
      </c>
    </row>
    <row r="60" spans="2:7" x14ac:dyDescent="0.2">
      <c r="B60" s="7" t="s">
        <v>146</v>
      </c>
    </row>
    <row r="61" spans="2:7" x14ac:dyDescent="0.2">
      <c r="B61" s="7" t="s">
        <v>147</v>
      </c>
    </row>
    <row r="64" spans="2:7" ht="17.25" x14ac:dyDescent="0.2">
      <c r="B64" s="5"/>
    </row>
    <row r="65" spans="2:2" x14ac:dyDescent="0.2">
      <c r="B65" s="6"/>
    </row>
    <row r="66" spans="2:2" x14ac:dyDescent="0.2">
      <c r="B66" s="7"/>
    </row>
    <row r="67" spans="2:2" x14ac:dyDescent="0.2">
      <c r="B67" s="6"/>
    </row>
    <row r="68" spans="2:2" x14ac:dyDescent="0.2">
      <c r="B68" s="9"/>
    </row>
    <row r="69" spans="2:2" x14ac:dyDescent="0.2">
      <c r="B69" s="9"/>
    </row>
    <row r="70" spans="2:2" x14ac:dyDescent="0.2">
      <c r="B70" s="7"/>
    </row>
    <row r="71" spans="2:2" x14ac:dyDescent="0.2">
      <c r="B71" s="6"/>
    </row>
    <row r="72" spans="2:2" x14ac:dyDescent="0.2">
      <c r="B72" s="9"/>
    </row>
    <row r="73" spans="2:2" x14ac:dyDescent="0.2">
      <c r="B73" s="9"/>
    </row>
    <row r="77" spans="2:2" ht="17.25" x14ac:dyDescent="0.2">
      <c r="B77" s="5"/>
    </row>
    <row r="80" spans="2:2" x14ac:dyDescent="0.2">
      <c r="B80" s="16"/>
    </row>
    <row r="81" spans="2:2" x14ac:dyDescent="0.2">
      <c r="B81" s="6"/>
    </row>
    <row r="82" spans="2:2" x14ac:dyDescent="0.2">
      <c r="B82" s="6"/>
    </row>
  </sheetData>
  <phoneticPr fontId="2" type="noConversion"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290752-9CEA-4773-B35D-5C43994A95E7}">
  <dimension ref="B1:G82"/>
  <sheetViews>
    <sheetView topLeftCell="A33" zoomScaleNormal="100" workbookViewId="0">
      <selection activeCell="D11" sqref="D11"/>
    </sheetView>
  </sheetViews>
  <sheetFormatPr defaultRowHeight="14.25" x14ac:dyDescent="0.2"/>
  <cols>
    <col min="1" max="1" width="2.75" customWidth="1"/>
    <col min="2" max="2" width="15.625" customWidth="1"/>
    <col min="3" max="3" width="43.125" customWidth="1"/>
    <col min="4" max="4" width="32.75" customWidth="1"/>
  </cols>
  <sheetData>
    <row r="1" spans="2:7" ht="17.25" x14ac:dyDescent="0.2">
      <c r="B1" s="5" t="s">
        <v>1192</v>
      </c>
      <c r="G1" t="str">
        <f>"&lt;dl&gt;&lt;dt&gt;" &amp; B1 &amp; "&lt;/dt&gt;&lt;dd&gt;" &amp; C1 &amp; "&lt;/dd&gt;&lt;dd&gt;" &amp; D1 &amp; "&lt;/dd&gt;&lt;/dl&gt;"</f>
        <v>&lt;dl&gt;&lt;dt&gt;一、左辅定义&lt;/dt&gt;&lt;dd&gt;&lt;/dd&gt;&lt;dd&gt;&lt;/dd&gt;&lt;/dl&gt;</v>
      </c>
    </row>
    <row r="3" spans="2:7" x14ac:dyDescent="0.2">
      <c r="B3" s="2" t="s">
        <v>376</v>
      </c>
      <c r="C3" s="2" t="s">
        <v>222</v>
      </c>
      <c r="D3" s="2" t="s">
        <v>1193</v>
      </c>
    </row>
    <row r="4" spans="2:7" x14ac:dyDescent="0.2">
      <c r="B4" s="4" t="s">
        <v>175</v>
      </c>
      <c r="C4" s="3" t="s">
        <v>1194</v>
      </c>
      <c r="D4" s="4" t="s">
        <v>1195</v>
      </c>
    </row>
    <row r="5" spans="2:7" x14ac:dyDescent="0.2">
      <c r="B5" s="3" t="s">
        <v>1196</v>
      </c>
      <c r="C5" s="4" t="s">
        <v>1197</v>
      </c>
      <c r="D5" s="4" t="s">
        <v>1198</v>
      </c>
    </row>
    <row r="6" spans="2:7" x14ac:dyDescent="0.2">
      <c r="B6" s="3" t="s">
        <v>1199</v>
      </c>
      <c r="C6" s="4" t="s">
        <v>1200</v>
      </c>
      <c r="D6" s="4" t="s">
        <v>1201</v>
      </c>
    </row>
    <row r="9" spans="2:7" ht="17.25" x14ac:dyDescent="0.2">
      <c r="B9" s="5" t="s">
        <v>699</v>
      </c>
    </row>
    <row r="11" spans="2:7" x14ac:dyDescent="0.2">
      <c r="B11" s="2" t="s">
        <v>18</v>
      </c>
      <c r="C11" s="2" t="s">
        <v>497</v>
      </c>
      <c r="D11" s="2" t="s">
        <v>73</v>
      </c>
    </row>
    <row r="12" spans="2:7" x14ac:dyDescent="0.2">
      <c r="B12" s="3" t="s">
        <v>201</v>
      </c>
      <c r="C12" s="4" t="s">
        <v>1202</v>
      </c>
      <c r="D12" s="4" t="s">
        <v>1203</v>
      </c>
    </row>
    <row r="13" spans="2:7" x14ac:dyDescent="0.2">
      <c r="B13" s="3" t="s">
        <v>9</v>
      </c>
      <c r="C13" s="4" t="s">
        <v>1204</v>
      </c>
      <c r="D13" s="4" t="s">
        <v>1205</v>
      </c>
    </row>
    <row r="14" spans="2:7" x14ac:dyDescent="0.2">
      <c r="B14" s="3" t="s">
        <v>0</v>
      </c>
      <c r="C14" s="4" t="s">
        <v>1206</v>
      </c>
      <c r="D14" s="4" t="s">
        <v>1207</v>
      </c>
    </row>
    <row r="15" spans="2:7" x14ac:dyDescent="0.2">
      <c r="B15" s="3" t="s">
        <v>206</v>
      </c>
      <c r="C15" s="4" t="s">
        <v>1208</v>
      </c>
      <c r="D15" s="4" t="s">
        <v>1209</v>
      </c>
    </row>
    <row r="16" spans="2:7" x14ac:dyDescent="0.2">
      <c r="B16" s="3" t="s">
        <v>12</v>
      </c>
      <c r="C16" s="4" t="s">
        <v>1210</v>
      </c>
      <c r="D16" s="4" t="s">
        <v>1211</v>
      </c>
    </row>
    <row r="17" spans="2:7" x14ac:dyDescent="0.2">
      <c r="B17" s="3" t="s">
        <v>6</v>
      </c>
      <c r="C17" s="4" t="s">
        <v>1212</v>
      </c>
      <c r="D17" s="4" t="s">
        <v>1213</v>
      </c>
    </row>
    <row r="20" spans="2:7" ht="17.25" x14ac:dyDescent="0.2">
      <c r="B20" s="5" t="s">
        <v>1214</v>
      </c>
    </row>
    <row r="22" spans="2:7" x14ac:dyDescent="0.2">
      <c r="B22" s="2" t="s">
        <v>1215</v>
      </c>
      <c r="C22" s="2" t="s">
        <v>339</v>
      </c>
      <c r="D22" s="2" t="s">
        <v>113</v>
      </c>
    </row>
    <row r="23" spans="2:7" x14ac:dyDescent="0.2">
      <c r="B23" s="3" t="s">
        <v>1216</v>
      </c>
      <c r="C23" s="4" t="s">
        <v>1217</v>
      </c>
      <c r="D23" s="4" t="s">
        <v>1218</v>
      </c>
    </row>
    <row r="24" spans="2:7" x14ac:dyDescent="0.2">
      <c r="B24" s="3" t="s">
        <v>1219</v>
      </c>
      <c r="C24" s="4" t="s">
        <v>1220</v>
      </c>
      <c r="D24" s="4" t="s">
        <v>1221</v>
      </c>
      <c r="G24" t="str">
        <f t="shared" ref="G24:G52" si="0">"&lt;dl&gt;&lt;dt&gt;" &amp; B24 &amp; "&lt;/dt&gt;&lt;dd&gt;" &amp; C24 &amp; "&lt;/dd&gt;&lt;dd&gt;" &amp; D24 &amp; "&lt;/dd&gt;&lt;/dl&gt;"</f>
        <v>&lt;dl&gt;&lt;dt&gt;天机+左辅​&lt;/dt&gt;&lt;dd&gt;多次计算/多线程运作&lt;/dd&gt;&lt;dd&gt;多方案策划、CPU多核处理&lt;/dd&gt;&lt;/dl&gt;</v>
      </c>
    </row>
    <row r="25" spans="2:7" x14ac:dyDescent="0.2">
      <c r="B25" s="3" t="s">
        <v>654</v>
      </c>
      <c r="C25" s="4" t="s">
        <v>1222</v>
      </c>
      <c r="D25" s="4" t="s">
        <v>1223</v>
      </c>
      <c r="G25" t="str">
        <f t="shared" si="0"/>
        <v>&lt;dl&gt;&lt;dt&gt;太阳+左辅​&lt;/dt&gt;&lt;dd&gt;多重发散/多途径传播&lt;/dd&gt;&lt;dd&gt;多渠道广告投放、多光源照明&lt;/dd&gt;&lt;/dl&gt;</v>
      </c>
    </row>
    <row r="26" spans="2:7" x14ac:dyDescent="0.2">
      <c r="B26" s="3" t="s">
        <v>1224</v>
      </c>
      <c r="C26" s="4" t="s">
        <v>1225</v>
      </c>
      <c r="D26" s="4" t="s">
        <v>1226</v>
      </c>
      <c r="G26" t="str">
        <f t="shared" si="0"/>
        <v>&lt;dl&gt;&lt;dt&gt;武曲+左辅​&lt;/dt&gt;&lt;dd&gt;多笔钱财/多次交易&lt;/dd&gt;&lt;dd&gt;分期付款、多账户资金&lt;/dd&gt;&lt;/dl&gt;</v>
      </c>
    </row>
    <row r="27" spans="2:7" x14ac:dyDescent="0.2">
      <c r="B27" s="3" t="s">
        <v>1227</v>
      </c>
      <c r="C27" s="4" t="s">
        <v>1228</v>
      </c>
      <c r="D27" s="4" t="s">
        <v>1229</v>
      </c>
      <c r="G27" t="str">
        <f t="shared" si="0"/>
        <v>&lt;dl&gt;&lt;dt&gt;天同+左辅​&lt;/dt&gt;&lt;dd&gt;多想法/多子女&lt;/dd&gt;&lt;dd&gt;多个创业点子、多胎生育&lt;/dd&gt;&lt;/dl&gt;</v>
      </c>
    </row>
    <row r="28" spans="2:7" x14ac:dyDescent="0.2">
      <c r="B28" s="3" t="s">
        <v>1230</v>
      </c>
      <c r="C28" s="4" t="s">
        <v>1231</v>
      </c>
      <c r="D28" s="4" t="s">
        <v>1232</v>
      </c>
      <c r="G28" t="str">
        <f t="shared" si="0"/>
        <v>&lt;dl&gt;&lt;dt&gt;廉贞+左辅​&lt;/dt&gt;&lt;dd&gt;多处抓取/多电子设备&lt;/dd&gt;&lt;dd&gt;多监控探头、多线程数据处理&lt;/dd&gt;&lt;/dl&gt;</v>
      </c>
    </row>
    <row r="29" spans="2:7" x14ac:dyDescent="0.2">
      <c r="B29" s="3" t="s">
        <v>1233</v>
      </c>
      <c r="C29" s="4" t="s">
        <v>1234</v>
      </c>
      <c r="D29" s="4" t="s">
        <v>1235</v>
      </c>
      <c r="G29" t="str">
        <f t="shared" si="0"/>
        <v>&lt;dl&gt;&lt;dt&gt;天府+左辅​&lt;/dt&gt;&lt;dd&gt;多空间/多仓库&lt;/dd&gt;&lt;dd&gt;连锁仓库、多房间户型&lt;/dd&gt;&lt;/dl&gt;</v>
      </c>
    </row>
    <row r="30" spans="2:7" x14ac:dyDescent="0.2">
      <c r="B30" s="3" t="s">
        <v>1236</v>
      </c>
      <c r="C30" s="4" t="s">
        <v>1237</v>
      </c>
      <c r="D30" s="4" t="s">
        <v>1238</v>
      </c>
    </row>
    <row r="31" spans="2:7" x14ac:dyDescent="0.2">
      <c r="B31" s="3" t="s">
        <v>1239</v>
      </c>
      <c r="C31" s="4" t="s">
        <v>1240</v>
      </c>
      <c r="D31" s="4" t="s">
        <v>1241</v>
      </c>
    </row>
    <row r="32" spans="2:7" x14ac:dyDescent="0.2">
      <c r="B32" s="3" t="s">
        <v>1242</v>
      </c>
      <c r="C32" s="4" t="s">
        <v>1243</v>
      </c>
      <c r="D32" s="4" t="s">
        <v>1244</v>
      </c>
    </row>
    <row r="33" spans="2:7" x14ac:dyDescent="0.2">
      <c r="B33" s="3" t="s">
        <v>1245</v>
      </c>
      <c r="C33" s="4" t="s">
        <v>1246</v>
      </c>
      <c r="D33" s="4" t="s">
        <v>1247</v>
      </c>
    </row>
    <row r="34" spans="2:7" x14ac:dyDescent="0.2">
      <c r="B34" s="3" t="s">
        <v>1248</v>
      </c>
      <c r="C34" s="4" t="s">
        <v>1249</v>
      </c>
      <c r="D34" s="4" t="s">
        <v>1250</v>
      </c>
    </row>
    <row r="35" spans="2:7" x14ac:dyDescent="0.2">
      <c r="B35" s="3" t="s">
        <v>1251</v>
      </c>
      <c r="C35" s="4" t="s">
        <v>1252</v>
      </c>
      <c r="D35" s="4" t="s">
        <v>1253</v>
      </c>
      <c r="G35" t="str">
        <f t="shared" si="0"/>
        <v>&lt;dl&gt;&lt;dt&gt;七杀+左辅​&lt;/dt&gt;&lt;dd&gt;多线路/多平面&lt;/dd&gt;&lt;dd&gt;多电路布线、多屏幕显示&lt;/dd&gt;&lt;/dl&gt;</v>
      </c>
    </row>
    <row r="36" spans="2:7" x14ac:dyDescent="0.2">
      <c r="B36" s="3" t="s">
        <v>1098</v>
      </c>
      <c r="C36" s="4" t="s">
        <v>1254</v>
      </c>
      <c r="D36" s="4" t="s">
        <v>1255</v>
      </c>
      <c r="G36" t="str">
        <f t="shared" si="0"/>
        <v>&lt;dl&gt;&lt;dt&gt;破军+左辅​&lt;/dt&gt;&lt;dd&gt;多次突破/多打击&lt;/dd&gt;&lt;dd&gt;连续创业尝试、多次手术&lt;/dd&gt;&lt;/dl&gt;</v>
      </c>
    </row>
    <row r="37" spans="2:7" x14ac:dyDescent="0.2">
      <c r="G37" t="str">
        <f t="shared" si="0"/>
        <v>&lt;dl&gt;&lt;dt&gt;&lt;/dt&gt;&lt;dd&gt;&lt;/dd&gt;&lt;dd&gt;&lt;/dd&gt;&lt;/dl&gt;</v>
      </c>
    </row>
    <row r="38" spans="2:7" x14ac:dyDescent="0.2">
      <c r="G38" t="str">
        <f t="shared" si="0"/>
        <v>&lt;dl&gt;&lt;dt&gt;&lt;/dt&gt;&lt;dd&gt;&lt;/dd&gt;&lt;dd&gt;&lt;/dd&gt;&lt;/dl&gt;</v>
      </c>
    </row>
    <row r="39" spans="2:7" ht="17.25" x14ac:dyDescent="0.2">
      <c r="B39" s="5" t="s">
        <v>1256</v>
      </c>
      <c r="G39" t="str">
        <f t="shared" si="0"/>
        <v>&lt;dl&gt;&lt;dt&gt;四、辅星组合象义&lt;/dt&gt;&lt;dd&gt;&lt;/dd&gt;&lt;dd&gt;&lt;/dd&gt;&lt;/dl&gt;</v>
      </c>
    </row>
    <row r="40" spans="2:7" x14ac:dyDescent="0.2">
      <c r="G40" t="str">
        <f t="shared" si="0"/>
        <v>&lt;dl&gt;&lt;dt&gt;&lt;/dt&gt;&lt;dd&gt;&lt;/dd&gt;&lt;dd&gt;&lt;/dd&gt;&lt;/dl&gt;</v>
      </c>
    </row>
    <row r="41" spans="2:7" x14ac:dyDescent="0.2">
      <c r="B41" s="2" t="s">
        <v>40</v>
      </c>
      <c r="C41" s="2" t="s">
        <v>339</v>
      </c>
      <c r="D41" s="2" t="s">
        <v>73</v>
      </c>
      <c r="G41" t="str">
        <f t="shared" si="0"/>
        <v>&lt;dl&gt;&lt;dt&gt;辅星​&lt;/dt&gt;&lt;dd&gt;组合象义​&lt;/dd&gt;&lt;dd&gt;典型案例​&lt;/dd&gt;&lt;/dl&gt;</v>
      </c>
    </row>
    <row r="42" spans="2:7" x14ac:dyDescent="0.2">
      <c r="B42" s="3" t="s">
        <v>1257</v>
      </c>
      <c r="C42" s="4" t="s">
        <v>1258</v>
      </c>
      <c r="D42" s="4" t="s">
        <v>1259</v>
      </c>
      <c r="G42" t="str">
        <f t="shared" si="0"/>
        <v>&lt;dl&gt;&lt;dt&gt;火星+左辅​&lt;/dt&gt;&lt;dd&gt;多处火情/多次急躁&lt;/dd&gt;&lt;dd&gt;多地点火灾、频繁发脾气&lt;/dd&gt;&lt;/dl&gt;</v>
      </c>
    </row>
    <row r="43" spans="2:7" x14ac:dyDescent="0.2">
      <c r="B43" s="3" t="s">
        <v>1260</v>
      </c>
      <c r="C43" s="4" t="s">
        <v>1261</v>
      </c>
      <c r="D43" s="4" t="s">
        <v>1262</v>
      </c>
      <c r="G43" t="str">
        <f t="shared" si="0"/>
        <v>&lt;dl&gt;&lt;dt&gt;铃星+左辅​&lt;/dt&gt;&lt;dd&gt;多重烦恼&lt;/dd&gt;&lt;dd&gt;多线程工作压力、家庭多方矛盾&lt;/dd&gt;&lt;/dl&gt;</v>
      </c>
    </row>
    <row r="44" spans="2:7" x14ac:dyDescent="0.2">
      <c r="B44" s="3" t="s">
        <v>1263</v>
      </c>
      <c r="C44" s="4" t="s">
        <v>1264</v>
      </c>
      <c r="D44" s="4" t="s">
        <v>1265</v>
      </c>
    </row>
    <row r="45" spans="2:7" x14ac:dyDescent="0.2">
      <c r="B45" s="3" t="s">
        <v>1266</v>
      </c>
      <c r="C45" s="4" t="s">
        <v>1267</v>
      </c>
      <c r="D45" s="4" t="s">
        <v>1268</v>
      </c>
    </row>
    <row r="46" spans="2:7" x14ac:dyDescent="0.2">
      <c r="B46" s="3" t="s">
        <v>1269</v>
      </c>
      <c r="C46" s="4" t="s">
        <v>1270</v>
      </c>
      <c r="D46" s="4" t="s">
        <v>1271</v>
      </c>
    </row>
    <row r="47" spans="2:7" x14ac:dyDescent="0.2">
      <c r="B47" s="3" t="s">
        <v>1272</v>
      </c>
      <c r="C47" s="4" t="s">
        <v>1273</v>
      </c>
      <c r="D47" s="4" t="s">
        <v>1274</v>
      </c>
    </row>
    <row r="48" spans="2:7" x14ac:dyDescent="0.2">
      <c r="B48" s="3" t="s">
        <v>1275</v>
      </c>
      <c r="C48" s="4" t="s">
        <v>1276</v>
      </c>
      <c r="D48" s="4" t="s">
        <v>1277</v>
      </c>
    </row>
    <row r="49" spans="2:7" x14ac:dyDescent="0.2">
      <c r="B49" s="3" t="s">
        <v>1278</v>
      </c>
      <c r="C49" s="4" t="s">
        <v>1279</v>
      </c>
      <c r="D49" s="4" t="s">
        <v>1280</v>
      </c>
      <c r="G49" t="str">
        <f t="shared" si="0"/>
        <v>&lt;dl&gt;&lt;dt&gt;陀罗+左辅​&lt;/dt&gt;&lt;dd&gt;多次拖延循环&lt;/dd&gt;&lt;dd&gt;项目反复延期、感情纠缠&lt;/dd&gt;&lt;/dl&gt;</v>
      </c>
    </row>
    <row r="50" spans="2:7" x14ac:dyDescent="0.2">
      <c r="B50" s="3" t="s">
        <v>1281</v>
      </c>
      <c r="C50" s="4" t="s">
        <v>1282</v>
      </c>
      <c r="D50" s="4" t="s">
        <v>1283</v>
      </c>
      <c r="G50" t="str">
        <f t="shared" si="0"/>
        <v>&lt;dl&gt;&lt;dt&gt;天哭+左辅​&lt;/dt&gt;&lt;dd&gt;多次悲伤&lt;/dd&gt;&lt;dd&gt;连续噩耗、反复抑郁发作&lt;/dd&gt;&lt;/dl&gt;</v>
      </c>
    </row>
    <row r="51" spans="2:7" x14ac:dyDescent="0.2">
      <c r="B51" s="3" t="s">
        <v>1284</v>
      </c>
      <c r="C51" s="4" t="s">
        <v>1285</v>
      </c>
      <c r="D51" s="4" t="s">
        <v>1286</v>
      </c>
      <c r="G51" t="str">
        <f t="shared" si="0"/>
        <v>&lt;dl&gt;&lt;dt&gt;天喜+左辅​&lt;/dt&gt;&lt;dd&gt;多重喜悦&lt;/dd&gt;&lt;dd&gt;多喜临门（结婚+升职+生子）&lt;/dd&gt;&lt;/dl&gt;</v>
      </c>
    </row>
    <row r="52" spans="2:7" ht="28.5" x14ac:dyDescent="0.2">
      <c r="B52" s="3" t="s">
        <v>1287</v>
      </c>
      <c r="C52" s="4" t="s">
        <v>1288</v>
      </c>
      <c r="D52" s="4" t="s">
        <v>1289</v>
      </c>
      <c r="G52" t="str">
        <f t="shared" si="0"/>
        <v>&lt;dl&gt;&lt;dt&gt;阴煞+左辅​&lt;/dt&gt;&lt;dd&gt;多个隐藏事物&lt;/dd&gt;&lt;dd&gt;多重间谍身份、多灵体干扰（手册P159）&lt;/dd&gt;&lt;/dl&gt;</v>
      </c>
    </row>
    <row r="55" spans="2:7" ht="17.25" x14ac:dyDescent="0.2">
      <c r="B55" s="5"/>
    </row>
    <row r="56" spans="2:7" x14ac:dyDescent="0.2">
      <c r="B56" s="6"/>
    </row>
    <row r="57" spans="2:7" x14ac:dyDescent="0.2">
      <c r="B57" s="7"/>
    </row>
    <row r="58" spans="2:7" x14ac:dyDescent="0.2">
      <c r="B58" s="6"/>
    </row>
    <row r="59" spans="2:7" x14ac:dyDescent="0.2">
      <c r="B59" s="8"/>
    </row>
    <row r="60" spans="2:7" x14ac:dyDescent="0.2">
      <c r="B60" s="8"/>
    </row>
    <row r="64" spans="2:7" ht="17.25" x14ac:dyDescent="0.2">
      <c r="B64" s="5"/>
    </row>
    <row r="65" spans="2:2" x14ac:dyDescent="0.2">
      <c r="B65" s="6"/>
    </row>
    <row r="66" spans="2:2" x14ac:dyDescent="0.2">
      <c r="B66" s="7"/>
    </row>
    <row r="67" spans="2:2" x14ac:dyDescent="0.2">
      <c r="B67" s="6"/>
    </row>
    <row r="68" spans="2:2" x14ac:dyDescent="0.2">
      <c r="B68" s="9"/>
    </row>
    <row r="69" spans="2:2" x14ac:dyDescent="0.2">
      <c r="B69" s="9"/>
    </row>
    <row r="70" spans="2:2" x14ac:dyDescent="0.2">
      <c r="B70" s="7"/>
    </row>
    <row r="71" spans="2:2" x14ac:dyDescent="0.2">
      <c r="B71" s="6"/>
    </row>
    <row r="72" spans="2:2" x14ac:dyDescent="0.2">
      <c r="B72" s="9"/>
    </row>
    <row r="73" spans="2:2" x14ac:dyDescent="0.2">
      <c r="B73" s="9"/>
    </row>
    <row r="77" spans="2:2" ht="17.25" x14ac:dyDescent="0.2">
      <c r="B77" s="5"/>
    </row>
    <row r="80" spans="2:2" x14ac:dyDescent="0.2">
      <c r="B80" s="16"/>
    </row>
    <row r="81" spans="2:2" x14ac:dyDescent="0.2">
      <c r="B81" s="6"/>
    </row>
    <row r="82" spans="2:2" x14ac:dyDescent="0.2">
      <c r="B82" s="6"/>
    </row>
  </sheetData>
  <phoneticPr fontId="2" type="noConversion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E8AAB3-AA74-45F1-AFC6-B8CC8E04E41C}">
  <dimension ref="B1:G82"/>
  <sheetViews>
    <sheetView topLeftCell="A45" zoomScaleNormal="100" workbookViewId="0">
      <selection activeCell="B1" sqref="B1:D72"/>
    </sheetView>
  </sheetViews>
  <sheetFormatPr defaultRowHeight="14.25" x14ac:dyDescent="0.2"/>
  <cols>
    <col min="1" max="1" width="2.75" customWidth="1"/>
    <col min="2" max="2" width="15.625" customWidth="1"/>
    <col min="3" max="3" width="43.125" customWidth="1"/>
    <col min="4" max="4" width="32.75" customWidth="1"/>
  </cols>
  <sheetData>
    <row r="1" spans="2:7" ht="17.25" x14ac:dyDescent="0.2">
      <c r="B1" s="5" t="s">
        <v>1290</v>
      </c>
      <c r="G1" t="str">
        <f>"&lt;dl&gt;&lt;dt&gt;" &amp; B1 &amp; "&lt;/dt&gt;&lt;dd&gt;" &amp; C1 &amp; "&lt;/dd&gt;&lt;dd&gt;" &amp; D1 &amp; "&lt;/dd&gt;&lt;/dl&gt;"</f>
        <v>&lt;dl&gt;&lt;dt&gt;（五）右弼&lt;/dt&gt;&lt;dd&gt;&lt;/dd&gt;&lt;dd&gt;&lt;/dd&gt;&lt;/dl&gt;</v>
      </c>
    </row>
    <row r="3" spans="2:7" ht="15.75" x14ac:dyDescent="0.2">
      <c r="B3" s="13" t="s">
        <v>1291</v>
      </c>
    </row>
    <row r="4" spans="2:7" x14ac:dyDescent="0.2">
      <c r="B4" s="6"/>
    </row>
    <row r="5" spans="2:7" x14ac:dyDescent="0.2">
      <c r="B5" s="7" t="s">
        <v>1292</v>
      </c>
    </row>
    <row r="6" spans="2:7" x14ac:dyDescent="0.2">
      <c r="B6" s="6" t="s">
        <v>1293</v>
      </c>
    </row>
    <row r="7" spans="2:7" x14ac:dyDescent="0.2">
      <c r="B7" s="6" t="s">
        <v>1294</v>
      </c>
    </row>
    <row r="9" spans="2:7" ht="15.75" x14ac:dyDescent="0.2">
      <c r="B9" s="13" t="s">
        <v>1295</v>
      </c>
    </row>
    <row r="11" spans="2:7" x14ac:dyDescent="0.2">
      <c r="B11" s="2" t="s">
        <v>200</v>
      </c>
      <c r="C11" s="2" t="s">
        <v>1296</v>
      </c>
      <c r="D11" s="2" t="s">
        <v>1297</v>
      </c>
    </row>
    <row r="12" spans="2:7" ht="28.5" x14ac:dyDescent="0.2">
      <c r="B12" s="3" t="s">
        <v>1298</v>
      </c>
      <c r="C12" s="4" t="s">
        <v>788</v>
      </c>
      <c r="D12" s="4" t="s">
        <v>1299</v>
      </c>
    </row>
    <row r="13" spans="2:7" ht="28.5" x14ac:dyDescent="0.2">
      <c r="B13" s="3" t="s">
        <v>1300</v>
      </c>
      <c r="C13" s="4" t="s">
        <v>791</v>
      </c>
      <c r="D13" s="4" t="s">
        <v>1301</v>
      </c>
    </row>
    <row r="14" spans="2:7" ht="28.5" x14ac:dyDescent="0.2">
      <c r="B14" s="3" t="s">
        <v>1302</v>
      </c>
      <c r="C14" s="4" t="s">
        <v>1303</v>
      </c>
      <c r="D14" s="4" t="s">
        <v>1304</v>
      </c>
    </row>
    <row r="15" spans="2:7" x14ac:dyDescent="0.2">
      <c r="B15" s="6"/>
    </row>
    <row r="16" spans="2:7" x14ac:dyDescent="0.2">
      <c r="B16" s="7" t="s">
        <v>1305</v>
      </c>
    </row>
    <row r="18" spans="2:7" ht="15.75" x14ac:dyDescent="0.2">
      <c r="B18" s="13" t="s">
        <v>1306</v>
      </c>
    </row>
    <row r="20" spans="2:7" x14ac:dyDescent="0.2">
      <c r="B20" s="2" t="s">
        <v>200</v>
      </c>
      <c r="C20" s="2" t="s">
        <v>1307</v>
      </c>
      <c r="D20" s="2" t="s">
        <v>1308</v>
      </c>
    </row>
    <row r="21" spans="2:7" ht="28.5" x14ac:dyDescent="0.2">
      <c r="B21" s="3" t="s">
        <v>9</v>
      </c>
      <c r="C21" s="4" t="s">
        <v>1309</v>
      </c>
      <c r="D21" s="4" t="s">
        <v>1310</v>
      </c>
    </row>
    <row r="22" spans="2:7" ht="15" thickBot="1" x14ac:dyDescent="0.25">
      <c r="B22" s="3" t="s">
        <v>116</v>
      </c>
      <c r="C22" s="4" t="s">
        <v>1311</v>
      </c>
      <c r="D22" s="4" t="s">
        <v>1312</v>
      </c>
    </row>
    <row r="23" spans="2:7" ht="16.5" thickBot="1" x14ac:dyDescent="0.25">
      <c r="B23" s="3" t="s">
        <v>0</v>
      </c>
      <c r="C23" s="4" t="s">
        <v>1313</v>
      </c>
      <c r="D23" s="4" t="s">
        <v>1314</v>
      </c>
      <c r="E23" s="12"/>
    </row>
    <row r="24" spans="2:7" ht="16.5" thickBot="1" x14ac:dyDescent="0.25">
      <c r="B24" s="3" t="s">
        <v>15</v>
      </c>
      <c r="C24" s="4" t="s">
        <v>1315</v>
      </c>
      <c r="D24" s="4" t="s">
        <v>1316</v>
      </c>
      <c r="E24" s="15"/>
      <c r="G24" t="str">
        <f t="shared" ref="G24:G52" si="0">"&lt;dl&gt;&lt;dt&gt;" &amp; B24 &amp; "&lt;/dt&gt;&lt;dd&gt;" &amp; C24 &amp; "&lt;/dd&gt;&lt;dd&gt;" &amp; D24 &amp; "&lt;/dd&gt;&lt;/dl&gt;"</f>
        <v>&lt;dl&gt;&lt;dt&gt;迁移宫​&lt;/dt&gt;&lt;dd&gt;外界环境变动&lt;/dd&gt;&lt;dd&gt;变天、掉头回家、生存环境突变&lt;/dd&gt;&lt;/dl&gt;</v>
      </c>
    </row>
    <row r="25" spans="2:7" ht="16.5" thickBot="1" x14ac:dyDescent="0.25">
      <c r="B25" s="3" t="s">
        <v>6</v>
      </c>
      <c r="C25" s="4" t="s">
        <v>1317</v>
      </c>
      <c r="D25" s="4" t="s">
        <v>1318</v>
      </c>
      <c r="E25" s="15"/>
      <c r="G25" t="str">
        <f t="shared" si="0"/>
        <v>&lt;dl&gt;&lt;dt&gt;疾厄宫​&lt;/dt&gt;&lt;dd&gt;身体状态扭转&lt;/dd&gt;&lt;dd&gt;病情逆转、指标好转、瑜伽扭脖&lt;/dd&gt;&lt;/dl&gt;</v>
      </c>
    </row>
    <row r="26" spans="2:7" ht="16.5" thickBot="1" x14ac:dyDescent="0.25">
      <c r="B26" s="3" t="s">
        <v>3</v>
      </c>
      <c r="C26" s="4" t="s">
        <v>1319</v>
      </c>
      <c r="D26" s="4" t="s">
        <v>1320</v>
      </c>
      <c r="E26" s="15"/>
      <c r="G26" t="str">
        <f t="shared" si="0"/>
        <v>&lt;dl&gt;&lt;dt&gt;财帛宫​&lt;/dt&gt;&lt;dd&gt;财产流转&lt;/dd&gt;&lt;dd&gt;转账、汇款、财产转移&lt;/dd&gt;&lt;/dl&gt;</v>
      </c>
    </row>
    <row r="27" spans="2:7" ht="29.25" thickBot="1" x14ac:dyDescent="0.25">
      <c r="B27" s="3" t="s">
        <v>128</v>
      </c>
      <c r="C27" s="4" t="s">
        <v>1321</v>
      </c>
      <c r="D27" s="4" t="s">
        <v>1322</v>
      </c>
      <c r="E27" s="15"/>
      <c r="G27" t="str">
        <f t="shared" si="0"/>
        <v>&lt;dl&gt;&lt;dt&gt;子女宫​&lt;/dt&gt;&lt;dd&gt;后代/客户的转向&lt;/dd&gt;&lt;dd&gt;孩子性取向变、客户转移、DNA检测非亲生&lt;/dd&gt;&lt;/dl&gt;</v>
      </c>
    </row>
    <row r="28" spans="2:7" ht="16.5" thickBot="1" x14ac:dyDescent="0.25">
      <c r="B28" s="3" t="s">
        <v>125</v>
      </c>
      <c r="C28" s="4" t="s">
        <v>1323</v>
      </c>
      <c r="D28" s="4" t="s">
        <v>1324</v>
      </c>
      <c r="E28" s="15"/>
      <c r="G28" t="str">
        <f t="shared" si="0"/>
        <v>&lt;dl&gt;&lt;dt&gt;夫妻宫​&lt;/dt&gt;&lt;dd&gt;感情类型转变&lt;/dd&gt;&lt;dd&gt;喜欢的类型改变、未离婚但情感转向&lt;/dd&gt;&lt;/dl&gt;</v>
      </c>
    </row>
    <row r="29" spans="2:7" ht="16.5" thickBot="1" x14ac:dyDescent="0.25">
      <c r="B29" s="3" t="s">
        <v>246</v>
      </c>
      <c r="C29" s="4" t="s">
        <v>1325</v>
      </c>
      <c r="D29" s="4" t="s">
        <v>1326</v>
      </c>
      <c r="E29" s="15"/>
      <c r="G29" t="str">
        <f t="shared" si="0"/>
        <v>&lt;dl&gt;&lt;dt&gt;兄弟宫​&lt;/dt&gt;&lt;dd&gt;人际关系转向&lt;/dd&gt;&lt;dd&gt;换朋友、同行转变、好友反目&lt;/dd&gt;&lt;/dl&gt;</v>
      </c>
    </row>
    <row r="31" spans="2:7" ht="15.75" x14ac:dyDescent="0.2">
      <c r="B31" s="13" t="s">
        <v>1327</v>
      </c>
    </row>
    <row r="33" spans="2:7" ht="15" thickBot="1" x14ac:dyDescent="0.25">
      <c r="B33" s="2" t="s">
        <v>1328</v>
      </c>
      <c r="C33" s="2" t="s">
        <v>1329</v>
      </c>
      <c r="D33" s="2" t="s">
        <v>1330</v>
      </c>
    </row>
    <row r="34" spans="2:7" ht="16.5" thickBot="1" x14ac:dyDescent="0.25">
      <c r="B34" s="3" t="s">
        <v>1331</v>
      </c>
      <c r="C34" s="4" t="s">
        <v>1332</v>
      </c>
      <c r="D34" s="4" t="s">
        <v>1333</v>
      </c>
      <c r="E34" s="12"/>
    </row>
    <row r="35" spans="2:7" ht="29.25" thickBot="1" x14ac:dyDescent="0.25">
      <c r="B35" s="3" t="s">
        <v>1334</v>
      </c>
      <c r="C35" s="4" t="s">
        <v>1335</v>
      </c>
      <c r="D35" s="4" t="s">
        <v>1336</v>
      </c>
      <c r="E35" s="15"/>
      <c r="G35" t="str">
        <f t="shared" si="0"/>
        <v>&lt;dl&gt;&lt;dt&gt;太阳 + 右弼​&lt;/dt&gt;&lt;dd&gt;传播/关注点转移&lt;/dd&gt;&lt;dd&gt;广告方向调整、视线转移、新旧交替（古董翻新）&lt;/dd&gt;&lt;/dl&gt;</v>
      </c>
    </row>
    <row r="36" spans="2:7" ht="16.5" thickBot="1" x14ac:dyDescent="0.25">
      <c r="B36" s="3" t="s">
        <v>1337</v>
      </c>
      <c r="C36" s="4" t="s">
        <v>1338</v>
      </c>
      <c r="D36" s="4" t="s">
        <v>1339</v>
      </c>
      <c r="E36" s="15"/>
      <c r="G36" t="str">
        <f t="shared" si="0"/>
        <v>&lt;dl&gt;&lt;dt&gt;武曲 + 右弼​&lt;/dt&gt;&lt;dd&gt;钱/硬物的流转&lt;/dd&gt;&lt;dd&gt;换牙、骨折复位、资金流向变更&lt;/dd&gt;&lt;/dl&gt;</v>
      </c>
    </row>
    <row r="37" spans="2:7" ht="29.25" thickBot="1" x14ac:dyDescent="0.25">
      <c r="B37" s="3" t="s">
        <v>1340</v>
      </c>
      <c r="C37" s="4" t="s">
        <v>1341</v>
      </c>
      <c r="D37" s="4" t="s">
        <v>1342</v>
      </c>
      <c r="E37" s="15"/>
      <c r="G37" t="str">
        <f t="shared" si="0"/>
        <v>&lt;dl&gt;&lt;dt&gt;天同 + 右弼​&lt;/dt&gt;&lt;dd&gt;感受/认同转变&lt;/dd&gt;&lt;dd&gt;想法多变、玩的地点更换、感悟方向调整&lt;/dd&gt;&lt;/dl&gt;</v>
      </c>
    </row>
    <row r="38" spans="2:7" ht="29.25" thickBot="1" x14ac:dyDescent="0.25">
      <c r="B38" s="3" t="s">
        <v>1343</v>
      </c>
      <c r="C38" s="4" t="s">
        <v>1344</v>
      </c>
      <c r="D38" s="4" t="s">
        <v>1345</v>
      </c>
      <c r="E38" s="15"/>
      <c r="G38" t="str">
        <f t="shared" si="0"/>
        <v>&lt;dl&gt;&lt;dt&gt;廉贞 + 右弼​&lt;/dt&gt;&lt;dd&gt;抓取/电子转向&lt;/dd&gt;&lt;dd&gt;电子器材更换、突破方向调整（如修行）&lt;/dd&gt;&lt;/dl&gt;</v>
      </c>
    </row>
    <row r="39" spans="2:7" ht="16.5" thickBot="1" x14ac:dyDescent="0.25">
      <c r="B39" s="3" t="s">
        <v>1346</v>
      </c>
      <c r="C39" s="4" t="s">
        <v>1347</v>
      </c>
      <c r="D39" s="4" t="s">
        <v>1348</v>
      </c>
      <c r="E39" s="15"/>
      <c r="G39" t="str">
        <f t="shared" si="0"/>
        <v>&lt;dl&gt;&lt;dt&gt;天府 + 右弼​&lt;/dt&gt;&lt;dd&gt;空间/房产更换&lt;/dd&gt;&lt;dd&gt;换房子、换公司、换群组&lt;/dd&gt;&lt;/dl&gt;</v>
      </c>
    </row>
    <row r="40" spans="2:7" ht="29.25" thickBot="1" x14ac:dyDescent="0.25">
      <c r="B40" s="3" t="s">
        <v>1349</v>
      </c>
      <c r="C40" s="4" t="s">
        <v>1350</v>
      </c>
      <c r="D40" s="4" t="s">
        <v>1351</v>
      </c>
      <c r="E40" s="15"/>
      <c r="G40" t="str">
        <f t="shared" si="0"/>
        <v>&lt;dl&gt;&lt;dt&gt;太阴 + 右弼​&lt;/dt&gt;&lt;dd&gt;存储/女人/水的转向&lt;/dd&gt;&lt;dd&gt;女人类型变、液体流向变（油箱没油）、投资方向调整&lt;/dd&gt;&lt;/dl&gt;</v>
      </c>
    </row>
    <row r="41" spans="2:7" ht="16.5" thickBot="1" x14ac:dyDescent="0.25">
      <c r="B41" s="3" t="s">
        <v>1352</v>
      </c>
      <c r="C41" s="4" t="s">
        <v>1353</v>
      </c>
      <c r="D41" s="4" t="s">
        <v>1354</v>
      </c>
      <c r="E41" s="15"/>
      <c r="G41" t="str">
        <f t="shared" si="0"/>
        <v>&lt;dl&gt;&lt;dt&gt;贪狼 + 右弼​&lt;/dt&gt;&lt;dd&gt;欲望/体积转向&lt;/dd&gt;&lt;dd&gt;爱好改变、肌肉转肥肉、投资方向调整&lt;/dd&gt;&lt;/dl&gt;</v>
      </c>
    </row>
    <row r="42" spans="2:7" ht="16.5" thickBot="1" x14ac:dyDescent="0.25">
      <c r="B42" s="3" t="s">
        <v>1355</v>
      </c>
      <c r="C42" s="4" t="s">
        <v>1356</v>
      </c>
      <c r="D42" s="4" t="s">
        <v>1357</v>
      </c>
      <c r="E42" s="15"/>
      <c r="G42" t="str">
        <f t="shared" si="0"/>
        <v>&lt;dl&gt;&lt;dt&gt;巨门 + 右弼​&lt;/dt&gt;&lt;dd&gt;说话/承诺转向&lt;/dd&gt;&lt;dd&gt;改口、毁约、学科转换、国籍变更&lt;/dd&gt;&lt;/dl&gt;</v>
      </c>
    </row>
    <row r="43" spans="2:7" ht="16.5" thickBot="1" x14ac:dyDescent="0.25">
      <c r="B43" s="3" t="s">
        <v>1358</v>
      </c>
      <c r="C43" s="4" t="s">
        <v>1359</v>
      </c>
      <c r="D43" s="4" t="s">
        <v>1360</v>
      </c>
      <c r="E43" s="15"/>
      <c r="G43" t="str">
        <f t="shared" si="0"/>
        <v>&lt;dl&gt;&lt;dt&gt;天相 + 右弼​&lt;/dt&gt;&lt;dd&gt;呵护/生活习惯转向&lt;/dd&gt;&lt;dd&gt;换护工、换口味、穿衣风格变&lt;/dd&gt;&lt;/dl&gt;</v>
      </c>
    </row>
    <row r="44" spans="2:7" ht="28.5" x14ac:dyDescent="0.2">
      <c r="B44" s="3" t="s">
        <v>1361</v>
      </c>
      <c r="C44" s="4" t="s">
        <v>1362</v>
      </c>
      <c r="D44" s="4" t="s">
        <v>1363</v>
      </c>
    </row>
    <row r="45" spans="2:7" x14ac:dyDescent="0.2">
      <c r="B45" s="3" t="s">
        <v>1364</v>
      </c>
      <c r="C45" s="4" t="s">
        <v>1365</v>
      </c>
      <c r="D45" s="4" t="s">
        <v>1366</v>
      </c>
    </row>
    <row r="46" spans="2:7" ht="28.5" x14ac:dyDescent="0.2">
      <c r="B46" s="3" t="s">
        <v>1367</v>
      </c>
      <c r="C46" s="4" t="s">
        <v>1368</v>
      </c>
      <c r="D46" s="4" t="s">
        <v>1369</v>
      </c>
    </row>
    <row r="47" spans="2:7" ht="15" thickBot="1" x14ac:dyDescent="0.25"/>
    <row r="48" spans="2:7" ht="16.5" thickBot="1" x14ac:dyDescent="0.25">
      <c r="B48" s="13" t="s">
        <v>1370</v>
      </c>
      <c r="E48" s="12"/>
    </row>
    <row r="49" spans="2:7" ht="16.5" thickBot="1" x14ac:dyDescent="0.25">
      <c r="E49" s="15"/>
      <c r="G49" t="str">
        <f t="shared" si="0"/>
        <v>&lt;dl&gt;&lt;dt&gt;&lt;/dt&gt;&lt;dd&gt;&lt;/dd&gt;&lt;dd&gt;&lt;/dd&gt;&lt;/dl&gt;</v>
      </c>
    </row>
    <row r="50" spans="2:7" ht="16.5" thickBot="1" x14ac:dyDescent="0.25">
      <c r="B50" s="2" t="s">
        <v>1371</v>
      </c>
      <c r="C50" s="2" t="s">
        <v>1372</v>
      </c>
      <c r="E50" s="15"/>
      <c r="G50" t="str">
        <f t="shared" si="0"/>
        <v>&lt;dl&gt;&lt;dt&gt;辅星 + 右弼&lt;/dt&gt;&lt;dd&gt;联动效果&lt;/dd&gt;&lt;dd&gt;&lt;/dd&gt;&lt;/dl&gt;</v>
      </c>
    </row>
    <row r="51" spans="2:7" ht="16.5" thickBot="1" x14ac:dyDescent="0.25">
      <c r="B51" s="3" t="s">
        <v>1373</v>
      </c>
      <c r="C51" s="4" t="s">
        <v>1374</v>
      </c>
      <c r="E51" s="15"/>
      <c r="G51" t="str">
        <f t="shared" si="0"/>
        <v>&lt;dl&gt;&lt;dt&gt;文昌 + 右弼​&lt;/dt&gt;&lt;dd&gt;内容传递方向歪斜&lt;/dd&gt;&lt;dd&gt;&lt;/dd&gt;&lt;/dl&gt;</v>
      </c>
    </row>
    <row r="52" spans="2:7" ht="16.5" thickBot="1" x14ac:dyDescent="0.25">
      <c r="B52" s="3" t="s">
        <v>1375</v>
      </c>
      <c r="C52" s="4" t="s">
        <v>1376</v>
      </c>
      <c r="E52" s="15"/>
      <c r="G52" t="str">
        <f t="shared" si="0"/>
        <v>&lt;dl&gt;&lt;dt&gt;文曲 + 右弼​&lt;/dt&gt;&lt;dd&gt;文字/合同含义被扭转&lt;/dd&gt;&lt;dd&gt;&lt;/dd&gt;&lt;/dl&gt;</v>
      </c>
    </row>
    <row r="53" spans="2:7" x14ac:dyDescent="0.2">
      <c r="B53" s="3" t="s">
        <v>1377</v>
      </c>
      <c r="C53" s="4" t="s">
        <v>1378</v>
      </c>
    </row>
    <row r="54" spans="2:7" x14ac:dyDescent="0.2">
      <c r="B54" s="3" t="s">
        <v>1379</v>
      </c>
      <c r="C54" s="4" t="s">
        <v>1380</v>
      </c>
    </row>
    <row r="55" spans="2:7" x14ac:dyDescent="0.2">
      <c r="B55" s="3" t="s">
        <v>1381</v>
      </c>
      <c r="C55" s="4" t="s">
        <v>1382</v>
      </c>
    </row>
    <row r="56" spans="2:7" x14ac:dyDescent="0.2">
      <c r="B56" s="3" t="s">
        <v>1383</v>
      </c>
      <c r="C56" s="4" t="s">
        <v>1384</v>
      </c>
    </row>
    <row r="57" spans="2:7" x14ac:dyDescent="0.2">
      <c r="B57" s="3" t="s">
        <v>1385</v>
      </c>
      <c r="C57" s="4" t="s">
        <v>1386</v>
      </c>
    </row>
    <row r="58" spans="2:7" x14ac:dyDescent="0.2">
      <c r="B58" s="3" t="s">
        <v>1387</v>
      </c>
      <c r="C58" s="4" t="s">
        <v>1388</v>
      </c>
    </row>
    <row r="59" spans="2:7" x14ac:dyDescent="0.2">
      <c r="B59" s="3" t="s">
        <v>1389</v>
      </c>
      <c r="C59" s="4" t="s">
        <v>1390</v>
      </c>
    </row>
    <row r="62" spans="2:7" ht="17.25" x14ac:dyDescent="0.2">
      <c r="B62" s="5" t="s">
        <v>1391</v>
      </c>
    </row>
    <row r="63" spans="2:7" x14ac:dyDescent="0.2">
      <c r="B63" s="6"/>
    </row>
    <row r="64" spans="2:7" x14ac:dyDescent="0.2">
      <c r="B64" s="7" t="s">
        <v>1392</v>
      </c>
    </row>
    <row r="65" spans="2:2" x14ac:dyDescent="0.2">
      <c r="B65" s="6"/>
    </row>
    <row r="66" spans="2:2" x14ac:dyDescent="0.2">
      <c r="B66" s="9" t="s">
        <v>1393</v>
      </c>
    </row>
    <row r="67" spans="2:2" x14ac:dyDescent="0.2">
      <c r="B67" s="9" t="s">
        <v>1394</v>
      </c>
    </row>
    <row r="68" spans="2:2" x14ac:dyDescent="0.2">
      <c r="B68" s="18" t="s">
        <v>1395</v>
      </c>
    </row>
    <row r="69" spans="2:2" x14ac:dyDescent="0.2">
      <c r="B69" s="7" t="s">
        <v>1396</v>
      </c>
    </row>
    <row r="70" spans="2:2" x14ac:dyDescent="0.2">
      <c r="B70" s="6"/>
    </row>
    <row r="71" spans="2:2" x14ac:dyDescent="0.2">
      <c r="B71" s="9" t="s">
        <v>1397</v>
      </c>
    </row>
    <row r="72" spans="2:2" x14ac:dyDescent="0.2">
      <c r="B72" s="18" t="s">
        <v>1398</v>
      </c>
    </row>
    <row r="73" spans="2:2" x14ac:dyDescent="0.2">
      <c r="B73" s="9"/>
    </row>
    <row r="77" spans="2:2" ht="17.25" x14ac:dyDescent="0.2">
      <c r="B77" s="5"/>
    </row>
    <row r="80" spans="2:2" x14ac:dyDescent="0.2">
      <c r="B80" s="16"/>
    </row>
    <row r="81" spans="2:2" x14ac:dyDescent="0.2">
      <c r="B81" s="6"/>
    </row>
    <row r="82" spans="2:2" x14ac:dyDescent="0.2">
      <c r="B82" s="6"/>
    </row>
  </sheetData>
  <phoneticPr fontId="2" type="noConversion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D1CC14-1454-4DD9-BBFA-F9F36EC4D903}">
  <dimension ref="B1:G82"/>
  <sheetViews>
    <sheetView topLeftCell="A30" zoomScaleNormal="100" workbookViewId="0">
      <selection activeCell="B1" sqref="B1:D49"/>
    </sheetView>
  </sheetViews>
  <sheetFormatPr defaultRowHeight="14.25" x14ac:dyDescent="0.2"/>
  <cols>
    <col min="1" max="1" width="2.75" customWidth="1"/>
    <col min="2" max="2" width="15.625" customWidth="1"/>
    <col min="3" max="3" width="43.125" customWidth="1"/>
    <col min="4" max="4" width="32.75" customWidth="1"/>
  </cols>
  <sheetData>
    <row r="1" spans="2:7" ht="17.25" x14ac:dyDescent="0.2">
      <c r="B1" s="5" t="s">
        <v>1399</v>
      </c>
      <c r="G1" t="str">
        <f>"&lt;dl&gt;&lt;dt&gt;" &amp; B1 &amp; "&lt;/dt&gt;&lt;dd&gt;" &amp; C1 &amp; "&lt;/dd&gt;&lt;dd&gt;" &amp; D1 &amp; "&lt;/dd&gt;&lt;/dl&gt;"</f>
        <v>&lt;dl&gt;&lt;dt&gt;天魁星​&lt;/dt&gt;&lt;dd&gt;&lt;/dd&gt;&lt;dd&gt;&lt;/dd&gt;&lt;/dl&gt;</v>
      </c>
    </row>
    <row r="3" spans="2:7" x14ac:dyDescent="0.2">
      <c r="B3" s="1" t="s">
        <v>1400</v>
      </c>
    </row>
    <row r="4" spans="2:7" x14ac:dyDescent="0.2">
      <c r="B4" s="6"/>
    </row>
    <row r="5" spans="2:7" x14ac:dyDescent="0.2">
      <c r="B5" s="7" t="s">
        <v>1401</v>
      </c>
    </row>
    <row r="6" spans="2:7" x14ac:dyDescent="0.2">
      <c r="B6" s="7" t="s">
        <v>1402</v>
      </c>
    </row>
    <row r="10" spans="2:7" ht="17.25" x14ac:dyDescent="0.2">
      <c r="B10" s="5" t="s">
        <v>1403</v>
      </c>
    </row>
    <row r="12" spans="2:7" x14ac:dyDescent="0.2">
      <c r="B12" s="2" t="s">
        <v>584</v>
      </c>
      <c r="C12" s="2" t="s">
        <v>497</v>
      </c>
      <c r="D12" s="2" t="s">
        <v>223</v>
      </c>
    </row>
    <row r="13" spans="2:7" x14ac:dyDescent="0.2">
      <c r="B13" s="3" t="s">
        <v>1404</v>
      </c>
      <c r="C13" s="4" t="s">
        <v>1405</v>
      </c>
      <c r="D13" s="4" t="s">
        <v>1406</v>
      </c>
    </row>
    <row r="14" spans="2:7" x14ac:dyDescent="0.2">
      <c r="B14" s="3" t="s">
        <v>1407</v>
      </c>
      <c r="C14" s="4" t="s">
        <v>1408</v>
      </c>
      <c r="D14" s="4" t="s">
        <v>1409</v>
      </c>
    </row>
    <row r="15" spans="2:7" x14ac:dyDescent="0.2">
      <c r="B15" s="3" t="s">
        <v>1410</v>
      </c>
      <c r="C15" s="4" t="s">
        <v>1411</v>
      </c>
      <c r="D15" s="4" t="s">
        <v>1412</v>
      </c>
    </row>
    <row r="18" spans="2:7" ht="17.25" x14ac:dyDescent="0.2">
      <c r="B18" s="5" t="s">
        <v>339</v>
      </c>
    </row>
    <row r="20" spans="2:7" x14ac:dyDescent="0.2">
      <c r="B20" s="2" t="s">
        <v>1413</v>
      </c>
      <c r="C20" s="2" t="s">
        <v>1414</v>
      </c>
      <c r="D20" s="2" t="s">
        <v>73</v>
      </c>
    </row>
    <row r="21" spans="2:7" x14ac:dyDescent="0.2">
      <c r="B21" s="3" t="s">
        <v>1415</v>
      </c>
      <c r="C21" s="4" t="s">
        <v>1416</v>
      </c>
      <c r="D21" s="4" t="s">
        <v>1417</v>
      </c>
    </row>
    <row r="22" spans="2:7" ht="29.25" thickBot="1" x14ac:dyDescent="0.25">
      <c r="B22" s="3" t="s">
        <v>1418</v>
      </c>
      <c r="C22" s="4" t="s">
        <v>1419</v>
      </c>
      <c r="D22" s="4" t="s">
        <v>1420</v>
      </c>
    </row>
    <row r="23" spans="2:7" ht="29.25" thickBot="1" x14ac:dyDescent="0.25">
      <c r="B23" s="3" t="s">
        <v>1421</v>
      </c>
      <c r="C23" s="4" t="s">
        <v>1422</v>
      </c>
      <c r="D23" s="4" t="s">
        <v>1423</v>
      </c>
      <c r="E23" s="12"/>
    </row>
    <row r="24" spans="2:7" ht="16.5" thickBot="1" x14ac:dyDescent="0.25">
      <c r="E24" s="15"/>
      <c r="G24" t="str">
        <f t="shared" ref="G24:G52" si="0">"&lt;dl&gt;&lt;dt&gt;" &amp; B24 &amp; "&lt;/dt&gt;&lt;dd&gt;" &amp; C24 &amp; "&lt;/dd&gt;&lt;dd&gt;" &amp; D24 &amp; "&lt;/dd&gt;&lt;/dl&gt;"</f>
        <v>&lt;dl&gt;&lt;dt&gt;&lt;/dt&gt;&lt;dd&gt;&lt;/dd&gt;&lt;dd&gt;&lt;/dd&gt;&lt;/dl&gt;</v>
      </c>
    </row>
    <row r="25" spans="2:7" ht="16.5" thickBot="1" x14ac:dyDescent="0.25">
      <c r="E25" s="15"/>
      <c r="G25" t="str">
        <f t="shared" si="0"/>
        <v>&lt;dl&gt;&lt;dt&gt;&lt;/dt&gt;&lt;dd&gt;&lt;/dd&gt;&lt;dd&gt;&lt;/dd&gt;&lt;/dl&gt;</v>
      </c>
    </row>
    <row r="26" spans="2:7" ht="18" thickBot="1" x14ac:dyDescent="0.25">
      <c r="B26" s="5" t="s">
        <v>1424</v>
      </c>
      <c r="E26" s="15"/>
      <c r="G26" t="str">
        <f t="shared" si="0"/>
        <v>&lt;dl&gt;&lt;dt&gt;宫位叠加​&lt;/dt&gt;&lt;dd&gt;&lt;/dd&gt;&lt;dd&gt;&lt;/dd&gt;&lt;/dl&gt;</v>
      </c>
    </row>
    <row r="27" spans="2:7" ht="16.5" thickBot="1" x14ac:dyDescent="0.25">
      <c r="E27" s="15"/>
      <c r="G27" t="str">
        <f t="shared" si="0"/>
        <v>&lt;dl&gt;&lt;dt&gt;&lt;/dt&gt;&lt;dd&gt;&lt;/dd&gt;&lt;dd&gt;&lt;/dd&gt;&lt;/dl&gt;</v>
      </c>
    </row>
    <row r="28" spans="2:7" ht="16.5" thickBot="1" x14ac:dyDescent="0.25">
      <c r="B28" s="2" t="s">
        <v>18</v>
      </c>
      <c r="C28" s="2" t="s">
        <v>497</v>
      </c>
      <c r="D28" s="2" t="s">
        <v>700</v>
      </c>
      <c r="E28" s="15"/>
      <c r="G28" t="str">
        <f t="shared" si="0"/>
        <v>&lt;dl&gt;&lt;dt&gt;宫位​&lt;/dt&gt;&lt;dd&gt;象义​&lt;/dd&gt;&lt;dd&gt;具体表现​&lt;/dd&gt;&lt;/dl&gt;</v>
      </c>
    </row>
    <row r="29" spans="2:7" ht="16.5" thickBot="1" x14ac:dyDescent="0.25">
      <c r="B29" s="3" t="s">
        <v>6</v>
      </c>
      <c r="C29" s="4" t="s">
        <v>1425</v>
      </c>
      <c r="D29" s="4" t="s">
        <v>1426</v>
      </c>
      <c r="E29" s="15"/>
      <c r="G29" t="str">
        <f t="shared" si="0"/>
        <v>&lt;dl&gt;&lt;dt&gt;疾厄宫​&lt;/dt&gt;&lt;dd&gt;健康需长期护理&lt;/dd&gt;&lt;dd&gt;预示住院、残疾康复或慢性病管理&lt;/dd&gt;&lt;/dl&gt;</v>
      </c>
    </row>
    <row r="30" spans="2:7" x14ac:dyDescent="0.2">
      <c r="B30" s="3" t="s">
        <v>201</v>
      </c>
      <c r="C30" s="4" t="s">
        <v>1427</v>
      </c>
      <c r="D30" s="4" t="s">
        <v>1428</v>
      </c>
    </row>
    <row r="31" spans="2:7" x14ac:dyDescent="0.2">
      <c r="B31" s="3" t="s">
        <v>206</v>
      </c>
      <c r="C31" s="4" t="s">
        <v>1429</v>
      </c>
      <c r="D31" s="4" t="s">
        <v>1430</v>
      </c>
    </row>
    <row r="32" spans="2:7" x14ac:dyDescent="0.2">
      <c r="B32" s="3" t="s">
        <v>3</v>
      </c>
      <c r="C32" s="4" t="s">
        <v>1431</v>
      </c>
      <c r="D32" s="4" t="s">
        <v>1432</v>
      </c>
    </row>
    <row r="33" spans="2:7" ht="15" thickBot="1" x14ac:dyDescent="0.25"/>
    <row r="34" spans="2:7" ht="16.5" thickBot="1" x14ac:dyDescent="0.25">
      <c r="E34" s="12"/>
    </row>
    <row r="35" spans="2:7" ht="18" thickBot="1" x14ac:dyDescent="0.25">
      <c r="B35" s="5" t="s">
        <v>1433</v>
      </c>
      <c r="E35" s="15"/>
      <c r="G35" t="str">
        <f t="shared" si="0"/>
        <v>&lt;dl&gt;&lt;dt&gt;负面应验​&lt;/dt&gt;&lt;dd&gt;&lt;/dd&gt;&lt;dd&gt;&lt;/dd&gt;&lt;/dl&gt;</v>
      </c>
    </row>
    <row r="36" spans="2:7" ht="16.5" thickBot="1" x14ac:dyDescent="0.25">
      <c r="B36" s="6"/>
      <c r="E36" s="15"/>
      <c r="G36" t="str">
        <f t="shared" si="0"/>
        <v>&lt;dl&gt;&lt;dt&gt;&lt;/dt&gt;&lt;dd&gt;&lt;/dd&gt;&lt;dd&gt;&lt;/dd&gt;&lt;/dl&gt;</v>
      </c>
    </row>
    <row r="37" spans="2:7" ht="16.5" thickBot="1" x14ac:dyDescent="0.25">
      <c r="B37" s="7" t="s">
        <v>1434</v>
      </c>
      <c r="E37" s="15"/>
      <c r="G37" t="str">
        <f t="shared" si="0"/>
        <v>&lt;dl&gt;&lt;dt&gt;过度帮扶：导致依赖或能力退化（如富二代溺爱致无能）。&lt;/dt&gt;&lt;dd&gt;&lt;/dd&gt;&lt;dd&gt;&lt;/dd&gt;&lt;/dl&gt;</v>
      </c>
    </row>
    <row r="38" spans="2:7" ht="16.5" thickBot="1" x14ac:dyDescent="0.25">
      <c r="B38" s="7" t="s">
        <v>1435</v>
      </c>
      <c r="E38" s="15"/>
      <c r="G38" t="str">
        <f t="shared" si="0"/>
        <v>&lt;dl&gt;&lt;dt&gt;健康预警：在疾厄宫时，预示需长期医疗护理（如住院或康复治疗）。&lt;/dt&gt;&lt;dd&gt;&lt;/dd&gt;&lt;dd&gt;&lt;/dd&gt;&lt;/dl&gt;</v>
      </c>
    </row>
    <row r="39" spans="2:7" ht="16.5" thickBot="1" x14ac:dyDescent="0.25">
      <c r="E39" s="15"/>
      <c r="G39" t="str">
        <f t="shared" si="0"/>
        <v>&lt;dl&gt;&lt;dt&gt;&lt;/dt&gt;&lt;dd&gt;&lt;/dd&gt;&lt;dd&gt;&lt;/dd&gt;&lt;/dl&gt;</v>
      </c>
    </row>
    <row r="40" spans="2:7" ht="16.5" thickBot="1" x14ac:dyDescent="0.25">
      <c r="E40" s="15"/>
      <c r="G40" t="str">
        <f t="shared" si="0"/>
        <v>&lt;dl&gt;&lt;dt&gt;&lt;/dt&gt;&lt;dd&gt;&lt;/dd&gt;&lt;dd&gt;&lt;/dd&gt;&lt;/dl&gt;</v>
      </c>
    </row>
    <row r="41" spans="2:7" ht="16.5" thickBot="1" x14ac:dyDescent="0.25">
      <c r="E41" s="15"/>
      <c r="G41" t="str">
        <f t="shared" si="0"/>
        <v>&lt;dl&gt;&lt;dt&gt;&lt;/dt&gt;&lt;dd&gt;&lt;/dd&gt;&lt;dd&gt;&lt;/dd&gt;&lt;/dl&gt;</v>
      </c>
    </row>
    <row r="42" spans="2:7" ht="18" thickBot="1" x14ac:dyDescent="0.25">
      <c r="B42" s="5" t="s">
        <v>1436</v>
      </c>
      <c r="E42" s="15"/>
      <c r="G42" t="str">
        <f t="shared" si="0"/>
        <v>&lt;dl&gt;&lt;dt&gt;关键逻辑​&lt;/dt&gt;&lt;dd&gt;&lt;/dd&gt;&lt;dd&gt;&lt;/dd&gt;&lt;/dl&gt;</v>
      </c>
    </row>
    <row r="43" spans="2:7" ht="16.5" thickBot="1" x14ac:dyDescent="0.25">
      <c r="B43" s="6"/>
      <c r="E43" s="15"/>
      <c r="G43" t="str">
        <f t="shared" si="0"/>
        <v>&lt;dl&gt;&lt;dt&gt;&lt;/dt&gt;&lt;dd&gt;&lt;/dd&gt;&lt;dd&gt;&lt;/dd&gt;&lt;/dl&gt;</v>
      </c>
    </row>
    <row r="44" spans="2:7" x14ac:dyDescent="0.2">
      <c r="B44" s="7" t="s">
        <v>1437</v>
      </c>
    </row>
    <row r="45" spans="2:7" x14ac:dyDescent="0.2">
      <c r="B45" s="7" t="s">
        <v>1438</v>
      </c>
    </row>
    <row r="46" spans="2:7" x14ac:dyDescent="0.2">
      <c r="B46" s="6"/>
    </row>
    <row r="47" spans="2:7" ht="15" thickBot="1" x14ac:dyDescent="0.25">
      <c r="B47" s="9" t="s">
        <v>1439</v>
      </c>
    </row>
    <row r="48" spans="2:7" ht="16.5" thickBot="1" x14ac:dyDescent="0.25">
      <c r="B48" s="9" t="s">
        <v>1440</v>
      </c>
      <c r="E48" s="12"/>
    </row>
    <row r="49" spans="2:7" ht="16.5" thickBot="1" x14ac:dyDescent="0.25">
      <c r="B49" s="7" t="s">
        <v>1441</v>
      </c>
      <c r="E49" s="15"/>
      <c r="G49" t="str">
        <f t="shared" si="0"/>
        <v>&lt;dl&gt;&lt;dt&gt;3. 行业关联：强关联“痛而后效”领域（如物理治疗），痛感本身是转化成长的媒介。&lt;/dt&gt;&lt;dd&gt;&lt;/dd&gt;&lt;dd&gt;&lt;/dd&gt;&lt;/dl&gt;</v>
      </c>
    </row>
    <row r="50" spans="2:7" ht="16.5" thickBot="1" x14ac:dyDescent="0.25">
      <c r="B50" s="14"/>
      <c r="C50" s="15"/>
      <c r="D50" s="15"/>
      <c r="E50" s="15"/>
      <c r="G50" t="str">
        <f t="shared" si="0"/>
        <v>&lt;dl&gt;&lt;dt&gt;&lt;/dt&gt;&lt;dd&gt;&lt;/dd&gt;&lt;dd&gt;&lt;/dd&gt;&lt;/dl&gt;</v>
      </c>
    </row>
    <row r="51" spans="2:7" ht="16.5" thickBot="1" x14ac:dyDescent="0.25">
      <c r="B51" s="14"/>
      <c r="C51" s="15"/>
      <c r="D51" s="15"/>
      <c r="E51" s="15"/>
      <c r="G51" t="str">
        <f t="shared" si="0"/>
        <v>&lt;dl&gt;&lt;dt&gt;&lt;/dt&gt;&lt;dd&gt;&lt;/dd&gt;&lt;dd&gt;&lt;/dd&gt;&lt;/dl&gt;</v>
      </c>
    </row>
    <row r="52" spans="2:7" ht="16.5" thickBot="1" x14ac:dyDescent="0.25">
      <c r="B52" s="14"/>
      <c r="C52" s="15"/>
      <c r="D52" s="15"/>
      <c r="E52" s="15"/>
      <c r="G52" t="str">
        <f t="shared" si="0"/>
        <v>&lt;dl&gt;&lt;dt&gt;&lt;/dt&gt;&lt;dd&gt;&lt;/dd&gt;&lt;dd&gt;&lt;/dd&gt;&lt;/dl&gt;</v>
      </c>
    </row>
    <row r="55" spans="2:7" ht="17.25" x14ac:dyDescent="0.2">
      <c r="B55" s="5"/>
    </row>
    <row r="56" spans="2:7" x14ac:dyDescent="0.2">
      <c r="B56" s="6"/>
    </row>
    <row r="57" spans="2:7" x14ac:dyDescent="0.2">
      <c r="B57" s="7"/>
    </row>
    <row r="58" spans="2:7" x14ac:dyDescent="0.2">
      <c r="B58" s="6"/>
    </row>
    <row r="59" spans="2:7" x14ac:dyDescent="0.2">
      <c r="B59" s="8"/>
    </row>
    <row r="60" spans="2:7" x14ac:dyDescent="0.2">
      <c r="B60" s="8"/>
    </row>
    <row r="64" spans="2:7" ht="17.25" x14ac:dyDescent="0.2">
      <c r="B64" s="5"/>
    </row>
    <row r="65" spans="2:2" x14ac:dyDescent="0.2">
      <c r="B65" s="6"/>
    </row>
    <row r="66" spans="2:2" x14ac:dyDescent="0.2">
      <c r="B66" s="7"/>
    </row>
    <row r="67" spans="2:2" x14ac:dyDescent="0.2">
      <c r="B67" s="6"/>
    </row>
    <row r="68" spans="2:2" x14ac:dyDescent="0.2">
      <c r="B68" s="9"/>
    </row>
    <row r="69" spans="2:2" x14ac:dyDescent="0.2">
      <c r="B69" s="9"/>
    </row>
    <row r="70" spans="2:2" x14ac:dyDescent="0.2">
      <c r="B70" s="7"/>
    </row>
    <row r="71" spans="2:2" x14ac:dyDescent="0.2">
      <c r="B71" s="6"/>
    </row>
    <row r="72" spans="2:2" x14ac:dyDescent="0.2">
      <c r="B72" s="9"/>
    </row>
    <row r="73" spans="2:2" x14ac:dyDescent="0.2">
      <c r="B73" s="9"/>
    </row>
    <row r="77" spans="2:2" ht="17.25" x14ac:dyDescent="0.2">
      <c r="B77" s="5"/>
    </row>
    <row r="80" spans="2:2" x14ac:dyDescent="0.2">
      <c r="B80" s="16"/>
    </row>
    <row r="81" spans="2:2" x14ac:dyDescent="0.2">
      <c r="B81" s="6"/>
    </row>
    <row r="82" spans="2:2" x14ac:dyDescent="0.2">
      <c r="B82" s="6"/>
    </row>
  </sheetData>
  <phoneticPr fontId="2" type="noConversion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BDA691-FCB3-4ABF-B3D4-290797A62703}">
  <dimension ref="B1:G82"/>
  <sheetViews>
    <sheetView zoomScaleNormal="100" workbookViewId="0">
      <selection activeCell="D58" sqref="D58"/>
    </sheetView>
  </sheetViews>
  <sheetFormatPr defaultRowHeight="14.25" x14ac:dyDescent="0.2"/>
  <cols>
    <col min="1" max="1" width="2.75" customWidth="1"/>
    <col min="2" max="2" width="15.625" customWidth="1"/>
    <col min="3" max="3" width="43.125" customWidth="1"/>
    <col min="4" max="4" width="32.75" customWidth="1"/>
  </cols>
  <sheetData>
    <row r="1" spans="2:7" ht="17.25" x14ac:dyDescent="0.2">
      <c r="B1" s="5" t="s">
        <v>1442</v>
      </c>
      <c r="G1" t="str">
        <f>"&lt;dl&gt;&lt;dt&gt;" &amp; B1 &amp; "&lt;/dt&gt;&lt;dd&gt;" &amp; C1 &amp; "&lt;/dd&gt;&lt;dd&gt;" &amp; D1 &amp; "&lt;/dd&gt;&lt;/dl&gt;"</f>
        <v>&lt;dl&gt;&lt;dt&gt;一、天钺定义​&lt;/dt&gt;&lt;dd&gt;&lt;/dd&gt;&lt;dd&gt;&lt;/dd&gt;&lt;/dl&gt;</v>
      </c>
    </row>
    <row r="3" spans="2:7" x14ac:dyDescent="0.2">
      <c r="B3" s="2" t="s">
        <v>376</v>
      </c>
      <c r="C3" s="2" t="s">
        <v>377</v>
      </c>
      <c r="D3" s="2" t="s">
        <v>21</v>
      </c>
    </row>
    <row r="4" spans="2:7" x14ac:dyDescent="0.2">
      <c r="B4" s="3" t="s">
        <v>620</v>
      </c>
      <c r="C4" s="4" t="s">
        <v>1443</v>
      </c>
      <c r="D4" s="4"/>
    </row>
    <row r="5" spans="2:7" x14ac:dyDescent="0.2">
      <c r="B5" s="3" t="s">
        <v>622</v>
      </c>
      <c r="C5" s="4" t="s">
        <v>1444</v>
      </c>
      <c r="D5" s="4"/>
    </row>
    <row r="6" spans="2:7" x14ac:dyDescent="0.2">
      <c r="B6" s="3" t="s">
        <v>1445</v>
      </c>
      <c r="C6" s="4" t="s">
        <v>1446</v>
      </c>
      <c r="D6" s="4"/>
    </row>
    <row r="7" spans="2:7" x14ac:dyDescent="0.2">
      <c r="B7" s="3" t="s">
        <v>624</v>
      </c>
      <c r="C7" s="4" t="s">
        <v>1447</v>
      </c>
      <c r="D7" s="4"/>
    </row>
    <row r="8" spans="2:7" ht="28.5" x14ac:dyDescent="0.2">
      <c r="B8" s="3" t="s">
        <v>1448</v>
      </c>
      <c r="C8" s="4" t="s">
        <v>1449</v>
      </c>
      <c r="D8" s="4"/>
    </row>
    <row r="11" spans="2:7" ht="17.25" x14ac:dyDescent="0.2">
      <c r="B11" s="5" t="s">
        <v>388</v>
      </c>
    </row>
    <row r="13" spans="2:7" x14ac:dyDescent="0.2">
      <c r="B13" s="2" t="s">
        <v>584</v>
      </c>
      <c r="C13" s="2" t="s">
        <v>1065</v>
      </c>
      <c r="D13" s="2" t="s">
        <v>1066</v>
      </c>
      <c r="E13" s="2" t="s">
        <v>21</v>
      </c>
    </row>
    <row r="14" spans="2:7" x14ac:dyDescent="0.2">
      <c r="B14" s="3" t="s">
        <v>1450</v>
      </c>
      <c r="C14" s="4" t="s">
        <v>1451</v>
      </c>
      <c r="D14" s="4" t="s">
        <v>1452</v>
      </c>
      <c r="E14" s="4"/>
    </row>
    <row r="15" spans="2:7" x14ac:dyDescent="0.2">
      <c r="B15" s="3" t="s">
        <v>1453</v>
      </c>
      <c r="C15" s="4" t="s">
        <v>1454</v>
      </c>
      <c r="D15" s="4" t="s">
        <v>1455</v>
      </c>
      <c r="E15" s="4"/>
    </row>
    <row r="16" spans="2:7" x14ac:dyDescent="0.2">
      <c r="B16" s="3" t="s">
        <v>1456</v>
      </c>
      <c r="C16" s="4" t="s">
        <v>1457</v>
      </c>
      <c r="D16" s="4" t="s">
        <v>1458</v>
      </c>
      <c r="E16" s="4"/>
    </row>
    <row r="19" spans="2:7" ht="17.25" x14ac:dyDescent="0.2">
      <c r="B19" s="5" t="s">
        <v>410</v>
      </c>
    </row>
    <row r="21" spans="2:7" ht="15.75" x14ac:dyDescent="0.2">
      <c r="B21" s="13" t="s">
        <v>411</v>
      </c>
    </row>
    <row r="23" spans="2:7" x14ac:dyDescent="0.2">
      <c r="B23" s="2" t="s">
        <v>71</v>
      </c>
      <c r="C23" s="2" t="s">
        <v>453</v>
      </c>
      <c r="D23" s="2" t="s">
        <v>454</v>
      </c>
      <c r="E23" s="2" t="s">
        <v>21</v>
      </c>
    </row>
    <row r="24" spans="2:7" x14ac:dyDescent="0.2">
      <c r="B24" s="3" t="s">
        <v>1459</v>
      </c>
      <c r="C24" s="4" t="s">
        <v>1460</v>
      </c>
      <c r="D24" s="4" t="s">
        <v>1461</v>
      </c>
      <c r="E24" s="4"/>
      <c r="G24" t="str">
        <f t="shared" ref="G24:G50" si="0">"&lt;dl&gt;&lt;dt&gt;" &amp; B24 &amp; "&lt;/dt&gt;&lt;dd&gt;" &amp; C24 &amp; "&lt;/dd&gt;&lt;dd&gt;" &amp; D24 &amp; "&lt;/dd&gt;&lt;/dl&gt;"</f>
        <v>&lt;dl&gt;&lt;dt&gt;天钺+紫微​&lt;/dt&gt;&lt;dd&gt;幕后权威（如董事会匿名支持）&lt;/dd&gt;&lt;dd&gt;傀儡操控（被隐性势力控制）&lt;/dd&gt;&lt;/dl&gt;</v>
      </c>
    </row>
    <row r="25" spans="2:7" x14ac:dyDescent="0.2">
      <c r="B25" s="3" t="s">
        <v>1462</v>
      </c>
      <c r="C25" s="4" t="s">
        <v>1463</v>
      </c>
      <c r="D25" s="4" t="s">
        <v>1464</v>
      </c>
      <c r="E25" s="4"/>
      <c r="G25" t="str">
        <f t="shared" si="0"/>
        <v>&lt;dl&gt;&lt;dt&gt;天钺+天同​&lt;/dt&gt;&lt;dd&gt;情感庇护（干妈关照、心理疏导）&lt;/dd&gt;&lt;dd&gt;溺爱纵容（过度保护致能力退化）&lt;/dd&gt;&lt;/dl&gt;</v>
      </c>
    </row>
    <row r="26" spans="2:7" x14ac:dyDescent="0.2">
      <c r="B26" s="3" t="s">
        <v>1465</v>
      </c>
      <c r="C26" s="4" t="s">
        <v>1466</v>
      </c>
      <c r="D26" s="4" t="s">
        <v>1467</v>
      </c>
      <c r="E26" s="4"/>
      <c r="G26" t="str">
        <f t="shared" si="0"/>
        <v>&lt;dl&gt;&lt;dt&gt;天钺+太阴​&lt;/dt&gt;&lt;dd&gt;女性资源（遗产继承、闺蜜相助）&lt;/dd&gt;&lt;dd&gt;虚情假意（女性关系利用）&lt;/dd&gt;&lt;/dl&gt;</v>
      </c>
    </row>
    <row r="27" spans="2:7" x14ac:dyDescent="0.2">
      <c r="G27" t="str">
        <f t="shared" si="0"/>
        <v>&lt;dl&gt;&lt;dt&gt;&lt;/dt&gt;&lt;dd&gt;&lt;/dd&gt;&lt;dd&gt;&lt;/dd&gt;&lt;/dl&gt;</v>
      </c>
    </row>
    <row r="28" spans="2:7" ht="15.75" x14ac:dyDescent="0.2">
      <c r="B28" s="13" t="s">
        <v>426</v>
      </c>
      <c r="G28" t="str">
        <f t="shared" si="0"/>
        <v>&lt;dl&gt;&lt;dt&gt;2. 辅星组合​&lt;/dt&gt;&lt;dd&gt;&lt;/dd&gt;&lt;dd&gt;&lt;/dd&gt;&lt;/dl&gt;</v>
      </c>
    </row>
    <row r="29" spans="2:7" x14ac:dyDescent="0.2">
      <c r="G29" t="str">
        <f t="shared" si="0"/>
        <v>&lt;dl&gt;&lt;dt&gt;&lt;/dt&gt;&lt;dd&gt;&lt;/dd&gt;&lt;dd&gt;&lt;/dd&gt;&lt;/dl&gt;</v>
      </c>
    </row>
    <row r="30" spans="2:7" x14ac:dyDescent="0.2">
      <c r="B30" s="2" t="s">
        <v>40</v>
      </c>
      <c r="C30" s="2" t="s">
        <v>427</v>
      </c>
      <c r="D30" s="2" t="s">
        <v>428</v>
      </c>
      <c r="E30" s="2" t="s">
        <v>21</v>
      </c>
    </row>
    <row r="31" spans="2:7" x14ac:dyDescent="0.2">
      <c r="B31" s="3" t="s">
        <v>1468</v>
      </c>
      <c r="C31" s="4" t="s">
        <v>1469</v>
      </c>
      <c r="D31" s="4" t="s">
        <v>1470</v>
      </c>
      <c r="E31" s="4"/>
    </row>
    <row r="32" spans="2:7" x14ac:dyDescent="0.2">
      <c r="B32" s="3" t="s">
        <v>1471</v>
      </c>
      <c r="C32" s="4" t="s">
        <v>1472</v>
      </c>
      <c r="D32" s="4" t="s">
        <v>1473</v>
      </c>
      <c r="E32" s="4"/>
    </row>
    <row r="33" spans="2:7" x14ac:dyDescent="0.2">
      <c r="B33" s="3" t="s">
        <v>1474</v>
      </c>
      <c r="C33" s="4" t="s">
        <v>1475</v>
      </c>
      <c r="D33" s="4" t="s">
        <v>1476</v>
      </c>
      <c r="E33" s="4"/>
    </row>
    <row r="34" spans="2:7" x14ac:dyDescent="0.2">
      <c r="B34" s="3" t="s">
        <v>1477</v>
      </c>
      <c r="C34" s="4" t="s">
        <v>1478</v>
      </c>
      <c r="D34" s="4" t="s">
        <v>1479</v>
      </c>
      <c r="E34" s="4"/>
    </row>
    <row r="35" spans="2:7" x14ac:dyDescent="0.2">
      <c r="B35" s="3" t="s">
        <v>1480</v>
      </c>
      <c r="C35" s="4" t="s">
        <v>1481</v>
      </c>
      <c r="D35" s="4" t="s">
        <v>1482</v>
      </c>
      <c r="E35" s="4"/>
      <c r="G35" t="str">
        <f t="shared" si="0"/>
        <v>&lt;dl&gt;&lt;dt&gt;天钺+地劫​&lt;/dt&gt;&lt;dd&gt;漏洞填补（资金链断裂时注资）&lt;/dd&gt;&lt;dd&gt;援助落空（承诺贷款被拒）&lt;/dd&gt;&lt;/dl&gt;</v>
      </c>
    </row>
    <row r="36" spans="2:7" x14ac:dyDescent="0.2">
      <c r="G36" t="str">
        <f t="shared" si="0"/>
        <v>&lt;dl&gt;&lt;dt&gt;&lt;/dt&gt;&lt;dd&gt;&lt;/dd&gt;&lt;dd&gt;&lt;/dd&gt;&lt;/dl&gt;</v>
      </c>
    </row>
    <row r="37" spans="2:7" x14ac:dyDescent="0.2">
      <c r="G37" t="str">
        <f t="shared" si="0"/>
        <v>&lt;dl&gt;&lt;dt&gt;&lt;/dt&gt;&lt;dd&gt;&lt;/dd&gt;&lt;dd&gt;&lt;/dd&gt;&lt;/dl&gt;</v>
      </c>
    </row>
    <row r="38" spans="2:7" ht="17.25" x14ac:dyDescent="0.2">
      <c r="B38" s="5" t="s">
        <v>1483</v>
      </c>
      <c r="G38" t="str">
        <f t="shared" si="0"/>
        <v>&lt;dl&gt;&lt;dt&gt;四、宫位叠加象义​&lt;/dt&gt;&lt;dd&gt;&lt;/dd&gt;&lt;dd&gt;&lt;/dd&gt;&lt;/dl&gt;</v>
      </c>
    </row>
    <row r="39" spans="2:7" x14ac:dyDescent="0.2">
      <c r="G39" t="str">
        <f t="shared" si="0"/>
        <v>&lt;dl&gt;&lt;dt&gt;&lt;/dt&gt;&lt;dd&gt;&lt;/dd&gt;&lt;dd&gt;&lt;/dd&gt;&lt;/dl&gt;</v>
      </c>
    </row>
    <row r="40" spans="2:7" x14ac:dyDescent="0.2">
      <c r="B40" s="2" t="s">
        <v>18</v>
      </c>
      <c r="C40" s="2" t="s">
        <v>412</v>
      </c>
      <c r="D40" s="2" t="s">
        <v>413</v>
      </c>
      <c r="E40" s="2" t="s">
        <v>21</v>
      </c>
      <c r="G40" t="str">
        <f t="shared" si="0"/>
        <v>&lt;dl&gt;&lt;dt&gt;宫位​&lt;/dt&gt;&lt;dd&gt;庙旺象义​&lt;/dd&gt;&lt;dd&gt;落陷象义​&lt;/dd&gt;&lt;/dl&gt;</v>
      </c>
    </row>
    <row r="41" spans="2:7" x14ac:dyDescent="0.2">
      <c r="B41" s="3" t="s">
        <v>201</v>
      </c>
      <c r="C41" s="4" t="s">
        <v>1484</v>
      </c>
      <c r="D41" s="4" t="s">
        <v>1485</v>
      </c>
      <c r="E41" s="4"/>
      <c r="G41" t="str">
        <f t="shared" si="0"/>
        <v>&lt;dl&gt;&lt;dt&gt;命宫​&lt;/dt&gt;&lt;dd&gt;天生贵人缘（常遇隐形伯乐）&lt;/dd&gt;&lt;dd&gt;依赖成性（总期待他人解救）&lt;/dd&gt;&lt;/dl&gt;</v>
      </c>
    </row>
    <row r="42" spans="2:7" x14ac:dyDescent="0.2">
      <c r="B42" s="3" t="s">
        <v>9</v>
      </c>
      <c r="C42" s="4" t="s">
        <v>1486</v>
      </c>
      <c r="D42" s="4" t="s">
        <v>1487</v>
      </c>
      <c r="E42" s="4"/>
      <c r="G42" t="str">
        <f t="shared" si="0"/>
        <v>&lt;dl&gt;&lt;dt&gt;父母宫​&lt;/dt&gt;&lt;dd&gt;继母/养母扶持&lt;/dd&gt;&lt;dd&gt;长辈虚情（表面关怀实为监视）&lt;/dd&gt;&lt;/dl&gt;</v>
      </c>
    </row>
    <row r="43" spans="2:7" x14ac:dyDescent="0.2">
      <c r="B43" s="3" t="s">
        <v>6</v>
      </c>
      <c r="C43" s="4" t="s">
        <v>1488</v>
      </c>
      <c r="D43" s="4" t="s">
        <v>1489</v>
      </c>
      <c r="E43" s="4"/>
      <c r="G43" t="str">
        <f t="shared" si="0"/>
        <v>&lt;dl&gt;&lt;dt&gt;疾厄宫​&lt;/dt&gt;&lt;dd&gt;高端护理（VIP病房特护）&lt;/dd&gt;&lt;dd&gt;医疗欺诈（假专家误诊）&lt;/dd&gt;&lt;/dl&gt;</v>
      </c>
    </row>
    <row r="44" spans="2:7" x14ac:dyDescent="0.2">
      <c r="B44" s="3" t="s">
        <v>3</v>
      </c>
      <c r="C44" s="4" t="s">
        <v>1490</v>
      </c>
      <c r="D44" s="4" t="s">
        <v>1491</v>
      </c>
      <c r="E44" s="4"/>
    </row>
    <row r="45" spans="2:7" x14ac:dyDescent="0.2">
      <c r="B45" s="3" t="s">
        <v>15</v>
      </c>
      <c r="C45" s="4" t="s">
        <v>1492</v>
      </c>
      <c r="D45" s="4" t="s">
        <v>1493</v>
      </c>
      <c r="E45" s="4"/>
    </row>
    <row r="46" spans="2:7" x14ac:dyDescent="0.2">
      <c r="B46" s="3" t="s">
        <v>206</v>
      </c>
      <c r="C46" s="4" t="s">
        <v>1494</v>
      </c>
      <c r="D46" s="4" t="s">
        <v>1495</v>
      </c>
      <c r="E46" s="4"/>
    </row>
    <row r="49" spans="2:7" ht="17.25" x14ac:dyDescent="0.2">
      <c r="B49" s="5" t="s">
        <v>86</v>
      </c>
      <c r="G49" t="str">
        <f t="shared" si="0"/>
        <v>&lt;dl&gt;&lt;dt&gt;五、四化联动​&lt;/dt&gt;&lt;dd&gt;&lt;/dd&gt;&lt;dd&gt;&lt;/dd&gt;&lt;/dl&gt;</v>
      </c>
    </row>
    <row r="50" spans="2:7" x14ac:dyDescent="0.2">
      <c r="G50" t="str">
        <f t="shared" si="0"/>
        <v>&lt;dl&gt;&lt;dt&gt;&lt;/dt&gt;&lt;dd&gt;&lt;/dd&gt;&lt;dd&gt;&lt;/dd&gt;&lt;/dl&gt;</v>
      </c>
    </row>
    <row r="51" spans="2:7" x14ac:dyDescent="0.2">
      <c r="B51" s="2" t="s">
        <v>250</v>
      </c>
      <c r="C51" s="2" t="s">
        <v>453</v>
      </c>
      <c r="D51" s="2" t="s">
        <v>454</v>
      </c>
      <c r="E51" s="2" t="s">
        <v>21</v>
      </c>
    </row>
    <row r="52" spans="2:7" x14ac:dyDescent="0.2">
      <c r="B52" s="3" t="s">
        <v>1496</v>
      </c>
      <c r="C52" s="4" t="s">
        <v>1497</v>
      </c>
      <c r="D52" s="4" t="s">
        <v>1498</v>
      </c>
      <c r="E52" s="4"/>
    </row>
    <row r="53" spans="2:7" x14ac:dyDescent="0.2">
      <c r="B53" s="3" t="s">
        <v>1499</v>
      </c>
      <c r="C53" s="4" t="s">
        <v>1500</v>
      </c>
      <c r="D53" s="4" t="s">
        <v>1501</v>
      </c>
      <c r="E53" s="4"/>
    </row>
    <row r="56" spans="2:7" ht="17.25" x14ac:dyDescent="0.2">
      <c r="B56" s="5" t="s">
        <v>90</v>
      </c>
    </row>
    <row r="57" spans="2:7" x14ac:dyDescent="0.2">
      <c r="B57" s="6"/>
    </row>
    <row r="58" spans="2:7" x14ac:dyDescent="0.2">
      <c r="B58" s="7" t="s">
        <v>1502</v>
      </c>
    </row>
    <row r="59" spans="2:7" x14ac:dyDescent="0.2">
      <c r="B59" s="6"/>
    </row>
    <row r="60" spans="2:7" x14ac:dyDescent="0.2">
      <c r="B60" s="9" t="s">
        <v>1503</v>
      </c>
    </row>
    <row r="61" spans="2:7" x14ac:dyDescent="0.2">
      <c r="B61" s="9" t="s">
        <v>1504</v>
      </c>
    </row>
    <row r="62" spans="2:7" x14ac:dyDescent="0.2">
      <c r="B62" s="7" t="s">
        <v>1505</v>
      </c>
    </row>
    <row r="63" spans="2:7" x14ac:dyDescent="0.2">
      <c r="B63" s="6"/>
    </row>
    <row r="64" spans="2:7" x14ac:dyDescent="0.2">
      <c r="B64" s="9" t="s">
        <v>1506</v>
      </c>
    </row>
    <row r="65" spans="2:2" x14ac:dyDescent="0.2">
      <c r="B65" s="9" t="s">
        <v>1507</v>
      </c>
    </row>
    <row r="69" spans="2:2" ht="17.25" x14ac:dyDescent="0.2">
      <c r="B69" s="5" t="s">
        <v>1436</v>
      </c>
    </row>
    <row r="70" spans="2:2" x14ac:dyDescent="0.2">
      <c r="B70" s="6"/>
    </row>
    <row r="71" spans="2:2" x14ac:dyDescent="0.2">
      <c r="B71" s="7" t="s">
        <v>1508</v>
      </c>
    </row>
    <row r="72" spans="2:2" x14ac:dyDescent="0.2">
      <c r="B72" s="7" t="s">
        <v>1509</v>
      </c>
    </row>
    <row r="73" spans="2:2" x14ac:dyDescent="0.2">
      <c r="B73" s="9"/>
    </row>
    <row r="77" spans="2:2" ht="17.25" x14ac:dyDescent="0.2">
      <c r="B77" s="5"/>
    </row>
    <row r="80" spans="2:2" x14ac:dyDescent="0.2">
      <c r="B80" s="16"/>
    </row>
    <row r="81" spans="2:2" x14ac:dyDescent="0.2">
      <c r="B81" s="6"/>
    </row>
    <row r="82" spans="2:2" x14ac:dyDescent="0.2">
      <c r="B82" s="6"/>
    </row>
  </sheetData>
  <phoneticPr fontId="2" type="noConversion"/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9CFE66-730F-4E79-A364-E461B6C0609D}">
  <dimension ref="B1:G82"/>
  <sheetViews>
    <sheetView topLeftCell="A6" zoomScaleNormal="100" workbookViewId="0">
      <selection activeCell="C68" sqref="C68"/>
    </sheetView>
  </sheetViews>
  <sheetFormatPr defaultRowHeight="14.25" x14ac:dyDescent="0.2"/>
  <cols>
    <col min="1" max="1" width="2.75" customWidth="1"/>
    <col min="2" max="2" width="15.625" customWidth="1"/>
    <col min="3" max="3" width="43.125" customWidth="1"/>
    <col min="4" max="4" width="32.75" customWidth="1"/>
  </cols>
  <sheetData>
    <row r="1" spans="2:7" ht="17.25" x14ac:dyDescent="0.2">
      <c r="B1" s="5" t="s">
        <v>375</v>
      </c>
      <c r="G1" t="str">
        <f>"&lt;dl&gt;&lt;dt&gt;" &amp; B1 &amp; "&lt;/dt&gt;&lt;dd&gt;" &amp; C1 &amp; "&lt;/dd&gt;&lt;dd&gt;" &amp; D1 &amp; "&lt;/dd&gt;&lt;/dl&gt;"</f>
        <v>&lt;dl&gt;&lt;dt&gt;一、基础属性​&lt;/dt&gt;&lt;dd&gt;&lt;/dd&gt;&lt;dd&gt;&lt;/dd&gt;&lt;/dl&gt;</v>
      </c>
    </row>
    <row r="3" spans="2:7" x14ac:dyDescent="0.2">
      <c r="B3" s="2" t="s">
        <v>376</v>
      </c>
      <c r="C3" s="2" t="s">
        <v>377</v>
      </c>
      <c r="D3" s="2" t="s">
        <v>21</v>
      </c>
    </row>
    <row r="4" spans="2:7" x14ac:dyDescent="0.2">
      <c r="B4" s="3" t="s">
        <v>620</v>
      </c>
      <c r="C4" s="4" t="s">
        <v>1510</v>
      </c>
      <c r="D4" s="4"/>
    </row>
    <row r="5" spans="2:7" x14ac:dyDescent="0.2">
      <c r="B5" s="3" t="s">
        <v>1511</v>
      </c>
      <c r="C5" s="4" t="s">
        <v>1512</v>
      </c>
      <c r="D5" s="4"/>
    </row>
    <row r="6" spans="2:7" x14ac:dyDescent="0.2">
      <c r="B6" s="3" t="s">
        <v>624</v>
      </c>
      <c r="C6" s="4" t="s">
        <v>1513</v>
      </c>
      <c r="D6" s="4"/>
    </row>
    <row r="7" spans="2:7" x14ac:dyDescent="0.2">
      <c r="B7" s="3" t="s">
        <v>984</v>
      </c>
      <c r="C7" s="4" t="s">
        <v>985</v>
      </c>
      <c r="D7" s="4"/>
    </row>
    <row r="10" spans="2:7" ht="17.25" x14ac:dyDescent="0.2">
      <c r="B10" s="5" t="s">
        <v>388</v>
      </c>
    </row>
    <row r="12" spans="2:7" ht="15.75" x14ac:dyDescent="0.2">
      <c r="B12" s="13" t="s">
        <v>627</v>
      </c>
    </row>
    <row r="14" spans="2:7" x14ac:dyDescent="0.2">
      <c r="B14" s="2" t="s">
        <v>390</v>
      </c>
      <c r="C14" s="2" t="s">
        <v>1065</v>
      </c>
      <c r="D14" s="2" t="s">
        <v>1066</v>
      </c>
      <c r="E14" s="2" t="s">
        <v>21</v>
      </c>
    </row>
    <row r="15" spans="2:7" x14ac:dyDescent="0.2">
      <c r="B15" s="3" t="s">
        <v>1514</v>
      </c>
      <c r="C15" s="4" t="s">
        <v>1515</v>
      </c>
      <c r="D15" s="4" t="s">
        <v>1516</v>
      </c>
      <c r="E15" s="4"/>
    </row>
    <row r="16" spans="2:7" x14ac:dyDescent="0.2">
      <c r="B16" s="3" t="s">
        <v>1517</v>
      </c>
      <c r="C16" s="4" t="s">
        <v>1518</v>
      </c>
      <c r="D16" s="4" t="s">
        <v>1519</v>
      </c>
      <c r="E16" s="4"/>
    </row>
    <row r="17" spans="2:7" x14ac:dyDescent="0.2">
      <c r="B17" s="3" t="s">
        <v>1520</v>
      </c>
      <c r="C17" s="4" t="s">
        <v>1521</v>
      </c>
      <c r="D17" s="4" t="s">
        <v>1522</v>
      </c>
      <c r="E17" s="4"/>
    </row>
    <row r="19" spans="2:7" ht="15.75" x14ac:dyDescent="0.2">
      <c r="B19" s="13" t="s">
        <v>1523</v>
      </c>
    </row>
    <row r="21" spans="2:7" x14ac:dyDescent="0.2">
      <c r="B21" s="2" t="s">
        <v>1524</v>
      </c>
      <c r="C21" s="2" t="s">
        <v>1525</v>
      </c>
      <c r="D21" s="2" t="s">
        <v>1526</v>
      </c>
    </row>
    <row r="22" spans="2:7" x14ac:dyDescent="0.2">
      <c r="B22" s="3" t="s">
        <v>1527</v>
      </c>
      <c r="C22" s="4" t="s">
        <v>1528</v>
      </c>
      <c r="D22" s="4" t="s">
        <v>1529</v>
      </c>
    </row>
    <row r="23" spans="2:7" x14ac:dyDescent="0.2">
      <c r="B23" s="3" t="s">
        <v>1530</v>
      </c>
      <c r="C23" s="4" t="s">
        <v>1531</v>
      </c>
      <c r="D23" s="4" t="s">
        <v>1532</v>
      </c>
    </row>
    <row r="24" spans="2:7" x14ac:dyDescent="0.2">
      <c r="B24" s="3" t="s">
        <v>1533</v>
      </c>
      <c r="C24" s="4" t="s">
        <v>1534</v>
      </c>
      <c r="D24" s="4" t="s">
        <v>1535</v>
      </c>
      <c r="G24" t="str">
        <f t="shared" ref="G24:G52" si="0">"&lt;dl&gt;&lt;dt&gt;" &amp; B24 &amp; "&lt;/dt&gt;&lt;dd&gt;" &amp; C24 &amp; "&lt;/dd&gt;&lt;dd&gt;" &amp; D24 &amp; "&lt;/dd&gt;&lt;/dl&gt;"</f>
        <v>&lt;dl&gt;&lt;dt&gt;胸部（辰/酉）​&lt;/dt&gt;&lt;dd&gt;乳腺结节/肺癌肿块&lt;/dd&gt;&lt;dd&gt;廉贞+禄存/陀罗+禄存&lt;/dd&gt;&lt;/dl&gt;</v>
      </c>
    </row>
    <row r="25" spans="2:7" x14ac:dyDescent="0.2">
      <c r="B25" s="3" t="s">
        <v>1536</v>
      </c>
      <c r="C25" s="4" t="s">
        <v>1537</v>
      </c>
      <c r="D25" s="4" t="s">
        <v>1538</v>
      </c>
      <c r="G25" t="str">
        <f t="shared" si="0"/>
        <v>&lt;dl&gt;&lt;dt&gt;腹部（卯/戌）​&lt;/dt&gt;&lt;dd&gt;腹腔硬块/肾结石&lt;/dd&gt;&lt;dd&gt;武曲+禄存+铃星&lt;/dd&gt;&lt;/dl&gt;</v>
      </c>
    </row>
    <row r="26" spans="2:7" x14ac:dyDescent="0.2">
      <c r="B26" s="3" t="s">
        <v>1539</v>
      </c>
      <c r="C26" s="4" t="s">
        <v>1540</v>
      </c>
      <c r="D26" s="4" t="s">
        <v>1541</v>
      </c>
      <c r="G26" t="str">
        <f t="shared" si="0"/>
        <v>&lt;dl&gt;&lt;dt&gt;下阴（子/丑）​&lt;/dt&gt;&lt;dd&gt;尿路结石/囊肿&lt;/dd&gt;&lt;dd&gt;禄存独坐+煞星&lt;/dd&gt;&lt;/dl&gt;</v>
      </c>
    </row>
    <row r="27" spans="2:7" x14ac:dyDescent="0.2">
      <c r="G27" t="str">
        <f t="shared" si="0"/>
        <v>&lt;dl&gt;&lt;dt&gt;&lt;/dt&gt;&lt;dd&gt;&lt;/dd&gt;&lt;dd&gt;&lt;/dd&gt;&lt;/dl&gt;</v>
      </c>
    </row>
    <row r="28" spans="2:7" x14ac:dyDescent="0.2">
      <c r="G28" t="str">
        <f t="shared" si="0"/>
        <v>&lt;dl&gt;&lt;dt&gt;&lt;/dt&gt;&lt;dd&gt;&lt;/dd&gt;&lt;dd&gt;&lt;/dd&gt;&lt;/dl&gt;</v>
      </c>
    </row>
    <row r="29" spans="2:7" ht="17.25" x14ac:dyDescent="0.2">
      <c r="B29" s="5" t="s">
        <v>410</v>
      </c>
      <c r="G29" t="str">
        <f t="shared" si="0"/>
        <v>&lt;dl&gt;&lt;dt&gt;三、组合象义​&lt;/dt&gt;&lt;dd&gt;&lt;/dd&gt;&lt;dd&gt;&lt;/dd&gt;&lt;/dl&gt;</v>
      </c>
    </row>
    <row r="31" spans="2:7" ht="15.75" x14ac:dyDescent="0.2">
      <c r="B31" s="13" t="s">
        <v>411</v>
      </c>
    </row>
    <row r="33" spans="2:7" x14ac:dyDescent="0.2">
      <c r="B33" s="2" t="s">
        <v>71</v>
      </c>
      <c r="C33" s="2" t="s">
        <v>453</v>
      </c>
      <c r="D33" s="2" t="s">
        <v>454</v>
      </c>
      <c r="E33" s="2" t="s">
        <v>21</v>
      </c>
    </row>
    <row r="34" spans="2:7" x14ac:dyDescent="0.2">
      <c r="B34" s="3" t="s">
        <v>1542</v>
      </c>
      <c r="C34" s="4" t="s">
        <v>1543</v>
      </c>
      <c r="D34" s="4" t="s">
        <v>1544</v>
      </c>
      <c r="E34" s="4"/>
    </row>
    <row r="35" spans="2:7" x14ac:dyDescent="0.2">
      <c r="B35" s="3" t="s">
        <v>1545</v>
      </c>
      <c r="C35" s="4" t="s">
        <v>1546</v>
      </c>
      <c r="D35" s="4" t="s">
        <v>1547</v>
      </c>
      <c r="E35" s="4"/>
      <c r="G35" t="str">
        <f t="shared" si="0"/>
        <v>&lt;dl&gt;&lt;dt&gt;禄存+天府​&lt;/dt&gt;&lt;dd&gt;资源稳固（祖产丰厚）&lt;/dd&gt;&lt;dd&gt;资源虚耗（家道中落）&lt;/dd&gt;&lt;/dl&gt;</v>
      </c>
    </row>
    <row r="36" spans="2:7" x14ac:dyDescent="0.2">
      <c r="B36" s="3" t="s">
        <v>1548</v>
      </c>
      <c r="C36" s="4" t="s">
        <v>1549</v>
      </c>
      <c r="D36" s="4" t="s">
        <v>1550</v>
      </c>
      <c r="E36" s="4"/>
      <c r="G36" t="str">
        <f t="shared" si="0"/>
        <v>&lt;dl&gt;&lt;dt&gt;禄存+天梁​&lt;/dt&gt;&lt;dd&gt;规则性财富（法律遗产）&lt;/dd&gt;&lt;dd&gt;规则崩塌（遗产纠纷）&lt;/dd&gt;&lt;/dl&gt;</v>
      </c>
    </row>
    <row r="37" spans="2:7" x14ac:dyDescent="0.2">
      <c r="B37" s="3" t="s">
        <v>1551</v>
      </c>
      <c r="C37" s="4" t="s">
        <v>1552</v>
      </c>
      <c r="D37" s="4" t="s">
        <v>1553</v>
      </c>
      <c r="E37" s="4"/>
      <c r="G37" t="str">
        <f t="shared" si="0"/>
        <v>&lt;dl&gt;&lt;dt&gt;禄存+七杀​&lt;/dt&gt;&lt;dd&gt;线性财富链（稳定收入）&lt;/dd&gt;&lt;dd&gt;资金链断裂（破产）&lt;/dd&gt;&lt;/dl&gt;</v>
      </c>
    </row>
    <row r="38" spans="2:7" x14ac:dyDescent="0.2">
      <c r="G38" t="str">
        <f t="shared" si="0"/>
        <v>&lt;dl&gt;&lt;dt&gt;&lt;/dt&gt;&lt;dd&gt;&lt;/dd&gt;&lt;dd&gt;&lt;/dd&gt;&lt;/dl&gt;</v>
      </c>
    </row>
    <row r="39" spans="2:7" ht="15.75" x14ac:dyDescent="0.2">
      <c r="B39" s="13" t="s">
        <v>426</v>
      </c>
      <c r="G39" t="str">
        <f t="shared" si="0"/>
        <v>&lt;dl&gt;&lt;dt&gt;2. 辅星组合​&lt;/dt&gt;&lt;dd&gt;&lt;/dd&gt;&lt;dd&gt;&lt;/dd&gt;&lt;/dl&gt;</v>
      </c>
    </row>
    <row r="40" spans="2:7" x14ac:dyDescent="0.2">
      <c r="G40" t="str">
        <f t="shared" si="0"/>
        <v>&lt;dl&gt;&lt;dt&gt;&lt;/dt&gt;&lt;dd&gt;&lt;/dd&gt;&lt;dd&gt;&lt;/dd&gt;&lt;/dl&gt;</v>
      </c>
    </row>
    <row r="41" spans="2:7" x14ac:dyDescent="0.2">
      <c r="B41" s="2" t="s">
        <v>40</v>
      </c>
      <c r="C41" s="2" t="s">
        <v>427</v>
      </c>
      <c r="D41" s="2" t="s">
        <v>428</v>
      </c>
      <c r="E41" s="2" t="s">
        <v>21</v>
      </c>
      <c r="G41" t="str">
        <f t="shared" si="0"/>
        <v>&lt;dl&gt;&lt;dt&gt;辅星​&lt;/dt&gt;&lt;dd&gt;吉象（庙旺）​&lt;/dd&gt;&lt;dd&gt;凶象（落陷）​&lt;/dd&gt;&lt;/dl&gt;</v>
      </c>
    </row>
    <row r="42" spans="2:7" x14ac:dyDescent="0.2">
      <c r="B42" s="3" t="s">
        <v>1554</v>
      </c>
      <c r="C42" s="4" t="s">
        <v>1555</v>
      </c>
      <c r="D42" s="4" t="s">
        <v>1470</v>
      </c>
      <c r="E42" s="4"/>
      <c r="G42" t="str">
        <f t="shared" si="0"/>
        <v>&lt;dl&gt;&lt;dt&gt;禄存+文昌​&lt;/dt&gt;&lt;dd&gt;证书加持（学历变现）&lt;/dd&gt;&lt;dd&gt;学历造假（虚假背书）&lt;/dd&gt;&lt;/dl&gt;</v>
      </c>
    </row>
    <row r="43" spans="2:7" x14ac:dyDescent="0.2">
      <c r="B43" s="3" t="s">
        <v>1556</v>
      </c>
      <c r="C43" s="4" t="s">
        <v>1557</v>
      </c>
      <c r="D43" s="4" t="s">
        <v>1558</v>
      </c>
      <c r="E43" s="4"/>
      <c r="G43" t="str">
        <f t="shared" si="0"/>
        <v>&lt;dl&gt;&lt;dt&gt;禄存+擎羊​&lt;/dt&gt;&lt;dd&gt;强制积累（高利贷）&lt;/dd&gt;&lt;dd&gt;财富切割（抢劫/诈骗）&lt;/dd&gt;&lt;/dl&gt;</v>
      </c>
    </row>
    <row r="44" spans="2:7" x14ac:dyDescent="0.2">
      <c r="B44" s="3" t="s">
        <v>1559</v>
      </c>
      <c r="C44" s="4" t="s">
        <v>1560</v>
      </c>
      <c r="D44" s="4" t="s">
        <v>1561</v>
      </c>
      <c r="E44" s="4"/>
    </row>
    <row r="45" spans="2:7" x14ac:dyDescent="0.2">
      <c r="B45" s="3" t="s">
        <v>1562</v>
      </c>
      <c r="C45" s="4" t="s">
        <v>1563</v>
      </c>
      <c r="D45" s="4" t="s">
        <v>1564</v>
      </c>
      <c r="E45" s="4"/>
    </row>
    <row r="48" spans="2:7" ht="17.25" x14ac:dyDescent="0.2">
      <c r="B48" s="5" t="s">
        <v>441</v>
      </c>
    </row>
    <row r="49" spans="2:7" x14ac:dyDescent="0.2">
      <c r="G49" t="str">
        <f t="shared" si="0"/>
        <v>&lt;dl&gt;&lt;dt&gt;&lt;/dt&gt;&lt;dd&gt;&lt;/dd&gt;&lt;dd&gt;&lt;/dd&gt;&lt;/dl&gt;</v>
      </c>
    </row>
    <row r="50" spans="2:7" x14ac:dyDescent="0.2">
      <c r="B50" s="2" t="s">
        <v>18</v>
      </c>
      <c r="C50" s="2" t="s">
        <v>412</v>
      </c>
      <c r="D50" s="2" t="s">
        <v>413</v>
      </c>
      <c r="E50" s="2" t="s">
        <v>21</v>
      </c>
      <c r="G50" t="str">
        <f t="shared" si="0"/>
        <v>&lt;dl&gt;&lt;dt&gt;宫位​&lt;/dt&gt;&lt;dd&gt;庙旺象义​&lt;/dd&gt;&lt;dd&gt;落陷象义​&lt;/dd&gt;&lt;/dl&gt;</v>
      </c>
    </row>
    <row r="51" spans="2:7" x14ac:dyDescent="0.2">
      <c r="B51" s="3" t="s">
        <v>201</v>
      </c>
      <c r="C51" s="4" t="s">
        <v>1565</v>
      </c>
      <c r="D51" s="4" t="s">
        <v>1566</v>
      </c>
      <c r="E51" s="4"/>
      <c r="G51" t="str">
        <f t="shared" si="0"/>
        <v>&lt;dl&gt;&lt;dt&gt;命宫​&lt;/dt&gt;&lt;dd&gt;节俭守财（实业家）&lt;/dd&gt;&lt;dd&gt;吝啬孤克（守财奴）&lt;/dd&gt;&lt;/dl&gt;</v>
      </c>
    </row>
    <row r="52" spans="2:7" x14ac:dyDescent="0.2">
      <c r="B52" s="3" t="s">
        <v>3</v>
      </c>
      <c r="C52" s="4" t="s">
        <v>1567</v>
      </c>
      <c r="D52" s="4" t="s">
        <v>1568</v>
      </c>
      <c r="E52" s="4"/>
      <c r="G52" t="str">
        <f t="shared" si="0"/>
        <v>&lt;dl&gt;&lt;dt&gt;财帛宫​&lt;/dt&gt;&lt;dd&gt;资金固积（定期存款）&lt;/dd&gt;&lt;dd&gt;账目混乱（洗钱漏洞）&lt;/dd&gt;&lt;/dl&gt;</v>
      </c>
    </row>
    <row r="53" spans="2:7" x14ac:dyDescent="0.2">
      <c r="B53" s="3" t="s">
        <v>0</v>
      </c>
      <c r="C53" s="4" t="s">
        <v>1569</v>
      </c>
      <c r="D53" s="4" t="s">
        <v>1570</v>
      </c>
      <c r="E53" s="4"/>
    </row>
    <row r="54" spans="2:7" x14ac:dyDescent="0.2">
      <c r="B54" s="3" t="s">
        <v>6</v>
      </c>
      <c r="C54" s="4" t="s">
        <v>1571</v>
      </c>
      <c r="D54" s="4" t="s">
        <v>1572</v>
      </c>
      <c r="E54" s="4"/>
    </row>
    <row r="55" spans="2:7" x14ac:dyDescent="0.2">
      <c r="B55" s="3" t="s">
        <v>128</v>
      </c>
      <c r="C55" s="4" t="s">
        <v>1573</v>
      </c>
      <c r="D55" s="4" t="s">
        <v>1574</v>
      </c>
      <c r="E55" s="4"/>
    </row>
    <row r="58" spans="2:7" ht="17.25" x14ac:dyDescent="0.2">
      <c r="B58" s="5" t="s">
        <v>86</v>
      </c>
    </row>
    <row r="60" spans="2:7" x14ac:dyDescent="0.2">
      <c r="B60" s="2" t="s">
        <v>1575</v>
      </c>
      <c r="C60" s="2" t="s">
        <v>1047</v>
      </c>
      <c r="D60" s="2" t="s">
        <v>1079</v>
      </c>
      <c r="E60" s="2" t="s">
        <v>21</v>
      </c>
    </row>
    <row r="61" spans="2:7" x14ac:dyDescent="0.2">
      <c r="B61" s="3" t="s">
        <v>1576</v>
      </c>
      <c r="C61" s="4" t="s">
        <v>1577</v>
      </c>
      <c r="D61" s="4" t="s">
        <v>1578</v>
      </c>
      <c r="E61" s="4"/>
    </row>
    <row r="62" spans="2:7" x14ac:dyDescent="0.2">
      <c r="B62" s="3" t="s">
        <v>1579</v>
      </c>
      <c r="C62" s="4" t="s">
        <v>1580</v>
      </c>
      <c r="D62" s="4" t="s">
        <v>1581</v>
      </c>
      <c r="E62" s="4"/>
    </row>
    <row r="63" spans="2:7" ht="28.5" x14ac:dyDescent="0.2">
      <c r="B63" s="3" t="s">
        <v>1582</v>
      </c>
      <c r="C63" s="4" t="s">
        <v>1583</v>
      </c>
      <c r="D63" s="4" t="s">
        <v>1584</v>
      </c>
      <c r="E63" s="4"/>
    </row>
    <row r="66" spans="2:2" ht="17.25" x14ac:dyDescent="0.2">
      <c r="B66" s="5" t="s">
        <v>1585</v>
      </c>
    </row>
    <row r="67" spans="2:2" x14ac:dyDescent="0.2">
      <c r="B67" s="6"/>
    </row>
    <row r="68" spans="2:2" x14ac:dyDescent="0.2">
      <c r="B68" s="7" t="s">
        <v>91</v>
      </c>
    </row>
    <row r="69" spans="2:2" x14ac:dyDescent="0.2">
      <c r="B69" s="6"/>
    </row>
    <row r="70" spans="2:2" x14ac:dyDescent="0.2">
      <c r="B70" s="9" t="s">
        <v>1586</v>
      </c>
    </row>
    <row r="71" spans="2:2" x14ac:dyDescent="0.2">
      <c r="B71" s="7" t="s">
        <v>1587</v>
      </c>
    </row>
    <row r="72" spans="2:2" x14ac:dyDescent="0.2">
      <c r="B72" s="6"/>
    </row>
    <row r="73" spans="2:2" x14ac:dyDescent="0.2">
      <c r="B73" s="9" t="s">
        <v>1588</v>
      </c>
    </row>
    <row r="77" spans="2:2" ht="17.25" x14ac:dyDescent="0.2">
      <c r="B77" s="5"/>
    </row>
    <row r="80" spans="2:2" x14ac:dyDescent="0.2">
      <c r="B80" s="16"/>
    </row>
    <row r="81" spans="2:2" x14ac:dyDescent="0.2">
      <c r="B81" s="6"/>
    </row>
    <row r="82" spans="2:2" x14ac:dyDescent="0.2">
      <c r="B82" s="6"/>
    </row>
  </sheetData>
  <phoneticPr fontId="2" type="noConversion"/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BFCD61-863B-4EEC-8214-98ECDEEDCCE1}">
  <dimension ref="B1:G85"/>
  <sheetViews>
    <sheetView topLeftCell="A65" zoomScaleNormal="100" workbookViewId="0">
      <selection activeCell="B1" sqref="B1:E85"/>
    </sheetView>
  </sheetViews>
  <sheetFormatPr defaultRowHeight="14.25" x14ac:dyDescent="0.2"/>
  <cols>
    <col min="1" max="1" width="2.75" customWidth="1"/>
    <col min="2" max="2" width="15.625" customWidth="1"/>
    <col min="3" max="3" width="43.125" customWidth="1"/>
    <col min="4" max="4" width="32.75" customWidth="1"/>
  </cols>
  <sheetData>
    <row r="1" spans="2:7" ht="17.25" x14ac:dyDescent="0.2">
      <c r="B1" s="5" t="s">
        <v>375</v>
      </c>
      <c r="G1" t="str">
        <f>"&lt;dl&gt;&lt;dt&gt;" &amp; B1 &amp; "&lt;/dt&gt;&lt;dd&gt;" &amp; C1 &amp; "&lt;/dd&gt;&lt;dd&gt;" &amp; D1 &amp; "&lt;/dd&gt;&lt;/dl&gt;"</f>
        <v>&lt;dl&gt;&lt;dt&gt;一、基础属性​&lt;/dt&gt;&lt;dd&gt;&lt;/dd&gt;&lt;dd&gt;&lt;/dd&gt;&lt;/dl&gt;</v>
      </c>
    </row>
    <row r="3" spans="2:7" x14ac:dyDescent="0.2">
      <c r="B3" s="2" t="s">
        <v>376</v>
      </c>
      <c r="C3" s="2" t="s">
        <v>377</v>
      </c>
      <c r="D3" s="2" t="s">
        <v>21</v>
      </c>
    </row>
    <row r="4" spans="2:7" x14ac:dyDescent="0.2">
      <c r="B4" s="3" t="s">
        <v>620</v>
      </c>
      <c r="C4" s="4" t="s">
        <v>1589</v>
      </c>
      <c r="D4" s="4"/>
    </row>
    <row r="5" spans="2:7" x14ac:dyDescent="0.2">
      <c r="B5" s="3" t="s">
        <v>624</v>
      </c>
      <c r="C5" s="4" t="s">
        <v>1590</v>
      </c>
      <c r="D5" s="4"/>
    </row>
    <row r="6" spans="2:7" x14ac:dyDescent="0.2">
      <c r="B6" s="3" t="s">
        <v>378</v>
      </c>
      <c r="C6" s="4" t="s">
        <v>1591</v>
      </c>
      <c r="D6" s="4"/>
    </row>
    <row r="7" spans="2:7" x14ac:dyDescent="0.2">
      <c r="B7" s="3" t="s">
        <v>1592</v>
      </c>
      <c r="C7" s="4" t="s">
        <v>1593</v>
      </c>
      <c r="D7" s="4"/>
    </row>
    <row r="10" spans="2:7" ht="17.25" x14ac:dyDescent="0.2">
      <c r="B10" s="5" t="s">
        <v>388</v>
      </c>
    </row>
    <row r="12" spans="2:7" ht="15.75" x14ac:dyDescent="0.2">
      <c r="B12" s="13" t="s">
        <v>627</v>
      </c>
    </row>
    <row r="14" spans="2:7" x14ac:dyDescent="0.2">
      <c r="B14" s="2" t="s">
        <v>390</v>
      </c>
      <c r="C14" s="2" t="s">
        <v>1065</v>
      </c>
      <c r="D14" s="2" t="s">
        <v>1066</v>
      </c>
      <c r="E14" s="2" t="s">
        <v>21</v>
      </c>
    </row>
    <row r="15" spans="2:7" x14ac:dyDescent="0.2">
      <c r="B15" s="3" t="s">
        <v>1594</v>
      </c>
      <c r="C15" s="4" t="s">
        <v>1595</v>
      </c>
      <c r="D15" s="4" t="s">
        <v>1596</v>
      </c>
      <c r="E15" s="4"/>
    </row>
    <row r="16" spans="2:7" x14ac:dyDescent="0.2">
      <c r="B16" s="3" t="s">
        <v>1597</v>
      </c>
      <c r="C16" s="4" t="s">
        <v>1598</v>
      </c>
      <c r="D16" s="4" t="s">
        <v>1599</v>
      </c>
      <c r="E16" s="4"/>
    </row>
    <row r="17" spans="2:7" x14ac:dyDescent="0.2">
      <c r="B17" s="3" t="s">
        <v>1600</v>
      </c>
      <c r="C17" s="4" t="s">
        <v>1601</v>
      </c>
      <c r="D17" s="4" t="s">
        <v>1602</v>
      </c>
      <c r="E17" s="4"/>
    </row>
    <row r="19" spans="2:7" ht="15.75" x14ac:dyDescent="0.2">
      <c r="B19" s="13" t="s">
        <v>405</v>
      </c>
    </row>
    <row r="20" spans="2:7" x14ac:dyDescent="0.2">
      <c r="B20" s="6"/>
    </row>
    <row r="21" spans="2:7" x14ac:dyDescent="0.2">
      <c r="B21" s="7" t="s">
        <v>1603</v>
      </c>
    </row>
    <row r="22" spans="2:7" x14ac:dyDescent="0.2">
      <c r="B22" s="7" t="s">
        <v>1604</v>
      </c>
    </row>
    <row r="24" spans="2:7" x14ac:dyDescent="0.2">
      <c r="G24" t="str">
        <f t="shared" ref="G24:G52" si="0">"&lt;dl&gt;&lt;dt&gt;" &amp; B24 &amp; "&lt;/dt&gt;&lt;dd&gt;" &amp; C24 &amp; "&lt;/dd&gt;&lt;dd&gt;" &amp; D24 &amp; "&lt;/dd&gt;&lt;/dl&gt;"</f>
        <v>&lt;dl&gt;&lt;dt&gt;&lt;/dt&gt;&lt;dd&gt;&lt;/dd&gt;&lt;dd&gt;&lt;/dd&gt;&lt;/dl&gt;</v>
      </c>
    </row>
    <row r="25" spans="2:7" x14ac:dyDescent="0.2">
      <c r="G25" t="str">
        <f t="shared" si="0"/>
        <v>&lt;dl&gt;&lt;dt&gt;&lt;/dt&gt;&lt;dd&gt;&lt;/dd&gt;&lt;dd&gt;&lt;/dd&gt;&lt;/dl&gt;</v>
      </c>
    </row>
    <row r="26" spans="2:7" ht="17.25" x14ac:dyDescent="0.2">
      <c r="B26" s="5" t="s">
        <v>410</v>
      </c>
      <c r="G26" t="str">
        <f t="shared" si="0"/>
        <v>&lt;dl&gt;&lt;dt&gt;三、组合象义​&lt;/dt&gt;&lt;dd&gt;&lt;/dd&gt;&lt;dd&gt;&lt;/dd&gt;&lt;/dl&gt;</v>
      </c>
    </row>
    <row r="27" spans="2:7" x14ac:dyDescent="0.2">
      <c r="G27" t="str">
        <f t="shared" si="0"/>
        <v>&lt;dl&gt;&lt;dt&gt;&lt;/dt&gt;&lt;dd&gt;&lt;/dd&gt;&lt;dd&gt;&lt;/dd&gt;&lt;/dl&gt;</v>
      </c>
    </row>
    <row r="28" spans="2:7" ht="15.75" x14ac:dyDescent="0.2">
      <c r="B28" s="13" t="s">
        <v>1605</v>
      </c>
      <c r="G28" t="str">
        <f t="shared" si="0"/>
        <v>&lt;dl&gt;&lt;dt&gt;1. 吉星组合​&lt;/dt&gt;&lt;dd&gt;&lt;/dd&gt;&lt;dd&gt;&lt;/dd&gt;&lt;/dl&gt;</v>
      </c>
    </row>
    <row r="29" spans="2:7" x14ac:dyDescent="0.2">
      <c r="G29" t="str">
        <f t="shared" si="0"/>
        <v>&lt;dl&gt;&lt;dt&gt;&lt;/dt&gt;&lt;dd&gt;&lt;/dd&gt;&lt;dd&gt;&lt;/dd&gt;&lt;/dl&gt;</v>
      </c>
    </row>
    <row r="30" spans="2:7" x14ac:dyDescent="0.2">
      <c r="B30" s="2" t="s">
        <v>71</v>
      </c>
      <c r="C30" s="2" t="s">
        <v>453</v>
      </c>
      <c r="D30" s="2" t="s">
        <v>454</v>
      </c>
      <c r="E30" s="2" t="s">
        <v>21</v>
      </c>
    </row>
    <row r="31" spans="2:7" x14ac:dyDescent="0.2">
      <c r="B31" s="3" t="s">
        <v>1606</v>
      </c>
      <c r="C31" s="4" t="s">
        <v>1607</v>
      </c>
      <c r="D31" s="4" t="s">
        <v>1608</v>
      </c>
      <c r="E31" s="4"/>
    </row>
    <row r="32" spans="2:7" x14ac:dyDescent="0.2">
      <c r="B32" s="3" t="s">
        <v>1609</v>
      </c>
      <c r="C32" s="4" t="s">
        <v>1610</v>
      </c>
      <c r="D32" s="4" t="s">
        <v>1611</v>
      </c>
      <c r="E32" s="4"/>
    </row>
    <row r="33" spans="2:7" x14ac:dyDescent="0.2">
      <c r="B33" s="3" t="s">
        <v>1612</v>
      </c>
      <c r="C33" s="4" t="s">
        <v>1613</v>
      </c>
      <c r="D33" s="4" t="s">
        <v>1614</v>
      </c>
      <c r="E33" s="4"/>
    </row>
    <row r="35" spans="2:7" ht="15.75" x14ac:dyDescent="0.2">
      <c r="B35" s="13" t="s">
        <v>1615</v>
      </c>
      <c r="G35" t="str">
        <f t="shared" si="0"/>
        <v>&lt;dl&gt;&lt;dt&gt;2. 煞星组合​&lt;/dt&gt;&lt;dd&gt;&lt;/dd&gt;&lt;dd&gt;&lt;/dd&gt;&lt;/dl&gt;</v>
      </c>
    </row>
    <row r="36" spans="2:7" x14ac:dyDescent="0.2">
      <c r="G36" t="str">
        <f t="shared" si="0"/>
        <v>&lt;dl&gt;&lt;dt&gt;&lt;/dt&gt;&lt;dd&gt;&lt;/dd&gt;&lt;dd&gt;&lt;/dd&gt;&lt;/dl&gt;</v>
      </c>
    </row>
    <row r="37" spans="2:7" x14ac:dyDescent="0.2">
      <c r="B37" s="2" t="s">
        <v>71</v>
      </c>
      <c r="C37" s="2" t="s">
        <v>1047</v>
      </c>
      <c r="D37" s="2" t="s">
        <v>73</v>
      </c>
      <c r="E37" s="2" t="s">
        <v>21</v>
      </c>
      <c r="G37" t="str">
        <f t="shared" si="0"/>
        <v>&lt;dl&gt;&lt;dt&gt;组合​&lt;/dt&gt;&lt;dd&gt;效应​&lt;/dd&gt;&lt;dd&gt;典型案例​&lt;/dd&gt;&lt;/dl&gt;</v>
      </c>
    </row>
    <row r="38" spans="2:7" x14ac:dyDescent="0.2">
      <c r="B38" s="3" t="s">
        <v>1616</v>
      </c>
      <c r="C38" s="4" t="s">
        <v>1617</v>
      </c>
      <c r="D38" s="4" t="s">
        <v>1618</v>
      </c>
      <c r="E38" s="4"/>
      <c r="G38" t="str">
        <f t="shared" si="0"/>
        <v>&lt;dl&gt;&lt;dt&gt;天马+火星​&lt;/dt&gt;&lt;dd&gt;战马（突发变动：意外出差/投资暴雷）&lt;/dd&gt;&lt;dd&gt;车祸、紧急任务派遣&lt;/dd&gt;&lt;/dl&gt;</v>
      </c>
    </row>
    <row r="39" spans="2:7" x14ac:dyDescent="0.2">
      <c r="B39" s="3" t="s">
        <v>1619</v>
      </c>
      <c r="C39" s="4" t="s">
        <v>1620</v>
      </c>
      <c r="D39" s="4" t="s">
        <v>1621</v>
      </c>
      <c r="E39" s="4"/>
      <c r="G39" t="str">
        <f t="shared" si="0"/>
        <v>&lt;dl&gt;&lt;dt&gt;天马+擎羊​&lt;/dt&gt;&lt;dd&gt;负尸马（波动损失：车祸/合作破裂）&lt;/dd&gt;&lt;dd&gt;交通事故赔偿纠纷&lt;/dd&gt;&lt;/dl&gt;</v>
      </c>
    </row>
    <row r="40" spans="2:7" x14ac:dyDescent="0.2">
      <c r="B40" s="3" t="s">
        <v>1622</v>
      </c>
      <c r="C40" s="4" t="s">
        <v>1623</v>
      </c>
      <c r="D40" s="4" t="s">
        <v>1624</v>
      </c>
      <c r="E40" s="4"/>
      <c r="G40" t="str">
        <f t="shared" si="0"/>
        <v>&lt;dl&gt;&lt;dt&gt;天马+陀罗​&lt;/dt&gt;&lt;dd&gt;折足马（拖延阻滞：签证延期/款项拖欠）&lt;/dd&gt;&lt;dd&gt;项目烂尾、慢性病迁延&lt;/dd&gt;&lt;/dl&gt;</v>
      </c>
    </row>
    <row r="41" spans="2:7" x14ac:dyDescent="0.2">
      <c r="B41" s="3" t="s">
        <v>1625</v>
      </c>
      <c r="C41" s="4" t="s">
        <v>1626</v>
      </c>
      <c r="D41" s="4" t="s">
        <v>1627</v>
      </c>
      <c r="E41" s="4"/>
      <c r="G41" t="str">
        <f t="shared" si="0"/>
        <v>&lt;dl&gt;&lt;dt&gt;天马+空劫忌​&lt;/dt&gt;&lt;dd&gt;死马（终身奔走无功：资金链断裂）&lt;/dd&gt;&lt;dd&gt;创业屡败、劳碌无果&lt;/dd&gt;&lt;/dl&gt;</v>
      </c>
    </row>
    <row r="42" spans="2:7" x14ac:dyDescent="0.2">
      <c r="G42" t="str">
        <f t="shared" si="0"/>
        <v>&lt;dl&gt;&lt;dt&gt;&lt;/dt&gt;&lt;dd&gt;&lt;/dd&gt;&lt;dd&gt;&lt;/dd&gt;&lt;/dl&gt;</v>
      </c>
    </row>
    <row r="43" spans="2:7" x14ac:dyDescent="0.2">
      <c r="G43" t="str">
        <f t="shared" si="0"/>
        <v>&lt;dl&gt;&lt;dt&gt;&lt;/dt&gt;&lt;dd&gt;&lt;/dd&gt;&lt;dd&gt;&lt;/dd&gt;&lt;/dl&gt;</v>
      </c>
    </row>
    <row r="44" spans="2:7" ht="17.25" x14ac:dyDescent="0.2">
      <c r="B44" s="5" t="s">
        <v>1483</v>
      </c>
    </row>
    <row r="46" spans="2:7" x14ac:dyDescent="0.2">
      <c r="B46" s="2" t="s">
        <v>18</v>
      </c>
      <c r="C46" s="2" t="s">
        <v>412</v>
      </c>
      <c r="D46" s="2" t="s">
        <v>413</v>
      </c>
      <c r="E46" s="2" t="s">
        <v>21</v>
      </c>
    </row>
    <row r="47" spans="2:7" x14ac:dyDescent="0.2">
      <c r="B47" s="3" t="s">
        <v>201</v>
      </c>
      <c r="C47" s="4" t="s">
        <v>1628</v>
      </c>
      <c r="D47" s="4" t="s">
        <v>1629</v>
      </c>
      <c r="E47" s="4"/>
    </row>
    <row r="48" spans="2:7" x14ac:dyDescent="0.2">
      <c r="B48" s="3" t="s">
        <v>15</v>
      </c>
      <c r="C48" s="4" t="s">
        <v>1630</v>
      </c>
      <c r="D48" s="4" t="s">
        <v>1631</v>
      </c>
      <c r="E48" s="4"/>
    </row>
    <row r="49" spans="2:7" x14ac:dyDescent="0.2">
      <c r="B49" s="3" t="s">
        <v>3</v>
      </c>
      <c r="C49" s="4" t="s">
        <v>1632</v>
      </c>
      <c r="D49" s="4" t="s">
        <v>1633</v>
      </c>
      <c r="E49" s="4"/>
      <c r="G49" t="str">
        <f t="shared" si="0"/>
        <v>&lt;dl&gt;&lt;dt&gt;财帛宫​&lt;/dt&gt;&lt;dd&gt;资金流动频繁（短期理财、外汇）&lt;/dd&gt;&lt;dd&gt;虚耗破财（投机亏损）&lt;/dd&gt;&lt;/dl&gt;</v>
      </c>
    </row>
    <row r="50" spans="2:7" x14ac:dyDescent="0.2">
      <c r="B50" s="3" t="s">
        <v>125</v>
      </c>
      <c r="C50" s="4" t="s">
        <v>1634</v>
      </c>
      <c r="D50" s="4" t="s">
        <v>1635</v>
      </c>
      <c r="E50" s="4"/>
      <c r="G50" t="str">
        <f t="shared" si="0"/>
        <v>&lt;dl&gt;&lt;dt&gt;夫妻宫​&lt;/dt&gt;&lt;dd&gt;配偶来自远方/异地姻缘&lt;/dd&gt;&lt;dd&gt;感情疏离（长期分居）&lt;/dd&gt;&lt;/dl&gt;</v>
      </c>
    </row>
    <row r="51" spans="2:7" x14ac:dyDescent="0.2">
      <c r="B51" s="3" t="s">
        <v>206</v>
      </c>
      <c r="C51" s="4" t="s">
        <v>1636</v>
      </c>
      <c r="D51" s="4" t="s">
        <v>1637</v>
      </c>
      <c r="E51" s="4"/>
      <c r="G51" t="str">
        <f t="shared" si="0"/>
        <v>&lt;dl&gt;&lt;dt&gt;官禄宫​&lt;/dt&gt;&lt;dd&gt;动态职业（记者、航空业）&lt;/dd&gt;&lt;dd&gt;工作不稳（频繁失业）&lt;/dd&gt;&lt;/dl&gt;</v>
      </c>
    </row>
    <row r="52" spans="2:7" x14ac:dyDescent="0.2">
      <c r="B52" s="3" t="s">
        <v>0</v>
      </c>
      <c r="C52" s="4" t="s">
        <v>1638</v>
      </c>
      <c r="D52" s="4" t="s">
        <v>1639</v>
      </c>
      <c r="E52" s="4"/>
      <c r="G52" t="str">
        <f t="shared" si="0"/>
        <v>&lt;dl&gt;&lt;dt&gt;田宅宫​&lt;/dt&gt;&lt;dd&gt;频繁搬家/跨国置业&lt;/dd&gt;&lt;dd&gt;家宅不宁（抵押房产）&lt;/dd&gt;&lt;/dl&gt;</v>
      </c>
    </row>
    <row r="55" spans="2:7" ht="17.25" x14ac:dyDescent="0.2">
      <c r="B55" s="5" t="s">
        <v>86</v>
      </c>
    </row>
    <row r="57" spans="2:7" x14ac:dyDescent="0.2">
      <c r="B57" s="2" t="s">
        <v>250</v>
      </c>
      <c r="C57" s="2" t="s">
        <v>452</v>
      </c>
      <c r="D57" s="2" t="s">
        <v>1047</v>
      </c>
      <c r="E57" s="2" t="s">
        <v>21</v>
      </c>
    </row>
    <row r="58" spans="2:7" x14ac:dyDescent="0.2">
      <c r="B58" s="3" t="s">
        <v>1640</v>
      </c>
      <c r="C58" s="4" t="s">
        <v>1641</v>
      </c>
      <c r="D58" s="4" t="s">
        <v>1642</v>
      </c>
      <c r="E58" s="4"/>
    </row>
    <row r="59" spans="2:7" x14ac:dyDescent="0.2">
      <c r="B59" s="3" t="s">
        <v>1643</v>
      </c>
      <c r="C59" s="4" t="s">
        <v>1644</v>
      </c>
      <c r="D59" s="4" t="s">
        <v>1645</v>
      </c>
      <c r="E59" s="4"/>
    </row>
    <row r="60" spans="2:7" x14ac:dyDescent="0.2">
      <c r="B60" s="3" t="s">
        <v>1646</v>
      </c>
      <c r="C60" s="4" t="s">
        <v>1647</v>
      </c>
      <c r="D60" s="4" t="s">
        <v>1648</v>
      </c>
      <c r="E60" s="4"/>
    </row>
    <row r="63" spans="2:7" ht="17.25" x14ac:dyDescent="0.2">
      <c r="B63" s="5" t="s">
        <v>1436</v>
      </c>
    </row>
    <row r="64" spans="2:7" x14ac:dyDescent="0.2">
      <c r="B64" s="6"/>
    </row>
    <row r="65" spans="2:2" x14ac:dyDescent="0.2">
      <c r="B65" s="7" t="s">
        <v>1649</v>
      </c>
    </row>
    <row r="66" spans="2:2" x14ac:dyDescent="0.2">
      <c r="B66" s="6"/>
    </row>
    <row r="67" spans="2:2" x14ac:dyDescent="0.2">
      <c r="B67" s="9" t="s">
        <v>1650</v>
      </c>
    </row>
    <row r="68" spans="2:2" x14ac:dyDescent="0.2">
      <c r="B68" s="9" t="s">
        <v>1651</v>
      </c>
    </row>
    <row r="69" spans="2:2" x14ac:dyDescent="0.2">
      <c r="B69" s="7" t="s">
        <v>1652</v>
      </c>
    </row>
    <row r="70" spans="2:2" x14ac:dyDescent="0.2">
      <c r="B70" s="6"/>
    </row>
    <row r="71" spans="2:2" x14ac:dyDescent="0.2">
      <c r="B71" s="9" t="s">
        <v>1653</v>
      </c>
    </row>
    <row r="72" spans="2:2" x14ac:dyDescent="0.2">
      <c r="B72" s="9" t="s">
        <v>1654</v>
      </c>
    </row>
    <row r="76" spans="2:2" ht="17.25" x14ac:dyDescent="0.2">
      <c r="B76" s="5" t="s">
        <v>1079</v>
      </c>
    </row>
    <row r="77" spans="2:2" x14ac:dyDescent="0.2">
      <c r="B77" s="6"/>
    </row>
    <row r="78" spans="2:2" x14ac:dyDescent="0.2">
      <c r="B78" s="7" t="s">
        <v>1655</v>
      </c>
    </row>
    <row r="79" spans="2:2" x14ac:dyDescent="0.2">
      <c r="B79" s="6"/>
    </row>
    <row r="80" spans="2:2" x14ac:dyDescent="0.2">
      <c r="B80" s="9" t="s">
        <v>1656</v>
      </c>
    </row>
    <row r="81" spans="2:2" x14ac:dyDescent="0.2">
      <c r="B81" s="9" t="s">
        <v>1657</v>
      </c>
    </row>
    <row r="82" spans="2:2" x14ac:dyDescent="0.2">
      <c r="B82" s="7" t="s">
        <v>1658</v>
      </c>
    </row>
    <row r="83" spans="2:2" x14ac:dyDescent="0.2">
      <c r="B83" s="6"/>
    </row>
    <row r="84" spans="2:2" x14ac:dyDescent="0.2">
      <c r="B84" s="9" t="s">
        <v>1659</v>
      </c>
    </row>
    <row r="85" spans="2:2" x14ac:dyDescent="0.2">
      <c r="B85" s="9" t="s">
        <v>1660</v>
      </c>
    </row>
  </sheetData>
  <phoneticPr fontId="2" type="noConversion"/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4451DB-FBAE-4FCD-888C-652EF2E724AF}">
  <dimension ref="B1:G82"/>
  <sheetViews>
    <sheetView tabSelected="1" zoomScaleNormal="100" workbookViewId="0">
      <selection activeCell="B1" sqref="B1:D79"/>
    </sheetView>
  </sheetViews>
  <sheetFormatPr defaultRowHeight="14.25" x14ac:dyDescent="0.2"/>
  <cols>
    <col min="1" max="1" width="2.75" customWidth="1"/>
    <col min="2" max="2" width="15.625" customWidth="1"/>
    <col min="3" max="3" width="43.125" customWidth="1"/>
    <col min="4" max="4" width="32.75" customWidth="1"/>
  </cols>
  <sheetData>
    <row r="1" spans="2:7" ht="17.25" x14ac:dyDescent="0.2">
      <c r="B1" s="5" t="s">
        <v>5648</v>
      </c>
      <c r="G1" t="str">
        <f>"&lt;dl&gt;&lt;dt&gt;" &amp; B1 &amp; "&lt;/dt&gt;&lt;dd&gt;" &amp; C1 &amp; "&lt;/dd&gt;&lt;dd&gt;" &amp; D1 &amp; "&lt;/dd&gt;&lt;/dl&gt;"</f>
        <v>&lt;dl&gt;&lt;dt&gt;一、擎羊定义&lt;/dt&gt;&lt;dd&gt;&lt;/dd&gt;&lt;dd&gt;&lt;/dd&gt;&lt;/dl&gt;</v>
      </c>
    </row>
    <row r="3" spans="2:7" x14ac:dyDescent="0.2">
      <c r="B3" s="2" t="s">
        <v>376</v>
      </c>
      <c r="C3" s="2" t="s">
        <v>377</v>
      </c>
      <c r="D3" s="2" t="s">
        <v>21</v>
      </c>
    </row>
    <row r="4" spans="2:7" x14ac:dyDescent="0.2">
      <c r="B4" s="3" t="s">
        <v>624</v>
      </c>
      <c r="C4" s="4" t="s">
        <v>5649</v>
      </c>
      <c r="D4" s="4"/>
    </row>
    <row r="5" spans="2:7" ht="42.75" x14ac:dyDescent="0.2">
      <c r="B5" s="3" t="s">
        <v>378</v>
      </c>
      <c r="C5" s="4" t="s">
        <v>5650</v>
      </c>
      <c r="D5" s="4"/>
    </row>
    <row r="6" spans="2:7" ht="42.75" x14ac:dyDescent="0.2">
      <c r="B6" s="3" t="s">
        <v>1717</v>
      </c>
      <c r="C6" s="4" t="s">
        <v>5651</v>
      </c>
      <c r="D6" s="4"/>
    </row>
    <row r="9" spans="2:7" ht="17.25" x14ac:dyDescent="0.2">
      <c r="B9" s="5" t="s">
        <v>1719</v>
      </c>
    </row>
    <row r="11" spans="2:7" ht="15.75" x14ac:dyDescent="0.2">
      <c r="B11" s="13" t="s">
        <v>1720</v>
      </c>
    </row>
    <row r="13" spans="2:7" x14ac:dyDescent="0.2">
      <c r="B13" s="2" t="s">
        <v>390</v>
      </c>
      <c r="C13" s="2" t="s">
        <v>1818</v>
      </c>
      <c r="D13" s="2" t="s">
        <v>1819</v>
      </c>
    </row>
    <row r="14" spans="2:7" ht="28.5" x14ac:dyDescent="0.2">
      <c r="B14" s="3" t="s">
        <v>5652</v>
      </c>
      <c r="C14" s="4" t="s">
        <v>5653</v>
      </c>
      <c r="D14" s="4" t="s">
        <v>5654</v>
      </c>
      <c r="E14" s="2" t="s">
        <v>21</v>
      </c>
    </row>
    <row r="15" spans="2:7" ht="28.5" x14ac:dyDescent="0.2">
      <c r="B15" s="3" t="s">
        <v>5655</v>
      </c>
      <c r="C15" s="4" t="s">
        <v>5656</v>
      </c>
      <c r="D15" s="4" t="s">
        <v>5465</v>
      </c>
      <c r="E15" s="4"/>
    </row>
    <row r="16" spans="2:7" x14ac:dyDescent="0.2">
      <c r="B16" s="3" t="s">
        <v>5657</v>
      </c>
      <c r="C16" s="4" t="s">
        <v>5658</v>
      </c>
      <c r="D16" s="4" t="s">
        <v>5659</v>
      </c>
      <c r="E16" s="4"/>
    </row>
    <row r="17" spans="2:7" ht="28.5" x14ac:dyDescent="0.2">
      <c r="B17" s="3" t="s">
        <v>5660</v>
      </c>
      <c r="C17" s="4" t="s">
        <v>5661</v>
      </c>
      <c r="D17" s="4" t="s">
        <v>5662</v>
      </c>
      <c r="E17" s="4"/>
    </row>
    <row r="18" spans="2:7" ht="28.5" x14ac:dyDescent="0.2">
      <c r="B18" s="3" t="s">
        <v>5663</v>
      </c>
      <c r="C18" s="4" t="s">
        <v>5664</v>
      </c>
      <c r="D18" s="4" t="s">
        <v>5370</v>
      </c>
    </row>
    <row r="21" spans="2:7" ht="17.25" x14ac:dyDescent="0.2">
      <c r="B21" s="5" t="s">
        <v>1733</v>
      </c>
    </row>
    <row r="23" spans="2:7" x14ac:dyDescent="0.2">
      <c r="B23" s="2" t="s">
        <v>18</v>
      </c>
      <c r="C23" s="2" t="s">
        <v>1818</v>
      </c>
      <c r="D23" s="2" t="s">
        <v>21</v>
      </c>
    </row>
    <row r="24" spans="2:7" ht="28.5" x14ac:dyDescent="0.2">
      <c r="B24" s="3" t="s">
        <v>201</v>
      </c>
      <c r="C24" s="4" t="s">
        <v>5665</v>
      </c>
      <c r="D24" s="4"/>
      <c r="G24" t="str">
        <f t="shared" ref="G24:G52" si="0">"&lt;dl&gt;&lt;dt&gt;" &amp; B24 &amp; "&lt;/dt&gt;&lt;dd&gt;" &amp; C24 &amp; "&lt;/dd&gt;&lt;dd&gt;" &amp; D24 &amp; "&lt;/dd&gt;&lt;/dl&gt;"</f>
        <v>&lt;dl&gt;&lt;dt&gt;命宫​&lt;/dt&gt;&lt;dd&gt;性格刚烈果决，好胜心强，一生多竞争与波折，易有刑伤。&lt;/dd&gt;&lt;dd&gt;&lt;/dd&gt;&lt;/dl&gt;</v>
      </c>
    </row>
    <row r="25" spans="2:7" x14ac:dyDescent="0.2">
      <c r="B25" s="3" t="s">
        <v>246</v>
      </c>
      <c r="C25" s="4" t="s">
        <v>5666</v>
      </c>
      <c r="D25" s="4"/>
      <c r="G25" t="str">
        <f t="shared" si="0"/>
        <v>&lt;dl&gt;&lt;dt&gt;兄弟宫​&lt;/dt&gt;&lt;dd&gt;与兄弟姐妹易有争执、竞争；朋友间多竞争关系。&lt;/dd&gt;&lt;dd&gt;&lt;/dd&gt;&lt;/dl&gt;</v>
      </c>
    </row>
    <row r="26" spans="2:7" ht="28.5" x14ac:dyDescent="0.2">
      <c r="B26" s="3" t="s">
        <v>125</v>
      </c>
      <c r="C26" s="4" t="s">
        <v>5667</v>
      </c>
      <c r="D26" s="4"/>
      <c r="G26" t="str">
        <f t="shared" si="0"/>
        <v>&lt;dl&gt;&lt;dt&gt;夫妻宫​&lt;/dt&gt;&lt;dd&gt;感情中易有争执冲突，配偶个性刚强，婚姻易有波折或分离。&lt;/dd&gt;&lt;dd&gt;&lt;/dd&gt;&lt;/dl&gt;</v>
      </c>
    </row>
    <row r="27" spans="2:7" ht="28.5" x14ac:dyDescent="0.2">
      <c r="B27" s="3" t="s">
        <v>128</v>
      </c>
      <c r="C27" s="4" t="s">
        <v>5668</v>
      </c>
      <c r="D27" s="4"/>
      <c r="G27" t="str">
        <f t="shared" si="0"/>
        <v>&lt;dl&gt;&lt;dt&gt;子女宫​&lt;/dt&gt;&lt;dd&gt;子女个性倔强好斗；合作关系易起冲突、竞争；投资需防风险。&lt;/dd&gt;&lt;dd&gt;&lt;/dd&gt;&lt;/dl&gt;</v>
      </c>
    </row>
    <row r="28" spans="2:7" ht="28.5" x14ac:dyDescent="0.2">
      <c r="B28" s="3" t="s">
        <v>3</v>
      </c>
      <c r="C28" s="4" t="s">
        <v>5669</v>
      </c>
      <c r="D28" s="4"/>
      <c r="G28" t="str">
        <f t="shared" si="0"/>
        <v>&lt;dl&gt;&lt;dt&gt;财帛宫​&lt;/dt&gt;&lt;dd&gt;求财方式带有竞争性，适合风险投资、竞技求财，但易因财起冲突。&lt;/dd&gt;&lt;dd&gt;&lt;/dd&gt;&lt;/dl&gt;</v>
      </c>
    </row>
    <row r="29" spans="2:7" ht="28.5" x14ac:dyDescent="0.2">
      <c r="B29" s="3" t="s">
        <v>6</v>
      </c>
      <c r="C29" s="3" t="s">
        <v>5670</v>
      </c>
      <c r="D29" s="4"/>
      <c r="G29" t="str">
        <f t="shared" si="0"/>
        <v>&lt;dl&gt;&lt;dt&gt;疾厄宫​&lt;/dt&gt;&lt;dd&gt;核心宫位。易有外伤、手术、急性病，身体易留疤痕。&lt;/dd&gt;&lt;dd&gt;&lt;/dd&gt;&lt;/dl&gt;</v>
      </c>
    </row>
    <row r="30" spans="2:7" ht="28.5" x14ac:dyDescent="0.2">
      <c r="B30" s="3" t="s">
        <v>15</v>
      </c>
      <c r="C30" s="4" t="s">
        <v>5671</v>
      </c>
      <c r="D30" s="4"/>
    </row>
    <row r="31" spans="2:7" ht="28.5" x14ac:dyDescent="0.2">
      <c r="B31" s="3" t="s">
        <v>12</v>
      </c>
      <c r="C31" s="4" t="s">
        <v>5672</v>
      </c>
      <c r="D31" s="4"/>
    </row>
    <row r="32" spans="2:7" ht="28.5" x14ac:dyDescent="0.2">
      <c r="B32" s="3" t="s">
        <v>206</v>
      </c>
      <c r="C32" s="4" t="s">
        <v>5673</v>
      </c>
      <c r="D32" s="4"/>
    </row>
    <row r="33" spans="2:7" ht="28.5" x14ac:dyDescent="0.2">
      <c r="B33" s="3" t="s">
        <v>0</v>
      </c>
      <c r="C33" s="4" t="s">
        <v>5674</v>
      </c>
      <c r="D33" s="4"/>
      <c r="E33" s="2" t="s">
        <v>21</v>
      </c>
    </row>
    <row r="34" spans="2:7" ht="28.5" x14ac:dyDescent="0.2">
      <c r="B34" s="3" t="s">
        <v>116</v>
      </c>
      <c r="C34" s="4" t="s">
        <v>5675</v>
      </c>
      <c r="D34" s="4"/>
      <c r="E34" s="4"/>
    </row>
    <row r="35" spans="2:7" ht="28.5" x14ac:dyDescent="0.2">
      <c r="B35" s="3" t="s">
        <v>9</v>
      </c>
      <c r="C35" s="4" t="s">
        <v>5676</v>
      </c>
      <c r="D35" s="4"/>
      <c r="E35" s="4"/>
      <c r="G35" t="str">
        <f t="shared" si="0"/>
        <v>&lt;dl&gt;&lt;dt&gt;父母宫​&lt;/dt&gt;&lt;dd&gt;与父母关系紧张，易有冲突；得到遗产或资助过程可能有争执。&lt;/dd&gt;&lt;dd&gt;&lt;/dd&gt;&lt;/dl&gt;</v>
      </c>
    </row>
    <row r="36" spans="2:7" x14ac:dyDescent="0.2">
      <c r="E36" s="4"/>
      <c r="G36" t="str">
        <f t="shared" si="0"/>
        <v>&lt;dl&gt;&lt;dt&gt;&lt;/dt&gt;&lt;dd&gt;&lt;/dd&gt;&lt;dd&gt;&lt;/dd&gt;&lt;/dl&gt;</v>
      </c>
    </row>
    <row r="37" spans="2:7" x14ac:dyDescent="0.2">
      <c r="E37" s="4"/>
      <c r="G37" t="str">
        <f t="shared" si="0"/>
        <v>&lt;dl&gt;&lt;dt&gt;&lt;/dt&gt;&lt;dd&gt;&lt;/dd&gt;&lt;dd&gt;&lt;/dd&gt;&lt;/dl&gt;</v>
      </c>
    </row>
    <row r="38" spans="2:7" ht="17.25" x14ac:dyDescent="0.2">
      <c r="B38" s="5" t="s">
        <v>734</v>
      </c>
      <c r="E38" s="4"/>
      <c r="G38" t="str">
        <f t="shared" si="0"/>
        <v>&lt;dl&gt;&lt;dt&gt;四、主星组合象义&lt;/dt&gt;&lt;dd&gt;&lt;/dd&gt;&lt;dd&gt;&lt;/dd&gt;&lt;/dl&gt;</v>
      </c>
    </row>
    <row r="39" spans="2:7" x14ac:dyDescent="0.2">
      <c r="E39" s="4"/>
      <c r="G39" t="str">
        <f t="shared" si="0"/>
        <v>&lt;dl&gt;&lt;dt&gt;&lt;/dt&gt;&lt;dd&gt;&lt;/dd&gt;&lt;dd&gt;&lt;/dd&gt;&lt;/dl&gt;</v>
      </c>
    </row>
    <row r="40" spans="2:7" ht="15.75" x14ac:dyDescent="0.2">
      <c r="B40" s="13" t="s">
        <v>5677</v>
      </c>
      <c r="G40" t="str">
        <f t="shared" si="0"/>
        <v>&lt;dl&gt;&lt;dt&gt;1. 增强阳金/竞争组合&lt;/dt&gt;&lt;dd&gt;&lt;/dd&gt;&lt;dd&gt;&lt;/dd&gt;&lt;/dl&gt;</v>
      </c>
    </row>
    <row r="41" spans="2:7" x14ac:dyDescent="0.2">
      <c r="G41" t="str">
        <f t="shared" si="0"/>
        <v>&lt;dl&gt;&lt;dt&gt;&lt;/dt&gt;&lt;dd&gt;&lt;/dd&gt;&lt;dd&gt;&lt;/dd&gt;&lt;/dl&gt;</v>
      </c>
    </row>
    <row r="42" spans="2:7" x14ac:dyDescent="0.2">
      <c r="B42" s="2" t="s">
        <v>71</v>
      </c>
      <c r="C42" s="2" t="s">
        <v>1047</v>
      </c>
      <c r="D42" s="2" t="s">
        <v>73</v>
      </c>
      <c r="G42" t="str">
        <f t="shared" si="0"/>
        <v>&lt;dl&gt;&lt;dt&gt;组合​&lt;/dt&gt;&lt;dd&gt;效应​&lt;/dd&gt;&lt;dd&gt;典型案例​&lt;/dd&gt;&lt;/dl&gt;</v>
      </c>
    </row>
    <row r="43" spans="2:7" ht="28.5" x14ac:dyDescent="0.2">
      <c r="B43" s="3" t="s">
        <v>5678</v>
      </c>
      <c r="C43" s="3" t="s">
        <v>5679</v>
      </c>
      <c r="D43" s="4" t="s">
        <v>5680</v>
      </c>
      <c r="E43" s="2" t="s">
        <v>21</v>
      </c>
      <c r="G43" t="str">
        <f t="shared" si="0"/>
        <v>&lt;dl&gt;&lt;dt&gt;擎羊+紫微​&lt;/dt&gt;&lt;dd&gt;帝星带刃，权威带杀气，领导风格强势霸道，事业上竞争激烈。&lt;/dd&gt;&lt;dd&gt;铁腕将军；在激烈竞争中登顶的企业家。&lt;/dd&gt;&lt;/dl&gt;</v>
      </c>
    </row>
    <row r="44" spans="2:7" ht="28.5" x14ac:dyDescent="0.2">
      <c r="B44" s="3" t="s">
        <v>5681</v>
      </c>
      <c r="C44" s="3" t="s">
        <v>5682</v>
      </c>
      <c r="D44" s="4" t="s">
        <v>5683</v>
      </c>
      <c r="E44" s="4"/>
    </row>
    <row r="45" spans="2:7" ht="28.5" x14ac:dyDescent="0.2">
      <c r="B45" s="3" t="s">
        <v>5684</v>
      </c>
      <c r="C45" s="3" t="s">
        <v>5685</v>
      </c>
      <c r="D45" s="4" t="s">
        <v>5686</v>
      </c>
      <c r="E45" s="4"/>
    </row>
    <row r="46" spans="2:7" ht="28.5" x14ac:dyDescent="0.2">
      <c r="B46" s="3" t="s">
        <v>5687</v>
      </c>
      <c r="C46" s="3" t="s">
        <v>5688</v>
      </c>
      <c r="D46" s="4" t="s">
        <v>5689</v>
      </c>
      <c r="E46" s="4"/>
    </row>
    <row r="47" spans="2:7" ht="28.5" x14ac:dyDescent="0.2">
      <c r="B47" s="3" t="s">
        <v>5690</v>
      </c>
      <c r="C47" s="3" t="s">
        <v>5691</v>
      </c>
      <c r="D47" s="4" t="s">
        <v>5692</v>
      </c>
      <c r="E47" s="4"/>
    </row>
    <row r="48" spans="2:7" ht="28.5" x14ac:dyDescent="0.2">
      <c r="B48" s="3" t="s">
        <v>5693</v>
      </c>
      <c r="C48" s="3" t="s">
        <v>5694</v>
      </c>
      <c r="D48" s="4" t="s">
        <v>5695</v>
      </c>
      <c r="E48" s="4"/>
    </row>
    <row r="49" spans="2:7" ht="28.5" x14ac:dyDescent="0.2">
      <c r="B49" s="3" t="s">
        <v>5696</v>
      </c>
      <c r="C49" s="3" t="s">
        <v>5697</v>
      </c>
      <c r="D49" s="4" t="s">
        <v>5698</v>
      </c>
      <c r="G49" t="str">
        <f t="shared" si="0"/>
        <v>&lt;dl&gt;&lt;dt&gt;擎羊+天府​&lt;/dt&gt;&lt;dd&gt;库星破口，稳定的局面被打破，积蓄因冲突损失，或胃部手术。&lt;/dd&gt;&lt;dd&gt;因官司损失财产；进行胃部切除手术。&lt;/dd&gt;&lt;/dl&gt;</v>
      </c>
    </row>
    <row r="50" spans="2:7" ht="28.5" x14ac:dyDescent="0.2">
      <c r="B50" s="3" t="s">
        <v>5699</v>
      </c>
      <c r="C50" s="3" t="s">
        <v>5700</v>
      </c>
      <c r="D50" s="4" t="s">
        <v>5701</v>
      </c>
      <c r="G50" t="str">
        <f t="shared" si="0"/>
        <v>&lt;dl&gt;&lt;dt&gt;擎羊+太阴​&lt;/dt&gt;&lt;dd&gt;阴金见血，内在情绪爆发为外在冲突，女性疾病需手术，房地产纠纷。&lt;/dd&gt;&lt;dd&gt;长期压抑后与人激烈争吵；进行子宫肌瘤手术。&lt;/dd&gt;&lt;/dl&gt;</v>
      </c>
    </row>
    <row r="51" spans="2:7" ht="28.5" x14ac:dyDescent="0.2">
      <c r="B51" s="3" t="s">
        <v>5702</v>
      </c>
      <c r="C51" s="3" t="s">
        <v>5703</v>
      </c>
      <c r="D51" s="4" t="s">
        <v>5704</v>
      </c>
      <c r="G51" t="str">
        <f t="shared" si="0"/>
        <v>&lt;dl&gt;&lt;dt&gt;擎羊+贪狼​&lt;/dt&gt;&lt;dd&gt;欲刃相加，欲望强烈且行动果决，易有桃花劫或竞争夺爱，整形手术。&lt;/dd&gt;&lt;dd&gt;为争夺感情与人冲突；进行整形手术。&lt;/dd&gt;&lt;/dl&gt;</v>
      </c>
    </row>
    <row r="52" spans="2:7" ht="28.5" x14ac:dyDescent="0.2">
      <c r="B52" s="3" t="s">
        <v>5705</v>
      </c>
      <c r="C52" s="3" t="s">
        <v>5706</v>
      </c>
      <c r="D52" s="4" t="s">
        <v>5707</v>
      </c>
      <c r="G52" t="str">
        <f t="shared" si="0"/>
        <v>&lt;dl&gt;&lt;dt&gt;擎羊+巨门​&lt;/dt&gt;&lt;dd&gt;暗刃伤人，是非口舌升级为正面冲突，易有消化系统手术。&lt;/dd&gt;&lt;dd&gt;争论演变为肢体冲突；进行胃部手术。&lt;/dd&gt;&lt;/dl&gt;</v>
      </c>
    </row>
    <row r="53" spans="2:7" ht="28.5" x14ac:dyDescent="0.2">
      <c r="B53" s="3" t="s">
        <v>5708</v>
      </c>
      <c r="C53" s="3" t="s">
        <v>5709</v>
      </c>
      <c r="D53" s="4" t="s">
        <v>5710</v>
      </c>
      <c r="E53" s="2" t="s">
        <v>21</v>
      </c>
    </row>
    <row r="54" spans="2:7" ht="28.5" x14ac:dyDescent="0.2">
      <c r="B54" s="3" t="s">
        <v>5711</v>
      </c>
      <c r="C54" s="3" t="s">
        <v>5712</v>
      </c>
      <c r="D54" s="4" t="s">
        <v>5713</v>
      </c>
      <c r="E54" s="4"/>
    </row>
    <row r="55" spans="2:7" ht="28.5" x14ac:dyDescent="0.2">
      <c r="B55" s="3" t="s">
        <v>5714</v>
      </c>
      <c r="C55" s="3" t="s">
        <v>5715</v>
      </c>
      <c r="D55" s="4" t="s">
        <v>5716</v>
      </c>
      <c r="E55" s="4"/>
    </row>
    <row r="56" spans="2:7" ht="28.5" x14ac:dyDescent="0.2">
      <c r="B56" s="3" t="s">
        <v>5717</v>
      </c>
      <c r="C56" s="3" t="s">
        <v>5718</v>
      </c>
      <c r="D56" s="4" t="s">
        <v>5719</v>
      </c>
      <c r="E56" s="4"/>
    </row>
    <row r="57" spans="2:7" x14ac:dyDescent="0.2">
      <c r="E57" s="4"/>
    </row>
    <row r="58" spans="2:7" x14ac:dyDescent="0.2">
      <c r="E58" s="4"/>
    </row>
    <row r="59" spans="2:7" ht="17.25" x14ac:dyDescent="0.2">
      <c r="B59" s="5" t="s">
        <v>746</v>
      </c>
    </row>
    <row r="61" spans="2:7" x14ac:dyDescent="0.2">
      <c r="B61" s="2" t="s">
        <v>40</v>
      </c>
      <c r="C61" s="2" t="s">
        <v>1414</v>
      </c>
      <c r="D61" s="2" t="s">
        <v>21</v>
      </c>
    </row>
    <row r="62" spans="2:7" ht="28.5" x14ac:dyDescent="0.2">
      <c r="B62" s="3" t="s">
        <v>5720</v>
      </c>
      <c r="C62" s="3" t="s">
        <v>5327</v>
      </c>
      <c r="D62" s="4" t="s">
        <v>5328</v>
      </c>
    </row>
    <row r="63" spans="2:7" ht="28.5" x14ac:dyDescent="0.2">
      <c r="B63" s="3" t="s">
        <v>5721</v>
      </c>
      <c r="C63" s="3" t="s">
        <v>5722</v>
      </c>
      <c r="D63" s="4" t="s">
        <v>5723</v>
      </c>
      <c r="E63" s="2" t="s">
        <v>21</v>
      </c>
    </row>
    <row r="64" spans="2:7" ht="28.5" x14ac:dyDescent="0.2">
      <c r="B64" s="3" t="s">
        <v>5724</v>
      </c>
      <c r="C64" s="3" t="s">
        <v>5626</v>
      </c>
      <c r="D64" s="4" t="s">
        <v>5627</v>
      </c>
      <c r="E64" s="4"/>
    </row>
    <row r="65" spans="2:5" ht="28.5" x14ac:dyDescent="0.2">
      <c r="B65" s="3" t="s">
        <v>5725</v>
      </c>
      <c r="C65" s="3" t="s">
        <v>5726</v>
      </c>
      <c r="D65" s="4" t="s">
        <v>5727</v>
      </c>
      <c r="E65" s="4"/>
    </row>
    <row r="66" spans="2:5" ht="28.5" x14ac:dyDescent="0.2">
      <c r="B66" s="3" t="s">
        <v>5728</v>
      </c>
      <c r="C66" s="3" t="s">
        <v>5729</v>
      </c>
      <c r="D66" s="4" t="s">
        <v>5435</v>
      </c>
      <c r="E66" s="4"/>
    </row>
    <row r="67" spans="2:5" ht="28.5" x14ac:dyDescent="0.2">
      <c r="B67" s="3" t="s">
        <v>5730</v>
      </c>
      <c r="C67" s="3" t="s">
        <v>5731</v>
      </c>
      <c r="D67" s="4" t="s">
        <v>5732</v>
      </c>
    </row>
    <row r="68" spans="2:5" ht="28.5" x14ac:dyDescent="0.2">
      <c r="B68" s="3" t="s">
        <v>5733</v>
      </c>
      <c r="C68" s="3" t="s">
        <v>5734</v>
      </c>
      <c r="D68" s="4" t="s">
        <v>5735</v>
      </c>
    </row>
    <row r="69" spans="2:5" ht="28.5" x14ac:dyDescent="0.2">
      <c r="B69" s="3" t="s">
        <v>5736</v>
      </c>
      <c r="C69" s="3" t="s">
        <v>5737</v>
      </c>
      <c r="D69" s="4" t="s">
        <v>5738</v>
      </c>
    </row>
    <row r="70" spans="2:5" ht="28.5" x14ac:dyDescent="0.2">
      <c r="B70" s="3" t="s">
        <v>5739</v>
      </c>
      <c r="C70" s="3" t="s">
        <v>5740</v>
      </c>
      <c r="D70" s="4" t="s">
        <v>5741</v>
      </c>
    </row>
    <row r="71" spans="2:5" ht="28.5" x14ac:dyDescent="0.2">
      <c r="B71" s="3" t="s">
        <v>5742</v>
      </c>
      <c r="C71" s="3" t="s">
        <v>5743</v>
      </c>
      <c r="D71" s="4" t="s">
        <v>5744</v>
      </c>
    </row>
    <row r="74" spans="2:5" ht="17.25" x14ac:dyDescent="0.2">
      <c r="B74" s="5" t="s">
        <v>1805</v>
      </c>
    </row>
    <row r="75" spans="2:5" x14ac:dyDescent="0.2">
      <c r="B75" s="6"/>
    </row>
    <row r="76" spans="2:5" x14ac:dyDescent="0.2">
      <c r="B76" s="7" t="s">
        <v>5745</v>
      </c>
    </row>
    <row r="77" spans="2:5" x14ac:dyDescent="0.2">
      <c r="B77" s="7" t="s">
        <v>5746</v>
      </c>
    </row>
    <row r="78" spans="2:5" x14ac:dyDescent="0.2">
      <c r="B78" s="7" t="s">
        <v>5747</v>
      </c>
    </row>
    <row r="79" spans="2:5" x14ac:dyDescent="0.2">
      <c r="B79" s="7" t="s">
        <v>5748</v>
      </c>
    </row>
    <row r="80" spans="2:5" x14ac:dyDescent="0.2">
      <c r="B80" s="9" t="s">
        <v>1664</v>
      </c>
    </row>
    <row r="81" spans="2:2" x14ac:dyDescent="0.2">
      <c r="B81" s="6"/>
    </row>
    <row r="82" spans="2:2" x14ac:dyDescent="0.2">
      <c r="B82" s="6"/>
    </row>
  </sheetData>
  <phoneticPr fontId="2" type="noConversion"/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598485-D57F-49E1-A61D-761828F60DD0}">
  <dimension ref="B1:G82"/>
  <sheetViews>
    <sheetView zoomScaleNormal="100" workbookViewId="0">
      <selection activeCell="B1" sqref="B1:D79"/>
    </sheetView>
  </sheetViews>
  <sheetFormatPr defaultRowHeight="14.25" x14ac:dyDescent="0.2"/>
  <cols>
    <col min="1" max="1" width="2.75" customWidth="1"/>
    <col min="2" max="2" width="15.625" customWidth="1"/>
    <col min="3" max="3" width="43.125" customWidth="1"/>
    <col min="4" max="4" width="32.75" customWidth="1"/>
  </cols>
  <sheetData>
    <row r="1" spans="2:7" ht="17.25" x14ac:dyDescent="0.2">
      <c r="B1" s="5" t="s">
        <v>5560</v>
      </c>
      <c r="G1" t="str">
        <f>"&lt;dl&gt;&lt;dt&gt;" &amp; B1 &amp; "&lt;/dt&gt;&lt;dd&gt;" &amp; C1 &amp; "&lt;/dd&gt;&lt;dd&gt;" &amp; D1 &amp; "&lt;/dd&gt;&lt;/dl&gt;"</f>
        <v>&lt;dl&gt;&lt;dt&gt;一、陀罗定义&lt;/dt&gt;&lt;dd&gt;&lt;/dd&gt;&lt;dd&gt;&lt;/dd&gt;&lt;/dl&gt;</v>
      </c>
    </row>
    <row r="3" spans="2:7" x14ac:dyDescent="0.2">
      <c r="B3" s="2" t="s">
        <v>376</v>
      </c>
      <c r="C3" s="2" t="s">
        <v>377</v>
      </c>
      <c r="D3" s="2" t="s">
        <v>21</v>
      </c>
    </row>
    <row r="4" spans="2:7" x14ac:dyDescent="0.2">
      <c r="B4" s="3" t="s">
        <v>624</v>
      </c>
      <c r="C4" s="4" t="s">
        <v>5561</v>
      </c>
      <c r="D4" s="4"/>
    </row>
    <row r="5" spans="2:7" ht="42.75" x14ac:dyDescent="0.2">
      <c r="B5" s="3" t="s">
        <v>378</v>
      </c>
      <c r="C5" s="4" t="s">
        <v>5562</v>
      </c>
      <c r="D5" s="4"/>
    </row>
    <row r="6" spans="2:7" ht="42.75" x14ac:dyDescent="0.2">
      <c r="B6" s="3" t="s">
        <v>1717</v>
      </c>
      <c r="C6" s="4" t="s">
        <v>5563</v>
      </c>
      <c r="D6" s="4"/>
    </row>
    <row r="9" spans="2:7" ht="17.25" x14ac:dyDescent="0.2">
      <c r="B9" s="5" t="s">
        <v>1719</v>
      </c>
    </row>
    <row r="11" spans="2:7" ht="15.75" x14ac:dyDescent="0.2">
      <c r="B11" s="13" t="s">
        <v>1720</v>
      </c>
    </row>
    <row r="13" spans="2:7" x14ac:dyDescent="0.2">
      <c r="B13" s="2" t="s">
        <v>390</v>
      </c>
      <c r="C13" s="2" t="s">
        <v>1818</v>
      </c>
      <c r="D13" s="2" t="s">
        <v>1819</v>
      </c>
    </row>
    <row r="14" spans="2:7" ht="28.5" x14ac:dyDescent="0.2">
      <c r="B14" s="3" t="s">
        <v>5564</v>
      </c>
      <c r="C14" s="4" t="s">
        <v>5565</v>
      </c>
      <c r="D14" s="4" t="s">
        <v>2371</v>
      </c>
      <c r="E14" s="2" t="s">
        <v>21</v>
      </c>
    </row>
    <row r="15" spans="2:7" ht="28.5" x14ac:dyDescent="0.2">
      <c r="B15" s="3" t="s">
        <v>5566</v>
      </c>
      <c r="C15" s="4" t="s">
        <v>5567</v>
      </c>
      <c r="D15" s="4" t="s">
        <v>5158</v>
      </c>
      <c r="E15" s="4"/>
    </row>
    <row r="16" spans="2:7" x14ac:dyDescent="0.2">
      <c r="B16" s="3" t="s">
        <v>5568</v>
      </c>
      <c r="C16" s="4" t="s">
        <v>5569</v>
      </c>
      <c r="D16" s="4" t="s">
        <v>2467</v>
      </c>
      <c r="E16" s="4"/>
    </row>
    <row r="17" spans="2:7" ht="28.5" x14ac:dyDescent="0.2">
      <c r="B17" s="3" t="s">
        <v>5570</v>
      </c>
      <c r="C17" s="4" t="s">
        <v>5571</v>
      </c>
      <c r="D17" s="4" t="s">
        <v>5161</v>
      </c>
      <c r="E17" s="4"/>
    </row>
    <row r="18" spans="2:7" ht="28.5" x14ac:dyDescent="0.2">
      <c r="B18" s="3" t="s">
        <v>5572</v>
      </c>
      <c r="C18" s="4" t="s">
        <v>5573</v>
      </c>
      <c r="D18" s="4" t="s">
        <v>5471</v>
      </c>
    </row>
    <row r="21" spans="2:7" ht="17.25" x14ac:dyDescent="0.2">
      <c r="B21" s="5" t="s">
        <v>1733</v>
      </c>
    </row>
    <row r="23" spans="2:7" x14ac:dyDescent="0.2">
      <c r="B23" s="2" t="s">
        <v>18</v>
      </c>
      <c r="C23" s="2" t="s">
        <v>1818</v>
      </c>
      <c r="D23" s="2" t="s">
        <v>21</v>
      </c>
    </row>
    <row r="24" spans="2:7" ht="28.5" x14ac:dyDescent="0.2">
      <c r="B24" s="3" t="s">
        <v>201</v>
      </c>
      <c r="C24" s="4" t="s">
        <v>5574</v>
      </c>
      <c r="D24" s="4"/>
      <c r="G24" t="str">
        <f t="shared" ref="G24:G52" si="0">"&lt;dl&gt;&lt;dt&gt;" &amp; B24 &amp; "&lt;/dt&gt;&lt;dd&gt;" &amp; C24 &amp; "&lt;/dd&gt;&lt;dd&gt;" &amp; D24 &amp; "&lt;/dd&gt;&lt;/dl&gt;"</f>
        <v>&lt;dl&gt;&lt;dt&gt;命宫​&lt;/dt&gt;&lt;dd&gt;性格固执，行动迟缓，做事拖沓，一生多阻滞，但耐力强。&lt;/dd&gt;&lt;dd&gt;&lt;/dd&gt;&lt;/dl&gt;</v>
      </c>
    </row>
    <row r="25" spans="2:7" ht="28.5" x14ac:dyDescent="0.2">
      <c r="B25" s="3" t="s">
        <v>246</v>
      </c>
      <c r="C25" s="4" t="s">
        <v>5575</v>
      </c>
      <c r="D25" s="4"/>
      <c r="G25" t="str">
        <f t="shared" si="0"/>
        <v>&lt;dl&gt;&lt;dt&gt;兄弟宫​&lt;/dt&gt;&lt;dd&gt;与兄弟姐妹关系疏远，易有反复纠葛；朋友关系进展缓慢。&lt;/dd&gt;&lt;dd&gt;&lt;/dd&gt;&lt;/dl&gt;</v>
      </c>
    </row>
    <row r="26" spans="2:7" ht="28.5" x14ac:dyDescent="0.2">
      <c r="B26" s="3" t="s">
        <v>125</v>
      </c>
      <c r="C26" s="4" t="s">
        <v>5576</v>
      </c>
      <c r="D26" s="4"/>
      <c r="G26" t="str">
        <f t="shared" si="0"/>
        <v>&lt;dl&gt;&lt;dt&gt;夫妻宫​&lt;/dt&gt;&lt;dd&gt;感情发展缓慢，关系反复纠缠，易旧情复燃，婚姻迟来。&lt;/dd&gt;&lt;dd&gt;&lt;/dd&gt;&lt;/dl&gt;</v>
      </c>
    </row>
    <row r="27" spans="2:7" ht="28.5" x14ac:dyDescent="0.2">
      <c r="B27" s="3" t="s">
        <v>128</v>
      </c>
      <c r="C27" s="4" t="s">
        <v>5577</v>
      </c>
      <c r="D27" s="4"/>
      <c r="G27" t="str">
        <f t="shared" si="0"/>
        <v>&lt;dl&gt;&lt;dt&gt;子女宫​&lt;/dt&gt;&lt;dd&gt;子女缘薄，得子较晚；合作事项反复拖延，投资回收慢。&lt;/dd&gt;&lt;dd&gt;&lt;/dd&gt;&lt;/dl&gt;</v>
      </c>
    </row>
    <row r="28" spans="2:7" ht="28.5" x14ac:dyDescent="0.2">
      <c r="B28" s="3" t="s">
        <v>3</v>
      </c>
      <c r="C28" s="4" t="s">
        <v>5578</v>
      </c>
      <c r="D28" s="4"/>
      <c r="G28" t="str">
        <f t="shared" si="0"/>
        <v>&lt;dl&gt;&lt;dt&gt;财帛宫​&lt;/dt&gt;&lt;dd&gt;求财过程艰辛缓慢，适合长期投资，不宜短线操作。&lt;/dd&gt;&lt;dd&gt;&lt;/dd&gt;&lt;/dl&gt;</v>
      </c>
    </row>
    <row r="29" spans="2:7" ht="28.5" x14ac:dyDescent="0.2">
      <c r="B29" s="3" t="s">
        <v>6</v>
      </c>
      <c r="C29" s="3" t="s">
        <v>5579</v>
      </c>
      <c r="D29" s="4"/>
      <c r="G29" t="str">
        <f t="shared" si="0"/>
        <v>&lt;dl&gt;&lt;dt&gt;疾厄宫​&lt;/dt&gt;&lt;dd&gt;核心宫位。易患慢性病、旧疾、顽固性疾病，康复过程漫长。&lt;/dd&gt;&lt;dd&gt;&lt;/dd&gt;&lt;/dl&gt;</v>
      </c>
    </row>
    <row r="30" spans="2:7" x14ac:dyDescent="0.2">
      <c r="B30" s="3" t="s">
        <v>15</v>
      </c>
      <c r="C30" s="4" t="s">
        <v>5580</v>
      </c>
      <c r="D30" s="4"/>
    </row>
    <row r="31" spans="2:7" ht="28.5" x14ac:dyDescent="0.2">
      <c r="B31" s="3" t="s">
        <v>12</v>
      </c>
      <c r="C31" s="4" t="s">
        <v>5581</v>
      </c>
      <c r="D31" s="4"/>
      <c r="E31" s="2" t="s">
        <v>21</v>
      </c>
    </row>
    <row r="32" spans="2:7" ht="28.5" x14ac:dyDescent="0.2">
      <c r="B32" s="3" t="s">
        <v>206</v>
      </c>
      <c r="C32" s="4" t="s">
        <v>5582</v>
      </c>
      <c r="D32" s="4"/>
      <c r="E32" s="4"/>
    </row>
    <row r="33" spans="2:7" ht="28.5" x14ac:dyDescent="0.2">
      <c r="B33" s="3" t="s">
        <v>0</v>
      </c>
      <c r="C33" s="4" t="s">
        <v>5583</v>
      </c>
      <c r="D33" s="4"/>
      <c r="E33" s="4"/>
    </row>
    <row r="34" spans="2:7" ht="28.5" x14ac:dyDescent="0.2">
      <c r="B34" s="3" t="s">
        <v>116</v>
      </c>
      <c r="C34" s="4" t="s">
        <v>5584</v>
      </c>
      <c r="D34" s="4"/>
      <c r="E34" s="4"/>
    </row>
    <row r="35" spans="2:7" ht="28.5" x14ac:dyDescent="0.2">
      <c r="B35" s="3" t="s">
        <v>9</v>
      </c>
      <c r="C35" s="4" t="s">
        <v>5585</v>
      </c>
      <c r="D35" s="4"/>
      <c r="E35" s="4"/>
      <c r="G35" t="str">
        <f t="shared" si="0"/>
        <v>&lt;dl&gt;&lt;dt&gt;父母宫​&lt;/dt&gt;&lt;dd&gt;与父母缘分较薄，关系疏远冷淡，得到长辈助力迟缓。&lt;/dd&gt;&lt;dd&gt;&lt;/dd&gt;&lt;/dl&gt;</v>
      </c>
    </row>
    <row r="36" spans="2:7" x14ac:dyDescent="0.2">
      <c r="G36" t="str">
        <f t="shared" si="0"/>
        <v>&lt;dl&gt;&lt;dt&gt;&lt;/dt&gt;&lt;dd&gt;&lt;/dd&gt;&lt;dd&gt;&lt;/dd&gt;&lt;/dl&gt;</v>
      </c>
    </row>
    <row r="37" spans="2:7" x14ac:dyDescent="0.2">
      <c r="G37" t="str">
        <f t="shared" si="0"/>
        <v>&lt;dl&gt;&lt;dt&gt;&lt;/dt&gt;&lt;dd&gt;&lt;/dd&gt;&lt;dd&gt;&lt;/dd&gt;&lt;/dl&gt;</v>
      </c>
    </row>
    <row r="38" spans="2:7" ht="17.25" x14ac:dyDescent="0.2">
      <c r="B38" s="5" t="s">
        <v>734</v>
      </c>
      <c r="G38" t="str">
        <f t="shared" si="0"/>
        <v>&lt;dl&gt;&lt;dt&gt;四、主星组合象义&lt;/dt&gt;&lt;dd&gt;&lt;/dd&gt;&lt;dd&gt;&lt;/dd&gt;&lt;/dl&gt;</v>
      </c>
    </row>
    <row r="39" spans="2:7" x14ac:dyDescent="0.2">
      <c r="E39" s="2" t="s">
        <v>21</v>
      </c>
      <c r="G39" t="str">
        <f t="shared" si="0"/>
        <v>&lt;dl&gt;&lt;dt&gt;&lt;/dt&gt;&lt;dd&gt;&lt;/dd&gt;&lt;dd&gt;&lt;/dd&gt;&lt;/dl&gt;</v>
      </c>
    </row>
    <row r="40" spans="2:7" ht="15.75" x14ac:dyDescent="0.2">
      <c r="B40" s="13" t="s">
        <v>5586</v>
      </c>
      <c r="E40" s="4"/>
      <c r="G40" t="str">
        <f t="shared" si="0"/>
        <v>&lt;dl&gt;&lt;dt&gt;1. 增强拖延/反复组合&lt;/dt&gt;&lt;dd&gt;&lt;/dd&gt;&lt;dd&gt;&lt;/dd&gt;&lt;/dl&gt;</v>
      </c>
    </row>
    <row r="41" spans="2:7" x14ac:dyDescent="0.2">
      <c r="E41" s="4"/>
      <c r="G41" t="str">
        <f t="shared" si="0"/>
        <v>&lt;dl&gt;&lt;dt&gt;&lt;/dt&gt;&lt;dd&gt;&lt;/dd&gt;&lt;dd&gt;&lt;/dd&gt;&lt;/dl&gt;</v>
      </c>
    </row>
    <row r="42" spans="2:7" x14ac:dyDescent="0.2">
      <c r="B42" s="2" t="s">
        <v>71</v>
      </c>
      <c r="C42" s="2" t="s">
        <v>1047</v>
      </c>
      <c r="D42" s="2" t="s">
        <v>73</v>
      </c>
      <c r="E42" s="4"/>
      <c r="G42" t="str">
        <f t="shared" si="0"/>
        <v>&lt;dl&gt;&lt;dt&gt;组合​&lt;/dt&gt;&lt;dd&gt;效应​&lt;/dd&gt;&lt;dd&gt;典型案例​&lt;/dd&gt;&lt;/dl&gt;</v>
      </c>
    </row>
    <row r="43" spans="2:7" ht="28.5" x14ac:dyDescent="0.2">
      <c r="B43" s="3" t="s">
        <v>5587</v>
      </c>
      <c r="C43" s="3" t="s">
        <v>5588</v>
      </c>
      <c r="D43" s="4" t="s">
        <v>5589</v>
      </c>
      <c r="E43" s="4"/>
      <c r="G43" t="str">
        <f t="shared" si="0"/>
        <v>&lt;dl&gt;&lt;dt&gt;陀罗+紫微​&lt;/dt&gt;&lt;dd&gt;帝星遇磨，表面尊贵但行动迟缓，事业大器晚成，权力巩固过程漫长。&lt;/dd&gt;&lt;dd&gt;晚年得志的领导者；皇位继承过程漫长曲折。&lt;/dd&gt;&lt;/dl&gt;</v>
      </c>
    </row>
    <row r="44" spans="2:7" ht="28.5" x14ac:dyDescent="0.2">
      <c r="B44" s="3" t="s">
        <v>5590</v>
      </c>
      <c r="C44" s="3" t="s">
        <v>5591</v>
      </c>
      <c r="D44" s="4" t="s">
        <v>5592</v>
      </c>
    </row>
    <row r="45" spans="2:7" ht="28.5" x14ac:dyDescent="0.2">
      <c r="B45" s="3" t="s">
        <v>5593</v>
      </c>
      <c r="C45" s="3" t="s">
        <v>5594</v>
      </c>
      <c r="D45" s="4" t="s">
        <v>5595</v>
      </c>
    </row>
    <row r="46" spans="2:7" ht="28.5" x14ac:dyDescent="0.2">
      <c r="B46" s="3" t="s">
        <v>5596</v>
      </c>
      <c r="C46" s="3" t="s">
        <v>5597</v>
      </c>
      <c r="D46" s="4" t="s">
        <v>5598</v>
      </c>
    </row>
    <row r="47" spans="2:7" ht="28.5" x14ac:dyDescent="0.2">
      <c r="B47" s="3" t="s">
        <v>1668</v>
      </c>
      <c r="C47" s="3" t="s">
        <v>5599</v>
      </c>
      <c r="D47" s="4" t="s">
        <v>5600</v>
      </c>
    </row>
    <row r="48" spans="2:7" ht="28.5" x14ac:dyDescent="0.2">
      <c r="B48" s="3" t="s">
        <v>5601</v>
      </c>
      <c r="C48" s="3" t="s">
        <v>5602</v>
      </c>
      <c r="D48" s="4" t="s">
        <v>5603</v>
      </c>
      <c r="E48" s="2" t="s">
        <v>21</v>
      </c>
    </row>
    <row r="49" spans="2:7" ht="28.5" x14ac:dyDescent="0.2">
      <c r="B49" s="3" t="s">
        <v>5604</v>
      </c>
      <c r="C49" s="3" t="s">
        <v>5605</v>
      </c>
      <c r="D49" s="4" t="s">
        <v>5606</v>
      </c>
      <c r="E49" s="4"/>
      <c r="G49" t="str">
        <f t="shared" si="0"/>
        <v>&lt;dl&gt;&lt;dt&gt;陀罗+天府​&lt;/dt&gt;&lt;dd&gt;库星迟滞，守成但进展缓慢，积蓄增长慢，管理保守，慢性胃病。&lt;/dd&gt;&lt;dd&gt;财富缓慢增长的守财奴；患有慢性胃炎。&lt;/dd&gt;&lt;/dl&gt;</v>
      </c>
    </row>
    <row r="50" spans="2:7" ht="28.5" x14ac:dyDescent="0.2">
      <c r="B50" s="3" t="s">
        <v>5607</v>
      </c>
      <c r="C50" s="3" t="s">
        <v>5608</v>
      </c>
      <c r="D50" s="4" t="s">
        <v>5609</v>
      </c>
      <c r="E50" s="4"/>
      <c r="G50" t="str">
        <f t="shared" si="0"/>
        <v>&lt;dl&gt;&lt;dt&gt;陀罗+太阴​&lt;/dt&gt;&lt;dd&gt;阴金慢蚀，情绪慢性消耗，女性问题缠绵难愈，房地产交易拖延。&lt;/dd&gt;&lt;dd&gt;长期情绪抑郁；慢性妇科病。&lt;/dd&gt;&lt;/dl&gt;</v>
      </c>
    </row>
    <row r="51" spans="2:7" ht="28.5" x14ac:dyDescent="0.2">
      <c r="B51" s="3" t="s">
        <v>1665</v>
      </c>
      <c r="C51" s="3" t="s">
        <v>5610</v>
      </c>
      <c r="D51" s="4" t="s">
        <v>5611</v>
      </c>
      <c r="E51" s="4"/>
      <c r="G51" t="str">
        <f t="shared" si="0"/>
        <v>&lt;dl&gt;&lt;dt&gt;陀罗+贪狼​&lt;/dt&gt;&lt;dd&gt;欲星迟得，欲望满足过程漫长，桃花来得晚，嗜好成瘾慢。&lt;/dd&gt;&lt;dd&gt;晚婚；长期学习才精通的技艺。&lt;/dd&gt;&lt;/dl&gt;</v>
      </c>
    </row>
    <row r="52" spans="2:7" ht="28.5" x14ac:dyDescent="0.2">
      <c r="B52" s="3" t="s">
        <v>5612</v>
      </c>
      <c r="C52" s="3" t="s">
        <v>5613</v>
      </c>
      <c r="D52" s="4" t="s">
        <v>5614</v>
      </c>
      <c r="E52" s="4"/>
      <c r="G52" t="str">
        <f t="shared" si="0"/>
        <v>&lt;dl&gt;&lt;dt&gt;陀罗+巨门​&lt;/dt&gt;&lt;dd&gt;暗星反复，是非口舌反复纠缠，旧事重提，消化系统慢性疾病。&lt;/dd&gt;&lt;dd&gt;陈年旧怨被反复提起；患有慢性肠炎。&lt;/dd&gt;&lt;/dl&gt;</v>
      </c>
    </row>
    <row r="53" spans="2:7" ht="28.5" x14ac:dyDescent="0.2">
      <c r="B53" s="3" t="s">
        <v>5615</v>
      </c>
      <c r="C53" s="3" t="s">
        <v>5616</v>
      </c>
      <c r="D53" s="4" t="s">
        <v>5617</v>
      </c>
      <c r="E53" s="4"/>
    </row>
    <row r="54" spans="2:7" ht="28.5" x14ac:dyDescent="0.2">
      <c r="B54" s="3" t="s">
        <v>5618</v>
      </c>
      <c r="C54" s="3" t="s">
        <v>5619</v>
      </c>
      <c r="D54" s="4" t="s">
        <v>5620</v>
      </c>
    </row>
    <row r="55" spans="2:7" ht="28.5" x14ac:dyDescent="0.2">
      <c r="B55" s="3" t="s">
        <v>1667</v>
      </c>
      <c r="C55" s="3" t="s">
        <v>5621</v>
      </c>
      <c r="D55" s="4" t="s">
        <v>5622</v>
      </c>
    </row>
    <row r="56" spans="2:7" ht="28.5" x14ac:dyDescent="0.2">
      <c r="B56" s="3" t="s">
        <v>1666</v>
      </c>
      <c r="C56" s="3" t="s">
        <v>5623</v>
      </c>
      <c r="D56" s="4" t="s">
        <v>5624</v>
      </c>
    </row>
    <row r="58" spans="2:7" x14ac:dyDescent="0.2">
      <c r="E58" s="2" t="s">
        <v>454</v>
      </c>
      <c r="F58" s="2" t="s">
        <v>21</v>
      </c>
    </row>
    <row r="59" spans="2:7" ht="57" x14ac:dyDescent="0.2">
      <c r="B59" s="5" t="s">
        <v>746</v>
      </c>
      <c r="E59" s="4" t="s">
        <v>1672</v>
      </c>
      <c r="F59" s="4"/>
    </row>
    <row r="60" spans="2:7" ht="42.75" x14ac:dyDescent="0.2">
      <c r="E60" s="4" t="s">
        <v>1673</v>
      </c>
      <c r="F60" s="4"/>
    </row>
    <row r="61" spans="2:7" x14ac:dyDescent="0.2">
      <c r="B61" s="2" t="s">
        <v>40</v>
      </c>
      <c r="C61" s="2" t="s">
        <v>1414</v>
      </c>
      <c r="D61" s="2" t="s">
        <v>21</v>
      </c>
    </row>
    <row r="62" spans="2:7" ht="28.5" x14ac:dyDescent="0.2">
      <c r="B62" s="3" t="s">
        <v>1670</v>
      </c>
      <c r="C62" s="3" t="s">
        <v>5330</v>
      </c>
      <c r="D62" s="4" t="s">
        <v>5331</v>
      </c>
    </row>
    <row r="63" spans="2:7" ht="28.5" x14ac:dyDescent="0.2">
      <c r="B63" s="3" t="s">
        <v>1669</v>
      </c>
      <c r="C63" s="3" t="s">
        <v>5226</v>
      </c>
      <c r="D63" s="4" t="s">
        <v>5227</v>
      </c>
    </row>
    <row r="64" spans="2:7" ht="28.5" x14ac:dyDescent="0.2">
      <c r="B64" s="3" t="s">
        <v>5625</v>
      </c>
      <c r="C64" s="3" t="s">
        <v>5626</v>
      </c>
      <c r="D64" s="4" t="s">
        <v>5627</v>
      </c>
    </row>
    <row r="65" spans="2:4" ht="28.5" x14ac:dyDescent="0.2">
      <c r="B65" s="3" t="s">
        <v>1671</v>
      </c>
      <c r="C65" s="3" t="s">
        <v>5539</v>
      </c>
      <c r="D65" s="4" t="s">
        <v>5540</v>
      </c>
    </row>
    <row r="66" spans="2:4" ht="28.5" x14ac:dyDescent="0.2">
      <c r="B66" s="3" t="s">
        <v>5628</v>
      </c>
      <c r="C66" s="3" t="s">
        <v>5436</v>
      </c>
      <c r="D66" s="4" t="s">
        <v>5437</v>
      </c>
    </row>
    <row r="67" spans="2:4" ht="28.5" x14ac:dyDescent="0.2">
      <c r="B67" s="3" t="s">
        <v>5629</v>
      </c>
      <c r="C67" s="3" t="s">
        <v>5630</v>
      </c>
      <c r="D67" s="4" t="s">
        <v>5631</v>
      </c>
    </row>
    <row r="68" spans="2:4" ht="28.5" x14ac:dyDescent="0.2">
      <c r="B68" s="3" t="s">
        <v>5632</v>
      </c>
      <c r="C68" s="3" t="s">
        <v>5633</v>
      </c>
      <c r="D68" s="4" t="s">
        <v>5634</v>
      </c>
    </row>
    <row r="69" spans="2:4" ht="28.5" x14ac:dyDescent="0.2">
      <c r="B69" s="3" t="s">
        <v>5635</v>
      </c>
      <c r="C69" s="3" t="s">
        <v>5636</v>
      </c>
      <c r="D69" s="4" t="s">
        <v>5637</v>
      </c>
    </row>
    <row r="70" spans="2:4" ht="28.5" x14ac:dyDescent="0.2">
      <c r="B70" s="3" t="s">
        <v>5638</v>
      </c>
      <c r="C70" s="3" t="s">
        <v>5639</v>
      </c>
      <c r="D70" s="4" t="s">
        <v>5640</v>
      </c>
    </row>
    <row r="71" spans="2:4" ht="28.5" x14ac:dyDescent="0.2">
      <c r="B71" s="3" t="s">
        <v>5641</v>
      </c>
      <c r="C71" s="3" t="s">
        <v>5642</v>
      </c>
      <c r="D71" s="4" t="s">
        <v>5643</v>
      </c>
    </row>
    <row r="74" spans="2:4" ht="17.25" x14ac:dyDescent="0.2">
      <c r="B74" s="5" t="s">
        <v>1805</v>
      </c>
    </row>
    <row r="75" spans="2:4" x14ac:dyDescent="0.2">
      <c r="B75" s="6"/>
    </row>
    <row r="76" spans="2:4" x14ac:dyDescent="0.2">
      <c r="B76" s="7" t="s">
        <v>5644</v>
      </c>
    </row>
    <row r="77" spans="2:4" x14ac:dyDescent="0.2">
      <c r="B77" s="7" t="s">
        <v>5645</v>
      </c>
    </row>
    <row r="78" spans="2:4" x14ac:dyDescent="0.2">
      <c r="B78" s="7" t="s">
        <v>5646</v>
      </c>
    </row>
    <row r="79" spans="2:4" x14ac:dyDescent="0.2">
      <c r="B79" s="7" t="s">
        <v>5647</v>
      </c>
    </row>
    <row r="80" spans="2:4" x14ac:dyDescent="0.2">
      <c r="B80" s="16"/>
    </row>
    <row r="81" spans="2:2" x14ac:dyDescent="0.2">
      <c r="B81" s="6"/>
    </row>
    <row r="82" spans="2:2" x14ac:dyDescent="0.2">
      <c r="B82" s="6"/>
    </row>
  </sheetData>
  <phoneticPr fontId="2" type="noConversion"/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F6C818-7196-4ECE-9C97-EFCAD2F30BA0}">
  <dimension ref="B1:G83"/>
  <sheetViews>
    <sheetView zoomScaleNormal="100" workbookViewId="0">
      <selection activeCell="B1" sqref="B1:D79"/>
    </sheetView>
  </sheetViews>
  <sheetFormatPr defaultRowHeight="14.25" x14ac:dyDescent="0.2"/>
  <cols>
    <col min="1" max="1" width="2.75" customWidth="1"/>
    <col min="2" max="2" width="15.625" customWidth="1"/>
    <col min="3" max="3" width="43.125" customWidth="1"/>
    <col min="4" max="4" width="32.75" customWidth="1"/>
  </cols>
  <sheetData>
    <row r="1" spans="2:7" ht="17.25" x14ac:dyDescent="0.2">
      <c r="B1" s="5" t="s">
        <v>5457</v>
      </c>
      <c r="G1" t="str">
        <f>"&lt;dl&gt;&lt;dt&gt;" &amp; B1 &amp; "&lt;/dt&gt;&lt;dd&gt;" &amp; C1 &amp; "&lt;/dd&gt;&lt;dd&gt;" &amp; D1 &amp; "&lt;/dd&gt;&lt;/dl&gt;"</f>
        <v>&lt;dl&gt;&lt;dt&gt;一、地空定义&lt;/dt&gt;&lt;dd&gt;&lt;/dd&gt;&lt;dd&gt;&lt;/dd&gt;&lt;/dl&gt;</v>
      </c>
    </row>
    <row r="3" spans="2:7" x14ac:dyDescent="0.2">
      <c r="B3" s="2" t="s">
        <v>376</v>
      </c>
      <c r="C3" s="2" t="s">
        <v>377</v>
      </c>
      <c r="D3" s="2" t="s">
        <v>21</v>
      </c>
    </row>
    <row r="4" spans="2:7" x14ac:dyDescent="0.2">
      <c r="B4" s="3" t="s">
        <v>624</v>
      </c>
      <c r="C4" s="4" t="s">
        <v>5458</v>
      </c>
      <c r="D4" s="4"/>
    </row>
    <row r="5" spans="2:7" ht="57" x14ac:dyDescent="0.2">
      <c r="B5" s="3" t="s">
        <v>378</v>
      </c>
      <c r="C5" s="4" t="s">
        <v>5459</v>
      </c>
      <c r="D5" s="4"/>
    </row>
    <row r="6" spans="2:7" ht="42.75" x14ac:dyDescent="0.2">
      <c r="B6" s="3" t="s">
        <v>1717</v>
      </c>
      <c r="C6" s="4" t="s">
        <v>5460</v>
      </c>
      <c r="D6" s="4"/>
    </row>
    <row r="9" spans="2:7" ht="17.25" x14ac:dyDescent="0.2">
      <c r="B9" s="5" t="s">
        <v>1719</v>
      </c>
    </row>
    <row r="11" spans="2:7" ht="15.75" x14ac:dyDescent="0.2">
      <c r="B11" s="13" t="s">
        <v>1720</v>
      </c>
    </row>
    <row r="13" spans="2:7" x14ac:dyDescent="0.2">
      <c r="B13" s="2" t="s">
        <v>390</v>
      </c>
      <c r="C13" s="2" t="s">
        <v>1818</v>
      </c>
      <c r="D13" s="2" t="s">
        <v>1819</v>
      </c>
    </row>
    <row r="14" spans="2:7" ht="28.5" x14ac:dyDescent="0.2">
      <c r="B14" s="3" t="s">
        <v>5461</v>
      </c>
      <c r="C14" s="4" t="s">
        <v>5462</v>
      </c>
      <c r="D14" s="4" t="s">
        <v>2371</v>
      </c>
      <c r="E14" s="2"/>
    </row>
    <row r="15" spans="2:7" ht="28.5" x14ac:dyDescent="0.2">
      <c r="B15" s="3" t="s">
        <v>5463</v>
      </c>
      <c r="C15" s="4" t="s">
        <v>5464</v>
      </c>
      <c r="D15" s="4" t="s">
        <v>5465</v>
      </c>
      <c r="E15" s="4"/>
    </row>
    <row r="16" spans="2:7" ht="28.5" x14ac:dyDescent="0.2">
      <c r="B16" s="3" t="s">
        <v>5466</v>
      </c>
      <c r="C16" s="4" t="s">
        <v>5467</v>
      </c>
      <c r="D16" s="4" t="s">
        <v>5468</v>
      </c>
      <c r="E16" s="4"/>
    </row>
    <row r="17" spans="2:7" ht="28.5" x14ac:dyDescent="0.2">
      <c r="B17" s="3" t="s">
        <v>5469</v>
      </c>
      <c r="C17" s="4" t="s">
        <v>5470</v>
      </c>
      <c r="D17" s="4" t="s">
        <v>5471</v>
      </c>
      <c r="E17" s="4"/>
    </row>
    <row r="18" spans="2:7" ht="28.5" x14ac:dyDescent="0.2">
      <c r="B18" s="3" t="s">
        <v>5472</v>
      </c>
      <c r="C18" s="4" t="s">
        <v>5473</v>
      </c>
      <c r="D18" s="4" t="s">
        <v>4506</v>
      </c>
    </row>
    <row r="21" spans="2:7" ht="17.25" x14ac:dyDescent="0.2">
      <c r="B21" s="5" t="s">
        <v>1733</v>
      </c>
    </row>
    <row r="23" spans="2:7" x14ac:dyDescent="0.2">
      <c r="B23" s="2" t="s">
        <v>18</v>
      </c>
      <c r="C23" s="2" t="s">
        <v>1818</v>
      </c>
      <c r="D23" s="2" t="s">
        <v>21</v>
      </c>
    </row>
    <row r="24" spans="2:7" ht="28.5" x14ac:dyDescent="0.2">
      <c r="B24" s="3" t="s">
        <v>201</v>
      </c>
      <c r="C24" s="4" t="s">
        <v>5474</v>
      </c>
      <c r="D24" s="4"/>
      <c r="G24" t="str">
        <f t="shared" ref="G24:G52" si="0">"&lt;dl&gt;&lt;dt&gt;" &amp; B24 &amp; "&lt;/dt&gt;&lt;dd&gt;" &amp; C24 &amp; "&lt;/dd&gt;&lt;dd&gt;" &amp; D24 &amp; "&lt;/dd&gt;&lt;/dl&gt;"</f>
        <v>&lt;dl&gt;&lt;dt&gt;命宫​&lt;/dt&gt;&lt;dd&gt;思想独特、天马行空，不喜世俗约束，一生多理想但难落实，精神孤独。&lt;/dd&gt;&lt;dd&gt;&lt;/dd&gt;&lt;/dl&gt;</v>
      </c>
    </row>
    <row r="25" spans="2:7" ht="28.5" x14ac:dyDescent="0.2">
      <c r="B25" s="3" t="s">
        <v>246</v>
      </c>
      <c r="C25" s="4" t="s">
        <v>5475</v>
      </c>
      <c r="D25" s="4"/>
      <c r="G25" t="str">
        <f t="shared" si="0"/>
        <v>&lt;dl&gt;&lt;dt&gt;兄弟宫​&lt;/dt&gt;&lt;dd&gt;与兄弟姐妹思想疏离，少共通语言；朋友多为思想独特、不切实际之人。&lt;/dd&gt;&lt;dd&gt;&lt;/dd&gt;&lt;/dl&gt;</v>
      </c>
    </row>
    <row r="26" spans="2:7" ht="28.5" x14ac:dyDescent="0.2">
      <c r="B26" s="3" t="s">
        <v>125</v>
      </c>
      <c r="C26" s="4" t="s">
        <v>5476</v>
      </c>
      <c r="D26" s="4"/>
      <c r="G26" t="str">
        <f t="shared" si="0"/>
        <v>&lt;dl&gt;&lt;dt&gt;夫妻宫​&lt;/dt&gt;&lt;dd&gt;感情追求精神共鸣，易理想化，配偶可能思想独特，关系易有精神隔阂。&lt;/dd&gt;&lt;dd&gt;&lt;/dd&gt;&lt;/dl&gt;</v>
      </c>
    </row>
    <row r="27" spans="2:7" ht="28.5" x14ac:dyDescent="0.2">
      <c r="B27" s="3" t="s">
        <v>128</v>
      </c>
      <c r="C27" s="4" t="s">
        <v>5477</v>
      </c>
      <c r="D27" s="4"/>
      <c r="G27" t="str">
        <f t="shared" si="0"/>
        <v>&lt;dl&gt;&lt;dt&gt;子女宫​&lt;/dt&gt;&lt;dd&gt;子女思想独特叛逆；合作计划易落空，投资想法不切实际。&lt;/dd&gt;&lt;dd&gt;&lt;/dd&gt;&lt;/dl&gt;</v>
      </c>
    </row>
    <row r="28" spans="2:7" ht="28.5" x14ac:dyDescent="0.2">
      <c r="B28" s="3" t="s">
        <v>3</v>
      </c>
      <c r="C28" s="4" t="s">
        <v>5478</v>
      </c>
      <c r="D28" s="4"/>
      <c r="G28" t="str">
        <f t="shared" si="0"/>
        <v>&lt;dl&gt;&lt;dt&gt;财帛宫​&lt;/dt&gt;&lt;dd&gt;钱财观念淡薄，不善理财，易因理想、灵感投资而破财，适合创意谋财。&lt;/dd&gt;&lt;dd&gt;&lt;/dd&gt;&lt;/dl&gt;</v>
      </c>
    </row>
    <row r="29" spans="2:7" ht="28.5" x14ac:dyDescent="0.2">
      <c r="B29" s="3" t="s">
        <v>6</v>
      </c>
      <c r="C29" s="4" t="s">
        <v>5479</v>
      </c>
      <c r="D29" s="4"/>
      <c r="G29" t="str">
        <f t="shared" si="0"/>
        <v>&lt;dl&gt;&lt;dt&gt;疾厄宫​&lt;/dt&gt;&lt;dd&gt;易患精神类疾病、怪病、疑难杂症，或感觉身体虚弱、元气不足。&lt;/dd&gt;&lt;dd&gt;&lt;/dd&gt;&lt;/dl&gt;</v>
      </c>
    </row>
    <row r="30" spans="2:7" ht="28.5" x14ac:dyDescent="0.2">
      <c r="B30" s="3" t="s">
        <v>15</v>
      </c>
      <c r="C30" s="4" t="s">
        <v>5480</v>
      </c>
      <c r="D30" s="4"/>
    </row>
    <row r="31" spans="2:7" ht="28.5" x14ac:dyDescent="0.2">
      <c r="B31" s="3" t="s">
        <v>12</v>
      </c>
      <c r="C31" s="4" t="s">
        <v>5481</v>
      </c>
      <c r="D31" s="4"/>
      <c r="E31" s="2"/>
    </row>
    <row r="32" spans="2:7" ht="28.5" x14ac:dyDescent="0.2">
      <c r="B32" s="3" t="s">
        <v>206</v>
      </c>
      <c r="C32" s="4" t="s">
        <v>5482</v>
      </c>
      <c r="D32" s="4"/>
      <c r="E32" s="4"/>
    </row>
    <row r="33" spans="2:7" ht="28.5" x14ac:dyDescent="0.2">
      <c r="B33" s="3" t="s">
        <v>0</v>
      </c>
      <c r="C33" s="4" t="s">
        <v>5483</v>
      </c>
      <c r="D33" s="4"/>
      <c r="E33" s="4"/>
    </row>
    <row r="34" spans="2:7" ht="28.5" x14ac:dyDescent="0.2">
      <c r="B34" s="3" t="s">
        <v>116</v>
      </c>
      <c r="C34" s="3" t="s">
        <v>5484</v>
      </c>
      <c r="D34" s="4"/>
      <c r="E34" s="4"/>
    </row>
    <row r="35" spans="2:7" ht="28.5" x14ac:dyDescent="0.2">
      <c r="B35" s="3" t="s">
        <v>9</v>
      </c>
      <c r="C35" s="4" t="s">
        <v>5485</v>
      </c>
      <c r="D35" s="4"/>
      <c r="E35" s="4"/>
      <c r="G35" t="str">
        <f t="shared" si="0"/>
        <v>&lt;dl&gt;&lt;dt&gt;父母宫​&lt;/dt&gt;&lt;dd&gt;与父母思想有隔阂，得到精神遗产（如思想、信仰）多于物质遗产。&lt;/dd&gt;&lt;dd&gt;&lt;/dd&gt;&lt;/dl&gt;</v>
      </c>
    </row>
    <row r="36" spans="2:7" x14ac:dyDescent="0.2">
      <c r="E36" s="4"/>
      <c r="G36" t="str">
        <f t="shared" si="0"/>
        <v>&lt;dl&gt;&lt;dt&gt;&lt;/dt&gt;&lt;dd&gt;&lt;/dd&gt;&lt;dd&gt;&lt;/dd&gt;&lt;/dl&gt;</v>
      </c>
    </row>
    <row r="37" spans="2:7" x14ac:dyDescent="0.2">
      <c r="G37" t="str">
        <f t="shared" si="0"/>
        <v>&lt;dl&gt;&lt;dt&gt;&lt;/dt&gt;&lt;dd&gt;&lt;/dd&gt;&lt;dd&gt;&lt;/dd&gt;&lt;/dl&gt;</v>
      </c>
    </row>
    <row r="38" spans="2:7" ht="17.25" x14ac:dyDescent="0.2">
      <c r="B38" s="5" t="s">
        <v>734</v>
      </c>
      <c r="G38" t="str">
        <f t="shared" si="0"/>
        <v>&lt;dl&gt;&lt;dt&gt;四、主星组合象义&lt;/dt&gt;&lt;dd&gt;&lt;/dd&gt;&lt;dd&gt;&lt;/dd&gt;&lt;/dl&gt;</v>
      </c>
    </row>
    <row r="39" spans="2:7" x14ac:dyDescent="0.2">
      <c r="G39" t="str">
        <f t="shared" si="0"/>
        <v>&lt;dl&gt;&lt;dt&gt;&lt;/dt&gt;&lt;dd&gt;&lt;/dd&gt;&lt;dd&gt;&lt;/dd&gt;&lt;/dl&gt;</v>
      </c>
    </row>
    <row r="40" spans="2:7" ht="15.75" x14ac:dyDescent="0.2">
      <c r="B40" s="13" t="s">
        <v>5486</v>
      </c>
      <c r="G40" t="str">
        <f t="shared" si="0"/>
        <v>&lt;dl&gt;&lt;dt&gt;1. 增强空亡/灵感组合&lt;/dt&gt;&lt;dd&gt;&lt;/dd&gt;&lt;dd&gt;&lt;/dd&gt;&lt;/dl&gt;</v>
      </c>
    </row>
    <row r="41" spans="2:7" x14ac:dyDescent="0.2">
      <c r="G41" t="str">
        <f t="shared" si="0"/>
        <v>&lt;dl&gt;&lt;dt&gt;&lt;/dt&gt;&lt;dd&gt;&lt;/dd&gt;&lt;dd&gt;&lt;/dd&gt;&lt;/dl&gt;</v>
      </c>
    </row>
    <row r="42" spans="2:7" x14ac:dyDescent="0.2">
      <c r="B42" s="2" t="s">
        <v>71</v>
      </c>
      <c r="C42" s="2" t="s">
        <v>1047</v>
      </c>
      <c r="D42" s="2" t="s">
        <v>73</v>
      </c>
      <c r="G42" t="str">
        <f t="shared" si="0"/>
        <v>&lt;dl&gt;&lt;dt&gt;组合​&lt;/dt&gt;&lt;dd&gt;效应​&lt;/dd&gt;&lt;dd&gt;典型案例​&lt;/dd&gt;&lt;/dl&gt;</v>
      </c>
    </row>
    <row r="43" spans="2:7" ht="28.5" x14ac:dyDescent="0.2">
      <c r="B43" s="3" t="s">
        <v>5487</v>
      </c>
      <c r="C43" s="3" t="s">
        <v>5488</v>
      </c>
      <c r="D43" s="4" t="s">
        <v>5489</v>
      </c>
      <c r="E43" s="2"/>
      <c r="G43" t="str">
        <f t="shared" si="0"/>
        <v>&lt;dl&gt;&lt;dt&gt;地空+紫微​&lt;/dt&gt;&lt;dd&gt;帝星落空，表面尊贵，内心空虚孤独，理想远大但难实现，或为精神领袖。&lt;/dd&gt;&lt;dd&gt;孤独的君王；具有超凡魅力的思想家。&lt;/dd&gt;&lt;/dl&gt;</v>
      </c>
    </row>
    <row r="44" spans="2:7" ht="28.5" x14ac:dyDescent="0.2">
      <c r="B44" s="3" t="s">
        <v>5490</v>
      </c>
      <c r="C44" s="3" t="s">
        <v>5491</v>
      </c>
      <c r="D44" s="4" t="s">
        <v>5492</v>
      </c>
      <c r="E44" s="4"/>
    </row>
    <row r="45" spans="2:7" ht="28.5" x14ac:dyDescent="0.2">
      <c r="B45" s="3" t="s">
        <v>5493</v>
      </c>
      <c r="C45" s="3" t="s">
        <v>5494</v>
      </c>
      <c r="D45" s="4" t="s">
        <v>5495</v>
      </c>
      <c r="E45" s="4"/>
    </row>
    <row r="46" spans="2:7" ht="28.5" x14ac:dyDescent="0.2">
      <c r="B46" s="3" t="s">
        <v>5496</v>
      </c>
      <c r="C46" s="3" t="s">
        <v>5497</v>
      </c>
      <c r="D46" s="4" t="s">
        <v>5498</v>
      </c>
      <c r="E46" s="4"/>
    </row>
    <row r="47" spans="2:7" ht="28.5" x14ac:dyDescent="0.2">
      <c r="B47" s="3" t="s">
        <v>5499</v>
      </c>
      <c r="C47" s="3" t="s">
        <v>5500</v>
      </c>
      <c r="D47" s="4" t="s">
        <v>5501</v>
      </c>
      <c r="E47" s="4"/>
    </row>
    <row r="48" spans="2:7" ht="28.5" x14ac:dyDescent="0.2">
      <c r="B48" s="3" t="s">
        <v>5502</v>
      </c>
      <c r="C48" s="3" t="s">
        <v>5503</v>
      </c>
      <c r="D48" s="4" t="s">
        <v>5504</v>
      </c>
    </row>
    <row r="49" spans="2:7" ht="28.5" x14ac:dyDescent="0.2">
      <c r="B49" s="3" t="s">
        <v>5505</v>
      </c>
      <c r="C49" s="3" t="s">
        <v>5506</v>
      </c>
      <c r="D49" s="4" t="s">
        <v>5507</v>
      </c>
      <c r="G49" t="str">
        <f t="shared" si="0"/>
        <v>&lt;dl&gt;&lt;dt&gt;地空+天府​&lt;/dt&gt;&lt;dd&gt;库星空虚，库藏虽丰但感觉空虚，守财观念淡薄，或管理虚无的资产（如数据）。&lt;/dd&gt;&lt;dd&gt;富有但感到人生无意义；数据库管理员。&lt;/dd&gt;&lt;/dl&gt;</v>
      </c>
    </row>
    <row r="50" spans="2:7" ht="28.5" x14ac:dyDescent="0.2">
      <c r="B50" s="3" t="s">
        <v>5508</v>
      </c>
      <c r="C50" s="3" t="s">
        <v>5509</v>
      </c>
      <c r="D50" s="4" t="s">
        <v>5510</v>
      </c>
      <c r="G50" t="str">
        <f t="shared" si="0"/>
        <v>&lt;dl&gt;&lt;dt&gt;地空+太阴​&lt;/dt&gt;&lt;dd&gt;阴空相映，情绪敏感空虚，艺术灵感强，房地产投资易有变数，或为诗人。&lt;/dd&gt;&lt;dd&gt;多愁善感的诗人；房地产计划常落空。&lt;/dd&gt;&lt;/dl&gt;</v>
      </c>
    </row>
    <row r="51" spans="2:7" ht="28.5" x14ac:dyDescent="0.2">
      <c r="B51" s="3" t="s">
        <v>5511</v>
      </c>
      <c r="C51" s="3" t="s">
        <v>5512</v>
      </c>
      <c r="D51" s="4" t="s">
        <v>5513</v>
      </c>
      <c r="E51" s="2"/>
      <c r="G51" t="str">
        <f t="shared" si="0"/>
        <v>&lt;dl&gt;&lt;dt&gt;地空+贪狼​&lt;/dt&gt;&lt;dd&gt;欲星空泛，欲望指向精神层面，追求空灵之美，桃花多为精神恋爱，或研究玄学。&lt;/dd&gt;&lt;dd&gt;修行者；追求精神共鸣的艺术家。&lt;/dd&gt;&lt;/dl&gt;</v>
      </c>
    </row>
    <row r="52" spans="2:7" ht="28.5" x14ac:dyDescent="0.2">
      <c r="B52" s="3" t="s">
        <v>5514</v>
      </c>
      <c r="C52" s="3" t="s">
        <v>5515</v>
      </c>
      <c r="D52" s="4" t="s">
        <v>5516</v>
      </c>
      <c r="E52" s="4"/>
      <c r="G52" t="str">
        <f t="shared" si="0"/>
        <v>&lt;dl&gt;&lt;dt&gt;地空+巨门​&lt;/dt&gt;&lt;dd&gt;暗星空想，是非口舌源于空想，研究晦涩学问，消化系统功能虚弱。&lt;/dd&gt;&lt;dd&gt;研究虚无哲学的学者；因空谈惹是非。&lt;/dd&gt;&lt;/dl&gt;</v>
      </c>
    </row>
    <row r="53" spans="2:7" ht="28.5" x14ac:dyDescent="0.2">
      <c r="B53" s="3" t="s">
        <v>5517</v>
      </c>
      <c r="C53" s="3" t="s">
        <v>5518</v>
      </c>
      <c r="D53" s="4" t="s">
        <v>5519</v>
      </c>
      <c r="E53" s="4"/>
    </row>
    <row r="54" spans="2:7" ht="28.5" x14ac:dyDescent="0.2">
      <c r="B54" s="3" t="s">
        <v>5520</v>
      </c>
      <c r="C54" s="3" t="s">
        <v>5521</v>
      </c>
      <c r="D54" s="4" t="s">
        <v>5522</v>
      </c>
      <c r="E54" s="4"/>
    </row>
    <row r="55" spans="2:7" ht="28.5" x14ac:dyDescent="0.2">
      <c r="B55" s="3" t="s">
        <v>5523</v>
      </c>
      <c r="C55" s="3" t="s">
        <v>5524</v>
      </c>
      <c r="D55" s="4" t="s">
        <v>5525</v>
      </c>
    </row>
    <row r="56" spans="2:7" ht="28.5" x14ac:dyDescent="0.2">
      <c r="B56" s="3" t="s">
        <v>5526</v>
      </c>
      <c r="C56" s="3" t="s">
        <v>5527</v>
      </c>
      <c r="D56" s="4" t="s">
        <v>5528</v>
      </c>
    </row>
    <row r="59" spans="2:7" ht="17.25" x14ac:dyDescent="0.2">
      <c r="B59" s="5" t="s">
        <v>746</v>
      </c>
      <c r="E59" s="2"/>
    </row>
    <row r="60" spans="2:7" x14ac:dyDescent="0.2">
      <c r="E60" s="4"/>
    </row>
    <row r="61" spans="2:7" x14ac:dyDescent="0.2">
      <c r="B61" s="2" t="s">
        <v>40</v>
      </c>
      <c r="C61" s="2" t="s">
        <v>1414</v>
      </c>
      <c r="D61" s="2" t="s">
        <v>21</v>
      </c>
      <c r="E61" s="4"/>
    </row>
    <row r="62" spans="2:7" ht="28.5" x14ac:dyDescent="0.2">
      <c r="B62" s="3" t="s">
        <v>5529</v>
      </c>
      <c r="C62" s="3" t="s">
        <v>5530</v>
      </c>
      <c r="D62" s="4" t="s">
        <v>5431</v>
      </c>
      <c r="E62" s="4"/>
    </row>
    <row r="63" spans="2:7" ht="28.5" x14ac:dyDescent="0.2">
      <c r="B63" s="3" t="s">
        <v>1674</v>
      </c>
      <c r="C63" s="3" t="s">
        <v>5531</v>
      </c>
      <c r="D63" s="4" t="s">
        <v>5532</v>
      </c>
      <c r="E63" s="4"/>
    </row>
    <row r="64" spans="2:7" ht="28.5" x14ac:dyDescent="0.2">
      <c r="B64" s="3" t="s">
        <v>1675</v>
      </c>
      <c r="C64" s="3" t="s">
        <v>5533</v>
      </c>
      <c r="D64" s="4" t="s">
        <v>5534</v>
      </c>
    </row>
    <row r="65" spans="2:4" ht="28.5" x14ac:dyDescent="0.2">
      <c r="B65" s="3" t="s">
        <v>5535</v>
      </c>
      <c r="C65" s="3" t="s">
        <v>5536</v>
      </c>
      <c r="D65" s="4" t="s">
        <v>5537</v>
      </c>
    </row>
    <row r="66" spans="2:4" ht="28.5" x14ac:dyDescent="0.2">
      <c r="B66" s="3" t="s">
        <v>5538</v>
      </c>
      <c r="C66" s="3" t="s">
        <v>5539</v>
      </c>
      <c r="D66" s="4" t="s">
        <v>5540</v>
      </c>
    </row>
    <row r="67" spans="2:4" ht="28.5" x14ac:dyDescent="0.2">
      <c r="B67" s="3" t="s">
        <v>5541</v>
      </c>
      <c r="C67" s="3" t="s">
        <v>5542</v>
      </c>
      <c r="D67" s="4" t="s">
        <v>5543</v>
      </c>
    </row>
    <row r="68" spans="2:4" ht="28.5" x14ac:dyDescent="0.2">
      <c r="B68" s="3" t="s">
        <v>5544</v>
      </c>
      <c r="C68" s="3" t="s">
        <v>5545</v>
      </c>
      <c r="D68" s="4" t="s">
        <v>5546</v>
      </c>
    </row>
    <row r="69" spans="2:4" ht="28.5" x14ac:dyDescent="0.2">
      <c r="B69" s="3" t="s">
        <v>5547</v>
      </c>
      <c r="C69" s="3" t="s">
        <v>5548</v>
      </c>
      <c r="D69" s="4" t="s">
        <v>5549</v>
      </c>
    </row>
    <row r="70" spans="2:4" ht="28.5" x14ac:dyDescent="0.2">
      <c r="B70" s="3" t="s">
        <v>5550</v>
      </c>
      <c r="C70" s="3" t="s">
        <v>5551</v>
      </c>
      <c r="D70" s="4" t="s">
        <v>5552</v>
      </c>
    </row>
    <row r="71" spans="2:4" ht="28.5" x14ac:dyDescent="0.2">
      <c r="B71" s="3" t="s">
        <v>5553</v>
      </c>
      <c r="C71" s="3" t="s">
        <v>5554</v>
      </c>
      <c r="D71" s="4" t="s">
        <v>5555</v>
      </c>
    </row>
    <row r="74" spans="2:4" ht="17.25" x14ac:dyDescent="0.2">
      <c r="B74" s="5" t="s">
        <v>1805</v>
      </c>
    </row>
    <row r="75" spans="2:4" x14ac:dyDescent="0.2">
      <c r="B75" s="6"/>
    </row>
    <row r="76" spans="2:4" x14ac:dyDescent="0.2">
      <c r="B76" s="7" t="s">
        <v>5556</v>
      </c>
    </row>
    <row r="77" spans="2:4" x14ac:dyDescent="0.2">
      <c r="B77" s="7" t="s">
        <v>5557</v>
      </c>
    </row>
    <row r="78" spans="2:4" x14ac:dyDescent="0.2">
      <c r="B78" s="7" t="s">
        <v>5558</v>
      </c>
    </row>
    <row r="79" spans="2:4" x14ac:dyDescent="0.2">
      <c r="B79" s="7" t="s">
        <v>5559</v>
      </c>
    </row>
    <row r="80" spans="2:4" x14ac:dyDescent="0.2">
      <c r="B80" s="9" t="s">
        <v>1676</v>
      </c>
    </row>
    <row r="81" spans="2:2" x14ac:dyDescent="0.2">
      <c r="B81" s="7" t="s">
        <v>1677</v>
      </c>
    </row>
    <row r="82" spans="2:2" x14ac:dyDescent="0.2">
      <c r="B82" s="6"/>
    </row>
    <row r="83" spans="2:2" x14ac:dyDescent="0.2">
      <c r="B83" s="19" t="s">
        <v>1678</v>
      </c>
    </row>
  </sheetData>
  <phoneticPr fontId="2" type="noConversion"/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AE17A7-9284-4A4A-B145-4135C78FBE5F}">
  <dimension ref="B1:G79"/>
  <sheetViews>
    <sheetView zoomScaleNormal="100" workbookViewId="0">
      <selection activeCell="B1" sqref="B1:D79"/>
    </sheetView>
  </sheetViews>
  <sheetFormatPr defaultRowHeight="14.25" x14ac:dyDescent="0.2"/>
  <cols>
    <col min="1" max="1" width="2.75" customWidth="1"/>
    <col min="2" max="2" width="15.625" customWidth="1"/>
    <col min="3" max="3" width="43.125" customWidth="1"/>
    <col min="4" max="4" width="32.75" customWidth="1"/>
  </cols>
  <sheetData>
    <row r="1" spans="2:7" ht="17.25" x14ac:dyDescent="0.2">
      <c r="B1" s="5" t="s">
        <v>5356</v>
      </c>
      <c r="G1" t="str">
        <f>"&lt;dl&gt;&lt;dt&gt;" &amp; B1 &amp; "&lt;/dt&gt;&lt;dd&gt;" &amp; C1 &amp; "&lt;/dd&gt;&lt;dd&gt;" &amp; D1 &amp; "&lt;/dd&gt;&lt;/dl&gt;"</f>
        <v>&lt;dl&gt;&lt;dt&gt;一、地劫定义&lt;/dt&gt;&lt;dd&gt;&lt;/dd&gt;&lt;dd&gt;&lt;/dd&gt;&lt;/dl&gt;</v>
      </c>
    </row>
    <row r="3" spans="2:7" x14ac:dyDescent="0.2">
      <c r="B3" s="2" t="s">
        <v>376</v>
      </c>
      <c r="C3" s="2" t="s">
        <v>377</v>
      </c>
      <c r="D3" s="2" t="s">
        <v>21</v>
      </c>
    </row>
    <row r="4" spans="2:7" x14ac:dyDescent="0.2">
      <c r="B4" s="3" t="s">
        <v>624</v>
      </c>
      <c r="C4" s="4" t="s">
        <v>5357</v>
      </c>
      <c r="D4" s="4"/>
    </row>
    <row r="5" spans="2:7" ht="42.75" x14ac:dyDescent="0.2">
      <c r="B5" s="3" t="s">
        <v>378</v>
      </c>
      <c r="C5" s="4" t="s">
        <v>5358</v>
      </c>
      <c r="D5" s="4"/>
    </row>
    <row r="6" spans="2:7" ht="57" x14ac:dyDescent="0.2">
      <c r="B6" s="3" t="s">
        <v>1717</v>
      </c>
      <c r="C6" s="4" t="s">
        <v>5359</v>
      </c>
      <c r="D6" s="4"/>
    </row>
    <row r="9" spans="2:7" ht="17.25" x14ac:dyDescent="0.2">
      <c r="B9" s="5" t="s">
        <v>1719</v>
      </c>
    </row>
    <row r="11" spans="2:7" ht="15.75" x14ac:dyDescent="0.2">
      <c r="B11" s="13" t="s">
        <v>1720</v>
      </c>
    </row>
    <row r="13" spans="2:7" x14ac:dyDescent="0.2">
      <c r="B13" s="2" t="s">
        <v>390</v>
      </c>
      <c r="C13" s="2" t="s">
        <v>1818</v>
      </c>
      <c r="D13" s="2" t="s">
        <v>1819</v>
      </c>
    </row>
    <row r="14" spans="2:7" ht="28.5" x14ac:dyDescent="0.2">
      <c r="B14" s="3" t="s">
        <v>5360</v>
      </c>
      <c r="C14" s="4" t="s">
        <v>5361</v>
      </c>
      <c r="D14" s="4" t="s">
        <v>5362</v>
      </c>
    </row>
    <row r="15" spans="2:7" ht="28.5" x14ac:dyDescent="0.2">
      <c r="B15" s="3" t="s">
        <v>5363</v>
      </c>
      <c r="C15" s="4" t="s">
        <v>5364</v>
      </c>
      <c r="D15" s="4" t="s">
        <v>5365</v>
      </c>
    </row>
    <row r="16" spans="2:7" ht="28.5" x14ac:dyDescent="0.2">
      <c r="B16" s="3" t="s">
        <v>5366</v>
      </c>
      <c r="C16" s="4" t="s">
        <v>5367</v>
      </c>
      <c r="D16" s="4" t="s">
        <v>3522</v>
      </c>
    </row>
    <row r="17" spans="2:7" ht="28.5" x14ac:dyDescent="0.2">
      <c r="B17" s="3" t="s">
        <v>5368</v>
      </c>
      <c r="C17" s="4" t="s">
        <v>5369</v>
      </c>
      <c r="D17" s="4" t="s">
        <v>5370</v>
      </c>
    </row>
    <row r="18" spans="2:7" ht="28.5" x14ac:dyDescent="0.2">
      <c r="B18" s="3" t="s">
        <v>5371</v>
      </c>
      <c r="C18" s="4" t="s">
        <v>5372</v>
      </c>
      <c r="D18" s="4" t="s">
        <v>5373</v>
      </c>
    </row>
    <row r="21" spans="2:7" ht="17.25" x14ac:dyDescent="0.2">
      <c r="B21" s="5" t="s">
        <v>1733</v>
      </c>
      <c r="G21" t="str">
        <f t="shared" ref="G21:G49" si="0">"&lt;dl&gt;&lt;dt&gt;" &amp; B21 &amp; "&lt;/dt&gt;&lt;dd&gt;" &amp; C21 &amp; "&lt;/dd&gt;&lt;dd&gt;" &amp; D21 &amp; "&lt;/dd&gt;&lt;/dl&gt;"</f>
        <v>&lt;dl&gt;&lt;dt&gt;三、宫位组合象义&lt;/dt&gt;&lt;dd&gt;&lt;/dd&gt;&lt;dd&gt;&lt;/dd&gt;&lt;/dl&gt;</v>
      </c>
    </row>
    <row r="22" spans="2:7" x14ac:dyDescent="0.2">
      <c r="G22" t="str">
        <f t="shared" si="0"/>
        <v>&lt;dl&gt;&lt;dt&gt;&lt;/dt&gt;&lt;dd&gt;&lt;/dd&gt;&lt;dd&gt;&lt;/dd&gt;&lt;/dl&gt;</v>
      </c>
    </row>
    <row r="23" spans="2:7" x14ac:dyDescent="0.2">
      <c r="B23" s="2" t="s">
        <v>18</v>
      </c>
      <c r="C23" s="2" t="s">
        <v>1818</v>
      </c>
      <c r="D23" s="2" t="s">
        <v>21</v>
      </c>
      <c r="G23" t="str">
        <f t="shared" si="0"/>
        <v>&lt;dl&gt;&lt;dt&gt;宫位​&lt;/dt&gt;&lt;dd&gt;具体象义​&lt;/dd&gt;&lt;dd&gt;文献依据​&lt;/dd&gt;&lt;/dl&gt;</v>
      </c>
    </row>
    <row r="24" spans="2:7" ht="28.5" x14ac:dyDescent="0.2">
      <c r="B24" s="3" t="s">
        <v>201</v>
      </c>
      <c r="C24" s="4" t="s">
        <v>5374</v>
      </c>
      <c r="D24" s="4"/>
      <c r="G24" t="str">
        <f t="shared" si="0"/>
        <v>&lt;dl&gt;&lt;dt&gt;命宫​&lt;/dt&gt;&lt;dd&gt;一生漂泊波动，钱财不聚，思想独特疏狂，易有怀才不遇之感。&lt;/dd&gt;&lt;dd&gt;&lt;/dd&gt;&lt;/dl&gt;</v>
      </c>
    </row>
    <row r="25" spans="2:7" ht="28.5" x14ac:dyDescent="0.2">
      <c r="B25" s="3" t="s">
        <v>246</v>
      </c>
      <c r="C25" s="4" t="s">
        <v>5375</v>
      </c>
      <c r="D25" s="4"/>
      <c r="G25" t="str">
        <f t="shared" si="0"/>
        <v>&lt;dl&gt;&lt;dt&gt;兄弟宫​&lt;/dt&gt;&lt;dd&gt;与兄弟姐妹缘薄，易离散；朋友交往易因钱财损耗或观念不同而疏远。&lt;/dd&gt;&lt;dd&gt;&lt;/dd&gt;&lt;/dl&gt;</v>
      </c>
    </row>
    <row r="26" spans="2:7" ht="28.5" x14ac:dyDescent="0.2">
      <c r="B26" s="3" t="s">
        <v>125</v>
      </c>
      <c r="C26" s="4" t="s">
        <v>5376</v>
      </c>
      <c r="D26" s="4"/>
      <c r="G26" t="str">
        <f t="shared" si="0"/>
        <v>&lt;dl&gt;&lt;dt&gt;夫妻宫​&lt;/dt&gt;&lt;dd&gt;感情关系不稳定，易聚易散，配偶可能个性独特，或婚姻中有财务破耗。&lt;/dd&gt;&lt;dd&gt;&lt;/dd&gt;&lt;/dl&gt;</v>
      </c>
    </row>
    <row r="27" spans="2:7" ht="28.5" x14ac:dyDescent="0.2">
      <c r="B27" s="3" t="s">
        <v>128</v>
      </c>
      <c r="C27" s="4" t="s">
        <v>5377</v>
      </c>
      <c r="D27" s="4"/>
    </row>
    <row r="28" spans="2:7" ht="28.5" x14ac:dyDescent="0.2">
      <c r="B28" s="3" t="s">
        <v>3</v>
      </c>
      <c r="C28" s="3" t="s">
        <v>5378</v>
      </c>
      <c r="D28" s="4"/>
    </row>
    <row r="29" spans="2:7" ht="28.5" x14ac:dyDescent="0.2">
      <c r="B29" s="3" t="s">
        <v>6</v>
      </c>
      <c r="C29" s="4" t="s">
        <v>5379</v>
      </c>
      <c r="D29" s="4"/>
    </row>
    <row r="30" spans="2:7" ht="28.5" x14ac:dyDescent="0.2">
      <c r="B30" s="3" t="s">
        <v>15</v>
      </c>
      <c r="C30" s="4" t="s">
        <v>5380</v>
      </c>
      <c r="D30" s="4"/>
    </row>
    <row r="31" spans="2:7" ht="28.5" x14ac:dyDescent="0.2">
      <c r="B31" s="3" t="s">
        <v>12</v>
      </c>
      <c r="C31" s="4" t="s">
        <v>5381</v>
      </c>
      <c r="D31" s="4"/>
    </row>
    <row r="32" spans="2:7" ht="28.5" x14ac:dyDescent="0.2">
      <c r="B32" s="3" t="s">
        <v>206</v>
      </c>
      <c r="C32" s="4" t="s">
        <v>5382</v>
      </c>
      <c r="D32" s="4"/>
      <c r="G32" t="str">
        <f t="shared" si="0"/>
        <v>&lt;dl&gt;&lt;dt&gt;官禄宫​&lt;/dt&gt;&lt;dd&gt;事业起伏大，行业或职位变动频繁，适合自由、创意类职业，不宜守成。&lt;/dd&gt;&lt;dd&gt;&lt;/dd&gt;&lt;/dl&gt;</v>
      </c>
    </row>
    <row r="33" spans="2:7" ht="28.5" x14ac:dyDescent="0.2">
      <c r="B33" s="3" t="s">
        <v>0</v>
      </c>
      <c r="C33" s="4" t="s">
        <v>5383</v>
      </c>
      <c r="D33" s="4"/>
      <c r="G33" t="str">
        <f t="shared" si="0"/>
        <v>&lt;dl&gt;&lt;dt&gt;田宅宫​&lt;/dt&gt;&lt;dd&gt;家宅不宁，易搬迁，房产交易易有损失，家族产业易破败。&lt;/dd&gt;&lt;dd&gt;&lt;/dd&gt;&lt;/dl&gt;</v>
      </c>
    </row>
    <row r="34" spans="2:7" ht="28.5" x14ac:dyDescent="0.2">
      <c r="B34" s="3" t="s">
        <v>116</v>
      </c>
      <c r="C34" s="4" t="s">
        <v>5384</v>
      </c>
      <c r="D34" s="4"/>
      <c r="G34" t="str">
        <f t="shared" si="0"/>
        <v>&lt;dl&gt;&lt;dt&gt;福德宫​&lt;/dt&gt;&lt;dd&gt;思想天马行空，精神世界丰富但常感空虚，享受易中途生变。&lt;/dd&gt;&lt;dd&gt;&lt;/dd&gt;&lt;/dl&gt;</v>
      </c>
    </row>
    <row r="35" spans="2:7" ht="28.5" x14ac:dyDescent="0.2">
      <c r="B35" s="3" t="s">
        <v>9</v>
      </c>
      <c r="C35" s="4" t="s">
        <v>5385</v>
      </c>
      <c r="D35" s="4"/>
      <c r="G35" t="str">
        <f t="shared" si="0"/>
        <v>&lt;dl&gt;&lt;dt&gt;父母宫​&lt;/dt&gt;&lt;dd&gt;与父母缘分较薄，易离散，或得到遗产、资助的过程有波折损失。&lt;/dd&gt;&lt;dd&gt;&lt;/dd&gt;&lt;/dl&gt;</v>
      </c>
    </row>
    <row r="36" spans="2:7" x14ac:dyDescent="0.2">
      <c r="G36" t="str">
        <f t="shared" si="0"/>
        <v>&lt;dl&gt;&lt;dt&gt;&lt;/dt&gt;&lt;dd&gt;&lt;/dd&gt;&lt;dd&gt;&lt;/dd&gt;&lt;/dl&gt;</v>
      </c>
    </row>
    <row r="37" spans="2:7" x14ac:dyDescent="0.2">
      <c r="G37" t="str">
        <f t="shared" si="0"/>
        <v>&lt;dl&gt;&lt;dt&gt;&lt;/dt&gt;&lt;dd&gt;&lt;/dd&gt;&lt;dd&gt;&lt;/dd&gt;&lt;/dl&gt;</v>
      </c>
    </row>
    <row r="38" spans="2:7" ht="17.25" x14ac:dyDescent="0.2">
      <c r="B38" s="5" t="s">
        <v>734</v>
      </c>
      <c r="G38" t="str">
        <f t="shared" si="0"/>
        <v>&lt;dl&gt;&lt;dt&gt;四、主星组合象义&lt;/dt&gt;&lt;dd&gt;&lt;/dd&gt;&lt;dd&gt;&lt;/dd&gt;&lt;/dl&gt;</v>
      </c>
    </row>
    <row r="39" spans="2:7" x14ac:dyDescent="0.2">
      <c r="G39" t="str">
        <f t="shared" si="0"/>
        <v>&lt;dl&gt;&lt;dt&gt;&lt;/dt&gt;&lt;dd&gt;&lt;/dd&gt;&lt;dd&gt;&lt;/dd&gt;&lt;/dl&gt;</v>
      </c>
    </row>
    <row r="40" spans="2:7" ht="15.75" x14ac:dyDescent="0.2">
      <c r="B40" s="13" t="s">
        <v>5386</v>
      </c>
      <c r="G40" t="str">
        <f t="shared" si="0"/>
        <v>&lt;dl&gt;&lt;dt&gt;1. 增强破耗/波动组合&lt;/dt&gt;&lt;dd&gt;&lt;/dd&gt;&lt;dd&gt;&lt;/dd&gt;&lt;/dl&gt;</v>
      </c>
    </row>
    <row r="42" spans="2:7" x14ac:dyDescent="0.2">
      <c r="B42" s="2" t="s">
        <v>71</v>
      </c>
      <c r="C42" s="2" t="s">
        <v>1047</v>
      </c>
      <c r="D42" s="2" t="s">
        <v>73</v>
      </c>
    </row>
    <row r="43" spans="2:7" ht="28.5" x14ac:dyDescent="0.2">
      <c r="B43" s="3" t="s">
        <v>5387</v>
      </c>
      <c r="C43" s="4" t="s">
        <v>5388</v>
      </c>
      <c r="D43" s="4" t="s">
        <v>5389</v>
      </c>
    </row>
    <row r="44" spans="2:7" ht="28.5" x14ac:dyDescent="0.2">
      <c r="B44" s="3" t="s">
        <v>5390</v>
      </c>
      <c r="C44" s="4" t="s">
        <v>5391</v>
      </c>
      <c r="D44" s="4" t="s">
        <v>5392</v>
      </c>
    </row>
    <row r="45" spans="2:7" ht="28.5" x14ac:dyDescent="0.2">
      <c r="B45" s="3" t="s">
        <v>5393</v>
      </c>
      <c r="C45" s="4" t="s">
        <v>5394</v>
      </c>
      <c r="D45" s="4" t="s">
        <v>5395</v>
      </c>
    </row>
    <row r="46" spans="2:7" ht="28.5" x14ac:dyDescent="0.2">
      <c r="B46" s="3" t="s">
        <v>5396</v>
      </c>
      <c r="C46" s="4" t="s">
        <v>5397</v>
      </c>
      <c r="D46" s="4" t="s">
        <v>5398</v>
      </c>
      <c r="G46" t="str">
        <f t="shared" si="0"/>
        <v>&lt;dl&gt;&lt;dt&gt;地劫+武曲​&lt;/dt&gt;&lt;dd&gt;刚星逢劫，求财过程多破耗，财务波动剧烈，宜技术谋财，忌经商。&lt;/dd&gt;&lt;dd&gt;经历多次投资失败的金融从业者；顶尖但贫穷的手工艺人。&lt;/dd&gt;&lt;/dl&gt;</v>
      </c>
    </row>
    <row r="47" spans="2:7" ht="28.5" x14ac:dyDescent="0.2">
      <c r="B47" s="3" t="s">
        <v>5399</v>
      </c>
      <c r="C47" s="4" t="s">
        <v>5400</v>
      </c>
      <c r="D47" s="4" t="s">
        <v>5401</v>
      </c>
      <c r="G47" t="str">
        <f t="shared" si="0"/>
        <v>&lt;dl&gt;&lt;dt&gt;地劫+天同​&lt;/dt&gt;&lt;dd&gt;福星逢劫，福气被劫，享受常被打断，乐极生悲，或培养出豁达的独特人生观。&lt;/dd&gt;&lt;dd&gt;家道中落的享乐者；安贫乐道的艺术家。&lt;/dd&gt;&lt;/dl&gt;</v>
      </c>
    </row>
    <row r="48" spans="2:7" ht="28.5" x14ac:dyDescent="0.2">
      <c r="B48" s="3" t="s">
        <v>5402</v>
      </c>
      <c r="C48" s="4" t="s">
        <v>5403</v>
      </c>
      <c r="D48" s="4" t="s">
        <v>5404</v>
      </c>
      <c r="G48" t="str">
        <f t="shared" si="0"/>
        <v>&lt;dl&gt;&lt;dt&gt;地劫+廉贞​&lt;/dt&gt;&lt;dd&gt;囚星逢劫，感情、事业易遭意外打击而陷入困境，或从事高风险、边缘性艺术。&lt;/dd&gt;&lt;dd&gt;因丑闻破产的明星；地下艺术家。&lt;/dd&gt;&lt;/dl&gt;</v>
      </c>
    </row>
    <row r="49" spans="2:7" ht="28.5" x14ac:dyDescent="0.2">
      <c r="B49" s="3" t="s">
        <v>5405</v>
      </c>
      <c r="C49" s="4" t="s">
        <v>5406</v>
      </c>
      <c r="D49" s="4" t="s">
        <v>5407</v>
      </c>
      <c r="G49" t="str">
        <f t="shared" si="0"/>
        <v>&lt;dl&gt;&lt;dt&gt;地劫+天府​&lt;/dt&gt;&lt;dd&gt;库星逢劫，库藏被劫，积蓄易遭意外损失，守财困难，或管理破败的旧产业。&lt;/dd&gt;&lt;dd&gt;遭遇诈骗的富翁；没落贵族。&lt;/dd&gt;&lt;/dl&gt;</v>
      </c>
    </row>
    <row r="50" spans="2:7" ht="28.5" x14ac:dyDescent="0.2">
      <c r="B50" s="3" t="s">
        <v>5408</v>
      </c>
      <c r="C50" s="4" t="s">
        <v>5409</v>
      </c>
      <c r="D50" s="4" t="s">
        <v>5410</v>
      </c>
    </row>
    <row r="51" spans="2:7" ht="28.5" x14ac:dyDescent="0.2">
      <c r="B51" s="3" t="s">
        <v>5411</v>
      </c>
      <c r="C51" s="4" t="s">
        <v>5412</v>
      </c>
      <c r="D51" s="4" t="s">
        <v>5413</v>
      </c>
    </row>
    <row r="52" spans="2:7" ht="28.5" x14ac:dyDescent="0.2">
      <c r="B52" s="3" t="s">
        <v>5414</v>
      </c>
      <c r="C52" s="4" t="s">
        <v>5415</v>
      </c>
      <c r="D52" s="4" t="s">
        <v>5416</v>
      </c>
    </row>
    <row r="53" spans="2:7" ht="28.5" x14ac:dyDescent="0.2">
      <c r="B53" s="3" t="s">
        <v>5417</v>
      </c>
      <c r="C53" s="4" t="s">
        <v>5418</v>
      </c>
      <c r="D53" s="4" t="s">
        <v>5419</v>
      </c>
    </row>
    <row r="54" spans="2:7" ht="28.5" x14ac:dyDescent="0.2">
      <c r="B54" s="3" t="s">
        <v>5420</v>
      </c>
      <c r="C54" s="4" t="s">
        <v>5421</v>
      </c>
      <c r="D54" s="4" t="s">
        <v>5422</v>
      </c>
    </row>
    <row r="55" spans="2:7" ht="28.5" x14ac:dyDescent="0.2">
      <c r="B55" s="3" t="s">
        <v>5423</v>
      </c>
      <c r="C55" s="4" t="s">
        <v>5424</v>
      </c>
      <c r="D55" s="4" t="s">
        <v>5425</v>
      </c>
    </row>
    <row r="56" spans="2:7" ht="28.5" x14ac:dyDescent="0.2">
      <c r="B56" s="3" t="s">
        <v>5426</v>
      </c>
      <c r="C56" s="3" t="s">
        <v>5427</v>
      </c>
      <c r="D56" s="4" t="s">
        <v>5428</v>
      </c>
    </row>
    <row r="59" spans="2:7" ht="17.25" x14ac:dyDescent="0.2">
      <c r="B59" s="5" t="s">
        <v>746</v>
      </c>
    </row>
    <row r="61" spans="2:7" x14ac:dyDescent="0.2">
      <c r="B61" s="2" t="s">
        <v>40</v>
      </c>
      <c r="C61" s="2" t="s">
        <v>1414</v>
      </c>
      <c r="D61" s="2" t="s">
        <v>21</v>
      </c>
    </row>
    <row r="62" spans="2:7" ht="28.5" x14ac:dyDescent="0.2">
      <c r="B62" s="3" t="s">
        <v>5429</v>
      </c>
      <c r="C62" s="3" t="s">
        <v>5430</v>
      </c>
      <c r="D62" s="4" t="s">
        <v>5431</v>
      </c>
    </row>
    <row r="63" spans="2:7" ht="28.5" x14ac:dyDescent="0.2">
      <c r="B63" s="3" t="s">
        <v>1679</v>
      </c>
      <c r="C63" s="3" t="s">
        <v>5432</v>
      </c>
      <c r="D63" s="4" t="s">
        <v>5336</v>
      </c>
    </row>
    <row r="64" spans="2:7" ht="28.5" x14ac:dyDescent="0.2">
      <c r="B64" s="3" t="s">
        <v>1680</v>
      </c>
      <c r="C64" s="3" t="s">
        <v>5433</v>
      </c>
      <c r="D64" s="4" t="s">
        <v>5232</v>
      </c>
    </row>
    <row r="65" spans="2:4" ht="28.5" x14ac:dyDescent="0.2">
      <c r="B65" s="3" t="s">
        <v>1663</v>
      </c>
      <c r="C65" s="3" t="s">
        <v>5434</v>
      </c>
      <c r="D65" s="4" t="s">
        <v>5435</v>
      </c>
    </row>
    <row r="66" spans="2:4" ht="28.5" x14ac:dyDescent="0.2">
      <c r="B66" s="3" t="s">
        <v>1681</v>
      </c>
      <c r="C66" s="3" t="s">
        <v>5436</v>
      </c>
      <c r="D66" s="4" t="s">
        <v>5437</v>
      </c>
    </row>
    <row r="67" spans="2:4" ht="28.5" x14ac:dyDescent="0.2">
      <c r="B67" s="3" t="s">
        <v>5438</v>
      </c>
      <c r="C67" s="3" t="s">
        <v>5439</v>
      </c>
      <c r="D67" s="4" t="s">
        <v>5440</v>
      </c>
    </row>
    <row r="68" spans="2:4" ht="28.5" x14ac:dyDescent="0.2">
      <c r="B68" s="3" t="s">
        <v>5441</v>
      </c>
      <c r="C68" s="3" t="s">
        <v>5442</v>
      </c>
      <c r="D68" s="4" t="s">
        <v>5443</v>
      </c>
    </row>
    <row r="69" spans="2:4" ht="28.5" x14ac:dyDescent="0.2">
      <c r="B69" s="3" t="s">
        <v>5444</v>
      </c>
      <c r="C69" s="3" t="s">
        <v>5445</v>
      </c>
      <c r="D69" s="4" t="s">
        <v>5446</v>
      </c>
    </row>
    <row r="70" spans="2:4" ht="28.5" x14ac:dyDescent="0.2">
      <c r="B70" s="3" t="s">
        <v>5447</v>
      </c>
      <c r="C70" s="3" t="s">
        <v>5448</v>
      </c>
      <c r="D70" s="4" t="s">
        <v>5449</v>
      </c>
    </row>
    <row r="71" spans="2:4" ht="28.5" x14ac:dyDescent="0.2">
      <c r="B71" s="3" t="s">
        <v>5450</v>
      </c>
      <c r="C71" s="3" t="s">
        <v>5451</v>
      </c>
      <c r="D71" s="4" t="s">
        <v>5452</v>
      </c>
    </row>
    <row r="74" spans="2:4" ht="17.25" x14ac:dyDescent="0.2">
      <c r="B74" s="5" t="s">
        <v>1805</v>
      </c>
    </row>
    <row r="75" spans="2:4" x14ac:dyDescent="0.2">
      <c r="B75" s="6"/>
    </row>
    <row r="76" spans="2:4" x14ac:dyDescent="0.2">
      <c r="B76" s="7" t="s">
        <v>5453</v>
      </c>
    </row>
    <row r="77" spans="2:4" x14ac:dyDescent="0.2">
      <c r="B77" s="7" t="s">
        <v>5454</v>
      </c>
    </row>
    <row r="78" spans="2:4" x14ac:dyDescent="0.2">
      <c r="B78" s="7" t="s">
        <v>5455</v>
      </c>
    </row>
    <row r="79" spans="2:4" x14ac:dyDescent="0.2">
      <c r="B79" s="7" t="s">
        <v>5456</v>
      </c>
    </row>
  </sheetData>
  <phoneticPr fontId="2" type="noConversion"/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9835EA-8023-4EC2-BC52-EEE184C36896}">
  <dimension ref="B1:G82"/>
  <sheetViews>
    <sheetView topLeftCell="A8" zoomScaleNormal="100" workbookViewId="0">
      <selection activeCell="B1" sqref="B1"/>
    </sheetView>
  </sheetViews>
  <sheetFormatPr defaultRowHeight="14.25" x14ac:dyDescent="0.2"/>
  <cols>
    <col min="1" max="1" width="2.75" customWidth="1"/>
    <col min="2" max="2" width="15.625" customWidth="1"/>
    <col min="3" max="3" width="43.125" customWidth="1"/>
    <col min="4" max="4" width="32.75" customWidth="1"/>
  </cols>
  <sheetData>
    <row r="1" spans="2:7" ht="17.25" x14ac:dyDescent="0.2">
      <c r="B1" s="5" t="s">
        <v>5253</v>
      </c>
      <c r="G1" t="str">
        <f>"&lt;dl&gt;&lt;dt&gt;" &amp; B1 &amp; "&lt;/dt&gt;&lt;dd&gt;" &amp; C1 &amp; "&lt;/dd&gt;&lt;dd&gt;" &amp; D1 &amp; "&lt;/dd&gt;&lt;/dl&gt;"</f>
        <v>&lt;dl&gt;&lt;dt&gt;一、火星定义&lt;/dt&gt;&lt;dd&gt;&lt;/dd&gt;&lt;dd&gt;&lt;/dd&gt;&lt;/dl&gt;</v>
      </c>
    </row>
    <row r="3" spans="2:7" x14ac:dyDescent="0.2">
      <c r="B3" s="2" t="s">
        <v>376</v>
      </c>
      <c r="C3" s="2" t="s">
        <v>377</v>
      </c>
      <c r="D3" s="2" t="s">
        <v>21</v>
      </c>
    </row>
    <row r="4" spans="2:7" x14ac:dyDescent="0.2">
      <c r="B4" s="3" t="s">
        <v>624</v>
      </c>
      <c r="C4" s="4" t="s">
        <v>5254</v>
      </c>
      <c r="D4" s="4"/>
    </row>
    <row r="5" spans="2:7" ht="42.75" x14ac:dyDescent="0.2">
      <c r="B5" s="3" t="s">
        <v>378</v>
      </c>
      <c r="C5" s="4" t="s">
        <v>5255</v>
      </c>
      <c r="D5" s="4"/>
    </row>
    <row r="6" spans="2:7" ht="42.75" x14ac:dyDescent="0.2">
      <c r="B6" s="3" t="s">
        <v>1717</v>
      </c>
      <c r="C6" s="4" t="s">
        <v>5256</v>
      </c>
      <c r="D6" s="4"/>
    </row>
    <row r="9" spans="2:7" ht="17.25" x14ac:dyDescent="0.2">
      <c r="B9" s="5" t="s">
        <v>1719</v>
      </c>
    </row>
    <row r="11" spans="2:7" ht="15.75" x14ac:dyDescent="0.2">
      <c r="B11" s="13" t="s">
        <v>1720</v>
      </c>
    </row>
    <row r="13" spans="2:7" x14ac:dyDescent="0.2">
      <c r="B13" s="2" t="s">
        <v>390</v>
      </c>
      <c r="C13" s="2" t="s">
        <v>1818</v>
      </c>
      <c r="D13" s="2" t="s">
        <v>1819</v>
      </c>
    </row>
    <row r="14" spans="2:7" x14ac:dyDescent="0.2">
      <c r="B14" s="3" t="s">
        <v>5257</v>
      </c>
      <c r="C14" s="4" t="s">
        <v>5258</v>
      </c>
      <c r="D14" s="4" t="s">
        <v>4084</v>
      </c>
    </row>
    <row r="15" spans="2:7" x14ac:dyDescent="0.2">
      <c r="B15" s="3" t="s">
        <v>5259</v>
      </c>
      <c r="C15" s="4" t="s">
        <v>5260</v>
      </c>
      <c r="D15" s="4" t="s">
        <v>5261</v>
      </c>
    </row>
    <row r="16" spans="2:7" x14ac:dyDescent="0.2">
      <c r="B16" s="3" t="s">
        <v>5262</v>
      </c>
      <c r="C16" s="4" t="s">
        <v>5263</v>
      </c>
      <c r="D16" s="4" t="s">
        <v>5264</v>
      </c>
    </row>
    <row r="17" spans="2:7" x14ac:dyDescent="0.2">
      <c r="B17" s="3" t="s">
        <v>5265</v>
      </c>
      <c r="C17" s="4" t="s">
        <v>5266</v>
      </c>
      <c r="D17" s="4" t="s">
        <v>5166</v>
      </c>
    </row>
    <row r="18" spans="2:7" ht="28.5" x14ac:dyDescent="0.2">
      <c r="B18" s="3" t="s">
        <v>5267</v>
      </c>
      <c r="C18" s="4" t="s">
        <v>5268</v>
      </c>
      <c r="D18" s="4" t="s">
        <v>5269</v>
      </c>
    </row>
    <row r="21" spans="2:7" ht="17.25" x14ac:dyDescent="0.2">
      <c r="B21" s="5" t="s">
        <v>1733</v>
      </c>
    </row>
    <row r="22" spans="2:7" ht="15" thickBot="1" x14ac:dyDescent="0.25"/>
    <row r="23" spans="2:7" ht="16.5" thickBot="1" x14ac:dyDescent="0.25">
      <c r="B23" s="2" t="s">
        <v>18</v>
      </c>
      <c r="C23" s="2" t="s">
        <v>1818</v>
      </c>
      <c r="D23" s="2" t="s">
        <v>21</v>
      </c>
      <c r="E23" s="12"/>
    </row>
    <row r="24" spans="2:7" ht="29.25" thickBot="1" x14ac:dyDescent="0.25">
      <c r="B24" s="3" t="s">
        <v>201</v>
      </c>
      <c r="C24" s="4" t="s">
        <v>5270</v>
      </c>
      <c r="D24" s="4"/>
      <c r="E24" s="15"/>
      <c r="G24" t="str">
        <f t="shared" ref="G24:G52" si="0">"&lt;dl&gt;&lt;dt&gt;" &amp; B24 &amp; "&lt;/dt&gt;&lt;dd&gt;" &amp; C24 &amp; "&lt;/dd&gt;&lt;dd&gt;" &amp; D24 &amp; "&lt;/dd&gt;&lt;/dl&gt;"</f>
        <v>&lt;dl&gt;&lt;dt&gt;命宫​&lt;/dt&gt;&lt;dd&gt;性格刚烈急躁，行动迅速，易冲动坏事，一生多突发变故。&lt;/dd&gt;&lt;dd&gt;&lt;/dd&gt;&lt;/dl&gt;</v>
      </c>
    </row>
    <row r="25" spans="2:7" ht="29.25" thickBot="1" x14ac:dyDescent="0.25">
      <c r="B25" s="3" t="s">
        <v>246</v>
      </c>
      <c r="C25" s="4" t="s">
        <v>5271</v>
      </c>
      <c r="D25" s="4"/>
      <c r="E25" s="15"/>
      <c r="G25" t="str">
        <f t="shared" si="0"/>
        <v>&lt;dl&gt;&lt;dt&gt;兄弟宫​&lt;/dt&gt;&lt;dd&gt;与兄弟姐妹关系紧张，易突发争执；朋友交往易起冲突。&lt;/dd&gt;&lt;dd&gt;&lt;/dd&gt;&lt;/dl&gt;</v>
      </c>
    </row>
    <row r="26" spans="2:7" ht="29.25" thickBot="1" x14ac:dyDescent="0.25">
      <c r="B26" s="3" t="s">
        <v>125</v>
      </c>
      <c r="C26" s="4" t="s">
        <v>5272</v>
      </c>
      <c r="D26" s="4"/>
      <c r="E26" s="15"/>
      <c r="G26" t="str">
        <f t="shared" si="0"/>
        <v>&lt;dl&gt;&lt;dt&gt;夫妻宫​&lt;/dt&gt;&lt;dd&gt;感情来得快去得也快，易闪电恋爱或结婚，也易突发矛盾分离。&lt;/dd&gt;&lt;dd&gt;&lt;/dd&gt;&lt;/dl&gt;</v>
      </c>
    </row>
    <row r="27" spans="2:7" ht="29.25" thickBot="1" x14ac:dyDescent="0.25">
      <c r="B27" s="3" t="s">
        <v>128</v>
      </c>
      <c r="C27" s="4" t="s">
        <v>5273</v>
      </c>
      <c r="D27" s="4"/>
      <c r="E27" s="15"/>
      <c r="G27" t="str">
        <f t="shared" si="0"/>
        <v>&lt;dl&gt;&lt;dt&gt;子女宫​&lt;/dt&gt;&lt;dd&gt;子女个性急躁；合作关系易突然破裂；投资变动剧烈。&lt;/dd&gt;&lt;dd&gt;&lt;/dd&gt;&lt;/dl&gt;</v>
      </c>
    </row>
    <row r="28" spans="2:7" ht="29.25" thickBot="1" x14ac:dyDescent="0.25">
      <c r="B28" s="3" t="s">
        <v>3</v>
      </c>
      <c r="C28" s="4" t="s">
        <v>5274</v>
      </c>
      <c r="D28" s="4"/>
      <c r="E28" s="15"/>
      <c r="G28" t="str">
        <f t="shared" si="0"/>
        <v>&lt;dl&gt;&lt;dt&gt;财帛宫​&lt;/dt&gt;&lt;dd&gt;钱财流动极快，易暴发暴破，适合短线、投机性求财。&lt;/dd&gt;&lt;dd&gt;&lt;/dd&gt;&lt;/dl&gt;</v>
      </c>
    </row>
    <row r="29" spans="2:7" ht="29.25" thickBot="1" x14ac:dyDescent="0.25">
      <c r="B29" s="3" t="s">
        <v>6</v>
      </c>
      <c r="C29" s="3" t="s">
        <v>5275</v>
      </c>
      <c r="D29" s="4"/>
      <c r="E29" s="15"/>
      <c r="G29" t="str">
        <f t="shared" si="0"/>
        <v>&lt;dl&gt;&lt;dt&gt;疾厄宫​&lt;/dt&gt;&lt;dd&gt;核心宫位。易患急性病、发炎、发烧，或遭遇突发性伤害、手术。&lt;/dd&gt;&lt;dd&gt;&lt;/dd&gt;&lt;/dl&gt;</v>
      </c>
    </row>
    <row r="30" spans="2:7" ht="28.5" x14ac:dyDescent="0.2">
      <c r="B30" s="3" t="s">
        <v>15</v>
      </c>
      <c r="C30" s="4" t="s">
        <v>5276</v>
      </c>
      <c r="D30" s="4"/>
    </row>
    <row r="31" spans="2:7" ht="28.5" x14ac:dyDescent="0.2">
      <c r="B31" s="3" t="s">
        <v>12</v>
      </c>
      <c r="C31" s="4" t="s">
        <v>5277</v>
      </c>
      <c r="D31" s="4"/>
    </row>
    <row r="32" spans="2:7" ht="28.5" x14ac:dyDescent="0.2">
      <c r="B32" s="3" t="s">
        <v>206</v>
      </c>
      <c r="C32" s="4" t="s">
        <v>5278</v>
      </c>
      <c r="D32" s="4"/>
    </row>
    <row r="33" spans="2:7" ht="29.25" thickBot="1" x14ac:dyDescent="0.25">
      <c r="B33" s="3" t="s">
        <v>0</v>
      </c>
      <c r="C33" s="4" t="s">
        <v>5279</v>
      </c>
      <c r="D33" s="4"/>
    </row>
    <row r="34" spans="2:7" ht="16.5" thickBot="1" x14ac:dyDescent="0.25">
      <c r="B34" s="3" t="s">
        <v>116</v>
      </c>
      <c r="C34" s="4" t="s">
        <v>5280</v>
      </c>
      <c r="D34" s="4"/>
      <c r="E34" s="12"/>
    </row>
    <row r="35" spans="2:7" ht="29.25" thickBot="1" x14ac:dyDescent="0.25">
      <c r="B35" s="3" t="s">
        <v>9</v>
      </c>
      <c r="C35" s="4" t="s">
        <v>5281</v>
      </c>
      <c r="D35" s="4"/>
      <c r="E35" s="15"/>
      <c r="G35" t="str">
        <f t="shared" si="0"/>
        <v>&lt;dl&gt;&lt;dt&gt;父母宫​&lt;/dt&gt;&lt;dd&gt;与父母关系紧张，易突发冲突；得到遗产或资助过程突然。&lt;/dd&gt;&lt;dd&gt;&lt;/dd&gt;&lt;/dl&gt;</v>
      </c>
    </row>
    <row r="36" spans="2:7" ht="16.5" thickBot="1" x14ac:dyDescent="0.25">
      <c r="E36" s="15"/>
      <c r="G36" t="str">
        <f t="shared" si="0"/>
        <v>&lt;dl&gt;&lt;dt&gt;&lt;/dt&gt;&lt;dd&gt;&lt;/dd&gt;&lt;dd&gt;&lt;/dd&gt;&lt;/dl&gt;</v>
      </c>
    </row>
    <row r="37" spans="2:7" ht="16.5" thickBot="1" x14ac:dyDescent="0.25">
      <c r="E37" s="15"/>
      <c r="G37" t="str">
        <f t="shared" si="0"/>
        <v>&lt;dl&gt;&lt;dt&gt;&lt;/dt&gt;&lt;dd&gt;&lt;/dd&gt;&lt;dd&gt;&lt;/dd&gt;&lt;/dl&gt;</v>
      </c>
    </row>
    <row r="38" spans="2:7" ht="18" thickBot="1" x14ac:dyDescent="0.25">
      <c r="B38" s="5" t="s">
        <v>734</v>
      </c>
      <c r="E38" s="15"/>
      <c r="G38" t="str">
        <f t="shared" si="0"/>
        <v>&lt;dl&gt;&lt;dt&gt;四、主星组合象义&lt;/dt&gt;&lt;dd&gt;&lt;/dd&gt;&lt;dd&gt;&lt;/dd&gt;&lt;/dl&gt;</v>
      </c>
    </row>
    <row r="39" spans="2:7" ht="16.5" thickBot="1" x14ac:dyDescent="0.25">
      <c r="E39" s="15"/>
      <c r="G39" t="str">
        <f t="shared" si="0"/>
        <v>&lt;dl&gt;&lt;dt&gt;&lt;/dt&gt;&lt;dd&gt;&lt;/dd&gt;&lt;dd&gt;&lt;/dd&gt;&lt;/dl&gt;</v>
      </c>
    </row>
    <row r="40" spans="2:7" ht="16.5" thickBot="1" x14ac:dyDescent="0.25">
      <c r="B40" s="13" t="s">
        <v>5282</v>
      </c>
      <c r="E40" s="15"/>
      <c r="G40" t="str">
        <f t="shared" si="0"/>
        <v>&lt;dl&gt;&lt;dt&gt;1. 增强阳火/爆发组合&lt;/dt&gt;&lt;dd&gt;&lt;/dd&gt;&lt;dd&gt;&lt;/dd&gt;&lt;/dl&gt;</v>
      </c>
    </row>
    <row r="41" spans="2:7" ht="16.5" thickBot="1" x14ac:dyDescent="0.25">
      <c r="E41" s="15"/>
      <c r="G41" t="str">
        <f t="shared" si="0"/>
        <v>&lt;dl&gt;&lt;dt&gt;&lt;/dt&gt;&lt;dd&gt;&lt;/dd&gt;&lt;dd&gt;&lt;/dd&gt;&lt;/dl&gt;</v>
      </c>
    </row>
    <row r="42" spans="2:7" ht="16.5" thickBot="1" x14ac:dyDescent="0.25">
      <c r="B42" s="2" t="s">
        <v>71</v>
      </c>
      <c r="C42" s="2" t="s">
        <v>1047</v>
      </c>
      <c r="D42" s="2" t="s">
        <v>73</v>
      </c>
      <c r="E42" s="15"/>
      <c r="G42" t="str">
        <f t="shared" si="0"/>
        <v>&lt;dl&gt;&lt;dt&gt;组合​&lt;/dt&gt;&lt;dd&gt;效应​&lt;/dd&gt;&lt;dd&gt;典型案例​&lt;/dd&gt;&lt;/dl&gt;</v>
      </c>
    </row>
    <row r="43" spans="2:7" ht="29.25" thickBot="1" x14ac:dyDescent="0.25">
      <c r="B43" s="3" t="s">
        <v>5283</v>
      </c>
      <c r="C43" s="3" t="s">
        <v>5284</v>
      </c>
      <c r="D43" s="4" t="s">
        <v>5285</v>
      </c>
      <c r="E43" s="15"/>
      <c r="G43" t="str">
        <f t="shared" si="0"/>
        <v>&lt;dl&gt;&lt;dt&gt;火星+紫微​&lt;/dt&gt;&lt;dd&gt;帝星发威，权威带暴烈，领导风格强势急躁，事业突发性提升或挫折。&lt;/dd&gt;&lt;dd&gt;铁腕领袖；公司突然上市或突然破产。&lt;/dd&gt;&lt;/dl&gt;</v>
      </c>
    </row>
    <row r="44" spans="2:7" ht="28.5" x14ac:dyDescent="0.2">
      <c r="B44" s="3" t="s">
        <v>5286</v>
      </c>
      <c r="C44" s="3" t="s">
        <v>5287</v>
      </c>
      <c r="D44" s="4" t="s">
        <v>5288</v>
      </c>
    </row>
    <row r="45" spans="2:7" ht="28.5" x14ac:dyDescent="0.2">
      <c r="B45" s="3" t="s">
        <v>5289</v>
      </c>
      <c r="C45" s="3" t="s">
        <v>5290</v>
      </c>
      <c r="D45" s="4" t="s">
        <v>5291</v>
      </c>
    </row>
    <row r="46" spans="2:7" ht="28.5" x14ac:dyDescent="0.2">
      <c r="B46" s="3" t="s">
        <v>5292</v>
      </c>
      <c r="C46" s="3" t="s">
        <v>5293</v>
      </c>
      <c r="D46" s="4" t="s">
        <v>5294</v>
      </c>
    </row>
    <row r="47" spans="2:7" ht="29.25" thickBot="1" x14ac:dyDescent="0.25">
      <c r="B47" s="3" t="s">
        <v>5295</v>
      </c>
      <c r="C47" s="3" t="s">
        <v>5296</v>
      </c>
      <c r="D47" s="4" t="s">
        <v>5297</v>
      </c>
    </row>
    <row r="48" spans="2:7" ht="29.25" thickBot="1" x14ac:dyDescent="0.25">
      <c r="B48" s="3" t="s">
        <v>5298</v>
      </c>
      <c r="C48" s="3" t="s">
        <v>5299</v>
      </c>
      <c r="D48" s="4" t="s">
        <v>5300</v>
      </c>
      <c r="E48" s="12"/>
    </row>
    <row r="49" spans="2:7" ht="29.25" thickBot="1" x14ac:dyDescent="0.25">
      <c r="B49" s="3" t="s">
        <v>5301</v>
      </c>
      <c r="C49" s="3" t="s">
        <v>5302</v>
      </c>
      <c r="D49" s="4" t="s">
        <v>5303</v>
      </c>
      <c r="E49" s="15"/>
      <c r="G49" t="str">
        <f t="shared" si="0"/>
        <v>&lt;dl&gt;&lt;dt&gt;火星+天府​&lt;/dt&gt;&lt;dd&gt;库星失火，稳定的局面被突然打破，积蓄突发性损失，或急性胃病。&lt;/dd&gt;&lt;dd&gt;银行突然倒闭；突发胃出血。&lt;/dd&gt;&lt;/dl&gt;</v>
      </c>
    </row>
    <row r="50" spans="2:7" ht="29.25" thickBot="1" x14ac:dyDescent="0.25">
      <c r="B50" s="3" t="s">
        <v>5304</v>
      </c>
      <c r="C50" s="3" t="s">
        <v>5305</v>
      </c>
      <c r="D50" s="4" t="s">
        <v>5306</v>
      </c>
      <c r="E50" s="15"/>
      <c r="G50" t="str">
        <f t="shared" si="0"/>
        <v>&lt;dl&gt;&lt;dt&gt;火星+太阴​&lt;/dt&gt;&lt;dd&gt;阴火相煎，内在情绪突然爆发，女性问题急性发作，或房地产突发问题。&lt;/dd&gt;&lt;dd&gt;长期压抑后突然崩溃；急性盆腔炎。&lt;/dd&gt;&lt;/dl&gt;</v>
      </c>
    </row>
    <row r="51" spans="2:7" ht="29.25" thickBot="1" x14ac:dyDescent="0.25">
      <c r="B51" s="3" t="s">
        <v>5307</v>
      </c>
      <c r="C51" s="3" t="s">
        <v>5308</v>
      </c>
      <c r="D51" s="4" t="s">
        <v>5309</v>
      </c>
      <c r="E51" s="15"/>
      <c r="G51" t="str">
        <f t="shared" si="0"/>
        <v>&lt;dl&gt;&lt;dt&gt;火星+贪狼​&lt;/dt&gt;&lt;dd&gt;欲火焚身，欲望强烈且急于满足，易有突发桃花劫，嗜好成瘾快。&lt;/dd&gt;&lt;dd&gt;一见钟情后迅速发生关系；突然沉迷赌博。&lt;/dd&gt;&lt;/dl&gt;</v>
      </c>
    </row>
    <row r="52" spans="2:7" ht="29.25" thickBot="1" x14ac:dyDescent="0.25">
      <c r="B52" s="3" t="s">
        <v>5310</v>
      </c>
      <c r="C52" s="3" t="s">
        <v>5311</v>
      </c>
      <c r="D52" s="4" t="s">
        <v>5312</v>
      </c>
      <c r="E52" s="15"/>
      <c r="G52" t="str">
        <f t="shared" si="0"/>
        <v>&lt;dl&gt;&lt;dt&gt;火星+巨门​&lt;/dt&gt;&lt;dd&gt;暗火爆发，是非口舌突然升级为激烈争吵，突发性消化系统急症。&lt;/dd&gt;&lt;dd&gt;争论演变为打架；突发急性肠胃炎。&lt;/dd&gt;&lt;/dl&gt;</v>
      </c>
    </row>
    <row r="53" spans="2:7" ht="28.5" x14ac:dyDescent="0.2">
      <c r="B53" s="3" t="s">
        <v>5313</v>
      </c>
      <c r="C53" s="3" t="s">
        <v>5314</v>
      </c>
      <c r="D53" s="4" t="s">
        <v>5315</v>
      </c>
    </row>
    <row r="54" spans="2:7" ht="28.5" x14ac:dyDescent="0.2">
      <c r="B54" s="3" t="s">
        <v>5316</v>
      </c>
      <c r="C54" s="3" t="s">
        <v>5317</v>
      </c>
      <c r="D54" s="4" t="s">
        <v>5318</v>
      </c>
    </row>
    <row r="55" spans="2:7" ht="28.5" x14ac:dyDescent="0.2">
      <c r="B55" s="3" t="s">
        <v>5319</v>
      </c>
      <c r="C55" s="3" t="s">
        <v>5320</v>
      </c>
      <c r="D55" s="4" t="s">
        <v>5321</v>
      </c>
    </row>
    <row r="56" spans="2:7" ht="28.5" x14ac:dyDescent="0.2">
      <c r="B56" s="3" t="s">
        <v>5322</v>
      </c>
      <c r="C56" s="3" t="s">
        <v>5323</v>
      </c>
      <c r="D56" s="4" t="s">
        <v>5324</v>
      </c>
    </row>
    <row r="59" spans="2:7" ht="17.25" x14ac:dyDescent="0.2">
      <c r="B59" s="5" t="s">
        <v>746</v>
      </c>
    </row>
    <row r="61" spans="2:7" x14ac:dyDescent="0.2">
      <c r="B61" s="2" t="s">
        <v>40</v>
      </c>
      <c r="C61" s="2" t="s">
        <v>1414</v>
      </c>
      <c r="D61" s="2" t="s">
        <v>21</v>
      </c>
    </row>
    <row r="62" spans="2:7" ht="28.5" x14ac:dyDescent="0.2">
      <c r="B62" s="3" t="s">
        <v>1683</v>
      </c>
      <c r="C62" s="3" t="s">
        <v>5325</v>
      </c>
      <c r="D62" s="4" t="s">
        <v>5326</v>
      </c>
    </row>
    <row r="63" spans="2:7" ht="28.5" x14ac:dyDescent="0.2">
      <c r="B63" s="3" t="s">
        <v>1662</v>
      </c>
      <c r="C63" s="3" t="s">
        <v>5327</v>
      </c>
      <c r="D63" s="4" t="s">
        <v>5328</v>
      </c>
    </row>
    <row r="64" spans="2:7" ht="28.5" x14ac:dyDescent="0.2">
      <c r="B64" s="3" t="s">
        <v>5329</v>
      </c>
      <c r="C64" s="3" t="s">
        <v>5330</v>
      </c>
      <c r="D64" s="4" t="s">
        <v>5331</v>
      </c>
    </row>
    <row r="65" spans="2:4" ht="28.5" x14ac:dyDescent="0.2">
      <c r="B65" s="3" t="s">
        <v>1684</v>
      </c>
      <c r="C65" s="3" t="s">
        <v>5332</v>
      </c>
      <c r="D65" s="4" t="s">
        <v>5333</v>
      </c>
    </row>
    <row r="66" spans="2:4" ht="28.5" x14ac:dyDescent="0.2">
      <c r="B66" s="3" t="s">
        <v>5334</v>
      </c>
      <c r="C66" s="3" t="s">
        <v>5335</v>
      </c>
      <c r="D66" s="4" t="s">
        <v>5336</v>
      </c>
    </row>
    <row r="67" spans="2:4" ht="28.5" x14ac:dyDescent="0.2">
      <c r="B67" s="3" t="s">
        <v>5337</v>
      </c>
      <c r="C67" s="3" t="s">
        <v>5338</v>
      </c>
      <c r="D67" s="4" t="s">
        <v>5339</v>
      </c>
    </row>
    <row r="68" spans="2:4" ht="28.5" x14ac:dyDescent="0.2">
      <c r="B68" s="3" t="s">
        <v>5340</v>
      </c>
      <c r="C68" s="3" t="s">
        <v>5341</v>
      </c>
      <c r="D68" s="4" t="s">
        <v>5342</v>
      </c>
    </row>
    <row r="69" spans="2:4" ht="28.5" x14ac:dyDescent="0.2">
      <c r="B69" s="3" t="s">
        <v>5343</v>
      </c>
      <c r="C69" s="3" t="s">
        <v>5344</v>
      </c>
      <c r="D69" s="4" t="s">
        <v>5345</v>
      </c>
    </row>
    <row r="70" spans="2:4" ht="28.5" x14ac:dyDescent="0.2">
      <c r="B70" s="3" t="s">
        <v>5346</v>
      </c>
      <c r="C70" s="3" t="s">
        <v>5347</v>
      </c>
      <c r="D70" s="4" t="s">
        <v>5348</v>
      </c>
    </row>
    <row r="71" spans="2:4" ht="28.5" x14ac:dyDescent="0.2">
      <c r="B71" s="3" t="s">
        <v>5349</v>
      </c>
      <c r="C71" s="3" t="s">
        <v>5350</v>
      </c>
      <c r="D71" s="4" t="s">
        <v>5351</v>
      </c>
    </row>
    <row r="74" spans="2:4" ht="17.25" x14ac:dyDescent="0.2">
      <c r="B74" s="5" t="s">
        <v>1805</v>
      </c>
    </row>
    <row r="75" spans="2:4" x14ac:dyDescent="0.2">
      <c r="B75" s="6"/>
    </row>
    <row r="76" spans="2:4" x14ac:dyDescent="0.2">
      <c r="B76" s="7" t="s">
        <v>5352</v>
      </c>
    </row>
    <row r="77" spans="2:4" x14ac:dyDescent="0.2">
      <c r="B77" s="7" t="s">
        <v>5353</v>
      </c>
    </row>
    <row r="78" spans="2:4" x14ac:dyDescent="0.2">
      <c r="B78" s="7" t="s">
        <v>5354</v>
      </c>
    </row>
    <row r="79" spans="2:4" x14ac:dyDescent="0.2">
      <c r="B79" s="7" t="s">
        <v>5355</v>
      </c>
    </row>
    <row r="80" spans="2:4" x14ac:dyDescent="0.2">
      <c r="B80" s="16"/>
    </row>
    <row r="81" spans="2:2" x14ac:dyDescent="0.2">
      <c r="B81" s="6"/>
    </row>
    <row r="82" spans="2:2" x14ac:dyDescent="0.2">
      <c r="B82" s="6"/>
    </row>
  </sheetData>
  <phoneticPr fontId="2" type="noConversion"/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9E65A2-D811-4FEA-86E6-EC34B13FCFFF}">
  <dimension ref="B1:G99"/>
  <sheetViews>
    <sheetView topLeftCell="A26" zoomScaleNormal="100" workbookViewId="0">
      <selection activeCell="C9" sqref="C9"/>
    </sheetView>
  </sheetViews>
  <sheetFormatPr defaultRowHeight="14.25" x14ac:dyDescent="0.2"/>
  <cols>
    <col min="1" max="1" width="2.75" customWidth="1"/>
    <col min="2" max="2" width="15.625" customWidth="1"/>
    <col min="3" max="3" width="43.125" customWidth="1"/>
    <col min="4" max="4" width="32.75" customWidth="1"/>
  </cols>
  <sheetData>
    <row r="1" spans="2:7" ht="17.25" x14ac:dyDescent="0.2">
      <c r="B1" s="5" t="s">
        <v>5151</v>
      </c>
      <c r="G1" t="str">
        <f>"&lt;dl&gt;&lt;dt&gt;" &amp; B1 &amp; "&lt;/dt&gt;&lt;dd&gt;" &amp; C1 &amp; "&lt;/dd&gt;&lt;dd&gt;" &amp; D1 &amp; "&lt;/dd&gt;&lt;/dl&gt;"</f>
        <v>&lt;dl&gt;&lt;dt&gt;一、铃星定义&lt;/dt&gt;&lt;dd&gt;&lt;/dd&gt;&lt;dd&gt;&lt;/dd&gt;&lt;/dl&gt;</v>
      </c>
    </row>
    <row r="3" spans="2:7" x14ac:dyDescent="0.2">
      <c r="B3" s="2" t="s">
        <v>376</v>
      </c>
      <c r="C3" s="2" t="s">
        <v>377</v>
      </c>
      <c r="D3" s="2" t="s">
        <v>21</v>
      </c>
    </row>
    <row r="4" spans="2:7" x14ac:dyDescent="0.2">
      <c r="B4" s="3" t="s">
        <v>624</v>
      </c>
      <c r="C4" s="4" t="s">
        <v>5152</v>
      </c>
      <c r="D4" s="4"/>
    </row>
    <row r="5" spans="2:7" ht="57" x14ac:dyDescent="0.2">
      <c r="B5" s="3" t="s">
        <v>378</v>
      </c>
      <c r="C5" s="4" t="s">
        <v>5252</v>
      </c>
      <c r="D5" s="4"/>
    </row>
    <row r="6" spans="2:7" ht="42.75" x14ac:dyDescent="0.2">
      <c r="B6" s="3" t="s">
        <v>1717</v>
      </c>
      <c r="C6" s="4" t="s">
        <v>5153</v>
      </c>
      <c r="D6" s="4"/>
    </row>
    <row r="9" spans="2:7" ht="17.25" x14ac:dyDescent="0.2">
      <c r="B9" s="5" t="s">
        <v>1719</v>
      </c>
    </row>
    <row r="11" spans="2:7" ht="15.75" x14ac:dyDescent="0.2">
      <c r="B11" s="13" t="s">
        <v>1720</v>
      </c>
    </row>
    <row r="13" spans="2:7" x14ac:dyDescent="0.2">
      <c r="B13" s="2" t="s">
        <v>390</v>
      </c>
      <c r="C13" s="2" t="s">
        <v>1818</v>
      </c>
      <c r="D13" s="2" t="s">
        <v>1819</v>
      </c>
    </row>
    <row r="14" spans="2:7" ht="28.5" x14ac:dyDescent="0.2">
      <c r="B14" s="3" t="s">
        <v>5154</v>
      </c>
      <c r="C14" s="4" t="s">
        <v>5155</v>
      </c>
      <c r="D14" s="4" t="s">
        <v>2371</v>
      </c>
    </row>
    <row r="15" spans="2:7" ht="28.5" x14ac:dyDescent="0.2">
      <c r="B15" s="3" t="s">
        <v>5156</v>
      </c>
      <c r="C15" s="4" t="s">
        <v>5157</v>
      </c>
      <c r="D15" s="4" t="s">
        <v>5158</v>
      </c>
    </row>
    <row r="16" spans="2:7" ht="28.5" x14ac:dyDescent="0.2">
      <c r="B16" s="3" t="s">
        <v>5159</v>
      </c>
      <c r="C16" s="4" t="s">
        <v>5160</v>
      </c>
      <c r="D16" s="4" t="s">
        <v>5161</v>
      </c>
    </row>
    <row r="17" spans="2:7" ht="28.5" x14ac:dyDescent="0.2">
      <c r="B17" s="3" t="s">
        <v>5162</v>
      </c>
      <c r="C17" s="4" t="s">
        <v>5163</v>
      </c>
      <c r="D17" s="4" t="s">
        <v>2467</v>
      </c>
    </row>
    <row r="18" spans="2:7" ht="28.5" x14ac:dyDescent="0.2">
      <c r="B18" s="3" t="s">
        <v>5164</v>
      </c>
      <c r="C18" s="4" t="s">
        <v>5165</v>
      </c>
      <c r="D18" s="4" t="s">
        <v>5166</v>
      </c>
    </row>
    <row r="21" spans="2:7" ht="17.25" x14ac:dyDescent="0.2">
      <c r="B21" s="5" t="s">
        <v>1733</v>
      </c>
    </row>
    <row r="23" spans="2:7" x14ac:dyDescent="0.2">
      <c r="B23" s="2" t="s">
        <v>18</v>
      </c>
      <c r="C23" s="2" t="s">
        <v>1818</v>
      </c>
      <c r="D23" s="2" t="s">
        <v>21</v>
      </c>
    </row>
    <row r="24" spans="2:7" ht="28.5" x14ac:dyDescent="0.2">
      <c r="B24" s="3" t="s">
        <v>201</v>
      </c>
      <c r="C24" s="4" t="s">
        <v>5167</v>
      </c>
      <c r="D24" s="4"/>
      <c r="G24" t="str">
        <f t="shared" ref="G24:G52" si="0">"&lt;dl&gt;&lt;dt&gt;" &amp; B24 &amp; "&lt;/dt&gt;&lt;dd&gt;" &amp; C24 &amp; "&lt;/dd&gt;&lt;dd&gt;" &amp; D24 &amp; "&lt;/dd&gt;&lt;/dl&gt;"</f>
        <v>&lt;dl&gt;&lt;dt&gt;命宫​&lt;/dt&gt;&lt;dd&gt;性格内向阴沉，心思细密，易嫉妒，有耐心但行动迟缓，一生多暗耗。&lt;/dd&gt;&lt;dd&gt;&lt;/dd&gt;&lt;/dl&gt;</v>
      </c>
    </row>
    <row r="25" spans="2:7" ht="28.5" x14ac:dyDescent="0.2">
      <c r="B25" s="3" t="s">
        <v>246</v>
      </c>
      <c r="C25" s="4" t="s">
        <v>5168</v>
      </c>
      <c r="D25" s="4"/>
      <c r="G25" t="str">
        <f t="shared" si="0"/>
        <v>&lt;dl&gt;&lt;dt&gt;兄弟宫​&lt;/dt&gt;&lt;dd&gt;与兄弟姐妹关系疏远，易有暗中较劲、嫉妒；朋友间多猜疑。&lt;/dd&gt;&lt;dd&gt;&lt;/dd&gt;&lt;/dl&gt;</v>
      </c>
    </row>
    <row r="26" spans="2:7" ht="28.5" x14ac:dyDescent="0.2">
      <c r="B26" s="3" t="s">
        <v>125</v>
      </c>
      <c r="C26" s="4" t="s">
        <v>5169</v>
      </c>
      <c r="D26" s="4"/>
      <c r="G26" t="str">
        <f t="shared" si="0"/>
        <v>&lt;dl&gt;&lt;dt&gt;夫妻宫​&lt;/dt&gt;&lt;dd&gt;感情中存在猜忌、冷战，关系冷淡拖延，易有暗中情愫或第三者。&lt;/dd&gt;&lt;dd&gt;&lt;/dd&gt;&lt;/dl&gt;</v>
      </c>
    </row>
    <row r="27" spans="2:7" ht="28.5" x14ac:dyDescent="0.2">
      <c r="B27" s="3" t="s">
        <v>128</v>
      </c>
      <c r="C27" s="4" t="s">
        <v>5170</v>
      </c>
      <c r="D27" s="4"/>
      <c r="G27" t="str">
        <f t="shared" si="0"/>
        <v>&lt;dl&gt;&lt;dt&gt;子女宫​&lt;/dt&gt;&lt;dd&gt;子女缘薄，或子女性格孤僻；合作事项进展缓慢，易被暗中破坏。&lt;/dd&gt;&lt;dd&gt;&lt;/dd&gt;&lt;/dl&gt;</v>
      </c>
    </row>
    <row r="28" spans="2:7" ht="28.5" x14ac:dyDescent="0.2">
      <c r="B28" s="3" t="s">
        <v>3</v>
      </c>
      <c r="C28" s="4" t="s">
        <v>5171</v>
      </c>
      <c r="D28" s="4"/>
      <c r="G28" t="str">
        <f t="shared" si="0"/>
        <v>&lt;dl&gt;&lt;dt&gt;财帛宫​&lt;/dt&gt;&lt;dd&gt;求财过程辛苦拖延，易有暗耗、慢性破财，适合靠技术细水长流赚钱。&lt;/dd&gt;&lt;dd&gt;&lt;/dd&gt;&lt;/dl&gt;</v>
      </c>
    </row>
    <row r="29" spans="2:7" ht="28.5" x14ac:dyDescent="0.2">
      <c r="B29" s="3" t="s">
        <v>6</v>
      </c>
      <c r="C29" s="3" t="s">
        <v>5172</v>
      </c>
      <c r="D29" s="4"/>
      <c r="G29" t="str">
        <f t="shared" si="0"/>
        <v>&lt;dl&gt;&lt;dt&gt;疾厄宫​&lt;/dt&gt;&lt;dd&gt;核心宫位。易患慢性病、隐疾（如内分泌失调、慢性炎症）、疑难杂症。&lt;/dd&gt;&lt;dd&gt;&lt;/dd&gt;&lt;/dl&gt;</v>
      </c>
    </row>
    <row r="30" spans="2:7" ht="28.5" x14ac:dyDescent="0.2">
      <c r="B30" s="3" t="s">
        <v>15</v>
      </c>
      <c r="C30" s="4" t="s">
        <v>5173</v>
      </c>
      <c r="D30" s="4"/>
    </row>
    <row r="31" spans="2:7" ht="28.5" x14ac:dyDescent="0.2">
      <c r="B31" s="3" t="s">
        <v>12</v>
      </c>
      <c r="C31" s="4" t="s">
        <v>5174</v>
      </c>
      <c r="D31" s="4"/>
    </row>
    <row r="32" spans="2:7" ht="28.5" x14ac:dyDescent="0.2">
      <c r="B32" s="3" t="s">
        <v>206</v>
      </c>
      <c r="C32" s="3" t="s">
        <v>5175</v>
      </c>
      <c r="D32" s="4"/>
    </row>
    <row r="33" spans="2:7" ht="28.5" x14ac:dyDescent="0.2">
      <c r="B33" s="3" t="s">
        <v>0</v>
      </c>
      <c r="C33" s="4" t="s">
        <v>5176</v>
      </c>
      <c r="D33" s="4"/>
    </row>
    <row r="34" spans="2:7" ht="28.5" x14ac:dyDescent="0.2">
      <c r="B34" s="3" t="s">
        <v>116</v>
      </c>
      <c r="C34" s="4" t="s">
        <v>5177</v>
      </c>
      <c r="D34" s="4"/>
    </row>
    <row r="35" spans="2:7" x14ac:dyDescent="0.2">
      <c r="B35" s="3" t="s">
        <v>9</v>
      </c>
      <c r="C35" s="4" t="s">
        <v>5178</v>
      </c>
      <c r="D35" s="4"/>
      <c r="E35" s="2" t="s">
        <v>21</v>
      </c>
      <c r="G35" t="str">
        <f t="shared" si="0"/>
        <v>&lt;dl&gt;&lt;dt&gt;父母宫​&lt;/dt&gt;&lt;dd&gt;与父母关系冷淡，有隔阂；易受长辈暗中约束。&lt;/dd&gt;&lt;dd&gt;&lt;/dd&gt;&lt;/dl&gt;</v>
      </c>
    </row>
    <row r="36" spans="2:7" x14ac:dyDescent="0.2">
      <c r="E36" s="4"/>
      <c r="G36" t="str">
        <f t="shared" si="0"/>
        <v>&lt;dl&gt;&lt;dt&gt;&lt;/dt&gt;&lt;dd&gt;&lt;/dd&gt;&lt;dd&gt;&lt;/dd&gt;&lt;/dl&gt;</v>
      </c>
    </row>
    <row r="37" spans="2:7" x14ac:dyDescent="0.2">
      <c r="E37" s="4"/>
      <c r="G37" t="str">
        <f t="shared" si="0"/>
        <v>&lt;dl&gt;&lt;dt&gt;&lt;/dt&gt;&lt;dd&gt;&lt;/dd&gt;&lt;dd&gt;&lt;/dd&gt;&lt;/dl&gt;</v>
      </c>
    </row>
    <row r="38" spans="2:7" ht="17.25" x14ac:dyDescent="0.2">
      <c r="B38" s="5" t="s">
        <v>734</v>
      </c>
      <c r="E38" s="4"/>
      <c r="G38" t="str">
        <f t="shared" si="0"/>
        <v>&lt;dl&gt;&lt;dt&gt;四、主星组合象义&lt;/dt&gt;&lt;dd&gt;&lt;/dd&gt;&lt;dd&gt;&lt;/dd&gt;&lt;/dl&gt;</v>
      </c>
    </row>
    <row r="39" spans="2:7" x14ac:dyDescent="0.2">
      <c r="E39" s="4"/>
      <c r="G39" t="str">
        <f t="shared" si="0"/>
        <v>&lt;dl&gt;&lt;dt&gt;&lt;/dt&gt;&lt;dd&gt;&lt;/dd&gt;&lt;dd&gt;&lt;/dd&gt;&lt;/dl&gt;</v>
      </c>
    </row>
    <row r="40" spans="2:7" ht="15.75" x14ac:dyDescent="0.2">
      <c r="B40" s="13" t="s">
        <v>5179</v>
      </c>
      <c r="E40" s="4"/>
      <c r="G40" t="str">
        <f t="shared" si="0"/>
        <v>&lt;dl&gt;&lt;dt&gt;1. 增强阴火/技术组合&lt;/dt&gt;&lt;dd&gt;&lt;/dd&gt;&lt;dd&gt;&lt;/dd&gt;&lt;/dl&gt;</v>
      </c>
    </row>
    <row r="41" spans="2:7" x14ac:dyDescent="0.2">
      <c r="E41" s="4"/>
      <c r="G41" t="str">
        <f t="shared" si="0"/>
        <v>&lt;dl&gt;&lt;dt&gt;&lt;/dt&gt;&lt;dd&gt;&lt;/dd&gt;&lt;dd&gt;&lt;/dd&gt;&lt;/dl&gt;</v>
      </c>
    </row>
    <row r="42" spans="2:7" x14ac:dyDescent="0.2">
      <c r="B42" s="2" t="s">
        <v>71</v>
      </c>
      <c r="C42" s="2" t="s">
        <v>1047</v>
      </c>
      <c r="D42" s="2" t="s">
        <v>73</v>
      </c>
      <c r="E42" s="4"/>
      <c r="G42" t="str">
        <f t="shared" si="0"/>
        <v>&lt;dl&gt;&lt;dt&gt;组合​&lt;/dt&gt;&lt;dd&gt;效应​&lt;/dd&gt;&lt;dd&gt;典型案例​&lt;/dd&gt;&lt;/dl&gt;</v>
      </c>
    </row>
    <row r="43" spans="2:7" ht="28.5" x14ac:dyDescent="0.2">
      <c r="B43" s="3" t="s">
        <v>5180</v>
      </c>
      <c r="C43" s="4" t="s">
        <v>5181</v>
      </c>
      <c r="D43" s="4" t="s">
        <v>5182</v>
      </c>
      <c r="E43" s="4"/>
      <c r="G43" t="str">
        <f t="shared" si="0"/>
        <v>&lt;dl&gt;&lt;dt&gt;铃星+紫微​&lt;/dt&gt;&lt;dd&gt;帝星阴火，表面尊贵，内心多疑善妒，善用权术驾驭下属，事业有暗中阻力。&lt;/dd&gt;&lt;dd&gt;疑心重的领导者；在权力斗争中运用阴谋。&lt;/dd&gt;&lt;/dl&gt;</v>
      </c>
    </row>
    <row r="44" spans="2:7" ht="28.5" x14ac:dyDescent="0.2">
      <c r="B44" s="3" t="s">
        <v>5183</v>
      </c>
      <c r="C44" s="4" t="s">
        <v>5184</v>
      </c>
      <c r="D44" s="4" t="s">
        <v>5185</v>
      </c>
      <c r="E44" s="4"/>
    </row>
    <row r="45" spans="2:7" ht="28.5" x14ac:dyDescent="0.2">
      <c r="B45" s="3" t="s">
        <v>5186</v>
      </c>
      <c r="C45" s="4" t="s">
        <v>5187</v>
      </c>
      <c r="D45" s="4" t="s">
        <v>5188</v>
      </c>
      <c r="E45" s="4"/>
    </row>
    <row r="46" spans="2:7" ht="28.5" x14ac:dyDescent="0.2">
      <c r="B46" s="3" t="s">
        <v>5189</v>
      </c>
      <c r="C46" s="4" t="s">
        <v>5190</v>
      </c>
      <c r="D46" s="4" t="s">
        <v>5191</v>
      </c>
      <c r="E46" s="4"/>
    </row>
    <row r="47" spans="2:7" ht="28.5" x14ac:dyDescent="0.2">
      <c r="B47" s="3" t="s">
        <v>5192</v>
      </c>
      <c r="C47" s="4" t="s">
        <v>5193</v>
      </c>
      <c r="D47" s="4" t="s">
        <v>5194</v>
      </c>
      <c r="E47" s="4"/>
    </row>
    <row r="48" spans="2:7" ht="28.5" x14ac:dyDescent="0.2">
      <c r="B48" s="3" t="s">
        <v>5195</v>
      </c>
      <c r="C48" s="4" t="s">
        <v>5196</v>
      </c>
      <c r="D48" s="4" t="s">
        <v>5197</v>
      </c>
      <c r="E48" s="4"/>
    </row>
    <row r="49" spans="2:7" ht="28.5" x14ac:dyDescent="0.2">
      <c r="B49" s="3" t="s">
        <v>5198</v>
      </c>
      <c r="C49" s="4" t="s">
        <v>5199</v>
      </c>
      <c r="D49" s="4" t="s">
        <v>5200</v>
      </c>
      <c r="E49" s="4"/>
      <c r="G49" t="str">
        <f t="shared" si="0"/>
        <v>&lt;dl&gt;&lt;dt&gt;铃星+天府​&lt;/dt&gt;&lt;dd&gt;库星阴火，库藏被暗蛀，积蓄因慢性损耗减少，或管理中存在隐性漏洞。&lt;/dd&gt;&lt;dd&gt;钱财不知不觉流失；公司有财务内鬼。&lt;/dd&gt;&lt;/dl&gt;</v>
      </c>
    </row>
    <row r="50" spans="2:7" ht="28.5" x14ac:dyDescent="0.2">
      <c r="B50" s="3" t="s">
        <v>5201</v>
      </c>
      <c r="C50" s="3" t="s">
        <v>5202</v>
      </c>
      <c r="D50" s="4" t="s">
        <v>5203</v>
      </c>
      <c r="G50" t="str">
        <f t="shared" si="0"/>
        <v>&lt;dl&gt;&lt;dt&gt;铃星+太阴​&lt;/dt&gt;&lt;dd&gt;阴火相济，阴柔加深，内心极度敏感多疑，女性问题缠绵，善幕后策划。&lt;/dd&gt;&lt;dd&gt;患慢性妇科病；从事幕后艺术设计。&lt;/dd&gt;&lt;/dl&gt;</v>
      </c>
    </row>
    <row r="51" spans="2:7" ht="28.5" x14ac:dyDescent="0.2">
      <c r="B51" s="3" t="s">
        <v>5204</v>
      </c>
      <c r="C51" s="4" t="s">
        <v>5205</v>
      </c>
      <c r="D51" s="4" t="s">
        <v>5206</v>
      </c>
      <c r="G51" t="str">
        <f t="shared" si="0"/>
        <v>&lt;dl&gt;&lt;dt&gt;铃星+贪狼​&lt;/dt&gt;&lt;dd&gt;欲星阴火，欲望在暗中燃烧，易有隐秘桃花、不良嗜好，技术用于偏门。&lt;/dd&gt;&lt;dd&gt;有地下恋情；沉迷于需要技巧的赌博。&lt;/dd&gt;&lt;/dl&gt;</v>
      </c>
    </row>
    <row r="52" spans="2:7" ht="28.5" x14ac:dyDescent="0.2">
      <c r="B52" s="3" t="s">
        <v>5207</v>
      </c>
      <c r="C52" s="4" t="s">
        <v>5208</v>
      </c>
      <c r="D52" s="4" t="s">
        <v>5209</v>
      </c>
      <c r="G52" t="str">
        <f t="shared" si="0"/>
        <v>&lt;dl&gt;&lt;dt&gt;铃星+巨门​&lt;/dt&gt;&lt;dd&gt;暗星阴火，是非口舌转为暗中诽谤、流言蜚语，消化系统慢性疾病。&lt;/dd&gt;&lt;dd&gt;长期遭受网络谣言攻击；患有慢性胃炎。&lt;/dd&gt;&lt;/dl&gt;</v>
      </c>
    </row>
    <row r="53" spans="2:7" ht="28.5" x14ac:dyDescent="0.2">
      <c r="B53" s="3" t="s">
        <v>5210</v>
      </c>
      <c r="C53" s="4" t="s">
        <v>5211</v>
      </c>
      <c r="D53" s="4" t="s">
        <v>5212</v>
      </c>
    </row>
    <row r="54" spans="2:7" ht="28.5" x14ac:dyDescent="0.2">
      <c r="B54" s="3" t="s">
        <v>5213</v>
      </c>
      <c r="C54" s="4" t="s">
        <v>5214</v>
      </c>
      <c r="D54" s="4" t="s">
        <v>5215</v>
      </c>
    </row>
    <row r="55" spans="2:7" ht="28.5" x14ac:dyDescent="0.2">
      <c r="B55" s="3" t="s">
        <v>5216</v>
      </c>
      <c r="C55" s="4" t="s">
        <v>5217</v>
      </c>
      <c r="D55" s="4" t="s">
        <v>5218</v>
      </c>
    </row>
    <row r="56" spans="2:7" ht="28.5" x14ac:dyDescent="0.2">
      <c r="B56" s="3" t="s">
        <v>5219</v>
      </c>
      <c r="C56" s="4" t="s">
        <v>5220</v>
      </c>
      <c r="D56" s="4" t="s">
        <v>5221</v>
      </c>
      <c r="E56" s="2" t="s">
        <v>21</v>
      </c>
    </row>
    <row r="57" spans="2:7" x14ac:dyDescent="0.2">
      <c r="E57" s="4"/>
    </row>
    <row r="58" spans="2:7" x14ac:dyDescent="0.2">
      <c r="E58" s="4"/>
    </row>
    <row r="59" spans="2:7" ht="17.25" x14ac:dyDescent="0.2">
      <c r="B59" s="5" t="s">
        <v>746</v>
      </c>
      <c r="E59" s="4"/>
    </row>
    <row r="60" spans="2:7" x14ac:dyDescent="0.2">
      <c r="E60" s="4"/>
    </row>
    <row r="61" spans="2:7" x14ac:dyDescent="0.2">
      <c r="B61" s="2" t="s">
        <v>40</v>
      </c>
      <c r="C61" s="2" t="s">
        <v>1414</v>
      </c>
      <c r="D61" s="2" t="s">
        <v>21</v>
      </c>
    </row>
    <row r="62" spans="2:7" ht="28.5" x14ac:dyDescent="0.2">
      <c r="B62" s="3" t="s">
        <v>1685</v>
      </c>
      <c r="C62" s="3" t="s">
        <v>5222</v>
      </c>
      <c r="D62" s="4" t="s">
        <v>5223</v>
      </c>
    </row>
    <row r="63" spans="2:7" ht="28.5" x14ac:dyDescent="0.2">
      <c r="B63" s="3" t="s">
        <v>1686</v>
      </c>
      <c r="C63" s="3" t="s">
        <v>5224</v>
      </c>
      <c r="D63" s="4" t="s">
        <v>5225</v>
      </c>
    </row>
    <row r="64" spans="2:7" ht="28.5" x14ac:dyDescent="0.2">
      <c r="B64" s="3" t="s">
        <v>1687</v>
      </c>
      <c r="C64" s="3" t="s">
        <v>5226</v>
      </c>
      <c r="D64" s="4" t="s">
        <v>5227</v>
      </c>
      <c r="E64" s="2" t="s">
        <v>21</v>
      </c>
    </row>
    <row r="65" spans="2:5" ht="28.5" x14ac:dyDescent="0.2">
      <c r="B65" s="3" t="s">
        <v>1688</v>
      </c>
      <c r="C65" s="3" t="s">
        <v>5228</v>
      </c>
      <c r="D65" s="4" t="s">
        <v>5229</v>
      </c>
      <c r="E65" s="4"/>
    </row>
    <row r="66" spans="2:5" ht="28.5" x14ac:dyDescent="0.2">
      <c r="B66" s="3" t="s">
        <v>5230</v>
      </c>
      <c r="C66" s="3" t="s">
        <v>5231</v>
      </c>
      <c r="D66" s="4" t="s">
        <v>5232</v>
      </c>
      <c r="E66" s="4"/>
    </row>
    <row r="67" spans="2:5" ht="28.5" x14ac:dyDescent="0.2">
      <c r="B67" s="3" t="s">
        <v>5233</v>
      </c>
      <c r="C67" s="3" t="s">
        <v>5234</v>
      </c>
      <c r="D67" s="4" t="s">
        <v>5235</v>
      </c>
      <c r="E67" s="4"/>
    </row>
    <row r="68" spans="2:5" ht="28.5" x14ac:dyDescent="0.2">
      <c r="B68" s="3" t="s">
        <v>5236</v>
      </c>
      <c r="C68" s="3" t="s">
        <v>5237</v>
      </c>
      <c r="D68" s="4" t="s">
        <v>5238</v>
      </c>
    </row>
    <row r="69" spans="2:5" ht="28.5" x14ac:dyDescent="0.2">
      <c r="B69" s="3" t="s">
        <v>5239</v>
      </c>
      <c r="C69" s="3" t="s">
        <v>5240</v>
      </c>
      <c r="D69" s="4" t="s">
        <v>5241</v>
      </c>
    </row>
    <row r="70" spans="2:5" ht="28.5" x14ac:dyDescent="0.2">
      <c r="B70" s="3" t="s">
        <v>5242</v>
      </c>
      <c r="C70" s="3" t="s">
        <v>5243</v>
      </c>
      <c r="D70" s="4" t="s">
        <v>5244</v>
      </c>
    </row>
    <row r="71" spans="2:5" ht="28.5" x14ac:dyDescent="0.2">
      <c r="B71" s="3" t="s">
        <v>5245</v>
      </c>
      <c r="C71" s="3" t="s">
        <v>5246</v>
      </c>
      <c r="D71" s="4" t="s">
        <v>5247</v>
      </c>
    </row>
    <row r="72" spans="2:5" x14ac:dyDescent="0.2">
      <c r="E72" s="2" t="s">
        <v>21</v>
      </c>
    </row>
    <row r="73" spans="2:5" x14ac:dyDescent="0.2">
      <c r="E73" s="4"/>
    </row>
    <row r="74" spans="2:5" ht="17.25" x14ac:dyDescent="0.2">
      <c r="B74" s="5" t="s">
        <v>1805</v>
      </c>
      <c r="E74" s="4"/>
    </row>
    <row r="75" spans="2:5" x14ac:dyDescent="0.2">
      <c r="B75" s="6"/>
      <c r="E75" s="4"/>
    </row>
    <row r="76" spans="2:5" x14ac:dyDescent="0.2">
      <c r="B76" s="7" t="s">
        <v>5248</v>
      </c>
    </row>
    <row r="77" spans="2:5" x14ac:dyDescent="0.2">
      <c r="B77" s="7" t="s">
        <v>5249</v>
      </c>
    </row>
    <row r="78" spans="2:5" x14ac:dyDescent="0.2">
      <c r="B78" s="7" t="s">
        <v>5250</v>
      </c>
    </row>
    <row r="79" spans="2:5" x14ac:dyDescent="0.2">
      <c r="B79" s="7" t="s">
        <v>5251</v>
      </c>
    </row>
    <row r="80" spans="2:5" x14ac:dyDescent="0.2">
      <c r="B80" s="7" t="s">
        <v>1689</v>
      </c>
    </row>
    <row r="81" spans="2:2" x14ac:dyDescent="0.2">
      <c r="B81" s="6"/>
    </row>
    <row r="82" spans="2:2" x14ac:dyDescent="0.2">
      <c r="B82" s="9" t="s">
        <v>1690</v>
      </c>
    </row>
    <row r="83" spans="2:2" x14ac:dyDescent="0.2">
      <c r="B83" s="9" t="s">
        <v>1691</v>
      </c>
    </row>
    <row r="84" spans="2:2" x14ac:dyDescent="0.2">
      <c r="B84" s="7" t="s">
        <v>1692</v>
      </c>
    </row>
    <row r="85" spans="2:2" x14ac:dyDescent="0.2">
      <c r="B85" s="6"/>
    </row>
    <row r="86" spans="2:2" x14ac:dyDescent="0.2">
      <c r="B86" s="9" t="s">
        <v>1693</v>
      </c>
    </row>
    <row r="87" spans="2:2" x14ac:dyDescent="0.2">
      <c r="B87" s="9" t="s">
        <v>1694</v>
      </c>
    </row>
    <row r="91" spans="2:2" ht="17.25" x14ac:dyDescent="0.2">
      <c r="B91" s="5" t="s">
        <v>1695</v>
      </c>
    </row>
    <row r="92" spans="2:2" x14ac:dyDescent="0.2">
      <c r="B92" s="6"/>
    </row>
    <row r="93" spans="2:2" x14ac:dyDescent="0.2">
      <c r="B93" s="7" t="s">
        <v>1696</v>
      </c>
    </row>
    <row r="94" spans="2:2" x14ac:dyDescent="0.2">
      <c r="B94" s="6"/>
    </row>
    <row r="95" spans="2:2" x14ac:dyDescent="0.2">
      <c r="B95" s="9" t="s">
        <v>1699</v>
      </c>
    </row>
    <row r="96" spans="2:2" x14ac:dyDescent="0.2">
      <c r="B96" s="9" t="s">
        <v>1700</v>
      </c>
    </row>
    <row r="97" spans="2:2" x14ac:dyDescent="0.2">
      <c r="B97" s="7" t="s">
        <v>1697</v>
      </c>
    </row>
    <row r="98" spans="2:2" x14ac:dyDescent="0.2">
      <c r="B98" s="6"/>
    </row>
    <row r="99" spans="2:2" x14ac:dyDescent="0.2">
      <c r="B99" s="9" t="s">
        <v>1698</v>
      </c>
    </row>
  </sheetData>
  <phoneticPr fontId="2" type="noConversion"/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CFB52B-DFA5-4BA4-8A1C-983B24C1ECC1}">
  <dimension ref="B1:G82"/>
  <sheetViews>
    <sheetView topLeftCell="A20" zoomScaleNormal="100" workbookViewId="0">
      <selection activeCell="B1" sqref="B1:D80"/>
    </sheetView>
  </sheetViews>
  <sheetFormatPr defaultRowHeight="14.25" x14ac:dyDescent="0.2"/>
  <cols>
    <col min="1" max="1" width="2.75" customWidth="1"/>
    <col min="2" max="2" width="15.625" customWidth="1"/>
    <col min="3" max="3" width="43.125" customWidth="1"/>
    <col min="4" max="4" width="32.75" customWidth="1"/>
  </cols>
  <sheetData>
    <row r="1" spans="2:7" ht="17.25" x14ac:dyDescent="0.2">
      <c r="B1" s="5" t="s">
        <v>5048</v>
      </c>
      <c r="G1" t="str">
        <f>"&lt;dl&gt;&lt;dt&gt;" &amp; B1 &amp; "&lt;/dt&gt;&lt;dd&gt;" &amp; C1 &amp; "&lt;/dd&gt;&lt;dd&gt;" &amp; D1 &amp; "&lt;/dd&gt;&lt;/dl&gt;"</f>
        <v>&lt;dl&gt;&lt;dt&gt;一、天刑定义&lt;/dt&gt;&lt;dd&gt;&lt;/dd&gt;&lt;dd&gt;&lt;/dd&gt;&lt;/dl&gt;</v>
      </c>
    </row>
    <row r="3" spans="2:7" x14ac:dyDescent="0.2">
      <c r="B3" s="2" t="s">
        <v>376</v>
      </c>
      <c r="C3" s="2" t="s">
        <v>377</v>
      </c>
      <c r="D3" s="2" t="s">
        <v>21</v>
      </c>
    </row>
    <row r="4" spans="2:7" x14ac:dyDescent="0.2">
      <c r="B4" s="3" t="s">
        <v>624</v>
      </c>
      <c r="C4" s="4" t="s">
        <v>5049</v>
      </c>
      <c r="D4" s="4"/>
    </row>
    <row r="5" spans="2:7" ht="42.75" x14ac:dyDescent="0.2">
      <c r="B5" s="3" t="s">
        <v>378</v>
      </c>
      <c r="C5" s="4" t="s">
        <v>5050</v>
      </c>
      <c r="D5" s="4"/>
    </row>
    <row r="6" spans="2:7" ht="57" x14ac:dyDescent="0.2">
      <c r="B6" s="3" t="s">
        <v>1717</v>
      </c>
      <c r="C6" s="4" t="s">
        <v>5051</v>
      </c>
      <c r="D6" s="4"/>
    </row>
    <row r="9" spans="2:7" ht="17.25" x14ac:dyDescent="0.2">
      <c r="B9" s="5" t="s">
        <v>1719</v>
      </c>
    </row>
    <row r="11" spans="2:7" ht="15.75" x14ac:dyDescent="0.2">
      <c r="B11" s="13" t="s">
        <v>1720</v>
      </c>
    </row>
    <row r="13" spans="2:7" x14ac:dyDescent="0.2">
      <c r="B13" s="2" t="s">
        <v>390</v>
      </c>
      <c r="C13" s="2" t="s">
        <v>1818</v>
      </c>
      <c r="D13" s="2" t="s">
        <v>1819</v>
      </c>
    </row>
    <row r="14" spans="2:7" ht="28.5" x14ac:dyDescent="0.2">
      <c r="B14" s="3" t="s">
        <v>5052</v>
      </c>
      <c r="C14" s="4" t="s">
        <v>5053</v>
      </c>
      <c r="D14" s="4" t="s">
        <v>5054</v>
      </c>
    </row>
    <row r="15" spans="2:7" ht="28.5" x14ac:dyDescent="0.2">
      <c r="B15" s="3" t="s">
        <v>5055</v>
      </c>
      <c r="C15" s="4" t="s">
        <v>5056</v>
      </c>
      <c r="D15" s="4" t="s">
        <v>5057</v>
      </c>
    </row>
    <row r="16" spans="2:7" ht="28.5" x14ac:dyDescent="0.2">
      <c r="B16" s="3" t="s">
        <v>5058</v>
      </c>
      <c r="C16" s="4" t="s">
        <v>5059</v>
      </c>
      <c r="D16" s="4" t="s">
        <v>4511</v>
      </c>
    </row>
    <row r="17" spans="2:7" ht="28.5" x14ac:dyDescent="0.2">
      <c r="B17" s="3" t="s">
        <v>5060</v>
      </c>
      <c r="C17" s="4" t="s">
        <v>5061</v>
      </c>
      <c r="D17" s="4" t="s">
        <v>5062</v>
      </c>
    </row>
    <row r="18" spans="2:7" ht="28.5" x14ac:dyDescent="0.2">
      <c r="B18" s="3" t="s">
        <v>5063</v>
      </c>
      <c r="C18" s="4" t="s">
        <v>5064</v>
      </c>
      <c r="D18" s="4" t="s">
        <v>5065</v>
      </c>
    </row>
    <row r="21" spans="2:7" ht="17.25" x14ac:dyDescent="0.2">
      <c r="B21" s="5" t="s">
        <v>1733</v>
      </c>
    </row>
    <row r="23" spans="2:7" x14ac:dyDescent="0.2">
      <c r="B23" s="2" t="s">
        <v>18</v>
      </c>
      <c r="C23" s="2" t="s">
        <v>1818</v>
      </c>
      <c r="D23" s="2" t="s">
        <v>21</v>
      </c>
    </row>
    <row r="24" spans="2:7" ht="28.5" x14ac:dyDescent="0.2">
      <c r="B24" s="3" t="s">
        <v>201</v>
      </c>
      <c r="C24" s="4" t="s">
        <v>5066</v>
      </c>
      <c r="D24" s="4"/>
      <c r="G24" t="str">
        <f t="shared" ref="G24:G52" si="0">"&lt;dl&gt;&lt;dt&gt;" &amp; B24 &amp; "&lt;/dt&gt;&lt;dd&gt;" &amp; C24 &amp; "&lt;/dd&gt;&lt;dd&gt;" &amp; D24 &amp; "&lt;/dd&gt;&lt;/dl&gt;"</f>
        <v>&lt;dl&gt;&lt;dt&gt;命宫​&lt;/dt&gt;&lt;dd&gt;性格刚直，原则性强，易得罪人；一生易有刑伤、手术或官非。&lt;/dd&gt;&lt;dd&gt;&lt;/dd&gt;&lt;/dl&gt;</v>
      </c>
    </row>
    <row r="25" spans="2:7" ht="28.5" x14ac:dyDescent="0.2">
      <c r="B25" s="3" t="s">
        <v>246</v>
      </c>
      <c r="C25" s="4" t="s">
        <v>5067</v>
      </c>
      <c r="D25" s="4"/>
      <c r="G25" t="str">
        <f t="shared" si="0"/>
        <v>&lt;dl&gt;&lt;dt&gt;兄弟宫​&lt;/dt&gt;&lt;dd&gt;与兄弟姐妹关系有约束感，易有争执；朋友间易有原则冲突。&lt;/dd&gt;&lt;dd&gt;&lt;/dd&gt;&lt;/dl&gt;</v>
      </c>
    </row>
    <row r="26" spans="2:7" ht="28.5" x14ac:dyDescent="0.2">
      <c r="B26" s="3" t="s">
        <v>125</v>
      </c>
      <c r="C26" s="4" t="s">
        <v>5068</v>
      </c>
      <c r="D26" s="4"/>
      <c r="G26" t="str">
        <f t="shared" si="0"/>
        <v>&lt;dl&gt;&lt;dt&gt;夫妻宫​&lt;/dt&gt;&lt;dd&gt;婚姻中带有约束力，易因原则问题争吵，或配偶严肃。&lt;/dd&gt;&lt;dd&gt;&lt;/dd&gt;&lt;/dl&gt;</v>
      </c>
    </row>
    <row r="27" spans="2:7" ht="28.5" x14ac:dyDescent="0.2">
      <c r="B27" s="3" t="s">
        <v>128</v>
      </c>
      <c r="C27" s="4" t="s">
        <v>5069</v>
      </c>
      <c r="D27" s="4"/>
      <c r="G27" t="str">
        <f t="shared" si="0"/>
        <v>&lt;dl&gt;&lt;dt&gt;子女宫​&lt;/dt&gt;&lt;dd&gt;对子女管教严格；合作关系受法律条文约束，易有合同纠纷。&lt;/dd&gt;&lt;dd&gt;&lt;/dd&gt;&lt;/dl&gt;</v>
      </c>
    </row>
    <row r="28" spans="2:7" x14ac:dyDescent="0.2">
      <c r="B28" s="3" t="s">
        <v>3</v>
      </c>
      <c r="C28" s="4" t="s">
        <v>5070</v>
      </c>
      <c r="D28" s="4"/>
      <c r="G28" t="str">
        <f t="shared" si="0"/>
        <v>&lt;dl&gt;&lt;dt&gt;财帛宫​&lt;/dt&gt;&lt;dd&gt;钱财进出受法规限制，易因税务、合同问题破财。&lt;/dd&gt;&lt;dd&gt;&lt;/dd&gt;&lt;/dl&gt;</v>
      </c>
    </row>
    <row r="29" spans="2:7" ht="28.5" x14ac:dyDescent="0.2">
      <c r="B29" s="3" t="s">
        <v>6</v>
      </c>
      <c r="C29" s="3" t="s">
        <v>5071</v>
      </c>
      <c r="D29" s="4"/>
      <c r="G29" t="str">
        <f t="shared" si="0"/>
        <v>&lt;dl&gt;&lt;dt&gt;疾厄宫​&lt;/dt&gt;&lt;dd&gt;核心宫位。易有需要手术的疾病，或身体易受外伤。&lt;/dd&gt;&lt;dd&gt;&lt;/dd&gt;&lt;/dl&gt;</v>
      </c>
    </row>
    <row r="30" spans="2:7" ht="28.5" x14ac:dyDescent="0.2">
      <c r="B30" s="3" t="s">
        <v>15</v>
      </c>
      <c r="C30" s="4" t="s">
        <v>5072</v>
      </c>
      <c r="D30" s="4"/>
    </row>
    <row r="31" spans="2:7" ht="28.5" x14ac:dyDescent="0.2">
      <c r="B31" s="3" t="s">
        <v>12</v>
      </c>
      <c r="C31" s="4" t="s">
        <v>5073</v>
      </c>
      <c r="D31" s="4"/>
    </row>
    <row r="32" spans="2:7" ht="28.5" x14ac:dyDescent="0.2">
      <c r="B32" s="3" t="s">
        <v>206</v>
      </c>
      <c r="C32" s="3" t="s">
        <v>5074</v>
      </c>
      <c r="D32" s="4"/>
      <c r="E32" s="2"/>
    </row>
    <row r="33" spans="2:7" ht="28.5" x14ac:dyDescent="0.2">
      <c r="B33" s="3" t="s">
        <v>0</v>
      </c>
      <c r="C33" s="4" t="s">
        <v>5075</v>
      </c>
      <c r="D33" s="4"/>
      <c r="E33" s="4"/>
    </row>
    <row r="34" spans="2:7" ht="28.5" x14ac:dyDescent="0.2">
      <c r="B34" s="3" t="s">
        <v>116</v>
      </c>
      <c r="C34" s="4" t="s">
        <v>5076</v>
      </c>
      <c r="D34" s="4"/>
      <c r="E34" s="4"/>
    </row>
    <row r="35" spans="2:7" ht="28.5" x14ac:dyDescent="0.2">
      <c r="B35" s="3" t="s">
        <v>9</v>
      </c>
      <c r="C35" s="4" t="s">
        <v>5077</v>
      </c>
      <c r="D35" s="4"/>
      <c r="E35" s="4"/>
      <c r="G35" t="str">
        <f t="shared" si="0"/>
        <v>&lt;dl&gt;&lt;dt&gt;父母宫​&lt;/dt&gt;&lt;dd&gt;父母管教严厉，家庭有纪律；易与长辈有法律关联。&lt;/dd&gt;&lt;dd&gt;&lt;/dd&gt;&lt;/dl&gt;</v>
      </c>
    </row>
    <row r="36" spans="2:7" x14ac:dyDescent="0.2">
      <c r="E36" s="4"/>
      <c r="G36" t="str">
        <f t="shared" si="0"/>
        <v>&lt;dl&gt;&lt;dt&gt;&lt;/dt&gt;&lt;dd&gt;&lt;/dd&gt;&lt;dd&gt;&lt;/dd&gt;&lt;/dl&gt;</v>
      </c>
    </row>
    <row r="37" spans="2:7" x14ac:dyDescent="0.2">
      <c r="G37" t="str">
        <f t="shared" si="0"/>
        <v>&lt;dl&gt;&lt;dt&gt;&lt;/dt&gt;&lt;dd&gt;&lt;/dd&gt;&lt;dd&gt;&lt;/dd&gt;&lt;/dl&gt;</v>
      </c>
    </row>
    <row r="38" spans="2:7" ht="17.25" x14ac:dyDescent="0.2">
      <c r="B38" s="5" t="s">
        <v>734</v>
      </c>
      <c r="G38" t="str">
        <f t="shared" si="0"/>
        <v>&lt;dl&gt;&lt;dt&gt;四、主星组合象义&lt;/dt&gt;&lt;dd&gt;&lt;/dd&gt;&lt;dd&gt;&lt;/dd&gt;&lt;/dl&gt;</v>
      </c>
    </row>
    <row r="39" spans="2:7" x14ac:dyDescent="0.2">
      <c r="G39" t="str">
        <f t="shared" si="0"/>
        <v>&lt;dl&gt;&lt;dt&gt;&lt;/dt&gt;&lt;dd&gt;&lt;/dd&gt;&lt;dd&gt;&lt;/dd&gt;&lt;/dl&gt;</v>
      </c>
    </row>
    <row r="40" spans="2:7" ht="15.75" x14ac:dyDescent="0.2">
      <c r="B40" s="13" t="s">
        <v>5078</v>
      </c>
      <c r="G40" t="str">
        <f t="shared" si="0"/>
        <v>&lt;dl&gt;&lt;dt&gt;1. 增强刑律/自律组合&lt;/dt&gt;&lt;dd&gt;&lt;/dd&gt;&lt;dd&gt;&lt;/dd&gt;&lt;/dl&gt;</v>
      </c>
    </row>
    <row r="41" spans="2:7" x14ac:dyDescent="0.2">
      <c r="E41" s="2"/>
      <c r="G41" t="str">
        <f t="shared" si="0"/>
        <v>&lt;dl&gt;&lt;dt&gt;&lt;/dt&gt;&lt;dd&gt;&lt;/dd&gt;&lt;dd&gt;&lt;/dd&gt;&lt;/dl&gt;</v>
      </c>
    </row>
    <row r="42" spans="2:7" x14ac:dyDescent="0.2">
      <c r="B42" s="2" t="s">
        <v>71</v>
      </c>
      <c r="C42" s="2" t="s">
        <v>1047</v>
      </c>
      <c r="D42" s="2" t="s">
        <v>73</v>
      </c>
      <c r="E42" s="4"/>
      <c r="G42" t="str">
        <f t="shared" si="0"/>
        <v>&lt;dl&gt;&lt;dt&gt;组合​&lt;/dt&gt;&lt;dd&gt;效应​&lt;/dd&gt;&lt;dd&gt;典型案例​&lt;/dd&gt;&lt;/dl&gt;</v>
      </c>
    </row>
    <row r="43" spans="2:7" ht="28.5" x14ac:dyDescent="0.2">
      <c r="B43" s="3" t="s">
        <v>5079</v>
      </c>
      <c r="C43" s="3" t="s">
        <v>5080</v>
      </c>
      <c r="D43" s="4" t="s">
        <v>5081</v>
      </c>
      <c r="E43" s="4"/>
      <c r="G43" t="str">
        <f t="shared" si="0"/>
        <v>&lt;dl&gt;&lt;dt&gt;天刑+紫微​&lt;/dt&gt;&lt;dd&gt;帝星执律，权威与法律结合，掌握生杀大权，或自律极严。&lt;/dd&gt;&lt;dd&gt;法官、检察官、高级军官；对自己要求苛刻的领导者。&lt;/dd&gt;&lt;/dl&gt;</v>
      </c>
    </row>
    <row r="44" spans="2:7" ht="28.5" x14ac:dyDescent="0.2">
      <c r="B44" s="3" t="s">
        <v>5082</v>
      </c>
      <c r="C44" s="3" t="s">
        <v>5083</v>
      </c>
      <c r="D44" s="4" t="s">
        <v>5084</v>
      </c>
      <c r="E44" s="4"/>
    </row>
    <row r="45" spans="2:7" ht="28.5" x14ac:dyDescent="0.2">
      <c r="B45" s="3" t="s">
        <v>1703</v>
      </c>
      <c r="C45" s="3" t="s">
        <v>5085</v>
      </c>
      <c r="D45" s="4" t="s">
        <v>5086</v>
      </c>
      <c r="E45" s="4"/>
    </row>
    <row r="46" spans="2:7" ht="28.5" x14ac:dyDescent="0.2">
      <c r="B46" s="3" t="s">
        <v>1702</v>
      </c>
      <c r="C46" s="3" t="s">
        <v>5087</v>
      </c>
      <c r="D46" s="4" t="s">
        <v>5088</v>
      </c>
    </row>
    <row r="47" spans="2:7" ht="28.5" x14ac:dyDescent="0.2">
      <c r="B47" s="3" t="s">
        <v>1704</v>
      </c>
      <c r="C47" s="3" t="s">
        <v>5089</v>
      </c>
      <c r="D47" s="4" t="s">
        <v>5090</v>
      </c>
    </row>
    <row r="48" spans="2:7" ht="28.5" x14ac:dyDescent="0.2">
      <c r="B48" s="3" t="s">
        <v>1701</v>
      </c>
      <c r="C48" s="3" t="s">
        <v>5091</v>
      </c>
      <c r="D48" s="4" t="s">
        <v>5092</v>
      </c>
    </row>
    <row r="49" spans="2:7" ht="28.5" x14ac:dyDescent="0.2">
      <c r="B49" s="3" t="s">
        <v>5093</v>
      </c>
      <c r="C49" s="3" t="s">
        <v>5094</v>
      </c>
      <c r="D49" s="4" t="s">
        <v>5095</v>
      </c>
      <c r="G49" t="str">
        <f t="shared" si="0"/>
        <v>&lt;dl&gt;&lt;dt&gt;天刑+天府​&lt;/dt&gt;&lt;dd&gt;库星守律，严守财经法规，管理库藏有方，或因财产惹官司。&lt;/dd&gt;&lt;dd&gt;会计师、仓库管理员；因税务问题被调查。&lt;/dd&gt;&lt;/dl&gt;</v>
      </c>
    </row>
    <row r="50" spans="2:7" ht="28.5" x14ac:dyDescent="0.2">
      <c r="B50" s="3" t="s">
        <v>5096</v>
      </c>
      <c r="C50" s="3" t="s">
        <v>5097</v>
      </c>
      <c r="D50" s="4" t="s">
        <v>5098</v>
      </c>
      <c r="G50" t="str">
        <f t="shared" si="0"/>
        <v>&lt;dl&gt;&lt;dt&gt;天刑+太阴​&lt;/dt&gt;&lt;dd&gt;阴星暗刑，涉及女性、房地产、暗中的法律问题或妇科手术。&lt;/dd&gt;&lt;dd&gt;处理女性权益的律师；因房产纠纷打官司；进行妇科手术。&lt;/dd&gt;&lt;/dl&gt;</v>
      </c>
    </row>
    <row r="51" spans="2:7" ht="28.5" x14ac:dyDescent="0.2">
      <c r="B51" s="3" t="s">
        <v>5099</v>
      </c>
      <c r="C51" s="3" t="s">
        <v>5100</v>
      </c>
      <c r="D51" s="4" t="s">
        <v>5101</v>
      </c>
      <c r="G51" t="str">
        <f t="shared" si="0"/>
        <v>&lt;dl&gt;&lt;dt&gt;天刑+贪狼​&lt;/dt&gt;&lt;dd&gt;欲星受制，欲望受法律或道德约束，易因桃花、赌博惹官非。&lt;/dd&gt;&lt;dd&gt;因色情或赌博被拘留；戒瘾中心的辅导员。&lt;/dd&gt;&lt;/dl&gt;</v>
      </c>
    </row>
    <row r="52" spans="2:7" ht="28.5" x14ac:dyDescent="0.2">
      <c r="B52" s="3" t="s">
        <v>5102</v>
      </c>
      <c r="C52" s="3" t="s">
        <v>5103</v>
      </c>
      <c r="D52" s="4" t="s">
        <v>5104</v>
      </c>
      <c r="G52" t="str">
        <f t="shared" si="0"/>
        <v>&lt;dl&gt;&lt;dt&gt;天刑+巨门​&lt;/dt&gt;&lt;dd&gt;暗星刑口，易因口舌、诽谤、合同纠纷惹官司，或进行口腔手术。&lt;/dd&gt;&lt;dd&gt;被诽谤而起诉他人；因合同欺诈被告；进行牙齿手术。&lt;/dd&gt;&lt;/dl&gt;</v>
      </c>
    </row>
    <row r="53" spans="2:7" ht="28.5" x14ac:dyDescent="0.2">
      <c r="B53" s="3" t="s">
        <v>5105</v>
      </c>
      <c r="C53" s="3" t="s">
        <v>5106</v>
      </c>
      <c r="D53" s="4" t="s">
        <v>5107</v>
      </c>
    </row>
    <row r="54" spans="2:7" ht="28.5" x14ac:dyDescent="0.2">
      <c r="B54" s="3" t="s">
        <v>5108</v>
      </c>
      <c r="C54" s="3" t="s">
        <v>5109</v>
      </c>
      <c r="D54" s="4" t="s">
        <v>5110</v>
      </c>
    </row>
    <row r="55" spans="2:7" ht="28.5" x14ac:dyDescent="0.2">
      <c r="B55" s="3" t="s">
        <v>5111</v>
      </c>
      <c r="C55" s="3" t="s">
        <v>5112</v>
      </c>
      <c r="D55" s="4" t="s">
        <v>5113</v>
      </c>
    </row>
    <row r="56" spans="2:7" ht="28.5" x14ac:dyDescent="0.2">
      <c r="B56" s="3" t="s">
        <v>5114</v>
      </c>
      <c r="C56" s="3" t="s">
        <v>5115</v>
      </c>
      <c r="D56" s="4" t="s">
        <v>5116</v>
      </c>
    </row>
    <row r="59" spans="2:7" ht="17.25" x14ac:dyDescent="0.2">
      <c r="B59" s="5" t="s">
        <v>746</v>
      </c>
    </row>
    <row r="61" spans="2:7" x14ac:dyDescent="0.2">
      <c r="B61" s="2" t="s">
        <v>40</v>
      </c>
      <c r="C61" s="2" t="s">
        <v>1414</v>
      </c>
      <c r="D61" s="2" t="s">
        <v>21</v>
      </c>
    </row>
    <row r="62" spans="2:7" ht="28.5" x14ac:dyDescent="0.2">
      <c r="B62" s="3" t="s">
        <v>1707</v>
      </c>
      <c r="C62" s="3" t="s">
        <v>5117</v>
      </c>
      <c r="D62" s="4" t="s">
        <v>5118</v>
      </c>
    </row>
    <row r="63" spans="2:7" ht="28.5" x14ac:dyDescent="0.2">
      <c r="B63" s="3" t="s">
        <v>5119</v>
      </c>
      <c r="C63" s="3" t="s">
        <v>5120</v>
      </c>
      <c r="D63" s="4" t="s">
        <v>5121</v>
      </c>
    </row>
    <row r="64" spans="2:7" ht="28.5" x14ac:dyDescent="0.2">
      <c r="B64" s="3" t="s">
        <v>5122</v>
      </c>
      <c r="C64" s="3" t="s">
        <v>5123</v>
      </c>
      <c r="D64" s="4" t="s">
        <v>5124</v>
      </c>
    </row>
    <row r="65" spans="2:4" ht="28.5" x14ac:dyDescent="0.2">
      <c r="B65" s="3" t="s">
        <v>1705</v>
      </c>
      <c r="C65" s="3" t="s">
        <v>5125</v>
      </c>
      <c r="D65" s="4" t="s">
        <v>5126</v>
      </c>
    </row>
    <row r="66" spans="2:4" ht="28.5" x14ac:dyDescent="0.2">
      <c r="B66" s="3" t="s">
        <v>5127</v>
      </c>
      <c r="C66" s="3" t="s">
        <v>5128</v>
      </c>
      <c r="D66" s="4" t="s">
        <v>5129</v>
      </c>
    </row>
    <row r="67" spans="2:4" ht="28.5" x14ac:dyDescent="0.2">
      <c r="B67" s="3" t="s">
        <v>1706</v>
      </c>
      <c r="C67" s="3" t="s">
        <v>5130</v>
      </c>
      <c r="D67" s="4" t="s">
        <v>5131</v>
      </c>
    </row>
    <row r="68" spans="2:4" ht="28.5" x14ac:dyDescent="0.2">
      <c r="B68" s="3" t="s">
        <v>5132</v>
      </c>
      <c r="C68" s="3" t="s">
        <v>5133</v>
      </c>
      <c r="D68" s="4" t="s">
        <v>5134</v>
      </c>
    </row>
    <row r="69" spans="2:4" ht="28.5" x14ac:dyDescent="0.2">
      <c r="B69" s="3" t="s">
        <v>5135</v>
      </c>
      <c r="C69" s="3" t="s">
        <v>5136</v>
      </c>
      <c r="D69" s="4" t="s">
        <v>5137</v>
      </c>
    </row>
    <row r="70" spans="2:4" ht="28.5" x14ac:dyDescent="0.2">
      <c r="B70" s="3" t="s">
        <v>5138</v>
      </c>
      <c r="C70" s="3" t="s">
        <v>5139</v>
      </c>
      <c r="D70" s="4" t="s">
        <v>5140</v>
      </c>
    </row>
    <row r="71" spans="2:4" ht="28.5" x14ac:dyDescent="0.2">
      <c r="B71" s="3" t="s">
        <v>5141</v>
      </c>
      <c r="C71" s="3" t="s">
        <v>5142</v>
      </c>
      <c r="D71" s="4" t="s">
        <v>5143</v>
      </c>
    </row>
    <row r="72" spans="2:4" ht="28.5" x14ac:dyDescent="0.2">
      <c r="B72" s="3" t="s">
        <v>5144</v>
      </c>
      <c r="C72" s="3" t="s">
        <v>5145</v>
      </c>
      <c r="D72" s="4" t="s">
        <v>5146</v>
      </c>
    </row>
    <row r="75" spans="2:4" ht="17.25" x14ac:dyDescent="0.2">
      <c r="B75" s="5" t="s">
        <v>1805</v>
      </c>
    </row>
    <row r="76" spans="2:4" x14ac:dyDescent="0.2">
      <c r="B76" s="6"/>
    </row>
    <row r="77" spans="2:4" x14ac:dyDescent="0.2">
      <c r="B77" s="7" t="s">
        <v>5147</v>
      </c>
    </row>
    <row r="78" spans="2:4" x14ac:dyDescent="0.2">
      <c r="B78" s="7" t="s">
        <v>5148</v>
      </c>
    </row>
    <row r="79" spans="2:4" x14ac:dyDescent="0.2">
      <c r="B79" s="7" t="s">
        <v>5149</v>
      </c>
    </row>
    <row r="80" spans="2:4" x14ac:dyDescent="0.2">
      <c r="B80" s="7" t="s">
        <v>5150</v>
      </c>
    </row>
    <row r="81" spans="2:2" x14ac:dyDescent="0.2">
      <c r="B81" s="6"/>
    </row>
    <row r="82" spans="2:2" x14ac:dyDescent="0.2">
      <c r="B82" s="6"/>
    </row>
  </sheetData>
  <phoneticPr fontId="2" type="noConversion"/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E58D4E-B542-4A80-81E1-3823C46B3B53}">
  <dimension ref="B1:G82"/>
  <sheetViews>
    <sheetView zoomScaleNormal="100" workbookViewId="0">
      <selection activeCell="C5" sqref="C5"/>
    </sheetView>
  </sheetViews>
  <sheetFormatPr defaultRowHeight="14.25" x14ac:dyDescent="0.2"/>
  <cols>
    <col min="1" max="1" width="2.75" customWidth="1"/>
    <col min="2" max="2" width="15.625" customWidth="1"/>
    <col min="3" max="3" width="43.125" customWidth="1"/>
    <col min="4" max="4" width="32.75" customWidth="1"/>
  </cols>
  <sheetData>
    <row r="1" spans="2:7" ht="17.25" x14ac:dyDescent="0.2">
      <c r="B1" s="5" t="s">
        <v>4939</v>
      </c>
      <c r="G1" t="str">
        <f>"&lt;dl&gt;&lt;dt&gt;" &amp; B1 &amp; "&lt;/dt&gt;&lt;dd&gt;" &amp; C1 &amp; "&lt;/dd&gt;&lt;dd&gt;" &amp; D1 &amp; "&lt;/dd&gt;&lt;/dl&gt;"</f>
        <v>&lt;dl&gt;&lt;dt&gt;一、天寿定义&lt;/dt&gt;&lt;dd&gt;&lt;/dd&gt;&lt;dd&gt;&lt;/dd&gt;&lt;/dl&gt;</v>
      </c>
    </row>
    <row r="3" spans="2:7" x14ac:dyDescent="0.2">
      <c r="B3" s="2" t="s">
        <v>376</v>
      </c>
      <c r="C3" s="2" t="s">
        <v>377</v>
      </c>
      <c r="D3" s="2" t="s">
        <v>21</v>
      </c>
    </row>
    <row r="4" spans="2:7" x14ac:dyDescent="0.2">
      <c r="B4" s="3" t="s">
        <v>624</v>
      </c>
      <c r="C4" s="4" t="s">
        <v>5047</v>
      </c>
      <c r="D4" s="4"/>
    </row>
    <row r="5" spans="2:7" ht="42.75" x14ac:dyDescent="0.2">
      <c r="B5" s="3" t="s">
        <v>378</v>
      </c>
      <c r="C5" s="4" t="s">
        <v>4940</v>
      </c>
      <c r="D5" s="4"/>
    </row>
    <row r="6" spans="2:7" ht="42.75" x14ac:dyDescent="0.2">
      <c r="B6" s="3" t="s">
        <v>1717</v>
      </c>
      <c r="C6" s="4" t="s">
        <v>4941</v>
      </c>
      <c r="D6" s="4"/>
    </row>
    <row r="9" spans="2:7" ht="17.25" x14ac:dyDescent="0.2">
      <c r="B9" s="5" t="s">
        <v>1719</v>
      </c>
    </row>
    <row r="11" spans="2:7" ht="15.75" x14ac:dyDescent="0.2">
      <c r="B11" s="13" t="s">
        <v>1720</v>
      </c>
    </row>
    <row r="13" spans="2:7" x14ac:dyDescent="0.2">
      <c r="B13" s="2" t="s">
        <v>390</v>
      </c>
      <c r="C13" s="2" t="s">
        <v>1818</v>
      </c>
      <c r="D13" s="2" t="s">
        <v>1819</v>
      </c>
    </row>
    <row r="14" spans="2:7" x14ac:dyDescent="0.2">
      <c r="B14" s="3" t="s">
        <v>4942</v>
      </c>
      <c r="C14" s="4" t="s">
        <v>4943</v>
      </c>
      <c r="D14" s="4" t="s">
        <v>4944</v>
      </c>
    </row>
    <row r="15" spans="2:7" ht="28.5" x14ac:dyDescent="0.2">
      <c r="B15" s="3" t="s">
        <v>4945</v>
      </c>
      <c r="C15" s="4" t="s">
        <v>4946</v>
      </c>
      <c r="D15" s="4" t="s">
        <v>4947</v>
      </c>
    </row>
    <row r="16" spans="2:7" ht="28.5" x14ac:dyDescent="0.2">
      <c r="B16" s="3" t="s">
        <v>4948</v>
      </c>
      <c r="C16" s="4" t="s">
        <v>4949</v>
      </c>
      <c r="D16" s="4" t="s">
        <v>4950</v>
      </c>
    </row>
    <row r="17" spans="2:7" x14ac:dyDescent="0.2">
      <c r="B17" s="3" t="s">
        <v>4951</v>
      </c>
      <c r="C17" s="4" t="s">
        <v>4952</v>
      </c>
      <c r="D17" s="4" t="s">
        <v>4953</v>
      </c>
    </row>
    <row r="18" spans="2:7" x14ac:dyDescent="0.2">
      <c r="B18" s="3" t="s">
        <v>4954</v>
      </c>
      <c r="C18" s="4" t="s">
        <v>4955</v>
      </c>
      <c r="D18" s="4" t="s">
        <v>4956</v>
      </c>
    </row>
    <row r="21" spans="2:7" ht="17.25" x14ac:dyDescent="0.2">
      <c r="B21" s="5" t="s">
        <v>1733</v>
      </c>
    </row>
    <row r="23" spans="2:7" x14ac:dyDescent="0.2">
      <c r="B23" s="2" t="s">
        <v>18</v>
      </c>
      <c r="C23" s="2" t="s">
        <v>1818</v>
      </c>
      <c r="D23" s="2" t="s">
        <v>21</v>
      </c>
    </row>
    <row r="24" spans="2:7" ht="28.5" x14ac:dyDescent="0.2">
      <c r="B24" s="3" t="s">
        <v>201</v>
      </c>
      <c r="C24" s="4" t="s">
        <v>4957</v>
      </c>
      <c r="D24" s="4"/>
      <c r="G24" t="str">
        <f t="shared" ref="G24:G52" si="0">"&lt;dl&gt;&lt;dt&gt;" &amp; B24 &amp; "&lt;/dt&gt;&lt;dd&gt;" &amp; C24 &amp; "&lt;/dd&gt;&lt;dd&gt;" &amp; D24 &amp; "&lt;/dd&gt;&lt;/dl&gt;"</f>
        <v>&lt;dl&gt;&lt;dt&gt;命宫​&lt;/dt&gt;&lt;dd&gt;身体健康，寿命较长，性格稳重有耐心，人生历程较为平缓。&lt;/dd&gt;&lt;dd&gt;&lt;/dd&gt;&lt;/dl&gt;</v>
      </c>
    </row>
    <row r="25" spans="2:7" ht="28.5" x14ac:dyDescent="0.2">
      <c r="B25" s="3" t="s">
        <v>246</v>
      </c>
      <c r="C25" s="4" t="s">
        <v>4958</v>
      </c>
      <c r="D25" s="4"/>
      <c r="E25" s="2" t="s">
        <v>21</v>
      </c>
      <c r="G25" t="str">
        <f t="shared" si="0"/>
        <v>&lt;dl&gt;&lt;dt&gt;兄弟宫​&lt;/dt&gt;&lt;dd&gt;兄弟姐妹身体健康，关系持久稳定，能互相扶持到老。&lt;/dd&gt;&lt;dd&gt;&lt;/dd&gt;&lt;/dl&gt;</v>
      </c>
    </row>
    <row r="26" spans="2:7" x14ac:dyDescent="0.2">
      <c r="B26" s="3" t="s">
        <v>125</v>
      </c>
      <c r="C26" s="4" t="s">
        <v>4959</v>
      </c>
      <c r="D26" s="4"/>
      <c r="E26" s="4"/>
      <c r="G26" t="str">
        <f t="shared" si="0"/>
        <v>&lt;dl&gt;&lt;dt&gt;夫妻宫​&lt;/dt&gt;&lt;dd&gt;婚姻关系稳定持久，配偶身体健康，能白头偕老。&lt;/dd&gt;&lt;dd&gt;&lt;/dd&gt;&lt;/dl&gt;</v>
      </c>
    </row>
    <row r="27" spans="2:7" x14ac:dyDescent="0.2">
      <c r="B27" s="3" t="s">
        <v>128</v>
      </c>
      <c r="C27" s="4" t="s">
        <v>4960</v>
      </c>
      <c r="D27" s="4"/>
      <c r="E27" s="4"/>
      <c r="G27" t="str">
        <f t="shared" si="0"/>
        <v>&lt;dl&gt;&lt;dt&gt;子女宫​&lt;/dt&gt;&lt;dd&gt;子女身体健康，好养育；合作关系稳定且长久。&lt;/dd&gt;&lt;dd&gt;&lt;/dd&gt;&lt;/dl&gt;</v>
      </c>
    </row>
    <row r="28" spans="2:7" ht="28.5" x14ac:dyDescent="0.2">
      <c r="B28" s="3" t="s">
        <v>3</v>
      </c>
      <c r="C28" s="4" t="s">
        <v>4961</v>
      </c>
      <c r="D28" s="4"/>
      <c r="E28" s="4"/>
      <c r="G28" t="str">
        <f t="shared" si="0"/>
        <v>&lt;dl&gt;&lt;dt&gt;财帛宫​&lt;/dt&gt;&lt;dd&gt;钱财来得稳定，细水长流，适合长期、稳健的投资理财方式。&lt;/dd&gt;&lt;dd&gt;&lt;/dd&gt;&lt;/dl&gt;</v>
      </c>
    </row>
    <row r="29" spans="2:7" ht="28.5" x14ac:dyDescent="0.2">
      <c r="B29" s="3" t="s">
        <v>6</v>
      </c>
      <c r="C29" s="3" t="s">
        <v>4962</v>
      </c>
      <c r="D29" s="4"/>
      <c r="G29" t="str">
        <f t="shared" si="0"/>
        <v>&lt;dl&gt;&lt;dt&gt;疾厄宫​&lt;/dt&gt;&lt;dd&gt;核心宫位。身体素质好，少病少灾，即使有病也多为慢性，可控制。&lt;/dd&gt;&lt;dd&gt;&lt;/dd&gt;&lt;/dl&gt;</v>
      </c>
    </row>
    <row r="30" spans="2:7" ht="28.5" x14ac:dyDescent="0.2">
      <c r="B30" s="3" t="s">
        <v>15</v>
      </c>
      <c r="C30" s="4" t="s">
        <v>4963</v>
      </c>
      <c r="D30" s="4"/>
    </row>
    <row r="31" spans="2:7" ht="28.5" x14ac:dyDescent="0.2">
      <c r="B31" s="3" t="s">
        <v>12</v>
      </c>
      <c r="C31" s="4" t="s">
        <v>4964</v>
      </c>
      <c r="D31" s="4"/>
    </row>
    <row r="32" spans="2:7" ht="28.5" x14ac:dyDescent="0.2">
      <c r="B32" s="3" t="s">
        <v>206</v>
      </c>
      <c r="C32" s="4" t="s">
        <v>4965</v>
      </c>
      <c r="D32" s="4"/>
      <c r="E32" s="2" t="s">
        <v>21</v>
      </c>
    </row>
    <row r="33" spans="2:7" ht="28.5" x14ac:dyDescent="0.2">
      <c r="B33" s="3" t="s">
        <v>0</v>
      </c>
      <c r="C33" s="4" t="s">
        <v>4966</v>
      </c>
      <c r="D33" s="4"/>
      <c r="E33" s="4"/>
    </row>
    <row r="34" spans="2:7" ht="28.5" x14ac:dyDescent="0.2">
      <c r="B34" s="3" t="s">
        <v>116</v>
      </c>
      <c r="C34" s="3" t="s">
        <v>4967</v>
      </c>
      <c r="D34" s="4"/>
      <c r="E34" s="4"/>
    </row>
    <row r="35" spans="2:7" x14ac:dyDescent="0.2">
      <c r="B35" s="3" t="s">
        <v>9</v>
      </c>
      <c r="C35" s="4" t="s">
        <v>4968</v>
      </c>
      <c r="D35" s="4"/>
      <c r="E35" s="4"/>
      <c r="G35" t="str">
        <f t="shared" si="0"/>
        <v>&lt;dl&gt;&lt;dt&gt;父母宫​&lt;/dt&gt;&lt;dd&gt;父母身体健康，长寿，家庭关系稳定和谐。&lt;/dd&gt;&lt;dd&gt;&lt;/dd&gt;&lt;/dl&gt;</v>
      </c>
    </row>
    <row r="36" spans="2:7" x14ac:dyDescent="0.2">
      <c r="E36" s="4"/>
      <c r="G36" t="str">
        <f t="shared" si="0"/>
        <v>&lt;dl&gt;&lt;dt&gt;&lt;/dt&gt;&lt;dd&gt;&lt;/dd&gt;&lt;dd&gt;&lt;/dd&gt;&lt;/dl&gt;</v>
      </c>
    </row>
    <row r="37" spans="2:7" x14ac:dyDescent="0.2">
      <c r="G37" t="str">
        <f t="shared" si="0"/>
        <v>&lt;dl&gt;&lt;dt&gt;&lt;/dt&gt;&lt;dd&gt;&lt;/dd&gt;&lt;dd&gt;&lt;/dd&gt;&lt;/dl&gt;</v>
      </c>
    </row>
    <row r="38" spans="2:7" ht="17.25" x14ac:dyDescent="0.2">
      <c r="B38" s="5" t="s">
        <v>734</v>
      </c>
      <c r="G38" t="str">
        <f t="shared" si="0"/>
        <v>&lt;dl&gt;&lt;dt&gt;四、主星组合象义&lt;/dt&gt;&lt;dd&gt;&lt;/dd&gt;&lt;dd&gt;&lt;/dd&gt;&lt;/dl&gt;</v>
      </c>
    </row>
    <row r="39" spans="2:7" x14ac:dyDescent="0.2">
      <c r="G39" t="str">
        <f t="shared" si="0"/>
        <v>&lt;dl&gt;&lt;dt&gt;&lt;/dt&gt;&lt;dd&gt;&lt;/dd&gt;&lt;dd&gt;&lt;/dd&gt;&lt;/dl&gt;</v>
      </c>
    </row>
    <row r="40" spans="2:7" ht="15.75" x14ac:dyDescent="0.2">
      <c r="B40" s="13" t="s">
        <v>4969</v>
      </c>
      <c r="G40" t="str">
        <f t="shared" si="0"/>
        <v>&lt;dl&gt;&lt;dt&gt;1. 增强健康长寿组合&lt;/dt&gt;&lt;dd&gt;&lt;/dd&gt;&lt;dd&gt;&lt;/dd&gt;&lt;/dl&gt;</v>
      </c>
    </row>
    <row r="41" spans="2:7" x14ac:dyDescent="0.2">
      <c r="G41" t="str">
        <f t="shared" si="0"/>
        <v>&lt;dl&gt;&lt;dt&gt;&lt;/dt&gt;&lt;dd&gt;&lt;/dd&gt;&lt;dd&gt;&lt;/dd&gt;&lt;/dl&gt;</v>
      </c>
    </row>
    <row r="42" spans="2:7" x14ac:dyDescent="0.2">
      <c r="B42" s="2" t="s">
        <v>71</v>
      </c>
      <c r="C42" s="2" t="s">
        <v>1047</v>
      </c>
      <c r="D42" s="2" t="s">
        <v>73</v>
      </c>
      <c r="G42" t="str">
        <f t="shared" si="0"/>
        <v>&lt;dl&gt;&lt;dt&gt;组合​&lt;/dt&gt;&lt;dd&gt;效应​&lt;/dd&gt;&lt;dd&gt;典型案例​&lt;/dd&gt;&lt;/dl&gt;</v>
      </c>
    </row>
    <row r="43" spans="2:7" ht="28.5" x14ac:dyDescent="0.2">
      <c r="B43" s="3" t="s">
        <v>4970</v>
      </c>
      <c r="C43" s="4" t="s">
        <v>4971</v>
      </c>
      <c r="D43" s="4" t="s">
        <v>4972</v>
      </c>
      <c r="G43" t="str">
        <f t="shared" si="0"/>
        <v>&lt;dl&gt;&lt;dt&gt;天寿+紫微​&lt;/dt&gt;&lt;dd&gt;尊贵长寿，地位稳固且寿命长，健康状况良好，有领导者的持久力。&lt;/dd&gt;&lt;dd&gt;长寿的帝王或企业领袖；长期担任重要职位。&lt;/dd&gt;&lt;/dl&gt;</v>
      </c>
    </row>
    <row r="44" spans="2:7" ht="28.5" x14ac:dyDescent="0.2">
      <c r="B44" s="3" t="s">
        <v>4973</v>
      </c>
      <c r="C44" s="4" t="s">
        <v>4974</v>
      </c>
      <c r="D44" s="4" t="s">
        <v>4975</v>
      </c>
    </row>
    <row r="45" spans="2:7" ht="28.5" x14ac:dyDescent="0.2">
      <c r="B45" s="3" t="s">
        <v>4976</v>
      </c>
      <c r="C45" s="4" t="s">
        <v>4977</v>
      </c>
      <c r="D45" s="4" t="s">
        <v>4978</v>
      </c>
    </row>
    <row r="46" spans="2:7" ht="28.5" x14ac:dyDescent="0.2">
      <c r="B46" s="3" t="s">
        <v>4979</v>
      </c>
      <c r="C46" s="4" t="s">
        <v>4980</v>
      </c>
      <c r="D46" s="4" t="s">
        <v>4981</v>
      </c>
    </row>
    <row r="47" spans="2:7" ht="28.5" x14ac:dyDescent="0.2">
      <c r="B47" s="3" t="s">
        <v>4982</v>
      </c>
      <c r="C47" s="3" t="s">
        <v>4983</v>
      </c>
      <c r="D47" s="4" t="s">
        <v>4984</v>
      </c>
    </row>
    <row r="48" spans="2:7" ht="28.5" x14ac:dyDescent="0.2">
      <c r="B48" s="3" t="s">
        <v>4985</v>
      </c>
      <c r="C48" s="4" t="s">
        <v>4986</v>
      </c>
      <c r="D48" s="4" t="s">
        <v>4987</v>
      </c>
    </row>
    <row r="49" spans="2:7" ht="28.5" x14ac:dyDescent="0.2">
      <c r="B49" s="3" t="s">
        <v>4988</v>
      </c>
      <c r="C49" s="4" t="s">
        <v>4989</v>
      </c>
      <c r="D49" s="4" t="s">
        <v>4990</v>
      </c>
      <c r="G49" t="str">
        <f t="shared" si="0"/>
        <v>&lt;dl&gt;&lt;dt&gt;天寿+天府​&lt;/dt&gt;&lt;dd&gt;富足长寿，生活富足且稳定，身体健康，有库藏之寿。&lt;/dd&gt;&lt;dd&gt;长寿的富家翁；产业稳固，家族长久。&lt;/dd&gt;&lt;/dl&gt;</v>
      </c>
    </row>
    <row r="50" spans="2:7" ht="28.5" x14ac:dyDescent="0.2">
      <c r="B50" s="3" t="s">
        <v>4991</v>
      </c>
      <c r="C50" s="4" t="s">
        <v>4992</v>
      </c>
      <c r="D50" s="4" t="s">
        <v>4993</v>
      </c>
      <c r="G50" t="str">
        <f t="shared" si="0"/>
        <v>&lt;dl&gt;&lt;dt&gt;天寿+太阴​&lt;/dt&gt;&lt;dd&gt;阴柔长寿，性情温和长寿，女性缘佳，健康需注意内分泌和妇科。&lt;/dd&gt;&lt;dd&gt;长寿的慈祥女性；长期从事艺术、护理工作。&lt;/dd&gt;&lt;/dl&gt;</v>
      </c>
    </row>
    <row r="51" spans="2:7" ht="28.5" x14ac:dyDescent="0.2">
      <c r="B51" s="3" t="s">
        <v>4994</v>
      </c>
      <c r="C51" s="4" t="s">
        <v>4995</v>
      </c>
      <c r="D51" s="4" t="s">
        <v>4996</v>
      </c>
      <c r="G51" t="str">
        <f t="shared" si="0"/>
        <v>&lt;dl&gt;&lt;dt&gt;天寿+贪狼​&lt;/dt&gt;&lt;dd&gt;欲望长寿，生命力强，欲望多且持久，晚年需节制以保健康。&lt;/dd&gt;&lt;dd&gt;长寿的社交家、艺术家；嗜好伴随一生。&lt;/dd&gt;&lt;/dl&gt;</v>
      </c>
    </row>
    <row r="52" spans="2:7" ht="28.5" x14ac:dyDescent="0.2">
      <c r="B52" s="3" t="s">
        <v>4997</v>
      </c>
      <c r="C52" s="4" t="s">
        <v>4998</v>
      </c>
      <c r="D52" s="4" t="s">
        <v>4999</v>
      </c>
      <c r="G52" t="str">
        <f t="shared" si="0"/>
        <v>&lt;dl&gt;&lt;dt&gt;天寿+巨门​&lt;/dt&gt;&lt;dd&gt;口舌长寿，生命力强，但易因口舌、消化系统问题影响健康，需注意养生。&lt;/dd&gt;&lt;dd&gt;长寿的律师、教师；长期注意饮食调理。&lt;/dd&gt;&lt;/dl&gt;</v>
      </c>
    </row>
    <row r="53" spans="2:7" ht="28.5" x14ac:dyDescent="0.2">
      <c r="B53" s="3" t="s">
        <v>5000</v>
      </c>
      <c r="C53" s="4" t="s">
        <v>5001</v>
      </c>
      <c r="D53" s="4" t="s">
        <v>5002</v>
      </c>
    </row>
    <row r="54" spans="2:7" ht="28.5" x14ac:dyDescent="0.2">
      <c r="B54" s="3" t="s">
        <v>1710</v>
      </c>
      <c r="C54" s="3" t="s">
        <v>5003</v>
      </c>
      <c r="D54" s="4" t="s">
        <v>5004</v>
      </c>
    </row>
    <row r="55" spans="2:7" ht="28.5" x14ac:dyDescent="0.2">
      <c r="B55" s="3" t="s">
        <v>1708</v>
      </c>
      <c r="C55" s="4" t="s">
        <v>5005</v>
      </c>
      <c r="D55" s="4" t="s">
        <v>5006</v>
      </c>
    </row>
    <row r="56" spans="2:7" ht="28.5" x14ac:dyDescent="0.2">
      <c r="B56" s="3" t="s">
        <v>1709</v>
      </c>
      <c r="C56" s="4" t="s">
        <v>5007</v>
      </c>
      <c r="D56" s="4" t="s">
        <v>5008</v>
      </c>
    </row>
    <row r="59" spans="2:7" ht="17.25" x14ac:dyDescent="0.2">
      <c r="B59" s="5" t="s">
        <v>746</v>
      </c>
    </row>
    <row r="61" spans="2:7" x14ac:dyDescent="0.2">
      <c r="B61" s="2" t="s">
        <v>40</v>
      </c>
      <c r="C61" s="2" t="s">
        <v>1414</v>
      </c>
      <c r="D61" s="2" t="s">
        <v>21</v>
      </c>
    </row>
    <row r="62" spans="2:7" ht="28.5" x14ac:dyDescent="0.2">
      <c r="B62" s="3" t="s">
        <v>1710</v>
      </c>
      <c r="C62" s="3" t="s">
        <v>5009</v>
      </c>
      <c r="D62" s="4" t="s">
        <v>5010</v>
      </c>
    </row>
    <row r="63" spans="2:7" ht="28.5" x14ac:dyDescent="0.2">
      <c r="B63" s="3" t="s">
        <v>4982</v>
      </c>
      <c r="C63" s="3" t="s">
        <v>5011</v>
      </c>
      <c r="D63" s="4" t="s">
        <v>5012</v>
      </c>
    </row>
    <row r="64" spans="2:7" ht="28.5" x14ac:dyDescent="0.2">
      <c r="B64" s="3" t="s">
        <v>5013</v>
      </c>
      <c r="C64" s="3" t="s">
        <v>5014</v>
      </c>
      <c r="D64" s="4" t="s">
        <v>5015</v>
      </c>
    </row>
    <row r="65" spans="2:4" ht="28.5" x14ac:dyDescent="0.2">
      <c r="B65" s="3" t="s">
        <v>5016</v>
      </c>
      <c r="C65" s="3" t="s">
        <v>5017</v>
      </c>
      <c r="D65" s="4" t="s">
        <v>5018</v>
      </c>
    </row>
    <row r="66" spans="2:4" ht="28.5" x14ac:dyDescent="0.2">
      <c r="B66" s="3" t="s">
        <v>5019</v>
      </c>
      <c r="C66" s="3" t="s">
        <v>5020</v>
      </c>
      <c r="D66" s="4" t="s">
        <v>5021</v>
      </c>
    </row>
    <row r="67" spans="2:4" ht="28.5" x14ac:dyDescent="0.2">
      <c r="B67" s="3" t="s">
        <v>5022</v>
      </c>
      <c r="C67" s="3" t="s">
        <v>5023</v>
      </c>
      <c r="D67" s="4" t="s">
        <v>5024</v>
      </c>
    </row>
    <row r="68" spans="2:4" ht="28.5" x14ac:dyDescent="0.2">
      <c r="B68" s="3" t="s">
        <v>1712</v>
      </c>
      <c r="C68" s="3" t="s">
        <v>5025</v>
      </c>
      <c r="D68" s="4" t="s">
        <v>5026</v>
      </c>
    </row>
    <row r="69" spans="2:4" ht="28.5" x14ac:dyDescent="0.2">
      <c r="B69" s="3" t="s">
        <v>1713</v>
      </c>
      <c r="C69" s="3" t="s">
        <v>5027</v>
      </c>
      <c r="D69" s="4" t="s">
        <v>5028</v>
      </c>
    </row>
    <row r="70" spans="2:4" ht="28.5" x14ac:dyDescent="0.2">
      <c r="B70" s="3" t="s">
        <v>5029</v>
      </c>
      <c r="C70" s="3" t="s">
        <v>5030</v>
      </c>
      <c r="D70" s="4" t="s">
        <v>5031</v>
      </c>
    </row>
    <row r="71" spans="2:4" ht="28.5" x14ac:dyDescent="0.2">
      <c r="B71" s="3" t="s">
        <v>1711</v>
      </c>
      <c r="C71" s="3" t="s">
        <v>5032</v>
      </c>
      <c r="D71" s="4" t="s">
        <v>5033</v>
      </c>
    </row>
    <row r="72" spans="2:4" ht="28.5" x14ac:dyDescent="0.2">
      <c r="B72" s="3" t="s">
        <v>5034</v>
      </c>
      <c r="C72" s="3" t="s">
        <v>5035</v>
      </c>
      <c r="D72" s="4" t="s">
        <v>5036</v>
      </c>
    </row>
    <row r="73" spans="2:4" ht="28.5" x14ac:dyDescent="0.2">
      <c r="B73" s="3" t="s">
        <v>5037</v>
      </c>
      <c r="C73" s="3" t="s">
        <v>5038</v>
      </c>
      <c r="D73" s="4" t="s">
        <v>5039</v>
      </c>
    </row>
    <row r="74" spans="2:4" ht="28.5" x14ac:dyDescent="0.2">
      <c r="B74" s="3" t="s">
        <v>5040</v>
      </c>
      <c r="C74" s="3" t="s">
        <v>5041</v>
      </c>
      <c r="D74" s="4" t="s">
        <v>5042</v>
      </c>
    </row>
    <row r="77" spans="2:4" ht="17.25" x14ac:dyDescent="0.2">
      <c r="B77" s="5" t="s">
        <v>1805</v>
      </c>
    </row>
    <row r="78" spans="2:4" x14ac:dyDescent="0.2">
      <c r="B78" s="6"/>
    </row>
    <row r="79" spans="2:4" x14ac:dyDescent="0.2">
      <c r="B79" s="7" t="s">
        <v>5043</v>
      </c>
    </row>
    <row r="80" spans="2:4" x14ac:dyDescent="0.2">
      <c r="B80" s="7" t="s">
        <v>5044</v>
      </c>
    </row>
    <row r="81" spans="2:2" x14ac:dyDescent="0.2">
      <c r="B81" s="7" t="s">
        <v>5045</v>
      </c>
    </row>
    <row r="82" spans="2:2" x14ac:dyDescent="0.2">
      <c r="B82" s="7" t="s">
        <v>5046</v>
      </c>
    </row>
  </sheetData>
  <phoneticPr fontId="2" type="noConversion"/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2FC231-7A77-4F48-8364-B7E84E1D85F8}">
  <dimension ref="B1:G82"/>
  <sheetViews>
    <sheetView topLeftCell="A22" zoomScaleNormal="100" workbookViewId="0">
      <selection activeCell="C68" sqref="C68"/>
    </sheetView>
  </sheetViews>
  <sheetFormatPr defaultRowHeight="14.25" x14ac:dyDescent="0.2"/>
  <cols>
    <col min="1" max="1" width="2.75" customWidth="1"/>
    <col min="2" max="2" width="15.625" customWidth="1"/>
    <col min="3" max="3" width="43.125" customWidth="1"/>
    <col min="4" max="4" width="32.75" customWidth="1"/>
  </cols>
  <sheetData>
    <row r="1" spans="2:7" ht="17.25" x14ac:dyDescent="0.2">
      <c r="B1" s="5" t="s">
        <v>1714</v>
      </c>
      <c r="G1" t="str">
        <f>"&lt;dl&gt;&lt;dt&gt;" &amp; B1 &amp; "&lt;/dt&gt;&lt;dd&gt;" &amp; C1 &amp; "&lt;/dd&gt;&lt;dd&gt;" &amp; D1 &amp; "&lt;/dd&gt;&lt;/dl&gt;"</f>
        <v>&lt;dl&gt;&lt;dt&gt;一、天巫定义&lt;/dt&gt;&lt;dd&gt;&lt;/dd&gt;&lt;dd&gt;&lt;/dd&gt;&lt;/dl&gt;</v>
      </c>
    </row>
    <row r="3" spans="2:7" x14ac:dyDescent="0.2">
      <c r="B3" s="2" t="s">
        <v>376</v>
      </c>
      <c r="C3" s="2" t="s">
        <v>377</v>
      </c>
      <c r="D3" s="2" t="s">
        <v>21</v>
      </c>
    </row>
    <row r="4" spans="2:7" x14ac:dyDescent="0.2">
      <c r="B4" s="3" t="s">
        <v>624</v>
      </c>
      <c r="C4" s="4" t="s">
        <v>1715</v>
      </c>
      <c r="D4" s="4"/>
    </row>
    <row r="5" spans="2:7" ht="28.5" x14ac:dyDescent="0.2">
      <c r="B5" s="3" t="s">
        <v>378</v>
      </c>
      <c r="C5" s="4" t="s">
        <v>1716</v>
      </c>
      <c r="D5" s="4"/>
    </row>
    <row r="6" spans="2:7" ht="28.5" x14ac:dyDescent="0.2">
      <c r="B6" s="3" t="s">
        <v>1717</v>
      </c>
      <c r="C6" s="4" t="s">
        <v>1718</v>
      </c>
      <c r="D6" s="4"/>
    </row>
    <row r="9" spans="2:7" ht="17.25" x14ac:dyDescent="0.2">
      <c r="B9" s="5" t="s">
        <v>1719</v>
      </c>
    </row>
    <row r="11" spans="2:7" ht="15.75" x14ac:dyDescent="0.2">
      <c r="B11" s="13" t="s">
        <v>1720</v>
      </c>
    </row>
    <row r="13" spans="2:7" x14ac:dyDescent="0.2">
      <c r="B13" s="2" t="s">
        <v>390</v>
      </c>
      <c r="C13" s="2" t="s">
        <v>412</v>
      </c>
      <c r="D13" s="2" t="s">
        <v>413</v>
      </c>
      <c r="E13" s="2" t="s">
        <v>21</v>
      </c>
    </row>
    <row r="14" spans="2:7" x14ac:dyDescent="0.2">
      <c r="B14" s="3" t="s">
        <v>1721</v>
      </c>
      <c r="C14" s="4" t="s">
        <v>1722</v>
      </c>
      <c r="D14" s="4" t="s">
        <v>1723</v>
      </c>
      <c r="E14" s="4"/>
    </row>
    <row r="15" spans="2:7" x14ac:dyDescent="0.2">
      <c r="B15" s="3" t="s">
        <v>1724</v>
      </c>
      <c r="C15" s="4" t="s">
        <v>1725</v>
      </c>
      <c r="D15" s="4" t="s">
        <v>1726</v>
      </c>
      <c r="E15" s="4"/>
    </row>
    <row r="16" spans="2:7" x14ac:dyDescent="0.2">
      <c r="B16" s="3" t="s">
        <v>1727</v>
      </c>
      <c r="C16" s="4" t="s">
        <v>1728</v>
      </c>
      <c r="D16" s="4" t="s">
        <v>1729</v>
      </c>
      <c r="E16" s="4"/>
    </row>
    <row r="17" spans="2:7" x14ac:dyDescent="0.2">
      <c r="B17" s="3" t="s">
        <v>1730</v>
      </c>
      <c r="C17" s="4" t="s">
        <v>1731</v>
      </c>
      <c r="D17" s="4" t="s">
        <v>1732</v>
      </c>
      <c r="E17" s="4"/>
    </row>
    <row r="20" spans="2:7" ht="17.25" x14ac:dyDescent="0.2">
      <c r="B20" s="5" t="s">
        <v>1733</v>
      </c>
    </row>
    <row r="22" spans="2:7" x14ac:dyDescent="0.2">
      <c r="B22" s="2" t="s">
        <v>18</v>
      </c>
      <c r="C22" s="2" t="s">
        <v>412</v>
      </c>
      <c r="D22" s="2" t="s">
        <v>413</v>
      </c>
      <c r="E22" s="2" t="s">
        <v>21</v>
      </c>
    </row>
    <row r="23" spans="2:7" x14ac:dyDescent="0.2">
      <c r="B23" s="3" t="s">
        <v>201</v>
      </c>
      <c r="C23" s="4" t="s">
        <v>1734</v>
      </c>
      <c r="D23" s="4" t="s">
        <v>1735</v>
      </c>
      <c r="E23" s="4"/>
    </row>
    <row r="24" spans="2:7" x14ac:dyDescent="0.2">
      <c r="B24" s="3" t="s">
        <v>246</v>
      </c>
      <c r="C24" s="4" t="s">
        <v>1736</v>
      </c>
      <c r="D24" s="4" t="s">
        <v>1737</v>
      </c>
      <c r="E24" s="4"/>
      <c r="G24" t="str">
        <f t="shared" ref="G24:G52" si="0">"&lt;dl&gt;&lt;dt&gt;" &amp; B24 &amp; "&lt;/dt&gt;&lt;dd&gt;" &amp; C24 &amp; "&lt;/dd&gt;&lt;dd&gt;" &amp; D24 &amp; "&lt;/dd&gt;&lt;/dl&gt;"</f>
        <v>&lt;dl&gt;&lt;dt&gt;兄弟宫​&lt;/dt&gt;&lt;dd&gt;兄弟姐妹中有从事相关行业者&lt;/dd&gt;&lt;dd&gt;因遗产、中介费与兄弟姐妹发生纠纷&lt;/dd&gt;&lt;/dl&gt;</v>
      </c>
    </row>
    <row r="25" spans="2:7" ht="28.5" x14ac:dyDescent="0.2">
      <c r="B25" s="3" t="s">
        <v>125</v>
      </c>
      <c r="C25" s="4" t="s">
        <v>1738</v>
      </c>
      <c r="D25" s="4" t="s">
        <v>1739</v>
      </c>
      <c r="E25" s="4"/>
      <c r="G25" t="str">
        <f t="shared" si="0"/>
        <v>&lt;dl&gt;&lt;dt&gt;夫妻宫​&lt;/dt&gt;&lt;dd&gt;通过宗教或玄学活动结识配偶&lt;/dd&gt;&lt;dd&gt;感情中有欺骗或灵异干扰（如“阴桃花”）&lt;/dd&gt;&lt;/dl&gt;</v>
      </c>
    </row>
    <row r="26" spans="2:7" ht="28.5" x14ac:dyDescent="0.2">
      <c r="B26" s="3" t="s">
        <v>128</v>
      </c>
      <c r="C26" s="4" t="s">
        <v>1740</v>
      </c>
      <c r="D26" s="4" t="s">
        <v>1741</v>
      </c>
      <c r="E26" s="4"/>
      <c r="G26" t="str">
        <f t="shared" si="0"/>
        <v>&lt;dl&gt;&lt;dt&gt;子女宫​&lt;/dt&gt;&lt;dd&gt;子女有灵性，或收养义子/门徒&lt;/dd&gt;&lt;dd&gt;子女难养（易受惊）、或为子女找“干亲”化解&lt;/dd&gt;&lt;/dl&gt;</v>
      </c>
    </row>
    <row r="27" spans="2:7" x14ac:dyDescent="0.2">
      <c r="B27" s="3" t="s">
        <v>3</v>
      </c>
      <c r="C27" s="4" t="s">
        <v>1742</v>
      </c>
      <c r="D27" s="4" t="s">
        <v>1743</v>
      </c>
      <c r="E27" s="4"/>
      <c r="G27" t="str">
        <f t="shared" si="0"/>
        <v>&lt;dl&gt;&lt;dt&gt;财帛宫​&lt;/dt&gt;&lt;dd&gt;通过玄学、中介、咨询获利&lt;/dd&gt;&lt;dd&gt;因迷信破财、或被中介诈骗&lt;/dd&gt;&lt;/dl&gt;</v>
      </c>
    </row>
    <row r="28" spans="2:7" x14ac:dyDescent="0.2">
      <c r="B28" s="3" t="s">
        <v>6</v>
      </c>
      <c r="C28" s="4" t="s">
        <v>1744</v>
      </c>
      <c r="D28" s="4" t="s">
        <v>1745</v>
      </c>
      <c r="E28" s="4"/>
      <c r="G28" t="str">
        <f t="shared" si="0"/>
        <v>&lt;dl&gt;&lt;dt&gt;疾厄宫​&lt;/dt&gt;&lt;dd&gt;信仰疗法有效、或患有疑难杂症（“邪病”）&lt;/dd&gt;&lt;dd&gt;久病不愈，需检查是否冲犯禁忌&lt;/dd&gt;&lt;/dl&gt;</v>
      </c>
    </row>
    <row r="29" spans="2:7" x14ac:dyDescent="0.2">
      <c r="B29" s="3" t="s">
        <v>15</v>
      </c>
      <c r="C29" s="4" t="s">
        <v>1746</v>
      </c>
      <c r="D29" s="4" t="s">
        <v>1747</v>
      </c>
      <c r="E29" s="4"/>
      <c r="G29" t="str">
        <f t="shared" si="0"/>
        <v>&lt;dl&gt;&lt;dt&gt;迁移宫​&lt;/dt&gt;&lt;dd&gt;在外易遇贵人指点（宗教玄学类）&lt;/dd&gt;&lt;dd&gt;在外易遇神棍、或卷入神秘事件&lt;/dd&gt;&lt;/dl&gt;</v>
      </c>
    </row>
    <row r="30" spans="2:7" x14ac:dyDescent="0.2">
      <c r="B30" s="3" t="s">
        <v>12</v>
      </c>
      <c r="C30" s="4" t="s">
        <v>1748</v>
      </c>
      <c r="D30" s="4" t="s">
        <v>1749</v>
      </c>
      <c r="E30" s="4"/>
    </row>
    <row r="31" spans="2:7" x14ac:dyDescent="0.2">
      <c r="B31" s="3" t="s">
        <v>206</v>
      </c>
      <c r="C31" s="4" t="s">
        <v>1750</v>
      </c>
      <c r="D31" s="4" t="s">
        <v>1751</v>
      </c>
      <c r="E31" s="4"/>
    </row>
    <row r="32" spans="2:7" x14ac:dyDescent="0.2">
      <c r="B32" s="3" t="s">
        <v>0</v>
      </c>
      <c r="C32" s="4" t="s">
        <v>1752</v>
      </c>
      <c r="D32" s="4" t="s">
        <v>1753</v>
      </c>
      <c r="E32" s="4"/>
    </row>
    <row r="33" spans="2:7" x14ac:dyDescent="0.2">
      <c r="B33" s="3" t="s">
        <v>116</v>
      </c>
      <c r="C33" s="4" t="s">
        <v>1754</v>
      </c>
      <c r="D33" s="4" t="s">
        <v>1755</v>
      </c>
      <c r="E33" s="4"/>
    </row>
    <row r="34" spans="2:7" x14ac:dyDescent="0.2">
      <c r="B34" s="3" t="s">
        <v>9</v>
      </c>
      <c r="C34" s="4" t="s">
        <v>1756</v>
      </c>
      <c r="D34" s="4" t="s">
        <v>1757</v>
      </c>
      <c r="E34" s="4"/>
    </row>
    <row r="35" spans="2:7" x14ac:dyDescent="0.2">
      <c r="G35" t="str">
        <f t="shared" si="0"/>
        <v>&lt;dl&gt;&lt;dt&gt;&lt;/dt&gt;&lt;dd&gt;&lt;/dd&gt;&lt;dd&gt;&lt;/dd&gt;&lt;/dl&gt;</v>
      </c>
    </row>
    <row r="36" spans="2:7" x14ac:dyDescent="0.2">
      <c r="G36" t="str">
        <f t="shared" si="0"/>
        <v>&lt;dl&gt;&lt;dt&gt;&lt;/dt&gt;&lt;dd&gt;&lt;/dd&gt;&lt;dd&gt;&lt;/dd&gt;&lt;/dl&gt;</v>
      </c>
    </row>
    <row r="37" spans="2:7" ht="17.25" x14ac:dyDescent="0.2">
      <c r="B37" s="5" t="s">
        <v>734</v>
      </c>
      <c r="G37" t="str">
        <f t="shared" si="0"/>
        <v>&lt;dl&gt;&lt;dt&gt;四、主星组合象义&lt;/dt&gt;&lt;dd&gt;&lt;/dd&gt;&lt;dd&gt;&lt;/dd&gt;&lt;/dl&gt;</v>
      </c>
    </row>
    <row r="38" spans="2:7" x14ac:dyDescent="0.2">
      <c r="G38" t="str">
        <f t="shared" si="0"/>
        <v>&lt;dl&gt;&lt;dt&gt;&lt;/dt&gt;&lt;dd&gt;&lt;/dd&gt;&lt;dd&gt;&lt;/dd&gt;&lt;/dl&gt;</v>
      </c>
    </row>
    <row r="39" spans="2:7" ht="15.75" x14ac:dyDescent="0.2">
      <c r="B39" s="13" t="s">
        <v>1758</v>
      </c>
      <c r="G39" t="str">
        <f t="shared" si="0"/>
        <v>&lt;dl&gt;&lt;dt&gt;1. 吉象组合&lt;/dt&gt;&lt;dd&gt;&lt;/dd&gt;&lt;dd&gt;&lt;/dd&gt;&lt;/dl&gt;</v>
      </c>
    </row>
    <row r="40" spans="2:7" x14ac:dyDescent="0.2">
      <c r="G40" t="str">
        <f t="shared" si="0"/>
        <v>&lt;dl&gt;&lt;dt&gt;&lt;/dt&gt;&lt;dd&gt;&lt;/dd&gt;&lt;dd&gt;&lt;/dd&gt;&lt;/dl&gt;</v>
      </c>
    </row>
    <row r="41" spans="2:7" x14ac:dyDescent="0.2">
      <c r="B41" s="2" t="s">
        <v>71</v>
      </c>
      <c r="C41" s="2" t="s">
        <v>1047</v>
      </c>
      <c r="D41" s="2" t="s">
        <v>73</v>
      </c>
      <c r="E41" s="2" t="s">
        <v>21</v>
      </c>
      <c r="G41" t="str">
        <f t="shared" si="0"/>
        <v>&lt;dl&gt;&lt;dt&gt;组合​&lt;/dt&gt;&lt;dd&gt;效应​&lt;/dd&gt;&lt;dd&gt;典型案例​&lt;/dd&gt;&lt;/dl&gt;</v>
      </c>
    </row>
    <row r="42" spans="2:7" x14ac:dyDescent="0.2">
      <c r="B42" s="3" t="s">
        <v>1759</v>
      </c>
      <c r="C42" s="4" t="s">
        <v>1760</v>
      </c>
      <c r="D42" s="4" t="s">
        <v>1761</v>
      </c>
      <c r="E42" s="4"/>
      <c r="G42" t="str">
        <f t="shared" si="0"/>
        <v>&lt;dl&gt;&lt;dt&gt;天巫+天梁​&lt;/dt&gt;&lt;dd&gt;宗教领袖、慈善中介、法律调解&lt;/dd&gt;&lt;dd&gt;寺庙住持、公益组织负责人&lt;/dd&gt;&lt;/dl&gt;</v>
      </c>
    </row>
    <row r="43" spans="2:7" x14ac:dyDescent="0.2">
      <c r="B43" s="3" t="s">
        <v>1762</v>
      </c>
      <c r="C43" s="4" t="s">
        <v>1763</v>
      </c>
      <c r="D43" s="4" t="s">
        <v>1764</v>
      </c>
      <c r="E43" s="4"/>
      <c r="G43" t="str">
        <f t="shared" si="0"/>
        <v>&lt;dl&gt;&lt;dt&gt;天巫+太阳​&lt;/dt&gt;&lt;dd&gt;公开传播玄学、阳光下的宗教活动&lt;/dd&gt;&lt;dd&gt;开设命理讲座、举办公开法会&lt;/dd&gt;&lt;/dl&gt;</v>
      </c>
    </row>
    <row r="44" spans="2:7" x14ac:dyDescent="0.2">
      <c r="B44" s="3" t="s">
        <v>1765</v>
      </c>
      <c r="C44" s="4" t="s">
        <v>1766</v>
      </c>
      <c r="D44" s="4" t="s">
        <v>1767</v>
      </c>
      <c r="E44" s="4"/>
    </row>
    <row r="45" spans="2:7" x14ac:dyDescent="0.2">
      <c r="B45" s="3" t="s">
        <v>1768</v>
      </c>
      <c r="C45" s="4" t="s">
        <v>1769</v>
      </c>
      <c r="D45" s="4" t="s">
        <v>1770</v>
      </c>
      <c r="E45" s="4"/>
    </row>
    <row r="47" spans="2:7" ht="15.75" x14ac:dyDescent="0.2">
      <c r="B47" s="13" t="s">
        <v>1771</v>
      </c>
    </row>
    <row r="49" spans="2:7" x14ac:dyDescent="0.2">
      <c r="B49" s="2" t="s">
        <v>71</v>
      </c>
      <c r="C49" s="2" t="s">
        <v>1047</v>
      </c>
      <c r="D49" s="2" t="s">
        <v>73</v>
      </c>
      <c r="E49" s="2" t="s">
        <v>21</v>
      </c>
      <c r="G49" t="str">
        <f t="shared" si="0"/>
        <v>&lt;dl&gt;&lt;dt&gt;组合​&lt;/dt&gt;&lt;dd&gt;效应​&lt;/dd&gt;&lt;dd&gt;典型案例​&lt;/dd&gt;&lt;/dl&gt;</v>
      </c>
    </row>
    <row r="50" spans="2:7" x14ac:dyDescent="0.2">
      <c r="B50" s="3" t="s">
        <v>1772</v>
      </c>
      <c r="C50" s="4" t="s">
        <v>1773</v>
      </c>
      <c r="D50" s="4" t="s">
        <v>1774</v>
      </c>
      <c r="E50" s="4"/>
      <c r="G50" t="str">
        <f t="shared" si="0"/>
        <v>&lt;dl&gt;&lt;dt&gt;天巫+巨门​&lt;/dt&gt;&lt;dd&gt;秘密巫术、地下中介、口舌是非&lt;/dd&gt;&lt;dd&gt;下降头、从事暗盘交易的中介&lt;/dd&gt;&lt;/dl&gt;</v>
      </c>
    </row>
    <row r="51" spans="2:7" x14ac:dyDescent="0.2">
      <c r="B51" s="3" t="s">
        <v>1775</v>
      </c>
      <c r="C51" s="4" t="s">
        <v>1776</v>
      </c>
      <c r="D51" s="4" t="s">
        <v>1777</v>
      </c>
      <c r="E51" s="4"/>
      <c r="G51" t="str">
        <f t="shared" si="0"/>
        <v>&lt;dl&gt;&lt;dt&gt;天巫+廉贞​&lt;/dt&gt;&lt;dd&gt;执着于神通、走火入魔、桃花巫术&lt;/dd&gt;&lt;dd&gt;为求姻缘滥用和合术，反遭反噬&lt;/dd&gt;&lt;/dl&gt;</v>
      </c>
    </row>
    <row r="52" spans="2:7" x14ac:dyDescent="0.2">
      <c r="B52" s="3" t="s">
        <v>1778</v>
      </c>
      <c r="C52" s="4" t="s">
        <v>1779</v>
      </c>
      <c r="D52" s="4" t="s">
        <v>1780</v>
      </c>
      <c r="E52" s="4"/>
      <c r="G52" t="str">
        <f t="shared" si="0"/>
        <v>&lt;dl&gt;&lt;dt&gt;天巫+七杀​&lt;/dt&gt;&lt;dd&gt;暴力驱邪、强制性的中介手段&lt;/dd&gt;&lt;dd&gt;跳乩童、暴力讨债的中间人&lt;/dd&gt;&lt;/dl&gt;</v>
      </c>
    </row>
    <row r="53" spans="2:7" x14ac:dyDescent="0.2">
      <c r="B53" s="3" t="s">
        <v>1781</v>
      </c>
      <c r="C53" s="4" t="s">
        <v>1782</v>
      </c>
      <c r="D53" s="4" t="s">
        <v>1783</v>
      </c>
      <c r="E53" s="4"/>
    </row>
    <row r="56" spans="2:7" ht="17.25" x14ac:dyDescent="0.2">
      <c r="B56" s="5" t="s">
        <v>746</v>
      </c>
    </row>
    <row r="58" spans="2:7" x14ac:dyDescent="0.2">
      <c r="B58" s="2" t="s">
        <v>40</v>
      </c>
      <c r="C58" s="2" t="s">
        <v>427</v>
      </c>
      <c r="D58" s="2" t="s">
        <v>428</v>
      </c>
      <c r="E58" s="2" t="s">
        <v>21</v>
      </c>
    </row>
    <row r="59" spans="2:7" x14ac:dyDescent="0.2">
      <c r="B59" s="3" t="s">
        <v>1784</v>
      </c>
      <c r="C59" s="4" t="s">
        <v>1785</v>
      </c>
      <c r="D59" s="4" t="s">
        <v>1786</v>
      </c>
      <c r="E59" s="4"/>
    </row>
    <row r="60" spans="2:7" x14ac:dyDescent="0.2">
      <c r="B60" s="3" t="s">
        <v>1787</v>
      </c>
      <c r="C60" s="4" t="s">
        <v>1788</v>
      </c>
      <c r="D60" s="4" t="s">
        <v>1789</v>
      </c>
      <c r="E60" s="4"/>
    </row>
    <row r="61" spans="2:7" x14ac:dyDescent="0.2">
      <c r="B61" s="3" t="s">
        <v>1790</v>
      </c>
      <c r="C61" s="4" t="s">
        <v>1791</v>
      </c>
      <c r="D61" s="4" t="s">
        <v>1792</v>
      </c>
      <c r="E61" s="4"/>
    </row>
    <row r="62" spans="2:7" x14ac:dyDescent="0.2">
      <c r="B62" s="3" t="s">
        <v>1793</v>
      </c>
      <c r="C62" s="4" t="s">
        <v>1794</v>
      </c>
      <c r="D62" s="4" t="s">
        <v>1795</v>
      </c>
      <c r="E62" s="4"/>
    </row>
    <row r="63" spans="2:7" ht="28.5" x14ac:dyDescent="0.2">
      <c r="B63" s="3" t="s">
        <v>1796</v>
      </c>
      <c r="C63" s="4" t="s">
        <v>1797</v>
      </c>
      <c r="D63" s="4" t="s">
        <v>1798</v>
      </c>
      <c r="E63" s="4"/>
    </row>
    <row r="64" spans="2:7" x14ac:dyDescent="0.2">
      <c r="B64" s="3" t="s">
        <v>1799</v>
      </c>
      <c r="C64" s="4" t="s">
        <v>1800</v>
      </c>
      <c r="D64" s="4" t="s">
        <v>1801</v>
      </c>
      <c r="E64" s="4"/>
    </row>
    <row r="65" spans="2:5" x14ac:dyDescent="0.2">
      <c r="B65" s="3" t="s">
        <v>1802</v>
      </c>
      <c r="C65" s="4" t="s">
        <v>1803</v>
      </c>
      <c r="D65" s="4" t="s">
        <v>1804</v>
      </c>
      <c r="E65" s="4"/>
    </row>
    <row r="68" spans="2:5" ht="17.25" x14ac:dyDescent="0.2">
      <c r="B68" s="5" t="s">
        <v>1805</v>
      </c>
    </row>
    <row r="69" spans="2:5" x14ac:dyDescent="0.2">
      <c r="B69" s="6"/>
    </row>
    <row r="70" spans="2:5" x14ac:dyDescent="0.2">
      <c r="B70" s="7" t="s">
        <v>1806</v>
      </c>
    </row>
    <row r="71" spans="2:5" x14ac:dyDescent="0.2">
      <c r="B71" s="6"/>
    </row>
    <row r="72" spans="2:5" x14ac:dyDescent="0.2">
      <c r="B72" s="8" t="s">
        <v>1807</v>
      </c>
    </row>
    <row r="73" spans="2:5" x14ac:dyDescent="0.2">
      <c r="B73" s="8" t="s">
        <v>1808</v>
      </c>
    </row>
    <row r="74" spans="2:5" x14ac:dyDescent="0.2">
      <c r="B74" s="7" t="s">
        <v>1809</v>
      </c>
    </row>
    <row r="75" spans="2:5" x14ac:dyDescent="0.2">
      <c r="B75" s="7" t="s">
        <v>1810</v>
      </c>
    </row>
    <row r="76" spans="2:5" x14ac:dyDescent="0.2">
      <c r="B76" s="6"/>
    </row>
    <row r="77" spans="2:5" x14ac:dyDescent="0.2">
      <c r="B77" s="9" t="s">
        <v>1811</v>
      </c>
    </row>
    <row r="78" spans="2:5" x14ac:dyDescent="0.2">
      <c r="B78" s="9" t="s">
        <v>1812</v>
      </c>
    </row>
    <row r="79" spans="2:5" x14ac:dyDescent="0.2">
      <c r="B79" s="9" t="s">
        <v>1813</v>
      </c>
    </row>
    <row r="80" spans="2:5" x14ac:dyDescent="0.2">
      <c r="B80" s="16"/>
    </row>
    <row r="81" spans="2:2" x14ac:dyDescent="0.2">
      <c r="B81" s="6"/>
    </row>
    <row r="82" spans="2:2" x14ac:dyDescent="0.2">
      <c r="B82" s="6"/>
    </row>
  </sheetData>
  <phoneticPr fontId="2" type="noConversion"/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CE262F-80B3-4B99-AE37-294E6110187F}">
  <dimension ref="B1:G82"/>
  <sheetViews>
    <sheetView topLeftCell="A5" zoomScaleNormal="100" workbookViewId="0">
      <selection activeCell="B1" sqref="B1:D74"/>
    </sheetView>
  </sheetViews>
  <sheetFormatPr defaultRowHeight="14.25" x14ac:dyDescent="0.2"/>
  <cols>
    <col min="1" max="1" width="2.75" customWidth="1"/>
    <col min="2" max="2" width="15.625" customWidth="1"/>
    <col min="3" max="3" width="43.125" customWidth="1"/>
    <col min="4" max="4" width="32.75" customWidth="1"/>
  </cols>
  <sheetData>
    <row r="1" spans="2:7" ht="17.25" x14ac:dyDescent="0.2">
      <c r="B1" s="5" t="s">
        <v>1814</v>
      </c>
      <c r="G1" t="str">
        <f>"&lt;dl&gt;&lt;dt&gt;" &amp; B1 &amp; "&lt;/dt&gt;&lt;dd&gt;" &amp; C1 &amp; "&lt;/dd&gt;&lt;dd&gt;" &amp; D1 &amp; "&lt;/dd&gt;&lt;/dl&gt;"</f>
        <v>&lt;dl&gt;&lt;dt&gt;一、阴煞定义&lt;/dt&gt;&lt;dd&gt;&lt;/dd&gt;&lt;dd&gt;&lt;/dd&gt;&lt;/dl&gt;</v>
      </c>
    </row>
    <row r="3" spans="2:7" x14ac:dyDescent="0.2">
      <c r="B3" s="2" t="s">
        <v>376</v>
      </c>
      <c r="C3" s="2" t="s">
        <v>377</v>
      </c>
      <c r="D3" s="2" t="s">
        <v>21</v>
      </c>
    </row>
    <row r="4" spans="2:7" ht="28.5" x14ac:dyDescent="0.2">
      <c r="B4" s="3" t="s">
        <v>624</v>
      </c>
      <c r="C4" s="4" t="s">
        <v>1815</v>
      </c>
      <c r="D4" s="4"/>
    </row>
    <row r="5" spans="2:7" ht="28.5" x14ac:dyDescent="0.2">
      <c r="B5" s="3" t="s">
        <v>378</v>
      </c>
      <c r="C5" s="4" t="s">
        <v>1816</v>
      </c>
      <c r="D5" s="4"/>
    </row>
    <row r="6" spans="2:7" ht="28.5" x14ac:dyDescent="0.2">
      <c r="B6" s="3" t="s">
        <v>1717</v>
      </c>
      <c r="C6" s="4" t="s">
        <v>1817</v>
      </c>
      <c r="D6" s="4"/>
    </row>
    <row r="9" spans="2:7" ht="17.25" x14ac:dyDescent="0.2">
      <c r="B9" s="5" t="s">
        <v>1719</v>
      </c>
    </row>
    <row r="11" spans="2:7" ht="15.75" x14ac:dyDescent="0.2">
      <c r="B11" s="13" t="s">
        <v>1720</v>
      </c>
    </row>
    <row r="13" spans="2:7" x14ac:dyDescent="0.2">
      <c r="B13" s="2" t="s">
        <v>390</v>
      </c>
      <c r="C13" s="2" t="s">
        <v>1818</v>
      </c>
      <c r="D13" s="2" t="s">
        <v>1819</v>
      </c>
    </row>
    <row r="14" spans="2:7" ht="28.5" x14ac:dyDescent="0.2">
      <c r="B14" s="3" t="s">
        <v>1820</v>
      </c>
      <c r="C14" s="4" t="s">
        <v>1821</v>
      </c>
      <c r="D14" s="4" t="s">
        <v>1822</v>
      </c>
    </row>
    <row r="15" spans="2:7" ht="28.5" x14ac:dyDescent="0.2">
      <c r="B15" s="3" t="s">
        <v>1823</v>
      </c>
      <c r="C15" s="4" t="s">
        <v>1824</v>
      </c>
      <c r="D15" s="4" t="s">
        <v>1825</v>
      </c>
    </row>
    <row r="16" spans="2:7" ht="28.5" x14ac:dyDescent="0.2">
      <c r="B16" s="3" t="s">
        <v>1826</v>
      </c>
      <c r="C16" s="4" t="s">
        <v>1827</v>
      </c>
      <c r="D16" s="4" t="s">
        <v>1828</v>
      </c>
    </row>
    <row r="17" spans="2:7" ht="28.5" x14ac:dyDescent="0.2">
      <c r="B17" s="3" t="s">
        <v>1829</v>
      </c>
      <c r="C17" s="4" t="s">
        <v>1830</v>
      </c>
      <c r="D17" s="4" t="s">
        <v>1831</v>
      </c>
    </row>
    <row r="18" spans="2:7" ht="28.5" x14ac:dyDescent="0.2">
      <c r="B18" s="3" t="s">
        <v>1832</v>
      </c>
      <c r="C18" s="4" t="s">
        <v>1833</v>
      </c>
      <c r="D18" s="4" t="s">
        <v>1834</v>
      </c>
    </row>
    <row r="21" spans="2:7" ht="17.25" x14ac:dyDescent="0.2">
      <c r="B21" s="5" t="s">
        <v>1733</v>
      </c>
    </row>
    <row r="22" spans="2:7" ht="15" thickBot="1" x14ac:dyDescent="0.25"/>
    <row r="23" spans="2:7" ht="16.5" thickBot="1" x14ac:dyDescent="0.25">
      <c r="B23" s="2" t="s">
        <v>18</v>
      </c>
      <c r="C23" s="2" t="s">
        <v>1818</v>
      </c>
      <c r="D23" s="2" t="s">
        <v>21</v>
      </c>
      <c r="E23" s="12"/>
    </row>
    <row r="24" spans="2:7" ht="29.25" thickBot="1" x14ac:dyDescent="0.25">
      <c r="B24" s="3" t="s">
        <v>201</v>
      </c>
      <c r="C24" s="4" t="s">
        <v>1835</v>
      </c>
      <c r="D24" s="4"/>
      <c r="E24" s="15"/>
      <c r="G24" t="str">
        <f t="shared" ref="G24:G52" si="0">"&lt;dl&gt;&lt;dt&gt;" &amp; B24 &amp; "&lt;/dt&gt;&lt;dd&gt;" &amp; C24 &amp; "&lt;/dd&gt;&lt;dd&gt;" &amp; D24 &amp; "&lt;/dd&gt;&lt;/dl&gt;"</f>
        <v>&lt;dl&gt;&lt;dt&gt;命宫​&lt;/dt&gt;&lt;dd&gt;体质敏感，易感知阴性信息；一生易犯小人，行事多有暗绊。&lt;/dd&gt;&lt;dd&gt;&lt;/dd&gt;&lt;/dl&gt;</v>
      </c>
    </row>
    <row r="25" spans="2:7" ht="29.25" thickBot="1" x14ac:dyDescent="0.25">
      <c r="B25" s="3" t="s">
        <v>246</v>
      </c>
      <c r="C25" s="4" t="s">
        <v>1836</v>
      </c>
      <c r="D25" s="4"/>
      <c r="E25" s="15"/>
      <c r="G25" t="str">
        <f t="shared" si="0"/>
        <v>&lt;dl&gt;&lt;dt&gt;兄弟宫​&lt;/dt&gt;&lt;dd&gt;兄弟姐妹中有体质阴弱者；或易受朋友、同事暗中算计。&lt;/dd&gt;&lt;dd&gt;&lt;/dd&gt;&lt;/dl&gt;</v>
      </c>
    </row>
    <row r="26" spans="2:7" ht="29.25" thickBot="1" x14ac:dyDescent="0.25">
      <c r="B26" s="3" t="s">
        <v>125</v>
      </c>
      <c r="C26" s="4" t="s">
        <v>1837</v>
      </c>
      <c r="D26" s="4"/>
      <c r="E26" s="15"/>
      <c r="G26" t="str">
        <f t="shared" si="0"/>
        <v>&lt;dl&gt;&lt;dt&gt;夫妻宫​&lt;/dt&gt;&lt;dd&gt;感情中有隐秘第三者干扰；或配偶体质阴、有隐疾；易有“阴桃花”。&lt;/dd&gt;&lt;dd&gt;&lt;/dd&gt;&lt;/dl&gt;</v>
      </c>
    </row>
    <row r="27" spans="2:7" ht="29.25" thickBot="1" x14ac:dyDescent="0.25">
      <c r="B27" s="3" t="s">
        <v>128</v>
      </c>
      <c r="C27" s="4" t="s">
        <v>1838</v>
      </c>
      <c r="D27" s="4"/>
      <c r="E27" s="15"/>
      <c r="G27" t="str">
        <f t="shared" si="0"/>
        <v>&lt;dl&gt;&lt;dt&gt;子女宫​&lt;/dt&gt;&lt;dd&gt;子女难养（易受惊吓）、流产、堕胎灵体干扰；或下属暗地捣鬼。&lt;/dd&gt;&lt;dd&gt;&lt;/dd&gt;&lt;/dl&gt;</v>
      </c>
    </row>
    <row r="28" spans="2:7" ht="29.25" thickBot="1" x14ac:dyDescent="0.25">
      <c r="B28" s="3" t="s">
        <v>3</v>
      </c>
      <c r="C28" s="4" t="s">
        <v>1839</v>
      </c>
      <c r="D28" s="4"/>
      <c r="E28" s="15"/>
      <c r="G28" t="str">
        <f t="shared" si="0"/>
        <v>&lt;dl&gt;&lt;dt&gt;财帛宫​&lt;/dt&gt;&lt;dd&gt;破暗财、被偷盗、投资遭人暗中做局；钱财来路不明或带业障。&lt;/dd&gt;&lt;dd&gt;&lt;/dd&gt;&lt;/dl&gt;</v>
      </c>
    </row>
    <row r="29" spans="2:7" ht="29.25" thickBot="1" x14ac:dyDescent="0.25">
      <c r="B29" s="3" t="s">
        <v>6</v>
      </c>
      <c r="C29" s="4" t="s">
        <v>1840</v>
      </c>
      <c r="D29" s="4"/>
      <c r="E29" s="15"/>
      <c r="G29" t="str">
        <f t="shared" si="0"/>
        <v>&lt;dl&gt;&lt;dt&gt;疾厄宫​&lt;/dt&gt;&lt;dd&gt;疑难杂症、慢性病、精神类疾病、睡眠障碍、灵病（邪病）。&lt;/dd&gt;&lt;dd&gt;&lt;/dd&gt;&lt;/dl&gt;</v>
      </c>
    </row>
    <row r="30" spans="2:7" ht="28.5" x14ac:dyDescent="0.2">
      <c r="B30" s="3" t="s">
        <v>15</v>
      </c>
      <c r="C30" s="4" t="s">
        <v>1841</v>
      </c>
      <c r="D30" s="4"/>
    </row>
    <row r="31" spans="2:7" ht="28.5" x14ac:dyDescent="0.2">
      <c r="B31" s="3" t="s">
        <v>12</v>
      </c>
      <c r="C31" s="4" t="s">
        <v>1842</v>
      </c>
      <c r="D31" s="4"/>
    </row>
    <row r="32" spans="2:7" ht="28.5" x14ac:dyDescent="0.2">
      <c r="B32" s="3" t="s">
        <v>206</v>
      </c>
      <c r="C32" s="4" t="s">
        <v>1843</v>
      </c>
      <c r="D32" s="4"/>
    </row>
    <row r="33" spans="2:7" ht="29.25" thickBot="1" x14ac:dyDescent="0.25">
      <c r="B33" s="3" t="s">
        <v>0</v>
      </c>
      <c r="C33" s="4" t="s">
        <v>1844</v>
      </c>
      <c r="D33" s="4"/>
    </row>
    <row r="34" spans="2:7" ht="29.25" thickBot="1" x14ac:dyDescent="0.25">
      <c r="B34" s="3" t="s">
        <v>116</v>
      </c>
      <c r="C34" s="4" t="s">
        <v>1845</v>
      </c>
      <c r="D34" s="4"/>
      <c r="E34" s="12"/>
    </row>
    <row r="35" spans="2:7" ht="29.25" thickBot="1" x14ac:dyDescent="0.25">
      <c r="B35" s="3" t="s">
        <v>9</v>
      </c>
      <c r="C35" s="4" t="s">
        <v>1846</v>
      </c>
      <c r="D35" s="4"/>
      <c r="E35" s="15"/>
      <c r="G35" t="str">
        <f t="shared" si="0"/>
        <v>&lt;dl&gt;&lt;dt&gt;父母宫​&lt;/dt&gt;&lt;dd&gt;父母有隐疾或业障；家族中有未妥善处理的丧事或灵异传承。&lt;/dd&gt;&lt;dd&gt;&lt;/dd&gt;&lt;/dl&gt;</v>
      </c>
    </row>
    <row r="36" spans="2:7" ht="16.5" thickBot="1" x14ac:dyDescent="0.25">
      <c r="E36" s="15"/>
      <c r="G36" t="str">
        <f t="shared" si="0"/>
        <v>&lt;dl&gt;&lt;dt&gt;&lt;/dt&gt;&lt;dd&gt;&lt;/dd&gt;&lt;dd&gt;&lt;/dd&gt;&lt;/dl&gt;</v>
      </c>
    </row>
    <row r="37" spans="2:7" ht="16.5" thickBot="1" x14ac:dyDescent="0.25">
      <c r="E37" s="15"/>
      <c r="G37" t="str">
        <f t="shared" si="0"/>
        <v>&lt;dl&gt;&lt;dt&gt;&lt;/dt&gt;&lt;dd&gt;&lt;/dd&gt;&lt;dd&gt;&lt;/dd&gt;&lt;/dl&gt;</v>
      </c>
    </row>
    <row r="38" spans="2:7" ht="18" thickBot="1" x14ac:dyDescent="0.25">
      <c r="B38" s="5" t="s">
        <v>734</v>
      </c>
      <c r="E38" s="15"/>
      <c r="G38" t="str">
        <f t="shared" si="0"/>
        <v>&lt;dl&gt;&lt;dt&gt;四、主星组合象义&lt;/dt&gt;&lt;dd&gt;&lt;/dd&gt;&lt;dd&gt;&lt;/dd&gt;&lt;/dl&gt;</v>
      </c>
    </row>
    <row r="39" spans="2:7" ht="16.5" thickBot="1" x14ac:dyDescent="0.25">
      <c r="E39" s="15"/>
      <c r="G39" t="str">
        <f t="shared" si="0"/>
        <v>&lt;dl&gt;&lt;dt&gt;&lt;/dt&gt;&lt;dd&gt;&lt;/dd&gt;&lt;dd&gt;&lt;/dd&gt;&lt;/dl&gt;</v>
      </c>
    </row>
    <row r="40" spans="2:7" ht="16.5" thickBot="1" x14ac:dyDescent="0.25">
      <c r="B40" s="13" t="s">
        <v>1847</v>
      </c>
      <c r="E40" s="15"/>
      <c r="G40" t="str">
        <f t="shared" si="0"/>
        <v>&lt;dl&gt;&lt;dt&gt;1. 强化阴性特质组合&lt;/dt&gt;&lt;dd&gt;&lt;/dd&gt;&lt;dd&gt;&lt;/dd&gt;&lt;/dl&gt;</v>
      </c>
    </row>
    <row r="41" spans="2:7" ht="16.5" thickBot="1" x14ac:dyDescent="0.25">
      <c r="E41" s="15"/>
      <c r="G41" t="str">
        <f t="shared" si="0"/>
        <v>&lt;dl&gt;&lt;dt&gt;&lt;/dt&gt;&lt;dd&gt;&lt;/dd&gt;&lt;dd&gt;&lt;/dd&gt;&lt;/dl&gt;</v>
      </c>
    </row>
    <row r="42" spans="2:7" ht="16.5" thickBot="1" x14ac:dyDescent="0.25">
      <c r="B42" s="2" t="s">
        <v>71</v>
      </c>
      <c r="C42" s="2" t="s">
        <v>1047</v>
      </c>
      <c r="D42" s="2" t="s">
        <v>73</v>
      </c>
      <c r="E42" s="15"/>
      <c r="G42" t="str">
        <f t="shared" si="0"/>
        <v>&lt;dl&gt;&lt;dt&gt;组合​&lt;/dt&gt;&lt;dd&gt;效应​&lt;/dd&gt;&lt;dd&gt;典型案例​&lt;/dd&gt;&lt;/dl&gt;</v>
      </c>
    </row>
    <row r="43" spans="2:7" ht="29.25" thickBot="1" x14ac:dyDescent="0.25">
      <c r="B43" s="3" t="s">
        <v>1848</v>
      </c>
      <c r="C43" s="4" t="s">
        <v>1849</v>
      </c>
      <c r="D43" s="4" t="s">
        <v>1850</v>
      </c>
      <c r="E43" s="15"/>
      <c r="G43" t="str">
        <f t="shared" si="0"/>
        <v>&lt;dl&gt;&lt;dt&gt;阴煞+太阴​&lt;/dt&gt;&lt;dd&gt;阴性能量倍增。灵异体质显著，情感极度阴郁，女性妇科问题。&lt;/dd&gt;&lt;dd&gt;通灵者、重度抑郁症患者。&lt;/dd&gt;&lt;/dl&gt;</v>
      </c>
    </row>
    <row r="44" spans="2:7" ht="28.5" x14ac:dyDescent="0.2">
      <c r="B44" s="3" t="s">
        <v>1851</v>
      </c>
      <c r="C44" s="4" t="s">
        <v>1852</v>
      </c>
      <c r="D44" s="4" t="s">
        <v>1853</v>
      </c>
    </row>
    <row r="45" spans="2:7" ht="28.5" x14ac:dyDescent="0.2">
      <c r="B45" s="3" t="s">
        <v>1854</v>
      </c>
      <c r="C45" s="4" t="s">
        <v>1855</v>
      </c>
      <c r="D45" s="4" t="s">
        <v>1856</v>
      </c>
    </row>
    <row r="46" spans="2:7" ht="28.5" x14ac:dyDescent="0.2">
      <c r="B46" s="3" t="s">
        <v>1857</v>
      </c>
      <c r="C46" s="4" t="s">
        <v>1858</v>
      </c>
      <c r="D46" s="4" t="s">
        <v>1859</v>
      </c>
    </row>
    <row r="47" spans="2:7" ht="29.25" thickBot="1" x14ac:dyDescent="0.25">
      <c r="B47" s="3" t="s">
        <v>1860</v>
      </c>
      <c r="C47" s="4" t="s">
        <v>1861</v>
      </c>
      <c r="D47" s="4" t="s">
        <v>1862</v>
      </c>
    </row>
    <row r="48" spans="2:7" ht="16.5" thickBot="1" x14ac:dyDescent="0.25">
      <c r="E48" s="12"/>
    </row>
    <row r="49" spans="2:7" ht="16.5" thickBot="1" x14ac:dyDescent="0.25">
      <c r="B49" s="13" t="s">
        <v>1863</v>
      </c>
      <c r="E49" s="15"/>
      <c r="G49" t="str">
        <f t="shared" si="0"/>
        <v>&lt;dl&gt;&lt;dt&gt;2. 转化与应对组合&lt;/dt&gt;&lt;dd&gt;&lt;/dd&gt;&lt;dd&gt;&lt;/dd&gt;&lt;/dl&gt;</v>
      </c>
    </row>
    <row r="50" spans="2:7" ht="16.5" thickBot="1" x14ac:dyDescent="0.25">
      <c r="E50" s="15"/>
      <c r="G50" t="str">
        <f t="shared" si="0"/>
        <v>&lt;dl&gt;&lt;dt&gt;&lt;/dt&gt;&lt;dd&gt;&lt;/dd&gt;&lt;dd&gt;&lt;/dd&gt;&lt;/dl&gt;</v>
      </c>
    </row>
    <row r="51" spans="2:7" ht="16.5" thickBot="1" x14ac:dyDescent="0.25">
      <c r="B51" s="2" t="s">
        <v>71</v>
      </c>
      <c r="C51" s="2" t="s">
        <v>1047</v>
      </c>
      <c r="D51" s="2" t="s">
        <v>73</v>
      </c>
      <c r="E51" s="15"/>
      <c r="G51" t="str">
        <f t="shared" si="0"/>
        <v>&lt;dl&gt;&lt;dt&gt;组合​&lt;/dt&gt;&lt;dd&gt;效应​&lt;/dd&gt;&lt;dd&gt;典型案例​&lt;/dd&gt;&lt;/dl&gt;</v>
      </c>
    </row>
    <row r="52" spans="2:7" ht="29.25" thickBot="1" x14ac:dyDescent="0.25">
      <c r="B52" s="3" t="s">
        <v>1864</v>
      </c>
      <c r="C52" s="4" t="s">
        <v>1865</v>
      </c>
      <c r="D52" s="4" t="s">
        <v>1866</v>
      </c>
      <c r="E52" s="15"/>
      <c r="G52" t="str">
        <f t="shared" si="0"/>
        <v>&lt;dl&gt;&lt;dt&gt;阴煞+天梁​&lt;/dt&gt;&lt;dd&gt;宗教化解。通过宗教、法律、医疗手段解决灵异或隐疾问题。&lt;/dd&gt;&lt;dd&gt;做法事超度、通过法律曝光小人。&lt;/dd&gt;&lt;/dl&gt;</v>
      </c>
    </row>
    <row r="53" spans="2:7" ht="28.5" x14ac:dyDescent="0.2">
      <c r="B53" s="3" t="s">
        <v>1867</v>
      </c>
      <c r="C53" s="4" t="s">
        <v>1868</v>
      </c>
      <c r="D53" s="4" t="s">
        <v>1869</v>
      </c>
    </row>
    <row r="54" spans="2:7" x14ac:dyDescent="0.2">
      <c r="B54" s="3" t="s">
        <v>1870</v>
      </c>
      <c r="C54" s="4" t="s">
        <v>1871</v>
      </c>
      <c r="D54" s="4" t="s">
        <v>1872</v>
      </c>
    </row>
    <row r="55" spans="2:7" ht="28.5" x14ac:dyDescent="0.2">
      <c r="B55" s="3" t="s">
        <v>1873</v>
      </c>
      <c r="C55" s="4" t="s">
        <v>1874</v>
      </c>
      <c r="D55" s="4" t="s">
        <v>1875</v>
      </c>
    </row>
    <row r="58" spans="2:7" ht="17.25" x14ac:dyDescent="0.2">
      <c r="B58" s="5" t="s">
        <v>746</v>
      </c>
    </row>
    <row r="60" spans="2:7" x14ac:dyDescent="0.2">
      <c r="B60" s="2" t="s">
        <v>40</v>
      </c>
      <c r="C60" s="2" t="s">
        <v>1414</v>
      </c>
      <c r="D60" s="2" t="s">
        <v>21</v>
      </c>
    </row>
    <row r="61" spans="2:7" ht="28.5" x14ac:dyDescent="0.2">
      <c r="B61" s="3" t="s">
        <v>1876</v>
      </c>
      <c r="C61" s="4" t="s">
        <v>1877</v>
      </c>
      <c r="D61" s="4" t="s">
        <v>1878</v>
      </c>
    </row>
    <row r="62" spans="2:7" ht="28.5" x14ac:dyDescent="0.2">
      <c r="B62" s="3" t="s">
        <v>1879</v>
      </c>
      <c r="C62" s="4" t="s">
        <v>1880</v>
      </c>
      <c r="D62" s="4" t="s">
        <v>1881</v>
      </c>
    </row>
    <row r="63" spans="2:7" ht="28.5" x14ac:dyDescent="0.2">
      <c r="B63" s="3" t="s">
        <v>1882</v>
      </c>
      <c r="C63" s="4" t="s">
        <v>1883</v>
      </c>
      <c r="D63" s="4" t="s">
        <v>1884</v>
      </c>
    </row>
    <row r="64" spans="2:7" x14ac:dyDescent="0.2">
      <c r="B64" s="3" t="s">
        <v>1885</v>
      </c>
      <c r="C64" s="4" t="s">
        <v>1886</v>
      </c>
      <c r="D64" s="4" t="s">
        <v>1887</v>
      </c>
    </row>
    <row r="65" spans="2:4" x14ac:dyDescent="0.2">
      <c r="B65" s="3" t="s">
        <v>1888</v>
      </c>
      <c r="C65" s="4" t="s">
        <v>1889</v>
      </c>
      <c r="D65" s="4" t="s">
        <v>1890</v>
      </c>
    </row>
    <row r="66" spans="2:4" x14ac:dyDescent="0.2">
      <c r="B66" s="3" t="s">
        <v>1891</v>
      </c>
      <c r="C66" s="4" t="s">
        <v>1892</v>
      </c>
      <c r="D66" s="4" t="s">
        <v>1893</v>
      </c>
    </row>
    <row r="67" spans="2:4" x14ac:dyDescent="0.2">
      <c r="B67" s="3" t="s">
        <v>1894</v>
      </c>
      <c r="C67" s="4" t="s">
        <v>1895</v>
      </c>
      <c r="D67" s="4" t="s">
        <v>1896</v>
      </c>
    </row>
    <row r="70" spans="2:4" ht="17.25" x14ac:dyDescent="0.2">
      <c r="B70" s="5" t="s">
        <v>1805</v>
      </c>
    </row>
    <row r="71" spans="2:4" x14ac:dyDescent="0.2">
      <c r="B71" s="6"/>
    </row>
    <row r="72" spans="2:4" x14ac:dyDescent="0.2">
      <c r="B72" s="7" t="s">
        <v>1897</v>
      </c>
    </row>
    <row r="73" spans="2:4" x14ac:dyDescent="0.2">
      <c r="B73" s="7" t="s">
        <v>1898</v>
      </c>
    </row>
    <row r="74" spans="2:4" x14ac:dyDescent="0.2">
      <c r="B74" s="7" t="s">
        <v>1899</v>
      </c>
    </row>
    <row r="77" spans="2:4" ht="17.25" x14ac:dyDescent="0.2">
      <c r="B77" s="5"/>
    </row>
    <row r="80" spans="2:4" x14ac:dyDescent="0.2">
      <c r="B80" s="16"/>
    </row>
    <row r="81" spans="2:2" x14ac:dyDescent="0.2">
      <c r="B81" s="6"/>
    </row>
    <row r="82" spans="2:2" x14ac:dyDescent="0.2">
      <c r="B82" s="6"/>
    </row>
  </sheetData>
  <phoneticPr fontId="2" type="noConversion"/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12E016-607C-4685-8804-24255F43B723}">
  <dimension ref="B1:G82"/>
  <sheetViews>
    <sheetView topLeftCell="A18" zoomScaleNormal="100" workbookViewId="0">
      <selection activeCell="E26" sqref="E26"/>
    </sheetView>
  </sheetViews>
  <sheetFormatPr defaultRowHeight="14.25" x14ac:dyDescent="0.2"/>
  <cols>
    <col min="1" max="1" width="2.75" customWidth="1"/>
    <col min="2" max="2" width="15.625" customWidth="1"/>
    <col min="3" max="3" width="43.125" customWidth="1"/>
    <col min="4" max="4" width="32.75" customWidth="1"/>
  </cols>
  <sheetData>
    <row r="1" spans="2:7" ht="17.25" x14ac:dyDescent="0.2">
      <c r="B1" s="5" t="s">
        <v>3601</v>
      </c>
      <c r="G1" t="str">
        <f>"&lt;dl&gt;&lt;dt&gt;" &amp; B1 &amp; "&lt;/dt&gt;&lt;dd&gt;" &amp; C1 &amp; "&lt;/dd&gt;&lt;dd&gt;" &amp; D1 &amp; "&lt;/dd&gt;&lt;/dl&gt;"</f>
        <v>&lt;dl&gt;&lt;dt&gt;一、天使定义&lt;/dt&gt;&lt;dd&gt;&lt;/dd&gt;&lt;dd&gt;&lt;/dd&gt;&lt;/dl&gt;</v>
      </c>
    </row>
    <row r="3" spans="2:7" x14ac:dyDescent="0.2">
      <c r="B3" s="2" t="s">
        <v>376</v>
      </c>
      <c r="C3" s="2" t="s">
        <v>377</v>
      </c>
      <c r="D3" s="2" t="s">
        <v>21</v>
      </c>
    </row>
    <row r="4" spans="2:7" x14ac:dyDescent="0.2">
      <c r="B4" s="3" t="s">
        <v>624</v>
      </c>
      <c r="C4" s="4" t="s">
        <v>3602</v>
      </c>
      <c r="D4" s="4"/>
    </row>
    <row r="5" spans="2:7" ht="28.5" x14ac:dyDescent="0.2">
      <c r="B5" s="3" t="s">
        <v>378</v>
      </c>
      <c r="C5" s="4" t="s">
        <v>3603</v>
      </c>
      <c r="D5" s="4"/>
    </row>
    <row r="6" spans="2:7" ht="42.75" x14ac:dyDescent="0.2">
      <c r="B6" s="3" t="s">
        <v>1717</v>
      </c>
      <c r="C6" s="4" t="s">
        <v>3604</v>
      </c>
      <c r="D6" s="4"/>
    </row>
    <row r="9" spans="2:7" ht="17.25" x14ac:dyDescent="0.2">
      <c r="B9" s="5" t="s">
        <v>1719</v>
      </c>
    </row>
    <row r="11" spans="2:7" ht="15.75" x14ac:dyDescent="0.2">
      <c r="B11" s="13" t="s">
        <v>1720</v>
      </c>
    </row>
    <row r="13" spans="2:7" x14ac:dyDescent="0.2">
      <c r="B13" s="2" t="s">
        <v>390</v>
      </c>
      <c r="C13" s="2" t="s">
        <v>1818</v>
      </c>
      <c r="D13" s="2" t="s">
        <v>1819</v>
      </c>
    </row>
    <row r="14" spans="2:7" ht="28.5" x14ac:dyDescent="0.2">
      <c r="B14" s="3" t="s">
        <v>3605</v>
      </c>
      <c r="C14" s="4" t="s">
        <v>3606</v>
      </c>
      <c r="D14" s="4" t="s">
        <v>3607</v>
      </c>
    </row>
    <row r="15" spans="2:7" ht="28.5" x14ac:dyDescent="0.2">
      <c r="B15" s="3" t="s">
        <v>3608</v>
      </c>
      <c r="C15" s="4" t="s">
        <v>3609</v>
      </c>
      <c r="D15" s="4" t="s">
        <v>3610</v>
      </c>
    </row>
    <row r="16" spans="2:7" ht="28.5" x14ac:dyDescent="0.2">
      <c r="B16" s="3" t="s">
        <v>3611</v>
      </c>
      <c r="C16" s="4" t="s">
        <v>3612</v>
      </c>
      <c r="D16" s="4" t="s">
        <v>3613</v>
      </c>
    </row>
    <row r="17" spans="2:7" x14ac:dyDescent="0.2">
      <c r="B17" s="3" t="s">
        <v>3614</v>
      </c>
      <c r="C17" s="4" t="s">
        <v>3615</v>
      </c>
      <c r="D17" s="4" t="s">
        <v>3239</v>
      </c>
    </row>
    <row r="18" spans="2:7" x14ac:dyDescent="0.2">
      <c r="B18" s="3" t="s">
        <v>3616</v>
      </c>
      <c r="C18" s="4" t="s">
        <v>3617</v>
      </c>
      <c r="D18" s="4" t="s">
        <v>3618</v>
      </c>
    </row>
    <row r="21" spans="2:7" ht="17.25" x14ac:dyDescent="0.2">
      <c r="B21" s="5" t="s">
        <v>1733</v>
      </c>
    </row>
    <row r="22" spans="2:7" ht="15" thickBot="1" x14ac:dyDescent="0.25"/>
    <row r="23" spans="2:7" ht="16.5" thickBot="1" x14ac:dyDescent="0.25">
      <c r="B23" s="2" t="s">
        <v>18</v>
      </c>
      <c r="C23" s="2" t="s">
        <v>1818</v>
      </c>
      <c r="D23" s="2" t="s">
        <v>21</v>
      </c>
      <c r="E23" s="12"/>
    </row>
    <row r="24" spans="2:7" ht="29.25" thickBot="1" x14ac:dyDescent="0.25">
      <c r="B24" s="3" t="s">
        <v>201</v>
      </c>
      <c r="C24" s="4" t="s">
        <v>3619</v>
      </c>
      <c r="D24" s="4"/>
      <c r="E24" s="15"/>
      <c r="G24" t="str">
        <f t="shared" ref="G24:G52" si="0">"&lt;dl&gt;&lt;dt&gt;" &amp; B24 &amp; "&lt;/dt&gt;&lt;dd&gt;" &amp; C24 &amp; "&lt;/dd&gt;&lt;dd&gt;" &amp; D24 &amp; "&lt;/dd&gt;&lt;/dl&gt;"</f>
        <v>&lt;dl&gt;&lt;dt&gt;命宫​&lt;/dt&gt;&lt;dd&gt;一生易受小病小灾困扰，多口舌是非，心性易烦忧。&lt;/dd&gt;&lt;dd&gt;&lt;/dd&gt;&lt;/dl&gt;</v>
      </c>
    </row>
    <row r="25" spans="2:7" ht="16.5" thickBot="1" x14ac:dyDescent="0.25">
      <c r="B25" s="3" t="s">
        <v>246</v>
      </c>
      <c r="C25" s="4" t="s">
        <v>3620</v>
      </c>
      <c r="D25" s="4"/>
      <c r="E25" s="15"/>
      <c r="G25" t="str">
        <f t="shared" si="0"/>
        <v>&lt;dl&gt;&lt;dt&gt;兄弟宫​&lt;/dt&gt;&lt;dd&gt;兄弟姐妹间易有是非争执，或兄弟姐妹多病灾。&lt;/dd&gt;&lt;dd&gt;&lt;/dd&gt;&lt;/dl&gt;</v>
      </c>
    </row>
    <row r="26" spans="2:7" ht="16.5" thickBot="1" x14ac:dyDescent="0.25">
      <c r="B26" s="3" t="s">
        <v>125</v>
      </c>
      <c r="C26" s="4" t="s">
        <v>3621</v>
      </c>
      <c r="D26" s="4"/>
      <c r="E26" s="15"/>
      <c r="G26" t="str">
        <f t="shared" si="0"/>
        <v>&lt;dl&gt;&lt;dt&gt;夫妻宫​&lt;/dt&gt;&lt;dd&gt;婚姻中多口角、误会，配偶身体欠佳或带来是非。&lt;/dd&gt;&lt;dd&gt;&lt;/dd&gt;&lt;/dl&gt;</v>
      </c>
    </row>
    <row r="27" spans="2:7" ht="16.5" thickBot="1" x14ac:dyDescent="0.25">
      <c r="B27" s="3" t="s">
        <v>128</v>
      </c>
      <c r="C27" s="4" t="s">
        <v>3622</v>
      </c>
      <c r="D27" s="4"/>
      <c r="E27" s="15"/>
      <c r="G27" t="str">
        <f t="shared" si="0"/>
        <v>&lt;dl&gt;&lt;dt&gt;子女宫​&lt;/dt&gt;&lt;dd&gt;子女多病灾，或与子女、合作对象易生是非。&lt;/dd&gt;&lt;dd&gt;&lt;/dd&gt;&lt;/dl&gt;</v>
      </c>
    </row>
    <row r="28" spans="2:7" ht="16.5" thickBot="1" x14ac:dyDescent="0.25">
      <c r="B28" s="3" t="s">
        <v>3</v>
      </c>
      <c r="C28" s="4" t="s">
        <v>3623</v>
      </c>
      <c r="D28" s="4"/>
      <c r="E28" s="15"/>
      <c r="G28" t="str">
        <f t="shared" si="0"/>
        <v>&lt;dl&gt;&lt;dt&gt;财帛宫​&lt;/dt&gt;&lt;dd&gt;钱财易因疾病、官司、是非而损耗，求财多困扰。&lt;/dd&gt;&lt;dd&gt;&lt;/dd&gt;&lt;/dl&gt;</v>
      </c>
    </row>
    <row r="29" spans="2:7" ht="29.25" thickBot="1" x14ac:dyDescent="0.25">
      <c r="B29" s="3" t="s">
        <v>6</v>
      </c>
      <c r="C29" s="3" t="s">
        <v>3624</v>
      </c>
      <c r="D29" s="4"/>
      <c r="E29" s="15"/>
      <c r="G29" t="str">
        <f t="shared" si="0"/>
        <v>&lt;dl&gt;&lt;dt&gt;疾厄宫​&lt;/dt&gt;&lt;dd&gt;核心宫位。身体多病，易有慢性病、疑难杂症或意外小伤。&lt;/dd&gt;&lt;dd&gt;&lt;/dd&gt;&lt;/dl&gt;</v>
      </c>
    </row>
    <row r="30" spans="2:7" x14ac:dyDescent="0.2">
      <c r="B30" s="3" t="s">
        <v>15</v>
      </c>
      <c r="C30" s="4" t="s">
        <v>3625</v>
      </c>
      <c r="D30" s="4"/>
    </row>
    <row r="31" spans="2:7" ht="28.5" x14ac:dyDescent="0.2">
      <c r="B31" s="3" t="s">
        <v>12</v>
      </c>
      <c r="C31" s="4" t="s">
        <v>3626</v>
      </c>
      <c r="D31" s="4"/>
    </row>
    <row r="32" spans="2:7" ht="28.5" x14ac:dyDescent="0.2">
      <c r="B32" s="3" t="s">
        <v>206</v>
      </c>
      <c r="C32" s="4" t="s">
        <v>3627</v>
      </c>
      <c r="D32" s="4"/>
    </row>
    <row r="33" spans="2:7" ht="15" thickBot="1" x14ac:dyDescent="0.25">
      <c r="B33" s="3" t="s">
        <v>0</v>
      </c>
      <c r="C33" s="4" t="s">
        <v>3628</v>
      </c>
      <c r="D33" s="4"/>
    </row>
    <row r="34" spans="2:7" ht="16.5" thickBot="1" x14ac:dyDescent="0.25">
      <c r="B34" s="3" t="s">
        <v>116</v>
      </c>
      <c r="C34" s="4" t="s">
        <v>3629</v>
      </c>
      <c r="D34" s="4"/>
      <c r="E34" s="12"/>
    </row>
    <row r="35" spans="2:7" ht="16.5" thickBot="1" x14ac:dyDescent="0.25">
      <c r="B35" s="3" t="s">
        <v>9</v>
      </c>
      <c r="C35" s="4" t="s">
        <v>3630</v>
      </c>
      <c r="D35" s="4"/>
      <c r="E35" s="15"/>
      <c r="G35" t="str">
        <f t="shared" si="0"/>
        <v>&lt;dl&gt;&lt;dt&gt;父母宫​&lt;/dt&gt;&lt;dd&gt;父母多病灾，或与父母长辈关系不睦，易有口舌。&lt;/dd&gt;&lt;dd&gt;&lt;/dd&gt;&lt;/dl&gt;</v>
      </c>
    </row>
    <row r="36" spans="2:7" ht="16.5" thickBot="1" x14ac:dyDescent="0.25">
      <c r="E36" s="15"/>
      <c r="G36" t="str">
        <f t="shared" si="0"/>
        <v>&lt;dl&gt;&lt;dt&gt;&lt;/dt&gt;&lt;dd&gt;&lt;/dd&gt;&lt;dd&gt;&lt;/dd&gt;&lt;/dl&gt;</v>
      </c>
    </row>
    <row r="37" spans="2:7" ht="16.5" thickBot="1" x14ac:dyDescent="0.25">
      <c r="E37" s="15"/>
      <c r="G37" t="str">
        <f t="shared" si="0"/>
        <v>&lt;dl&gt;&lt;dt&gt;&lt;/dt&gt;&lt;dd&gt;&lt;/dd&gt;&lt;dd&gt;&lt;/dd&gt;&lt;/dl&gt;</v>
      </c>
    </row>
    <row r="38" spans="2:7" ht="18" thickBot="1" x14ac:dyDescent="0.25">
      <c r="B38" s="5" t="s">
        <v>734</v>
      </c>
      <c r="E38" s="15"/>
      <c r="G38" t="str">
        <f t="shared" si="0"/>
        <v>&lt;dl&gt;&lt;dt&gt;四、主星组合象义&lt;/dt&gt;&lt;dd&gt;&lt;/dd&gt;&lt;dd&gt;&lt;/dd&gt;&lt;/dl&gt;</v>
      </c>
    </row>
    <row r="39" spans="2:7" ht="16.5" thickBot="1" x14ac:dyDescent="0.25">
      <c r="E39" s="15"/>
      <c r="G39" t="str">
        <f t="shared" si="0"/>
        <v>&lt;dl&gt;&lt;dt&gt;&lt;/dt&gt;&lt;dd&gt;&lt;/dd&gt;&lt;dd&gt;&lt;/dd&gt;&lt;/dl&gt;</v>
      </c>
    </row>
    <row r="40" spans="2:7" ht="16.5" thickBot="1" x14ac:dyDescent="0.25">
      <c r="B40" s="13" t="s">
        <v>3631</v>
      </c>
      <c r="E40" s="15"/>
      <c r="G40" t="str">
        <f t="shared" si="0"/>
        <v>&lt;dl&gt;&lt;dt&gt;1. 增强灾病是非组合&lt;/dt&gt;&lt;dd&gt;&lt;/dd&gt;&lt;dd&gt;&lt;/dd&gt;&lt;/dl&gt;</v>
      </c>
    </row>
    <row r="41" spans="2:7" ht="16.5" thickBot="1" x14ac:dyDescent="0.25">
      <c r="E41" s="15"/>
      <c r="G41" t="str">
        <f t="shared" si="0"/>
        <v>&lt;dl&gt;&lt;dt&gt;&lt;/dt&gt;&lt;dd&gt;&lt;/dd&gt;&lt;dd&gt;&lt;/dd&gt;&lt;/dl&gt;</v>
      </c>
    </row>
    <row r="42" spans="2:7" ht="16.5" thickBot="1" x14ac:dyDescent="0.25">
      <c r="B42" s="2" t="s">
        <v>71</v>
      </c>
      <c r="C42" s="2" t="s">
        <v>1047</v>
      </c>
      <c r="D42" s="2" t="s">
        <v>73</v>
      </c>
      <c r="E42" s="15"/>
      <c r="G42" t="str">
        <f t="shared" si="0"/>
        <v>&lt;dl&gt;&lt;dt&gt;组合​&lt;/dt&gt;&lt;dd&gt;效应​&lt;/dd&gt;&lt;dd&gt;典型案例​&lt;/dd&gt;&lt;/dl&gt;</v>
      </c>
    </row>
    <row r="43" spans="2:7" ht="29.25" thickBot="1" x14ac:dyDescent="0.25">
      <c r="B43" s="3" t="s">
        <v>3632</v>
      </c>
      <c r="C43" s="4" t="s">
        <v>3633</v>
      </c>
      <c r="D43" s="4" t="s">
        <v>3634</v>
      </c>
      <c r="E43" s="15"/>
      <c r="G43" t="str">
        <f t="shared" si="0"/>
        <v>&lt;dl&gt;&lt;dt&gt;天使+紫微​&lt;/dt&gt;&lt;dd&gt;因地位、权力招致是非与暗算，或患有需要权威诊治的慢性病。&lt;/dd&gt;&lt;dd&gt;企业高管被流言中伤；患有需长期调理的贵族病。&lt;/dd&gt;&lt;/dl&gt;</v>
      </c>
    </row>
    <row r="44" spans="2:7" ht="28.5" x14ac:dyDescent="0.2">
      <c r="B44" s="3" t="s">
        <v>3635</v>
      </c>
      <c r="C44" s="4" t="s">
        <v>3636</v>
      </c>
      <c r="D44" s="4" t="s">
        <v>3637</v>
      </c>
    </row>
    <row r="45" spans="2:7" ht="28.5" x14ac:dyDescent="0.2">
      <c r="B45" s="3" t="s">
        <v>3638</v>
      </c>
      <c r="C45" s="4" t="s">
        <v>3639</v>
      </c>
      <c r="D45" s="4" t="s">
        <v>3640</v>
      </c>
    </row>
    <row r="46" spans="2:7" ht="28.5" x14ac:dyDescent="0.2">
      <c r="B46" s="3" t="s">
        <v>3641</v>
      </c>
      <c r="C46" s="4" t="s">
        <v>3642</v>
      </c>
      <c r="D46" s="4" t="s">
        <v>3643</v>
      </c>
    </row>
    <row r="47" spans="2:7" ht="29.25" thickBot="1" x14ac:dyDescent="0.25">
      <c r="B47" s="3" t="s">
        <v>3644</v>
      </c>
      <c r="C47" s="4" t="s">
        <v>3645</v>
      </c>
      <c r="D47" s="4" t="s">
        <v>3646</v>
      </c>
    </row>
    <row r="48" spans="2:7" ht="16.5" thickBot="1" x14ac:dyDescent="0.25">
      <c r="E48" s="12"/>
    </row>
    <row r="49" spans="2:7" ht="16.5" thickBot="1" x14ac:dyDescent="0.25">
      <c r="B49" s="13" t="s">
        <v>3647</v>
      </c>
      <c r="E49" s="15"/>
      <c r="G49" t="str">
        <f t="shared" si="0"/>
        <v>&lt;dl&gt;&lt;dt&gt;2. 专业化与困扰组合&lt;/dt&gt;&lt;dd&gt;&lt;/dd&gt;&lt;dd&gt;&lt;/dd&gt;&lt;/dl&gt;</v>
      </c>
    </row>
    <row r="50" spans="2:7" ht="16.5" thickBot="1" x14ac:dyDescent="0.25">
      <c r="E50" s="15"/>
      <c r="G50" t="str">
        <f t="shared" si="0"/>
        <v>&lt;dl&gt;&lt;dt&gt;&lt;/dt&gt;&lt;dd&gt;&lt;/dd&gt;&lt;dd&gt;&lt;/dd&gt;&lt;/dl&gt;</v>
      </c>
    </row>
    <row r="51" spans="2:7" ht="16.5" thickBot="1" x14ac:dyDescent="0.25">
      <c r="B51" s="2" t="s">
        <v>71</v>
      </c>
      <c r="C51" s="2" t="s">
        <v>1047</v>
      </c>
      <c r="D51" s="2" t="s">
        <v>73</v>
      </c>
      <c r="E51" s="15"/>
      <c r="G51" t="str">
        <f t="shared" si="0"/>
        <v>&lt;dl&gt;&lt;dt&gt;组合​&lt;/dt&gt;&lt;dd&gt;效应​&lt;/dd&gt;&lt;dd&gt;典型案例​&lt;/dd&gt;&lt;/dl&gt;</v>
      </c>
    </row>
    <row r="52" spans="2:7" ht="29.25" thickBot="1" x14ac:dyDescent="0.25">
      <c r="B52" s="3" t="s">
        <v>3648</v>
      </c>
      <c r="C52" s="4" t="s">
        <v>3649</v>
      </c>
      <c r="D52" s="4" t="s">
        <v>3650</v>
      </c>
      <c r="E52" s="15"/>
      <c r="G52" t="str">
        <f t="shared" si="0"/>
        <v>&lt;dl&gt;&lt;dt&gt;天使+天机​&lt;/dt&gt;&lt;dd&gt;因思虑过多导致神经衰弱、失眠，或因计划不周惹来麻烦。&lt;/dd&gt;&lt;dd&gt;因过度焦虑导致神经官能症；策划案出错引发客户投诉。&lt;/dd&gt;&lt;/dl&gt;</v>
      </c>
    </row>
    <row r="53" spans="2:7" ht="28.5" x14ac:dyDescent="0.2">
      <c r="B53" s="3" t="s">
        <v>3651</v>
      </c>
      <c r="C53" s="4" t="s">
        <v>3652</v>
      </c>
      <c r="D53" s="4" t="s">
        <v>3653</v>
      </c>
    </row>
    <row r="54" spans="2:7" ht="28.5" x14ac:dyDescent="0.2">
      <c r="B54" s="3" t="s">
        <v>3654</v>
      </c>
      <c r="C54" s="4" t="s">
        <v>3655</v>
      </c>
      <c r="D54" s="4" t="s">
        <v>3656</v>
      </c>
    </row>
    <row r="55" spans="2:7" ht="28.5" x14ac:dyDescent="0.2">
      <c r="B55" s="3" t="s">
        <v>3657</v>
      </c>
      <c r="C55" s="4" t="s">
        <v>3658</v>
      </c>
      <c r="D55" s="4" t="s">
        <v>3659</v>
      </c>
    </row>
    <row r="56" spans="2:7" ht="28.5" x14ac:dyDescent="0.2">
      <c r="B56" s="3" t="s">
        <v>3660</v>
      </c>
      <c r="C56" s="4" t="s">
        <v>3661</v>
      </c>
      <c r="D56" s="4" t="s">
        <v>3662</v>
      </c>
    </row>
    <row r="59" spans="2:7" ht="17.25" x14ac:dyDescent="0.2">
      <c r="B59" s="5" t="s">
        <v>746</v>
      </c>
    </row>
    <row r="61" spans="2:7" x14ac:dyDescent="0.2">
      <c r="B61" s="2" t="s">
        <v>40</v>
      </c>
      <c r="C61" s="2" t="s">
        <v>1414</v>
      </c>
      <c r="D61" s="2" t="s">
        <v>21</v>
      </c>
    </row>
    <row r="62" spans="2:7" ht="28.5" x14ac:dyDescent="0.2">
      <c r="B62" s="3" t="s">
        <v>3663</v>
      </c>
      <c r="C62" s="3" t="s">
        <v>3664</v>
      </c>
      <c r="D62" s="4" t="s">
        <v>3665</v>
      </c>
    </row>
    <row r="63" spans="2:7" ht="28.5" x14ac:dyDescent="0.2">
      <c r="B63" s="3" t="s">
        <v>3666</v>
      </c>
      <c r="C63" s="4" t="s">
        <v>3667</v>
      </c>
      <c r="D63" s="4" t="s">
        <v>3668</v>
      </c>
    </row>
    <row r="64" spans="2:7" ht="28.5" x14ac:dyDescent="0.2">
      <c r="B64" s="3" t="s">
        <v>3669</v>
      </c>
      <c r="C64" s="4" t="s">
        <v>3670</v>
      </c>
      <c r="D64" s="4" t="s">
        <v>3671</v>
      </c>
    </row>
    <row r="65" spans="2:4" ht="28.5" x14ac:dyDescent="0.2">
      <c r="B65" s="3" t="s">
        <v>3672</v>
      </c>
      <c r="C65" s="4" t="s">
        <v>3673</v>
      </c>
      <c r="D65" s="4" t="s">
        <v>3674</v>
      </c>
    </row>
    <row r="66" spans="2:4" ht="28.5" x14ac:dyDescent="0.2">
      <c r="B66" s="3" t="s">
        <v>3675</v>
      </c>
      <c r="C66" s="4" t="s">
        <v>3676</v>
      </c>
      <c r="D66" s="4" t="s">
        <v>3677</v>
      </c>
    </row>
    <row r="67" spans="2:4" ht="28.5" x14ac:dyDescent="0.2">
      <c r="B67" s="3" t="s">
        <v>3678</v>
      </c>
      <c r="C67" s="4" t="s">
        <v>3679</v>
      </c>
      <c r="D67" s="4" t="s">
        <v>3680</v>
      </c>
    </row>
    <row r="68" spans="2:4" ht="28.5" x14ac:dyDescent="0.2">
      <c r="B68" s="3" t="s">
        <v>3681</v>
      </c>
      <c r="C68" s="4" t="s">
        <v>3682</v>
      </c>
      <c r="D68" s="4" t="s">
        <v>3683</v>
      </c>
    </row>
    <row r="69" spans="2:4" ht="28.5" x14ac:dyDescent="0.2">
      <c r="B69" s="3" t="s">
        <v>3684</v>
      </c>
      <c r="C69" s="4" t="s">
        <v>3685</v>
      </c>
      <c r="D69" s="4" t="s">
        <v>3686</v>
      </c>
    </row>
    <row r="70" spans="2:4" ht="28.5" x14ac:dyDescent="0.2">
      <c r="B70" s="3" t="s">
        <v>3687</v>
      </c>
      <c r="C70" s="4" t="s">
        <v>3688</v>
      </c>
      <c r="D70" s="4" t="s">
        <v>3689</v>
      </c>
    </row>
    <row r="71" spans="2:4" ht="28.5" x14ac:dyDescent="0.2">
      <c r="B71" s="3" t="s">
        <v>3690</v>
      </c>
      <c r="C71" s="4" t="s">
        <v>3691</v>
      </c>
      <c r="D71" s="4" t="s">
        <v>3692</v>
      </c>
    </row>
    <row r="74" spans="2:4" ht="17.25" x14ac:dyDescent="0.2">
      <c r="B74" s="5" t="s">
        <v>1805</v>
      </c>
    </row>
    <row r="75" spans="2:4" x14ac:dyDescent="0.2">
      <c r="B75" s="6"/>
    </row>
    <row r="76" spans="2:4" x14ac:dyDescent="0.2">
      <c r="B76" s="7" t="s">
        <v>3693</v>
      </c>
    </row>
    <row r="77" spans="2:4" x14ac:dyDescent="0.2">
      <c r="B77" s="7" t="s">
        <v>3694</v>
      </c>
    </row>
    <row r="78" spans="2:4" x14ac:dyDescent="0.2">
      <c r="B78" s="7" t="s">
        <v>3695</v>
      </c>
    </row>
    <row r="79" spans="2:4" x14ac:dyDescent="0.2">
      <c r="B79" s="7" t="s">
        <v>3696</v>
      </c>
    </row>
    <row r="80" spans="2:4" x14ac:dyDescent="0.2">
      <c r="B80" s="16"/>
    </row>
    <row r="81" spans="2:2" x14ac:dyDescent="0.2">
      <c r="B81" s="6"/>
    </row>
    <row r="82" spans="2:2" x14ac:dyDescent="0.2">
      <c r="B82" s="6"/>
    </row>
  </sheetData>
  <phoneticPr fontId="2" type="noConversion"/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D065BD-384A-4401-AEAD-A88A4E8AC071}">
  <dimension ref="B1:G82"/>
  <sheetViews>
    <sheetView topLeftCell="A25" zoomScaleNormal="100" workbookViewId="0">
      <selection activeCell="B1" sqref="B1:D76"/>
    </sheetView>
  </sheetViews>
  <sheetFormatPr defaultRowHeight="14.25" x14ac:dyDescent="0.2"/>
  <cols>
    <col min="1" max="1" width="2.75" customWidth="1"/>
    <col min="2" max="2" width="15.625" customWidth="1"/>
    <col min="3" max="3" width="43.125" customWidth="1"/>
    <col min="4" max="4" width="32.75" customWidth="1"/>
  </cols>
  <sheetData>
    <row r="1" spans="2:7" ht="17.25" x14ac:dyDescent="0.2">
      <c r="B1" s="5" t="s">
        <v>1900</v>
      </c>
      <c r="G1" t="str">
        <f>"&lt;dl&gt;&lt;dt&gt;" &amp; B1 &amp; "&lt;/dt&gt;&lt;dd&gt;" &amp; C1 &amp; "&lt;/dd&gt;&lt;dd&gt;" &amp; D1 &amp; "&lt;/dd&gt;&lt;/dl&gt;"</f>
        <v>&lt;dl&gt;&lt;dt&gt;一、天伤定义&lt;/dt&gt;&lt;dd&gt;&lt;/dd&gt;&lt;dd&gt;&lt;/dd&gt;&lt;/dl&gt;</v>
      </c>
    </row>
    <row r="3" spans="2:7" x14ac:dyDescent="0.2">
      <c r="B3" s="2" t="s">
        <v>376</v>
      </c>
      <c r="C3" s="2" t="s">
        <v>377</v>
      </c>
      <c r="D3" s="2" t="s">
        <v>21</v>
      </c>
    </row>
    <row r="4" spans="2:7" x14ac:dyDescent="0.2">
      <c r="B4" s="3" t="s">
        <v>624</v>
      </c>
      <c r="C4" s="4" t="s">
        <v>1901</v>
      </c>
      <c r="D4" s="4"/>
    </row>
    <row r="5" spans="2:7" ht="28.5" x14ac:dyDescent="0.2">
      <c r="B5" s="3" t="s">
        <v>378</v>
      </c>
      <c r="C5" s="4" t="s">
        <v>1902</v>
      </c>
      <c r="D5" s="4"/>
    </row>
    <row r="6" spans="2:7" ht="28.5" x14ac:dyDescent="0.2">
      <c r="B6" s="3" t="s">
        <v>1717</v>
      </c>
      <c r="C6" s="4" t="s">
        <v>1903</v>
      </c>
      <c r="D6" s="4"/>
    </row>
    <row r="9" spans="2:7" ht="17.25" x14ac:dyDescent="0.2">
      <c r="B9" s="5" t="s">
        <v>1719</v>
      </c>
    </row>
    <row r="11" spans="2:7" ht="15.75" x14ac:dyDescent="0.2">
      <c r="B11" s="13" t="s">
        <v>1720</v>
      </c>
    </row>
    <row r="13" spans="2:7" x14ac:dyDescent="0.2">
      <c r="B13" s="2" t="s">
        <v>390</v>
      </c>
      <c r="C13" s="2" t="s">
        <v>1818</v>
      </c>
      <c r="D13" s="2" t="s">
        <v>1819</v>
      </c>
    </row>
    <row r="14" spans="2:7" ht="28.5" x14ac:dyDescent="0.2">
      <c r="B14" s="3" t="s">
        <v>1904</v>
      </c>
      <c r="C14" s="4" t="s">
        <v>1905</v>
      </c>
      <c r="D14" s="4" t="s">
        <v>1906</v>
      </c>
    </row>
    <row r="15" spans="2:7" ht="28.5" x14ac:dyDescent="0.2">
      <c r="B15" s="3" t="s">
        <v>1907</v>
      </c>
      <c r="C15" s="4" t="s">
        <v>1908</v>
      </c>
      <c r="D15" s="4" t="s">
        <v>1909</v>
      </c>
    </row>
    <row r="16" spans="2:7" x14ac:dyDescent="0.2">
      <c r="B16" s="3" t="s">
        <v>1910</v>
      </c>
      <c r="C16" s="4" t="s">
        <v>1911</v>
      </c>
      <c r="D16" s="4" t="s">
        <v>1912</v>
      </c>
    </row>
    <row r="17" spans="2:7" x14ac:dyDescent="0.2">
      <c r="B17" s="3" t="s">
        <v>1913</v>
      </c>
      <c r="C17" s="4" t="s">
        <v>1914</v>
      </c>
      <c r="D17" s="4" t="s">
        <v>1915</v>
      </c>
    </row>
    <row r="18" spans="2:7" x14ac:dyDescent="0.2">
      <c r="B18" s="3" t="s">
        <v>1916</v>
      </c>
      <c r="C18" s="4" t="s">
        <v>1917</v>
      </c>
      <c r="D18" s="4" t="s">
        <v>1918</v>
      </c>
    </row>
    <row r="21" spans="2:7" ht="17.25" x14ac:dyDescent="0.2">
      <c r="B21" s="5" t="s">
        <v>1733</v>
      </c>
    </row>
    <row r="22" spans="2:7" ht="15" thickBot="1" x14ac:dyDescent="0.25"/>
    <row r="23" spans="2:7" ht="16.5" thickBot="1" x14ac:dyDescent="0.25">
      <c r="B23" s="2" t="s">
        <v>18</v>
      </c>
      <c r="C23" s="2" t="s">
        <v>1818</v>
      </c>
      <c r="D23" s="2" t="s">
        <v>21</v>
      </c>
      <c r="E23" s="12"/>
    </row>
    <row r="24" spans="2:7" ht="29.25" thickBot="1" x14ac:dyDescent="0.25">
      <c r="B24" s="3" t="s">
        <v>201</v>
      </c>
      <c r="C24" s="4" t="s">
        <v>1919</v>
      </c>
      <c r="D24" s="4"/>
      <c r="E24" s="15"/>
      <c r="G24" t="str">
        <f t="shared" ref="G24:G52" si="0">"&lt;dl&gt;&lt;dt&gt;" &amp; B24 &amp; "&lt;/dt&gt;&lt;dd&gt;" &amp; C24 &amp; "&lt;/dd&gt;&lt;dd&gt;" &amp; D24 &amp; "&lt;/dd&gt;&lt;/dl&gt;"</f>
        <v>&lt;dl&gt;&lt;dt&gt;命宫​&lt;/dt&gt;&lt;dd&gt;一生易有身体或精神上的重大创伤；性格可能因伤变得谨慎或偏激。&lt;/dd&gt;&lt;dd&gt;&lt;/dd&gt;&lt;/dl&gt;</v>
      </c>
    </row>
    <row r="25" spans="2:7" ht="16.5" thickBot="1" x14ac:dyDescent="0.25">
      <c r="B25" s="3" t="s">
        <v>246</v>
      </c>
      <c r="C25" s="4" t="s">
        <v>1920</v>
      </c>
      <c r="D25" s="4"/>
      <c r="E25" s="15"/>
      <c r="G25" t="str">
        <f t="shared" si="0"/>
        <v>&lt;dl&gt;&lt;dt&gt;兄弟宫​&lt;/dt&gt;&lt;dd&gt;兄弟姐妹有伤灾；与同辈相处易受伤害或拖累。&lt;/dd&gt;&lt;dd&gt;&lt;/dd&gt;&lt;/dl&gt;</v>
      </c>
    </row>
    <row r="26" spans="2:7" ht="29.25" thickBot="1" x14ac:dyDescent="0.25">
      <c r="B26" s="3" t="s">
        <v>125</v>
      </c>
      <c r="C26" s="4" t="s">
        <v>1921</v>
      </c>
      <c r="D26" s="4"/>
      <c r="E26" s="15"/>
      <c r="G26" t="str">
        <f t="shared" si="0"/>
        <v>&lt;dl&gt;&lt;dt&gt;夫妻宫​&lt;/dt&gt;&lt;dd&gt;感情经历带来深刻伤害；配偶身体易受伤或有隐疾。&lt;/dd&gt;&lt;dd&gt;&lt;/dd&gt;&lt;/dl&gt;</v>
      </c>
    </row>
    <row r="27" spans="2:7" ht="29.25" thickBot="1" x14ac:dyDescent="0.25">
      <c r="B27" s="3" t="s">
        <v>128</v>
      </c>
      <c r="C27" s="4" t="s">
        <v>1922</v>
      </c>
      <c r="D27" s="4"/>
      <c r="E27" s="15"/>
      <c r="G27" t="str">
        <f t="shared" si="0"/>
        <v>&lt;dl&gt;&lt;dt&gt;子女宫​&lt;/dt&gt;&lt;dd&gt;子女有伤病灾；流产、堕胎；与下属、学生关系受损。&lt;/dd&gt;&lt;dd&gt;&lt;/dd&gt;&lt;/dl&gt;</v>
      </c>
    </row>
    <row r="28" spans="2:7" ht="29.25" thickBot="1" x14ac:dyDescent="0.25">
      <c r="B28" s="3" t="s">
        <v>3</v>
      </c>
      <c r="C28" s="4" t="s">
        <v>1923</v>
      </c>
      <c r="D28" s="4"/>
      <c r="E28" s="15"/>
      <c r="G28" t="str">
        <f t="shared" si="0"/>
        <v>&lt;dl&gt;&lt;dt&gt;财帛宫​&lt;/dt&gt;&lt;dd&gt;钱财必然遭受损失（如被骗、投资亏损、税务罚款）。&lt;/dd&gt;&lt;dd&gt;&lt;/dd&gt;&lt;/dl&gt;</v>
      </c>
    </row>
    <row r="29" spans="2:7" ht="16.5" thickBot="1" x14ac:dyDescent="0.25">
      <c r="B29" s="3" t="s">
        <v>6</v>
      </c>
      <c r="C29" s="4" t="s">
        <v>1924</v>
      </c>
      <c r="D29" s="4"/>
      <c r="E29" s="15"/>
      <c r="G29" t="str">
        <f t="shared" si="0"/>
        <v>&lt;dl&gt;&lt;dt&gt;疾厄宫​&lt;/dt&gt;&lt;dd&gt;身体有宿疾或旧伤，易开刀手术，康复过程较长。&lt;/dd&gt;&lt;dd&gt;&lt;/dd&gt;&lt;/dl&gt;</v>
      </c>
    </row>
    <row r="30" spans="2:7" x14ac:dyDescent="0.2">
      <c r="B30" s="3" t="s">
        <v>15</v>
      </c>
      <c r="C30" s="4" t="s">
        <v>1925</v>
      </c>
      <c r="D30" s="4"/>
    </row>
    <row r="31" spans="2:7" x14ac:dyDescent="0.2">
      <c r="B31" s="3" t="s">
        <v>12</v>
      </c>
      <c r="C31" s="4" t="s">
        <v>1926</v>
      </c>
      <c r="D31" s="4"/>
    </row>
    <row r="32" spans="2:7" ht="28.5" x14ac:dyDescent="0.2">
      <c r="B32" s="3" t="s">
        <v>206</v>
      </c>
      <c r="C32" s="4" t="s">
        <v>1927</v>
      </c>
      <c r="D32" s="4"/>
    </row>
    <row r="33" spans="2:7" ht="29.25" thickBot="1" x14ac:dyDescent="0.25">
      <c r="B33" s="3" t="s">
        <v>0</v>
      </c>
      <c r="C33" s="4" t="s">
        <v>1928</v>
      </c>
      <c r="D33" s="4"/>
    </row>
    <row r="34" spans="2:7" ht="16.5" thickBot="1" x14ac:dyDescent="0.25">
      <c r="B34" s="3" t="s">
        <v>116</v>
      </c>
      <c r="C34" s="4" t="s">
        <v>1929</v>
      </c>
      <c r="D34" s="4"/>
      <c r="E34" s="12"/>
    </row>
    <row r="35" spans="2:7" ht="29.25" thickBot="1" x14ac:dyDescent="0.25">
      <c r="B35" s="3" t="s">
        <v>9</v>
      </c>
      <c r="C35" s="4" t="s">
        <v>1930</v>
      </c>
      <c r="D35" s="4"/>
      <c r="E35" s="15"/>
      <c r="G35" t="str">
        <f t="shared" si="0"/>
        <v>&lt;dl&gt;&lt;dt&gt;父母宫​&lt;/dt&gt;&lt;dd&gt;父母有伤病；与父母关系存在难以愈合的裂痕；继承遗产有损耗。&lt;/dd&gt;&lt;dd&gt;&lt;/dd&gt;&lt;/dl&gt;</v>
      </c>
    </row>
    <row r="36" spans="2:7" ht="16.5" thickBot="1" x14ac:dyDescent="0.25">
      <c r="E36" s="15"/>
      <c r="G36" t="str">
        <f t="shared" si="0"/>
        <v>&lt;dl&gt;&lt;dt&gt;&lt;/dt&gt;&lt;dd&gt;&lt;/dd&gt;&lt;dd&gt;&lt;/dd&gt;&lt;/dl&gt;</v>
      </c>
    </row>
    <row r="37" spans="2:7" ht="16.5" thickBot="1" x14ac:dyDescent="0.25">
      <c r="E37" s="15"/>
      <c r="G37" t="str">
        <f t="shared" si="0"/>
        <v>&lt;dl&gt;&lt;dt&gt;&lt;/dt&gt;&lt;dd&gt;&lt;/dd&gt;&lt;dd&gt;&lt;/dd&gt;&lt;/dl&gt;</v>
      </c>
    </row>
    <row r="38" spans="2:7" ht="18" thickBot="1" x14ac:dyDescent="0.25">
      <c r="B38" s="5" t="s">
        <v>734</v>
      </c>
      <c r="E38" s="15"/>
      <c r="G38" t="str">
        <f t="shared" si="0"/>
        <v>&lt;dl&gt;&lt;dt&gt;四、主星组合象义&lt;/dt&gt;&lt;dd&gt;&lt;/dd&gt;&lt;dd&gt;&lt;/dd&gt;&lt;/dl&gt;</v>
      </c>
    </row>
    <row r="39" spans="2:7" ht="16.5" thickBot="1" x14ac:dyDescent="0.25">
      <c r="E39" s="15"/>
      <c r="G39" t="str">
        <f t="shared" si="0"/>
        <v>&lt;dl&gt;&lt;dt&gt;&lt;/dt&gt;&lt;dd&gt;&lt;/dd&gt;&lt;dd&gt;&lt;/dd&gt;&lt;/dl&gt;</v>
      </c>
    </row>
    <row r="40" spans="2:7" ht="16.5" thickBot="1" x14ac:dyDescent="0.25">
      <c r="B40" s="13" t="s">
        <v>1931</v>
      </c>
      <c r="E40" s="15"/>
      <c r="G40" t="str">
        <f t="shared" si="0"/>
        <v>&lt;dl&gt;&lt;dt&gt;1. 强化伤害性质组合&lt;/dt&gt;&lt;dd&gt;&lt;/dd&gt;&lt;dd&gt;&lt;/dd&gt;&lt;/dl&gt;</v>
      </c>
    </row>
    <row r="41" spans="2:7" ht="16.5" thickBot="1" x14ac:dyDescent="0.25">
      <c r="E41" s="15"/>
      <c r="G41" t="str">
        <f t="shared" si="0"/>
        <v>&lt;dl&gt;&lt;dt&gt;&lt;/dt&gt;&lt;dd&gt;&lt;/dd&gt;&lt;dd&gt;&lt;/dd&gt;&lt;/dl&gt;</v>
      </c>
    </row>
    <row r="42" spans="2:7" ht="16.5" thickBot="1" x14ac:dyDescent="0.25">
      <c r="B42" s="2" t="s">
        <v>71</v>
      </c>
      <c r="C42" s="2" t="s">
        <v>1047</v>
      </c>
      <c r="D42" s="2" t="s">
        <v>73</v>
      </c>
      <c r="E42" s="15"/>
      <c r="G42" t="str">
        <f t="shared" si="0"/>
        <v>&lt;dl&gt;&lt;dt&gt;组合​&lt;/dt&gt;&lt;dd&gt;效应​&lt;/dd&gt;&lt;dd&gt;典型案例​&lt;/dd&gt;&lt;/dl&gt;</v>
      </c>
    </row>
    <row r="43" spans="2:7" ht="29.25" thickBot="1" x14ac:dyDescent="0.25">
      <c r="B43" s="3" t="s">
        <v>1932</v>
      </c>
      <c r="C43" s="4" t="s">
        <v>1933</v>
      </c>
      <c r="D43" s="4" t="s">
        <v>1934</v>
      </c>
      <c r="E43" s="15"/>
      <c r="G43" t="str">
        <f t="shared" si="0"/>
        <v>&lt;dl&gt;&lt;dt&gt;天伤+七杀​&lt;/dt&gt;&lt;dd&gt;突发性、暴力性的严重伤害。如车祸、斗殴致伤、急性手术。&lt;/dd&gt;&lt;dd&gt;交通事故导致骨折。&lt;/dd&gt;&lt;/dl&gt;</v>
      </c>
    </row>
    <row r="44" spans="2:7" ht="28.5" x14ac:dyDescent="0.2">
      <c r="B44" s="3" t="s">
        <v>1935</v>
      </c>
      <c r="C44" s="4" t="s">
        <v>1936</v>
      </c>
      <c r="D44" s="4" t="s">
        <v>1937</v>
      </c>
    </row>
    <row r="45" spans="2:7" ht="28.5" x14ac:dyDescent="0.2">
      <c r="B45" s="3" t="s">
        <v>1938</v>
      </c>
      <c r="C45" s="4" t="s">
        <v>1939</v>
      </c>
      <c r="D45" s="4" t="s">
        <v>1940</v>
      </c>
    </row>
    <row r="46" spans="2:7" ht="28.5" x14ac:dyDescent="0.2">
      <c r="B46" s="3" t="s">
        <v>1941</v>
      </c>
      <c r="C46" s="4" t="s">
        <v>1942</v>
      </c>
      <c r="D46" s="4" t="s">
        <v>1943</v>
      </c>
    </row>
    <row r="47" spans="2:7" ht="29.25" thickBot="1" x14ac:dyDescent="0.25">
      <c r="B47" s="3" t="s">
        <v>1944</v>
      </c>
      <c r="C47" s="4" t="s">
        <v>1945</v>
      </c>
      <c r="D47" s="4" t="s">
        <v>1946</v>
      </c>
    </row>
    <row r="48" spans="2:7" ht="16.5" thickBot="1" x14ac:dyDescent="0.25">
      <c r="E48" s="12"/>
    </row>
    <row r="49" spans="2:7" ht="16.5" thickBot="1" x14ac:dyDescent="0.25">
      <c r="B49" s="13" t="s">
        <v>1947</v>
      </c>
      <c r="E49" s="15"/>
      <c r="G49" t="str">
        <f t="shared" si="0"/>
        <v>&lt;dl&gt;&lt;dt&gt;2. 转化与缓和组合&lt;/dt&gt;&lt;dd&gt;&lt;/dd&gt;&lt;dd&gt;&lt;/dd&gt;&lt;/dl&gt;</v>
      </c>
    </row>
    <row r="50" spans="2:7" ht="16.5" thickBot="1" x14ac:dyDescent="0.25">
      <c r="E50" s="15"/>
      <c r="G50" t="str">
        <f t="shared" si="0"/>
        <v>&lt;dl&gt;&lt;dt&gt;&lt;/dt&gt;&lt;dd&gt;&lt;/dd&gt;&lt;dd&gt;&lt;/dd&gt;&lt;/dl&gt;</v>
      </c>
    </row>
    <row r="51" spans="2:7" ht="16.5" thickBot="1" x14ac:dyDescent="0.25">
      <c r="B51" s="2" t="s">
        <v>71</v>
      </c>
      <c r="C51" s="2" t="s">
        <v>1047</v>
      </c>
      <c r="D51" s="2" t="s">
        <v>73</v>
      </c>
      <c r="E51" s="15"/>
      <c r="G51" t="str">
        <f t="shared" si="0"/>
        <v>&lt;dl&gt;&lt;dt&gt;组合​&lt;/dt&gt;&lt;dd&gt;效应​&lt;/dd&gt;&lt;dd&gt;典型案例​&lt;/dd&gt;&lt;/dl&gt;</v>
      </c>
    </row>
    <row r="52" spans="2:7" ht="29.25" thickBot="1" x14ac:dyDescent="0.25">
      <c r="B52" s="3" t="s">
        <v>1948</v>
      </c>
      <c r="C52" s="4" t="s">
        <v>1949</v>
      </c>
      <c r="D52" s="4" t="s">
        <v>1950</v>
      </c>
      <c r="E52" s="15"/>
      <c r="G52" t="str">
        <f t="shared" si="0"/>
        <v>&lt;dl&gt;&lt;dt&gt;天伤+天梁​&lt;/dt&gt;&lt;dd&gt;伤害后得到宗教、法律或医疗的救助与化解。留下疤痕但保住性命。&lt;/dd&gt;&lt;dd&gt;重大手术后康复；通过法律途径获得赔偿。&lt;/dd&gt;&lt;/dl&gt;</v>
      </c>
    </row>
    <row r="53" spans="2:7" ht="28.5" x14ac:dyDescent="0.2">
      <c r="B53" s="3" t="s">
        <v>1951</v>
      </c>
      <c r="C53" s="4" t="s">
        <v>1952</v>
      </c>
      <c r="D53" s="4" t="s">
        <v>1953</v>
      </c>
    </row>
    <row r="54" spans="2:7" ht="28.5" x14ac:dyDescent="0.2">
      <c r="B54" s="3" t="s">
        <v>1954</v>
      </c>
      <c r="C54" s="4" t="s">
        <v>1955</v>
      </c>
      <c r="D54" s="4" t="s">
        <v>1956</v>
      </c>
    </row>
    <row r="55" spans="2:7" ht="28.5" x14ac:dyDescent="0.2">
      <c r="B55" s="3" t="s">
        <v>1957</v>
      </c>
      <c r="C55" s="4" t="s">
        <v>1958</v>
      </c>
      <c r="D55" s="4" t="s">
        <v>1959</v>
      </c>
    </row>
    <row r="58" spans="2:7" ht="17.25" x14ac:dyDescent="0.2">
      <c r="B58" s="5" t="s">
        <v>746</v>
      </c>
    </row>
    <row r="60" spans="2:7" x14ac:dyDescent="0.2">
      <c r="B60" s="2" t="s">
        <v>40</v>
      </c>
      <c r="C60" s="2" t="s">
        <v>1414</v>
      </c>
      <c r="D60" s="2" t="s">
        <v>21</v>
      </c>
    </row>
    <row r="61" spans="2:7" ht="28.5" x14ac:dyDescent="0.2">
      <c r="B61" s="3" t="s">
        <v>1960</v>
      </c>
      <c r="C61" s="4" t="s">
        <v>1961</v>
      </c>
      <c r="D61" s="4" t="s">
        <v>1962</v>
      </c>
    </row>
    <row r="62" spans="2:7" ht="28.5" x14ac:dyDescent="0.2">
      <c r="B62" s="3" t="s">
        <v>1963</v>
      </c>
      <c r="C62" s="4" t="s">
        <v>1964</v>
      </c>
      <c r="D62" s="4" t="s">
        <v>1965</v>
      </c>
    </row>
    <row r="63" spans="2:7" ht="28.5" x14ac:dyDescent="0.2">
      <c r="B63" s="3" t="s">
        <v>1966</v>
      </c>
      <c r="C63" s="4" t="s">
        <v>1967</v>
      </c>
      <c r="D63" s="4" t="s">
        <v>1968</v>
      </c>
    </row>
    <row r="64" spans="2:7" ht="28.5" x14ac:dyDescent="0.2">
      <c r="B64" s="3" t="s">
        <v>1969</v>
      </c>
      <c r="C64" s="4" t="s">
        <v>1970</v>
      </c>
      <c r="D64" s="4" t="s">
        <v>1971</v>
      </c>
    </row>
    <row r="65" spans="2:4" ht="28.5" x14ac:dyDescent="0.2">
      <c r="B65" s="3" t="s">
        <v>1972</v>
      </c>
      <c r="C65" s="4" t="s">
        <v>1973</v>
      </c>
      <c r="D65" s="4" t="s">
        <v>1974</v>
      </c>
    </row>
    <row r="66" spans="2:4" x14ac:dyDescent="0.2">
      <c r="B66" s="3" t="s">
        <v>1975</v>
      </c>
      <c r="C66" s="4" t="s">
        <v>1976</v>
      </c>
      <c r="D66" s="4" t="s">
        <v>1977</v>
      </c>
    </row>
    <row r="67" spans="2:4" x14ac:dyDescent="0.2">
      <c r="B67" s="3" t="s">
        <v>1978</v>
      </c>
      <c r="C67" s="4" t="s">
        <v>1979</v>
      </c>
      <c r="D67" s="4" t="s">
        <v>1980</v>
      </c>
    </row>
    <row r="68" spans="2:4" ht="28.5" x14ac:dyDescent="0.2">
      <c r="B68" s="3" t="s">
        <v>1981</v>
      </c>
      <c r="C68" s="4" t="s">
        <v>1982</v>
      </c>
      <c r="D68" s="4" t="s">
        <v>1983</v>
      </c>
    </row>
    <row r="71" spans="2:4" ht="17.25" x14ac:dyDescent="0.2">
      <c r="B71" s="5" t="s">
        <v>1805</v>
      </c>
    </row>
    <row r="72" spans="2:4" x14ac:dyDescent="0.2">
      <c r="B72" s="6"/>
    </row>
    <row r="73" spans="2:4" x14ac:dyDescent="0.2">
      <c r="B73" s="7" t="s">
        <v>1984</v>
      </c>
    </row>
    <row r="74" spans="2:4" x14ac:dyDescent="0.2">
      <c r="B74" s="7" t="s">
        <v>1985</v>
      </c>
    </row>
    <row r="75" spans="2:4" x14ac:dyDescent="0.2">
      <c r="B75" s="7" t="s">
        <v>1986</v>
      </c>
    </row>
    <row r="76" spans="2:4" x14ac:dyDescent="0.2">
      <c r="B76" s="7" t="s">
        <v>1987</v>
      </c>
    </row>
    <row r="77" spans="2:4" ht="17.25" x14ac:dyDescent="0.2">
      <c r="B77" s="5"/>
    </row>
    <row r="80" spans="2:4" x14ac:dyDescent="0.2">
      <c r="B80" s="16"/>
    </row>
    <row r="81" spans="2:2" x14ac:dyDescent="0.2">
      <c r="B81" s="6"/>
    </row>
    <row r="82" spans="2:2" x14ac:dyDescent="0.2">
      <c r="B82" s="6"/>
    </row>
  </sheetData>
  <phoneticPr fontId="2" type="noConversion"/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ABDEF2-F429-4877-8039-526DA625E090}">
  <dimension ref="B1:G82"/>
  <sheetViews>
    <sheetView topLeftCell="A17" zoomScaleNormal="100" workbookViewId="0">
      <selection activeCell="B1" sqref="B1:D77"/>
    </sheetView>
  </sheetViews>
  <sheetFormatPr defaultRowHeight="14.25" x14ac:dyDescent="0.2"/>
  <cols>
    <col min="1" max="1" width="2.75" customWidth="1"/>
    <col min="2" max="2" width="15.625" customWidth="1"/>
    <col min="3" max="3" width="43.125" customWidth="1"/>
    <col min="4" max="4" width="32.75" customWidth="1"/>
  </cols>
  <sheetData>
    <row r="1" spans="2:7" ht="17.25" x14ac:dyDescent="0.2">
      <c r="B1" s="5" t="s">
        <v>1988</v>
      </c>
      <c r="G1" t="str">
        <f>"&lt;dl&gt;&lt;dt&gt;" &amp; B1 &amp; "&lt;/dt&gt;&lt;dd&gt;" &amp; C1 &amp; "&lt;/dd&gt;&lt;dd&gt;" &amp; D1 &amp; "&lt;/dd&gt;&lt;/dl&gt;"</f>
        <v>&lt;dl&gt;&lt;dt&gt;一、天月定义&lt;/dt&gt;&lt;dd&gt;&lt;/dd&gt;&lt;dd&gt;&lt;/dd&gt;&lt;/dl&gt;</v>
      </c>
    </row>
    <row r="3" spans="2:7" x14ac:dyDescent="0.2">
      <c r="B3" s="2" t="s">
        <v>376</v>
      </c>
      <c r="C3" s="2" t="s">
        <v>377</v>
      </c>
      <c r="D3" s="2" t="s">
        <v>21</v>
      </c>
    </row>
    <row r="4" spans="2:7" x14ac:dyDescent="0.2">
      <c r="B4" s="3" t="s">
        <v>624</v>
      </c>
      <c r="C4" s="4" t="s">
        <v>1989</v>
      </c>
      <c r="D4" s="4"/>
    </row>
    <row r="5" spans="2:7" ht="28.5" x14ac:dyDescent="0.2">
      <c r="B5" s="3" t="s">
        <v>378</v>
      </c>
      <c r="C5" s="4" t="s">
        <v>1990</v>
      </c>
      <c r="D5" s="4"/>
    </row>
    <row r="6" spans="2:7" ht="42.75" x14ac:dyDescent="0.2">
      <c r="B6" s="3" t="s">
        <v>1717</v>
      </c>
      <c r="C6" s="4" t="s">
        <v>1991</v>
      </c>
      <c r="D6" s="4"/>
    </row>
    <row r="9" spans="2:7" ht="17.25" x14ac:dyDescent="0.2">
      <c r="B9" s="5" t="s">
        <v>1719</v>
      </c>
    </row>
    <row r="11" spans="2:7" ht="15.75" x14ac:dyDescent="0.2">
      <c r="B11" s="13" t="s">
        <v>1720</v>
      </c>
    </row>
    <row r="13" spans="2:7" x14ac:dyDescent="0.2">
      <c r="B13" s="2" t="s">
        <v>390</v>
      </c>
      <c r="C13" s="2" t="s">
        <v>1818</v>
      </c>
      <c r="D13" s="2" t="s">
        <v>1819</v>
      </c>
    </row>
    <row r="14" spans="2:7" x14ac:dyDescent="0.2">
      <c r="B14" s="3" t="s">
        <v>1992</v>
      </c>
      <c r="C14" s="4" t="s">
        <v>1993</v>
      </c>
      <c r="D14" s="4" t="s">
        <v>1994</v>
      </c>
    </row>
    <row r="15" spans="2:7" x14ac:dyDescent="0.2">
      <c r="B15" s="3" t="s">
        <v>1995</v>
      </c>
      <c r="C15" s="4" t="s">
        <v>1996</v>
      </c>
      <c r="D15" s="4" t="s">
        <v>1997</v>
      </c>
    </row>
    <row r="16" spans="2:7" ht="28.5" x14ac:dyDescent="0.2">
      <c r="B16" s="3" t="s">
        <v>1998</v>
      </c>
      <c r="C16" s="4" t="s">
        <v>1999</v>
      </c>
      <c r="D16" s="4" t="s">
        <v>2000</v>
      </c>
    </row>
    <row r="17" spans="2:7" ht="28.5" x14ac:dyDescent="0.2">
      <c r="B17" s="3" t="s">
        <v>2001</v>
      </c>
      <c r="C17" s="4" t="s">
        <v>2002</v>
      </c>
      <c r="D17" s="4" t="s">
        <v>2003</v>
      </c>
    </row>
    <row r="18" spans="2:7" x14ac:dyDescent="0.2">
      <c r="B18" s="3" t="s">
        <v>2004</v>
      </c>
      <c r="C18" s="4" t="s">
        <v>2005</v>
      </c>
      <c r="D18" s="4" t="s">
        <v>2006</v>
      </c>
    </row>
    <row r="21" spans="2:7" ht="17.25" x14ac:dyDescent="0.2">
      <c r="B21" s="5" t="s">
        <v>1733</v>
      </c>
    </row>
    <row r="22" spans="2:7" ht="15" thickBot="1" x14ac:dyDescent="0.25"/>
    <row r="23" spans="2:7" ht="16.5" thickBot="1" x14ac:dyDescent="0.25">
      <c r="B23" s="2" t="s">
        <v>18</v>
      </c>
      <c r="C23" s="2" t="s">
        <v>1818</v>
      </c>
      <c r="D23" s="2" t="s">
        <v>21</v>
      </c>
      <c r="E23" s="12"/>
    </row>
    <row r="24" spans="2:7" ht="29.25" thickBot="1" x14ac:dyDescent="0.25">
      <c r="B24" s="3" t="s">
        <v>201</v>
      </c>
      <c r="C24" s="4" t="s">
        <v>2007</v>
      </c>
      <c r="D24" s="4"/>
      <c r="E24" s="15"/>
      <c r="G24" t="str">
        <f t="shared" ref="G24:G52" si="0">"&lt;dl&gt;&lt;dt&gt;" &amp; B24 &amp; "&lt;/dt&gt;&lt;dd&gt;" &amp; C24 &amp; "&lt;/dd&gt;&lt;dd&gt;" &amp; D24 &amp; "&lt;/dd&gt;&lt;/dl&gt;"</f>
        <v>&lt;dl&gt;&lt;dt&gt;命宫​&lt;/dt&gt;&lt;dd&gt;体质较弱，易患慢性病；一生与医药缘分深，心性易感忧愁。&lt;/dd&gt;&lt;dd&gt;&lt;/dd&gt;&lt;/dl&gt;</v>
      </c>
    </row>
    <row r="25" spans="2:7" ht="29.25" thickBot="1" x14ac:dyDescent="0.25">
      <c r="B25" s="3" t="s">
        <v>246</v>
      </c>
      <c r="C25" s="4" t="s">
        <v>2008</v>
      </c>
      <c r="D25" s="4"/>
      <c r="E25" s="15"/>
      <c r="G25" t="str">
        <f t="shared" si="0"/>
        <v>&lt;dl&gt;&lt;dt&gt;兄弟宫​&lt;/dt&gt;&lt;dd&gt;兄弟姐妹身体不佳；在团队或合作中易被琐事、旧问题拖累。&lt;/dd&gt;&lt;dd&gt;&lt;/dd&gt;&lt;/dl&gt;</v>
      </c>
    </row>
    <row r="26" spans="2:7" ht="29.25" thickBot="1" x14ac:dyDescent="0.25">
      <c r="B26" s="3" t="s">
        <v>125</v>
      </c>
      <c r="C26" s="4" t="s">
        <v>2009</v>
      </c>
      <c r="D26" s="4"/>
      <c r="E26" s="15"/>
      <c r="G26" t="str">
        <f t="shared" si="0"/>
        <v>&lt;dl&gt;&lt;dt&gt;夫妻宫​&lt;/dt&gt;&lt;dd&gt;配偶身体需注意，或婚姻关系存在长期难以解决的“老问题”。&lt;/dd&gt;&lt;dd&gt;&lt;/dd&gt;&lt;/dl&gt;</v>
      </c>
    </row>
    <row r="27" spans="2:7" ht="16.5" thickBot="1" x14ac:dyDescent="0.25">
      <c r="B27" s="3" t="s">
        <v>128</v>
      </c>
      <c r="C27" s="4" t="s">
        <v>2010</v>
      </c>
      <c r="D27" s="4"/>
      <c r="E27" s="15"/>
      <c r="G27" t="str">
        <f t="shared" si="0"/>
        <v>&lt;dl&gt;&lt;dt&gt;子女宫​&lt;/dt&gt;&lt;dd&gt;子女健康需长期关注；下属或学生带来持续麻烦。&lt;/dd&gt;&lt;dd&gt;&lt;/dd&gt;&lt;/dl&gt;</v>
      </c>
    </row>
    <row r="28" spans="2:7" ht="29.25" thickBot="1" x14ac:dyDescent="0.25">
      <c r="B28" s="3" t="s">
        <v>3</v>
      </c>
      <c r="C28" s="4" t="s">
        <v>2011</v>
      </c>
      <c r="D28" s="4"/>
      <c r="E28" s="15"/>
      <c r="G28" t="str">
        <f t="shared" si="0"/>
        <v>&lt;dl&gt;&lt;dt&gt;财帛宫​&lt;/dt&gt;&lt;dd&gt;钱财因疾病、医药而长期消耗；财务问题纠缠难清。&lt;/dd&gt;&lt;dd&gt;&lt;/dd&gt;&lt;/dl&gt;</v>
      </c>
    </row>
    <row r="29" spans="2:7" ht="29.25" thickBot="1" x14ac:dyDescent="0.25">
      <c r="B29" s="3" t="s">
        <v>6</v>
      </c>
      <c r="C29" s="3" t="s">
        <v>2012</v>
      </c>
      <c r="D29" s="4"/>
      <c r="E29" s="15"/>
      <c r="G29" t="str">
        <f t="shared" si="0"/>
        <v>&lt;dl&gt;&lt;dt&gt;疾厄宫​&lt;/dt&gt;&lt;dd&gt;核心宫位。易有慢性疾病、体质敏感，需长期调养。&lt;/dd&gt;&lt;dd&gt;&lt;/dd&gt;&lt;/dl&gt;</v>
      </c>
    </row>
    <row r="30" spans="2:7" ht="28.5" x14ac:dyDescent="0.2">
      <c r="B30" s="3" t="s">
        <v>15</v>
      </c>
      <c r="C30" s="4" t="s">
        <v>2013</v>
      </c>
      <c r="D30" s="4"/>
    </row>
    <row r="31" spans="2:7" ht="28.5" x14ac:dyDescent="0.2">
      <c r="B31" s="3" t="s">
        <v>12</v>
      </c>
      <c r="C31" s="4" t="s">
        <v>2014</v>
      </c>
      <c r="D31" s="4"/>
    </row>
    <row r="32" spans="2:7" ht="28.5" x14ac:dyDescent="0.2">
      <c r="B32" s="3" t="s">
        <v>206</v>
      </c>
      <c r="C32" s="4" t="s">
        <v>2015</v>
      </c>
      <c r="D32" s="4"/>
    </row>
    <row r="33" spans="2:7" ht="29.25" thickBot="1" x14ac:dyDescent="0.25">
      <c r="B33" s="3" t="s">
        <v>0</v>
      </c>
      <c r="C33" s="4" t="s">
        <v>2016</v>
      </c>
      <c r="D33" s="4"/>
    </row>
    <row r="34" spans="2:7" ht="29.25" thickBot="1" x14ac:dyDescent="0.25">
      <c r="B34" s="3" t="s">
        <v>116</v>
      </c>
      <c r="C34" s="4" t="s">
        <v>2017</v>
      </c>
      <c r="D34" s="4"/>
      <c r="E34" s="12"/>
    </row>
    <row r="35" spans="2:7" ht="29.25" thickBot="1" x14ac:dyDescent="0.25">
      <c r="B35" s="3" t="s">
        <v>9</v>
      </c>
      <c r="C35" s="4" t="s">
        <v>2018</v>
      </c>
      <c r="D35" s="4"/>
      <c r="E35" s="15"/>
      <c r="G35" t="str">
        <f t="shared" si="0"/>
        <v>&lt;dl&gt;&lt;dt&gt;父母宫​&lt;/dt&gt;&lt;dd&gt;父母有慢性疾病；与父母关系存在长期心结或照顾负担。&lt;/dd&gt;&lt;dd&gt;&lt;/dd&gt;&lt;/dl&gt;</v>
      </c>
    </row>
    <row r="36" spans="2:7" ht="16.5" thickBot="1" x14ac:dyDescent="0.25">
      <c r="E36" s="15"/>
      <c r="G36" t="str">
        <f t="shared" si="0"/>
        <v>&lt;dl&gt;&lt;dt&gt;&lt;/dt&gt;&lt;dd&gt;&lt;/dd&gt;&lt;dd&gt;&lt;/dd&gt;&lt;/dl&gt;</v>
      </c>
    </row>
    <row r="37" spans="2:7" ht="16.5" thickBot="1" x14ac:dyDescent="0.25">
      <c r="E37" s="15"/>
      <c r="G37" t="str">
        <f t="shared" si="0"/>
        <v>&lt;dl&gt;&lt;dt&gt;&lt;/dt&gt;&lt;dd&gt;&lt;/dd&gt;&lt;dd&gt;&lt;/dd&gt;&lt;/dl&gt;</v>
      </c>
    </row>
    <row r="38" spans="2:7" ht="18" thickBot="1" x14ac:dyDescent="0.25">
      <c r="B38" s="5" t="s">
        <v>734</v>
      </c>
      <c r="E38" s="15"/>
      <c r="G38" t="str">
        <f t="shared" si="0"/>
        <v>&lt;dl&gt;&lt;dt&gt;四、主星组合象义&lt;/dt&gt;&lt;dd&gt;&lt;/dd&gt;&lt;dd&gt;&lt;/dd&gt;&lt;/dl&gt;</v>
      </c>
    </row>
    <row r="39" spans="2:7" ht="16.5" thickBot="1" x14ac:dyDescent="0.25">
      <c r="E39" s="15"/>
      <c r="G39" t="str">
        <f t="shared" si="0"/>
        <v>&lt;dl&gt;&lt;dt&gt;&lt;/dt&gt;&lt;dd&gt;&lt;/dd&gt;&lt;dd&gt;&lt;/dd&gt;&lt;/dl&gt;</v>
      </c>
    </row>
    <row r="40" spans="2:7" ht="16.5" thickBot="1" x14ac:dyDescent="0.25">
      <c r="B40" s="13" t="s">
        <v>2019</v>
      </c>
      <c r="E40" s="15"/>
      <c r="G40" t="str">
        <f t="shared" si="0"/>
        <v>&lt;dl&gt;&lt;dt&gt;1. 强化病征组合&lt;/dt&gt;&lt;dd&gt;&lt;/dd&gt;&lt;dd&gt;&lt;/dd&gt;&lt;/dl&gt;</v>
      </c>
    </row>
    <row r="41" spans="2:7" ht="16.5" thickBot="1" x14ac:dyDescent="0.25">
      <c r="E41" s="15"/>
      <c r="G41" t="str">
        <f t="shared" si="0"/>
        <v>&lt;dl&gt;&lt;dt&gt;&lt;/dt&gt;&lt;dd&gt;&lt;/dd&gt;&lt;dd&gt;&lt;/dd&gt;&lt;/dl&gt;</v>
      </c>
    </row>
    <row r="42" spans="2:7" ht="16.5" thickBot="1" x14ac:dyDescent="0.25">
      <c r="B42" s="2" t="s">
        <v>71</v>
      </c>
      <c r="C42" s="2" t="s">
        <v>1047</v>
      </c>
      <c r="D42" s="2" t="s">
        <v>73</v>
      </c>
      <c r="E42" s="15"/>
      <c r="G42" t="str">
        <f t="shared" si="0"/>
        <v>&lt;dl&gt;&lt;dt&gt;组合​&lt;/dt&gt;&lt;dd&gt;效应​&lt;/dd&gt;&lt;dd&gt;典型案例​&lt;/dd&gt;&lt;/dl&gt;</v>
      </c>
    </row>
    <row r="43" spans="2:7" ht="29.25" thickBot="1" x14ac:dyDescent="0.25">
      <c r="B43" s="3" t="s">
        <v>2020</v>
      </c>
      <c r="C43" s="4" t="s">
        <v>2021</v>
      </c>
      <c r="D43" s="4" t="s">
        <v>2022</v>
      </c>
      <c r="E43" s="15"/>
      <c r="G43" t="str">
        <f t="shared" si="0"/>
        <v>&lt;dl&gt;&lt;dt&gt;天月+太阴​&lt;/dt&gt;&lt;dd&gt;阴寒、水湿、妇科、情绪病加重。如寒湿体质、抑郁症、月经不调。&lt;/dd&gt;&lt;dd&gt;长期畏寒、痛经。&lt;/dd&gt;&lt;/dl&gt;</v>
      </c>
    </row>
    <row r="44" spans="2:7" ht="28.5" x14ac:dyDescent="0.2">
      <c r="B44" s="3" t="s">
        <v>2023</v>
      </c>
      <c r="C44" s="4" t="s">
        <v>2024</v>
      </c>
      <c r="D44" s="4" t="s">
        <v>2025</v>
      </c>
    </row>
    <row r="45" spans="2:7" ht="28.5" x14ac:dyDescent="0.2">
      <c r="B45" s="3" t="s">
        <v>2026</v>
      </c>
      <c r="C45" s="4" t="s">
        <v>2027</v>
      </c>
      <c r="D45" s="4" t="s">
        <v>2028</v>
      </c>
    </row>
    <row r="46" spans="2:7" ht="28.5" x14ac:dyDescent="0.2">
      <c r="B46" s="3" t="s">
        <v>2029</v>
      </c>
      <c r="C46" s="4" t="s">
        <v>2030</v>
      </c>
      <c r="D46" s="4" t="s">
        <v>2031</v>
      </c>
    </row>
    <row r="47" spans="2:7" ht="29.25" thickBot="1" x14ac:dyDescent="0.25">
      <c r="B47" s="3" t="s">
        <v>2032</v>
      </c>
      <c r="C47" s="4" t="s">
        <v>2033</v>
      </c>
      <c r="D47" s="4" t="s">
        <v>2034</v>
      </c>
    </row>
    <row r="48" spans="2:7" ht="16.5" thickBot="1" x14ac:dyDescent="0.25">
      <c r="E48" s="12"/>
    </row>
    <row r="49" spans="2:7" ht="16.5" thickBot="1" x14ac:dyDescent="0.25">
      <c r="B49" s="13" t="s">
        <v>1863</v>
      </c>
      <c r="E49" s="15"/>
      <c r="G49" t="str">
        <f t="shared" si="0"/>
        <v>&lt;dl&gt;&lt;dt&gt;2. 转化与应对组合&lt;/dt&gt;&lt;dd&gt;&lt;/dd&gt;&lt;dd&gt;&lt;/dd&gt;&lt;/dl&gt;</v>
      </c>
    </row>
    <row r="50" spans="2:7" ht="16.5" thickBot="1" x14ac:dyDescent="0.25">
      <c r="E50" s="15"/>
      <c r="G50" t="str">
        <f t="shared" si="0"/>
        <v>&lt;dl&gt;&lt;dt&gt;&lt;/dt&gt;&lt;dd&gt;&lt;/dd&gt;&lt;dd&gt;&lt;/dd&gt;&lt;/dl&gt;</v>
      </c>
    </row>
    <row r="51" spans="2:7" ht="16.5" thickBot="1" x14ac:dyDescent="0.25">
      <c r="B51" s="2" t="s">
        <v>71</v>
      </c>
      <c r="C51" s="2" t="s">
        <v>1047</v>
      </c>
      <c r="D51" s="2" t="s">
        <v>73</v>
      </c>
      <c r="E51" s="15"/>
      <c r="G51" t="str">
        <f t="shared" si="0"/>
        <v>&lt;dl&gt;&lt;dt&gt;组合​&lt;/dt&gt;&lt;dd&gt;效应​&lt;/dd&gt;&lt;dd&gt;典型案例​&lt;/dd&gt;&lt;/dl&gt;</v>
      </c>
    </row>
    <row r="52" spans="2:7" ht="29.25" thickBot="1" x14ac:dyDescent="0.25">
      <c r="B52" s="3" t="s">
        <v>2035</v>
      </c>
      <c r="C52" s="4" t="s">
        <v>2036</v>
      </c>
      <c r="D52" s="4" t="s">
        <v>2037</v>
      </c>
      <c r="E52" s="15"/>
      <c r="G52" t="str">
        <f t="shared" si="0"/>
        <v>&lt;dl&gt;&lt;dt&gt;天月+天梁​&lt;/dt&gt;&lt;dd&gt;得到宗教、传统医学或正规医疗的帮助，疾病得以控制或找到根源。&lt;/dd&gt;&lt;dd&gt;通过中医调理慢性病；修行化解业障病。&lt;/dd&gt;&lt;/dl&gt;</v>
      </c>
    </row>
    <row r="53" spans="2:7" ht="28.5" x14ac:dyDescent="0.2">
      <c r="B53" s="3" t="s">
        <v>2038</v>
      </c>
      <c r="C53" s="4" t="s">
        <v>2039</v>
      </c>
      <c r="D53" s="4" t="s">
        <v>2040</v>
      </c>
    </row>
    <row r="54" spans="2:7" ht="28.5" x14ac:dyDescent="0.2">
      <c r="B54" s="3" t="s">
        <v>2041</v>
      </c>
      <c r="C54" s="4" t="s">
        <v>2042</v>
      </c>
      <c r="D54" s="4" t="s">
        <v>2043</v>
      </c>
    </row>
    <row r="55" spans="2:7" ht="28.5" x14ac:dyDescent="0.2">
      <c r="B55" s="3" t="s">
        <v>2044</v>
      </c>
      <c r="C55" s="4" t="s">
        <v>2045</v>
      </c>
      <c r="D55" s="4" t="s">
        <v>2046</v>
      </c>
    </row>
    <row r="58" spans="2:7" ht="17.25" x14ac:dyDescent="0.2">
      <c r="B58" s="5" t="s">
        <v>746</v>
      </c>
    </row>
    <row r="60" spans="2:7" x14ac:dyDescent="0.2">
      <c r="B60" s="2" t="s">
        <v>40</v>
      </c>
      <c r="C60" s="2" t="s">
        <v>1414</v>
      </c>
      <c r="D60" s="2" t="s">
        <v>21</v>
      </c>
    </row>
    <row r="61" spans="2:7" ht="28.5" x14ac:dyDescent="0.2">
      <c r="B61" s="3" t="s">
        <v>2047</v>
      </c>
      <c r="C61" s="4" t="s">
        <v>2048</v>
      </c>
      <c r="D61" s="4" t="s">
        <v>2049</v>
      </c>
    </row>
    <row r="62" spans="2:7" x14ac:dyDescent="0.2">
      <c r="B62" s="3" t="s">
        <v>2050</v>
      </c>
      <c r="C62" s="4" t="s">
        <v>2051</v>
      </c>
      <c r="D62" s="4" t="s">
        <v>2052</v>
      </c>
    </row>
    <row r="63" spans="2:7" ht="28.5" x14ac:dyDescent="0.2">
      <c r="B63" s="3" t="s">
        <v>2053</v>
      </c>
      <c r="C63" s="4" t="s">
        <v>2054</v>
      </c>
      <c r="D63" s="4" t="s">
        <v>2055</v>
      </c>
    </row>
    <row r="64" spans="2:7" ht="28.5" x14ac:dyDescent="0.2">
      <c r="B64" s="3" t="s">
        <v>2056</v>
      </c>
      <c r="C64" s="4" t="s">
        <v>2057</v>
      </c>
      <c r="D64" s="4" t="s">
        <v>2058</v>
      </c>
    </row>
    <row r="65" spans="2:4" ht="28.5" x14ac:dyDescent="0.2">
      <c r="B65" s="3" t="s">
        <v>2059</v>
      </c>
      <c r="C65" s="4" t="s">
        <v>2060</v>
      </c>
      <c r="D65" s="4" t="s">
        <v>2061</v>
      </c>
    </row>
    <row r="66" spans="2:4" ht="28.5" x14ac:dyDescent="0.2">
      <c r="B66" s="3" t="s">
        <v>2062</v>
      </c>
      <c r="C66" s="4" t="s">
        <v>2063</v>
      </c>
      <c r="D66" s="4" t="s">
        <v>2064</v>
      </c>
    </row>
    <row r="67" spans="2:4" ht="28.5" x14ac:dyDescent="0.2">
      <c r="B67" s="3" t="s">
        <v>2065</v>
      </c>
      <c r="C67" s="4" t="s">
        <v>2066</v>
      </c>
      <c r="D67" s="4" t="s">
        <v>2067</v>
      </c>
    </row>
    <row r="68" spans="2:4" ht="28.5" x14ac:dyDescent="0.2">
      <c r="B68" s="3" t="s">
        <v>2068</v>
      </c>
      <c r="C68" s="4" t="s">
        <v>2069</v>
      </c>
      <c r="D68" s="4" t="s">
        <v>2070</v>
      </c>
    </row>
    <row r="69" spans="2:4" ht="28.5" x14ac:dyDescent="0.2">
      <c r="B69" s="3" t="s">
        <v>2071</v>
      </c>
      <c r="C69" s="4" t="s">
        <v>2072</v>
      </c>
      <c r="D69" s="4" t="s">
        <v>2073</v>
      </c>
    </row>
    <row r="72" spans="2:4" ht="17.25" x14ac:dyDescent="0.2">
      <c r="B72" s="5" t="s">
        <v>1805</v>
      </c>
    </row>
    <row r="73" spans="2:4" x14ac:dyDescent="0.2">
      <c r="B73" s="6"/>
    </row>
    <row r="74" spans="2:4" x14ac:dyDescent="0.2">
      <c r="B74" s="7" t="s">
        <v>2074</v>
      </c>
    </row>
    <row r="75" spans="2:4" x14ac:dyDescent="0.2">
      <c r="B75" s="7" t="s">
        <v>2075</v>
      </c>
    </row>
    <row r="76" spans="2:4" x14ac:dyDescent="0.2">
      <c r="B76" s="7" t="s">
        <v>2076</v>
      </c>
    </row>
    <row r="77" spans="2:4" x14ac:dyDescent="0.2">
      <c r="B77" s="7" t="s">
        <v>2077</v>
      </c>
    </row>
    <row r="80" spans="2:4" x14ac:dyDescent="0.2">
      <c r="B80" s="16"/>
    </row>
    <row r="81" spans="2:2" x14ac:dyDescent="0.2">
      <c r="B81" s="6"/>
    </row>
    <row r="82" spans="2:2" x14ac:dyDescent="0.2">
      <c r="B82" s="6"/>
    </row>
  </sheetData>
  <phoneticPr fontId="2" type="noConversion"/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81188C-E030-49BD-9990-589C2C87CD55}">
  <dimension ref="B1:G82"/>
  <sheetViews>
    <sheetView topLeftCell="A63" zoomScaleNormal="100" workbookViewId="0">
      <selection activeCell="B1" sqref="B1:E78"/>
    </sheetView>
  </sheetViews>
  <sheetFormatPr defaultRowHeight="14.25" x14ac:dyDescent="0.2"/>
  <cols>
    <col min="1" max="1" width="2.75" customWidth="1"/>
    <col min="2" max="2" width="15.625" customWidth="1"/>
    <col min="3" max="3" width="43.125" customWidth="1"/>
    <col min="4" max="4" width="32.75" customWidth="1"/>
  </cols>
  <sheetData>
    <row r="1" spans="2:7" ht="17.25" x14ac:dyDescent="0.2">
      <c r="B1" s="5" t="s">
        <v>2078</v>
      </c>
      <c r="G1" t="str">
        <f>"&lt;dl&gt;&lt;dt&gt;" &amp; B1 &amp; "&lt;/dt&gt;&lt;dd&gt;" &amp; C1 &amp; "&lt;/dd&gt;&lt;dd&gt;" &amp; D1 &amp; "&lt;/dd&gt;&lt;/dl&gt;"</f>
        <v>&lt;dl&gt;&lt;dt&gt;一、华盖定义&lt;/dt&gt;&lt;dd&gt;&lt;/dd&gt;&lt;dd&gt;&lt;/dd&gt;&lt;/dl&gt;</v>
      </c>
    </row>
    <row r="3" spans="2:7" x14ac:dyDescent="0.2">
      <c r="B3" s="2" t="s">
        <v>376</v>
      </c>
      <c r="C3" s="2" t="s">
        <v>377</v>
      </c>
      <c r="D3" s="2" t="s">
        <v>21</v>
      </c>
    </row>
    <row r="4" spans="2:7" x14ac:dyDescent="0.2">
      <c r="B4" s="3" t="s">
        <v>624</v>
      </c>
      <c r="C4" s="4" t="s">
        <v>2079</v>
      </c>
      <c r="D4" s="4"/>
    </row>
    <row r="5" spans="2:7" ht="28.5" x14ac:dyDescent="0.2">
      <c r="B5" s="3" t="s">
        <v>378</v>
      </c>
      <c r="C5" s="4" t="s">
        <v>2080</v>
      </c>
      <c r="D5" s="4"/>
    </row>
    <row r="6" spans="2:7" ht="28.5" x14ac:dyDescent="0.2">
      <c r="B6" s="3" t="s">
        <v>1717</v>
      </c>
      <c r="C6" s="4" t="s">
        <v>2081</v>
      </c>
      <c r="D6" s="4"/>
    </row>
    <row r="9" spans="2:7" ht="17.25" x14ac:dyDescent="0.2">
      <c r="B9" s="5" t="s">
        <v>1719</v>
      </c>
    </row>
    <row r="11" spans="2:7" ht="15.75" x14ac:dyDescent="0.2">
      <c r="B11" s="13" t="s">
        <v>1720</v>
      </c>
    </row>
    <row r="13" spans="2:7" x14ac:dyDescent="0.2">
      <c r="B13" s="2" t="s">
        <v>390</v>
      </c>
      <c r="C13" s="2" t="s">
        <v>412</v>
      </c>
      <c r="D13" s="2" t="s">
        <v>413</v>
      </c>
      <c r="E13" s="2" t="s">
        <v>21</v>
      </c>
    </row>
    <row r="14" spans="2:7" ht="28.5" x14ac:dyDescent="0.2">
      <c r="B14" s="3" t="s">
        <v>2082</v>
      </c>
      <c r="C14" s="4" t="s">
        <v>2083</v>
      </c>
      <c r="D14" s="4" t="s">
        <v>2084</v>
      </c>
      <c r="E14" s="4"/>
    </row>
    <row r="15" spans="2:7" ht="28.5" x14ac:dyDescent="0.2">
      <c r="B15" s="3" t="s">
        <v>2085</v>
      </c>
      <c r="C15" s="4" t="s">
        <v>2086</v>
      </c>
      <c r="D15" s="4" t="s">
        <v>2087</v>
      </c>
      <c r="E15" s="4"/>
    </row>
    <row r="16" spans="2:7" ht="28.5" x14ac:dyDescent="0.2">
      <c r="B16" s="3" t="s">
        <v>2088</v>
      </c>
      <c r="C16" s="4" t="s">
        <v>2089</v>
      </c>
      <c r="D16" s="4" t="s">
        <v>2090</v>
      </c>
      <c r="E16" s="4"/>
    </row>
    <row r="17" spans="2:7" ht="28.5" x14ac:dyDescent="0.2">
      <c r="B17" s="3" t="s">
        <v>2091</v>
      </c>
      <c r="C17" s="4" t="s">
        <v>2092</v>
      </c>
      <c r="D17" s="4" t="s">
        <v>2093</v>
      </c>
      <c r="E17" s="4"/>
    </row>
    <row r="18" spans="2:7" ht="28.5" x14ac:dyDescent="0.2">
      <c r="B18" s="3" t="s">
        <v>2094</v>
      </c>
      <c r="C18" s="4" t="s">
        <v>2095</v>
      </c>
      <c r="D18" s="4" t="s">
        <v>2096</v>
      </c>
      <c r="E18" s="4"/>
    </row>
    <row r="21" spans="2:7" ht="17.25" x14ac:dyDescent="0.2">
      <c r="B21" s="5" t="s">
        <v>1733</v>
      </c>
    </row>
    <row r="23" spans="2:7" x14ac:dyDescent="0.2">
      <c r="B23" s="2" t="s">
        <v>18</v>
      </c>
      <c r="C23" s="2" t="s">
        <v>412</v>
      </c>
      <c r="D23" s="2" t="s">
        <v>413</v>
      </c>
      <c r="E23" s="2" t="s">
        <v>21</v>
      </c>
    </row>
    <row r="24" spans="2:7" ht="28.5" x14ac:dyDescent="0.2">
      <c r="B24" s="3" t="s">
        <v>201</v>
      </c>
      <c r="C24" s="4" t="s">
        <v>2097</v>
      </c>
      <c r="D24" s="4" t="s">
        <v>2098</v>
      </c>
      <c r="E24" s="4"/>
      <c r="G24" t="str">
        <f t="shared" ref="G24:G52" si="0">"&lt;dl&gt;&lt;dt&gt;" &amp; B24 &amp; "&lt;/dt&gt;&lt;dd&gt;" &amp; C24 &amp; "&lt;/dd&gt;&lt;dd&gt;" &amp; D24 &amp; "&lt;/dd&gt;&lt;/dl&gt;"</f>
        <v>&lt;dl&gt;&lt;dt&gt;命宫​&lt;/dt&gt;&lt;dd&gt;才华出众，气质清雅，有艺术或宗教天赋，精神世界丰富&lt;/dd&gt;&lt;dd&gt;性格孤傲不合群，一生知音难觅，易有怀才不遇之感&lt;/dd&gt;&lt;/dl&gt;</v>
      </c>
    </row>
    <row r="25" spans="2:7" ht="28.5" x14ac:dyDescent="0.2">
      <c r="B25" s="3" t="s">
        <v>246</v>
      </c>
      <c r="C25" s="4" t="s">
        <v>2099</v>
      </c>
      <c r="D25" s="4" t="s">
        <v>2100</v>
      </c>
      <c r="E25" s="4"/>
      <c r="G25" t="str">
        <f t="shared" si="0"/>
        <v>&lt;dl&gt;&lt;dt&gt;兄弟宫​&lt;/dt&gt;&lt;dd&gt;兄弟姐妹中有才华特异或从事艺术、宗教者，精神交流多&lt;/dd&gt;&lt;dd&gt;与兄弟姐妹缘薄，思想难以沟通，各自孤高&lt;/dd&gt;&lt;/dl&gt;</v>
      </c>
    </row>
    <row r="26" spans="2:7" ht="28.5" x14ac:dyDescent="0.2">
      <c r="B26" s="3" t="s">
        <v>125</v>
      </c>
      <c r="C26" s="4" t="s">
        <v>2101</v>
      </c>
      <c r="D26" s="4" t="s">
        <v>2102</v>
      </c>
      <c r="E26" s="4"/>
      <c r="G26" t="str">
        <f t="shared" si="0"/>
        <v>&lt;dl&gt;&lt;dt&gt;夫妻宫​&lt;/dt&gt;&lt;dd&gt;配偶有艺术气质或精神追求，是灵魂伴侣，重精神交流&lt;/dd&gt;&lt;dd&gt;配偶性格孤僻，或双方精神世界难以交融，感情疏离&lt;/dd&gt;&lt;/dl&gt;</v>
      </c>
    </row>
    <row r="27" spans="2:7" ht="28.5" x14ac:dyDescent="0.2">
      <c r="B27" s="3" t="s">
        <v>128</v>
      </c>
      <c r="C27" s="4" t="s">
        <v>2103</v>
      </c>
      <c r="D27" s="4" t="s">
        <v>2104</v>
      </c>
      <c r="E27" s="4"/>
      <c r="G27" t="str">
        <f t="shared" si="0"/>
        <v>&lt;dl&gt;&lt;dt&gt;子女宫​&lt;/dt&gt;&lt;dd&gt;子女聪明有特殊才艺，或思想早熟；下属、学生有才华&lt;/dd&gt;&lt;dd&gt;子女难管教，思想叛逆；与下属、学生关系冷淡&lt;/dd&gt;&lt;/dl&gt;</v>
      </c>
    </row>
    <row r="28" spans="2:7" ht="28.5" x14ac:dyDescent="0.2">
      <c r="B28" s="3" t="s">
        <v>3</v>
      </c>
      <c r="C28" s="4" t="s">
        <v>2105</v>
      </c>
      <c r="D28" s="4" t="s">
        <v>2106</v>
      </c>
      <c r="E28" s="4"/>
      <c r="G28" t="str">
        <f t="shared" si="0"/>
        <v>&lt;dl&gt;&lt;dt&gt;财帛宫​&lt;/dt&gt;&lt;dd&gt;凭特殊才华、技艺赚钱，收入来自艺术、咨询、宗教等行业&lt;/dd&gt;&lt;dd&gt;赚钱方式独特但不稳定，不善理财，易因清高失财&lt;/dd&gt;&lt;/dl&gt;</v>
      </c>
    </row>
    <row r="29" spans="2:7" ht="28.5" x14ac:dyDescent="0.2">
      <c r="B29" s="3" t="s">
        <v>6</v>
      </c>
      <c r="C29" s="4" t="s">
        <v>2107</v>
      </c>
      <c r="D29" s="4" t="s">
        <v>2108</v>
      </c>
      <c r="E29" s="4"/>
      <c r="G29" t="str">
        <f t="shared" si="0"/>
        <v>&lt;dl&gt;&lt;dt&gt;疾厄宫​&lt;/dt&gt;&lt;dd&gt;气质病（如文艺青年的忧郁气质），或患有需要静心调养的慢性病&lt;/dd&gt;&lt;dd&gt;患有孤僻症、自闭倾向，或病因与精神心理高度相关&lt;/dd&gt;&lt;/dl&gt;</v>
      </c>
    </row>
    <row r="30" spans="2:7" ht="28.5" x14ac:dyDescent="0.2">
      <c r="B30" s="3" t="s">
        <v>15</v>
      </c>
      <c r="C30" s="4" t="s">
        <v>2109</v>
      </c>
      <c r="D30" s="4" t="s">
        <v>2110</v>
      </c>
      <c r="E30" s="4"/>
    </row>
    <row r="31" spans="2:7" ht="28.5" x14ac:dyDescent="0.2">
      <c r="B31" s="3" t="s">
        <v>12</v>
      </c>
      <c r="C31" s="4" t="s">
        <v>2111</v>
      </c>
      <c r="D31" s="4" t="s">
        <v>2112</v>
      </c>
      <c r="E31" s="4"/>
    </row>
    <row r="32" spans="2:7" ht="28.5" x14ac:dyDescent="0.2">
      <c r="B32" s="3" t="s">
        <v>206</v>
      </c>
      <c r="C32" s="4" t="s">
        <v>2113</v>
      </c>
      <c r="D32" s="4" t="s">
        <v>2114</v>
      </c>
      <c r="E32" s="4"/>
    </row>
    <row r="33" spans="2:7" ht="28.5" x14ac:dyDescent="0.2">
      <c r="B33" s="3" t="s">
        <v>0</v>
      </c>
      <c r="C33" s="4" t="s">
        <v>2115</v>
      </c>
      <c r="D33" s="4" t="s">
        <v>2116</v>
      </c>
      <c r="E33" s="4"/>
    </row>
    <row r="34" spans="2:7" ht="28.5" x14ac:dyDescent="0.2">
      <c r="B34" s="3" t="s">
        <v>116</v>
      </c>
      <c r="C34" s="4" t="s">
        <v>2117</v>
      </c>
      <c r="D34" s="4" t="s">
        <v>2118</v>
      </c>
      <c r="E34" s="4"/>
    </row>
    <row r="35" spans="2:7" ht="28.5" x14ac:dyDescent="0.2">
      <c r="B35" s="3" t="s">
        <v>9</v>
      </c>
      <c r="C35" s="4" t="s">
        <v>2119</v>
      </c>
      <c r="D35" s="4" t="s">
        <v>2120</v>
      </c>
      <c r="E35" s="4"/>
      <c r="G35" t="str">
        <f t="shared" si="0"/>
        <v>&lt;dl&gt;&lt;dt&gt;父母宫​&lt;/dt&gt;&lt;dd&gt;父母有艺术修养或宗教信仰，给予精神层面的引导&lt;/dd&gt;&lt;dd&gt;与父母有代沟，难以获得理解，或父母性格孤僻&lt;/dd&gt;&lt;/dl&gt;</v>
      </c>
    </row>
    <row r="36" spans="2:7" x14ac:dyDescent="0.2">
      <c r="G36" t="str">
        <f t="shared" si="0"/>
        <v>&lt;dl&gt;&lt;dt&gt;&lt;/dt&gt;&lt;dd&gt;&lt;/dd&gt;&lt;dd&gt;&lt;/dd&gt;&lt;/dl&gt;</v>
      </c>
    </row>
    <row r="37" spans="2:7" x14ac:dyDescent="0.2">
      <c r="G37" t="str">
        <f t="shared" si="0"/>
        <v>&lt;dl&gt;&lt;dt&gt;&lt;/dt&gt;&lt;dd&gt;&lt;/dd&gt;&lt;dd&gt;&lt;/dd&gt;&lt;/dl&gt;</v>
      </c>
    </row>
    <row r="38" spans="2:7" ht="17.25" x14ac:dyDescent="0.2">
      <c r="B38" s="5" t="s">
        <v>734</v>
      </c>
      <c r="G38" t="str">
        <f t="shared" si="0"/>
        <v>&lt;dl&gt;&lt;dt&gt;四、主星组合象义&lt;/dt&gt;&lt;dd&gt;&lt;/dd&gt;&lt;dd&gt;&lt;/dd&gt;&lt;/dl&gt;</v>
      </c>
    </row>
    <row r="39" spans="2:7" x14ac:dyDescent="0.2">
      <c r="G39" t="str">
        <f t="shared" si="0"/>
        <v>&lt;dl&gt;&lt;dt&gt;&lt;/dt&gt;&lt;dd&gt;&lt;/dd&gt;&lt;dd&gt;&lt;/dd&gt;&lt;/dl&gt;</v>
      </c>
    </row>
    <row r="40" spans="2:7" ht="15.75" x14ac:dyDescent="0.2">
      <c r="B40" s="13" t="s">
        <v>2121</v>
      </c>
      <c r="G40" t="str">
        <f t="shared" si="0"/>
        <v>&lt;dl&gt;&lt;dt&gt;1. 吉象组合（才华彰显）&lt;/dt&gt;&lt;dd&gt;&lt;/dd&gt;&lt;dd&gt;&lt;/dd&gt;&lt;/dl&gt;</v>
      </c>
    </row>
    <row r="41" spans="2:7" x14ac:dyDescent="0.2">
      <c r="G41" t="str">
        <f t="shared" si="0"/>
        <v>&lt;dl&gt;&lt;dt&gt;&lt;/dt&gt;&lt;dd&gt;&lt;/dd&gt;&lt;dd&gt;&lt;/dd&gt;&lt;/dl&gt;</v>
      </c>
    </row>
    <row r="42" spans="2:7" x14ac:dyDescent="0.2">
      <c r="B42" s="2" t="s">
        <v>71</v>
      </c>
      <c r="C42" s="2" t="s">
        <v>1047</v>
      </c>
      <c r="D42" s="2" t="s">
        <v>73</v>
      </c>
      <c r="E42" s="2" t="s">
        <v>21</v>
      </c>
      <c r="G42" t="str">
        <f t="shared" si="0"/>
        <v>&lt;dl&gt;&lt;dt&gt;组合​&lt;/dt&gt;&lt;dd&gt;效应​&lt;/dd&gt;&lt;dd&gt;典型案例​&lt;/dd&gt;&lt;/dl&gt;</v>
      </c>
    </row>
    <row r="43" spans="2:7" x14ac:dyDescent="0.2">
      <c r="B43" s="3" t="s">
        <v>2122</v>
      </c>
      <c r="C43" s="4" t="s">
        <v>2123</v>
      </c>
      <c r="D43" s="4" t="s">
        <v>2124</v>
      </c>
      <c r="E43" s="4"/>
      <c r="G43" t="str">
        <f t="shared" si="0"/>
        <v>&lt;dl&gt;&lt;dt&gt;华盖+紫微​&lt;/dt&gt;&lt;dd&gt;帝王之下的孤高才华，能成为行业权威、艺术大师&lt;/dd&gt;&lt;dd&gt;宫廷艺术家、学术泰斗、大型宗教领袖&lt;/dd&gt;&lt;/dl&gt;</v>
      </c>
    </row>
    <row r="44" spans="2:7" ht="28.5" x14ac:dyDescent="0.2">
      <c r="B44" s="3" t="s">
        <v>2125</v>
      </c>
      <c r="C44" s="4" t="s">
        <v>2126</v>
      </c>
      <c r="D44" s="4" t="s">
        <v>2127</v>
      </c>
      <c r="E44" s="4"/>
    </row>
    <row r="45" spans="2:7" ht="28.5" x14ac:dyDescent="0.2">
      <c r="B45" s="3" t="s">
        <v>2128</v>
      </c>
      <c r="C45" s="4" t="s">
        <v>2129</v>
      </c>
      <c r="D45" s="4" t="s">
        <v>2130</v>
      </c>
      <c r="E45" s="4"/>
    </row>
    <row r="46" spans="2:7" x14ac:dyDescent="0.2">
      <c r="B46" s="3" t="s">
        <v>2131</v>
      </c>
      <c r="C46" s="4" t="s">
        <v>2132</v>
      </c>
      <c r="D46" s="4" t="s">
        <v>2133</v>
      </c>
      <c r="E46" s="4"/>
    </row>
    <row r="47" spans="2:7" ht="28.5" x14ac:dyDescent="0.2">
      <c r="B47" s="3" t="s">
        <v>2134</v>
      </c>
      <c r="C47" s="4" t="s">
        <v>2135</v>
      </c>
      <c r="D47" s="4" t="s">
        <v>2136</v>
      </c>
      <c r="E47" s="4"/>
    </row>
    <row r="49" spans="2:7" ht="15.75" x14ac:dyDescent="0.2">
      <c r="B49" s="13" t="s">
        <v>2137</v>
      </c>
      <c r="G49" t="str">
        <f t="shared" si="0"/>
        <v>&lt;dl&gt;&lt;dt&gt;2. 凶象组合（孤性加重）&lt;/dt&gt;&lt;dd&gt;&lt;/dd&gt;&lt;dd&gt;&lt;/dd&gt;&lt;/dl&gt;</v>
      </c>
    </row>
    <row r="50" spans="2:7" x14ac:dyDescent="0.2">
      <c r="G50" t="str">
        <f t="shared" si="0"/>
        <v>&lt;dl&gt;&lt;dt&gt;&lt;/dt&gt;&lt;dd&gt;&lt;/dd&gt;&lt;dd&gt;&lt;/dd&gt;&lt;/dl&gt;</v>
      </c>
    </row>
    <row r="51" spans="2:7" x14ac:dyDescent="0.2">
      <c r="B51" s="2" t="s">
        <v>71</v>
      </c>
      <c r="C51" s="2" t="s">
        <v>1047</v>
      </c>
      <c r="D51" s="2" t="s">
        <v>73</v>
      </c>
      <c r="E51" s="2" t="s">
        <v>21</v>
      </c>
      <c r="G51" t="str">
        <f t="shared" si="0"/>
        <v>&lt;dl&gt;&lt;dt&gt;组合​&lt;/dt&gt;&lt;dd&gt;效应​&lt;/dd&gt;&lt;dd&gt;典型案例​&lt;/dd&gt;&lt;/dl&gt;</v>
      </c>
    </row>
    <row r="52" spans="2:7" ht="28.5" x14ac:dyDescent="0.2">
      <c r="B52" s="3" t="s">
        <v>2138</v>
      </c>
      <c r="C52" s="4" t="s">
        <v>2139</v>
      </c>
      <c r="D52" s="4" t="s">
        <v>2140</v>
      </c>
      <c r="E52" s="4"/>
      <c r="G52" t="str">
        <f t="shared" si="0"/>
        <v>&lt;dl&gt;&lt;dt&gt;华盖+七杀​&lt;/dt&gt;&lt;dd&gt;才华带杀气，风格强烈叛逆，易引发争议，孤独奋战&lt;/dd&gt;&lt;dd&gt;行为艺术家、颠覆传统的革命性思想家&lt;/dd&gt;&lt;/dl&gt;</v>
      </c>
    </row>
    <row r="53" spans="2:7" ht="28.5" x14ac:dyDescent="0.2">
      <c r="B53" s="3" t="s">
        <v>2141</v>
      </c>
      <c r="C53" s="4" t="s">
        <v>2142</v>
      </c>
      <c r="D53" s="4" t="s">
        <v>2143</v>
      </c>
      <c r="E53" s="4"/>
    </row>
    <row r="54" spans="2:7" ht="28.5" x14ac:dyDescent="0.2">
      <c r="B54" s="3" t="s">
        <v>2144</v>
      </c>
      <c r="C54" s="4" t="s">
        <v>2145</v>
      </c>
      <c r="D54" s="4" t="s">
        <v>2146</v>
      </c>
      <c r="E54" s="4"/>
    </row>
    <row r="55" spans="2:7" ht="28.5" x14ac:dyDescent="0.2">
      <c r="B55" s="3" t="s">
        <v>2147</v>
      </c>
      <c r="C55" s="4" t="s">
        <v>2148</v>
      </c>
      <c r="D55" s="4" t="s">
        <v>2149</v>
      </c>
      <c r="E55" s="4"/>
    </row>
    <row r="56" spans="2:7" ht="28.5" x14ac:dyDescent="0.2">
      <c r="B56" s="3" t="s">
        <v>2150</v>
      </c>
      <c r="C56" s="4" t="s">
        <v>2151</v>
      </c>
      <c r="D56" s="4" t="s">
        <v>2152</v>
      </c>
      <c r="E56" s="4"/>
    </row>
    <row r="59" spans="2:7" ht="17.25" x14ac:dyDescent="0.2">
      <c r="B59" s="5" t="s">
        <v>746</v>
      </c>
    </row>
    <row r="61" spans="2:7" x14ac:dyDescent="0.2">
      <c r="B61" s="2" t="s">
        <v>40</v>
      </c>
      <c r="C61" s="2" t="s">
        <v>427</v>
      </c>
      <c r="D61" s="2" t="s">
        <v>428</v>
      </c>
      <c r="E61" s="2" t="s">
        <v>21</v>
      </c>
    </row>
    <row r="62" spans="2:7" ht="28.5" x14ac:dyDescent="0.2">
      <c r="B62" s="3" t="s">
        <v>2153</v>
      </c>
      <c r="C62" s="4" t="s">
        <v>2154</v>
      </c>
      <c r="D62" s="4" t="s">
        <v>2155</v>
      </c>
      <c r="E62" s="4"/>
    </row>
    <row r="63" spans="2:7" ht="28.5" x14ac:dyDescent="0.2">
      <c r="B63" s="3" t="s">
        <v>2156</v>
      </c>
      <c r="C63" s="4" t="s">
        <v>2157</v>
      </c>
      <c r="D63" s="4" t="s">
        <v>2158</v>
      </c>
      <c r="E63" s="4"/>
    </row>
    <row r="64" spans="2:7" ht="28.5" x14ac:dyDescent="0.2">
      <c r="B64" s="3" t="s">
        <v>2159</v>
      </c>
      <c r="C64" s="4" t="s">
        <v>2160</v>
      </c>
      <c r="D64" s="4" t="s">
        <v>2161</v>
      </c>
      <c r="E64" s="4"/>
    </row>
    <row r="65" spans="2:5" ht="28.5" x14ac:dyDescent="0.2">
      <c r="B65" s="3" t="s">
        <v>2162</v>
      </c>
      <c r="C65" s="4" t="s">
        <v>2163</v>
      </c>
      <c r="D65" s="4" t="s">
        <v>2164</v>
      </c>
      <c r="E65" s="4"/>
    </row>
    <row r="66" spans="2:5" ht="28.5" x14ac:dyDescent="0.2">
      <c r="B66" s="3" t="s">
        <v>2165</v>
      </c>
      <c r="C66" s="4" t="s">
        <v>2166</v>
      </c>
      <c r="D66" s="4" t="s">
        <v>2167</v>
      </c>
      <c r="E66" s="4"/>
    </row>
    <row r="67" spans="2:5" ht="28.5" x14ac:dyDescent="0.2">
      <c r="B67" s="3" t="s">
        <v>2168</v>
      </c>
      <c r="C67" s="4" t="s">
        <v>2169</v>
      </c>
      <c r="D67" s="4" t="s">
        <v>2170</v>
      </c>
      <c r="E67" s="4"/>
    </row>
    <row r="68" spans="2:5" ht="28.5" x14ac:dyDescent="0.2">
      <c r="B68" s="3" t="s">
        <v>2171</v>
      </c>
      <c r="C68" s="4" t="s">
        <v>2172</v>
      </c>
      <c r="D68" s="4" t="s">
        <v>2173</v>
      </c>
      <c r="E68" s="4"/>
    </row>
    <row r="69" spans="2:5" x14ac:dyDescent="0.2">
      <c r="B69" s="3" t="s">
        <v>2174</v>
      </c>
      <c r="C69" s="4" t="s">
        <v>2175</v>
      </c>
      <c r="D69" s="4" t="s">
        <v>2176</v>
      </c>
      <c r="E69" s="4"/>
    </row>
    <row r="70" spans="2:5" ht="28.5" x14ac:dyDescent="0.2">
      <c r="B70" s="3" t="s">
        <v>2177</v>
      </c>
      <c r="C70" s="4" t="s">
        <v>2178</v>
      </c>
      <c r="D70" s="4" t="s">
        <v>2179</v>
      </c>
      <c r="E70" s="4"/>
    </row>
    <row r="73" spans="2:5" ht="17.25" x14ac:dyDescent="0.2">
      <c r="B73" s="5" t="s">
        <v>1805</v>
      </c>
    </row>
    <row r="74" spans="2:5" x14ac:dyDescent="0.2">
      <c r="B74" s="6"/>
    </row>
    <row r="75" spans="2:5" x14ac:dyDescent="0.2">
      <c r="B75" s="7" t="s">
        <v>2180</v>
      </c>
    </row>
    <row r="76" spans="2:5" x14ac:dyDescent="0.2">
      <c r="B76" s="7" t="s">
        <v>2181</v>
      </c>
    </row>
    <row r="77" spans="2:5" x14ac:dyDescent="0.2">
      <c r="B77" s="7" t="s">
        <v>2182</v>
      </c>
    </row>
    <row r="78" spans="2:5" x14ac:dyDescent="0.2">
      <c r="B78" s="7" t="s">
        <v>2183</v>
      </c>
    </row>
    <row r="80" spans="2:5" x14ac:dyDescent="0.2">
      <c r="B80" s="16"/>
    </row>
    <row r="81" spans="2:2" x14ac:dyDescent="0.2">
      <c r="B81" s="6"/>
    </row>
    <row r="82" spans="2:2" x14ac:dyDescent="0.2">
      <c r="B82" s="6"/>
    </row>
  </sheetData>
  <phoneticPr fontId="2" type="noConversion"/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CD9FF5-EF0E-4382-9B26-E0BEA0DF8F99}">
  <dimension ref="B1:G82"/>
  <sheetViews>
    <sheetView zoomScaleNormal="100" workbookViewId="0">
      <selection activeCell="B1" sqref="B1:D79"/>
    </sheetView>
  </sheetViews>
  <sheetFormatPr defaultRowHeight="14.25" x14ac:dyDescent="0.2"/>
  <cols>
    <col min="1" max="1" width="2.75" customWidth="1"/>
    <col min="2" max="2" width="15.625" customWidth="1"/>
    <col min="3" max="3" width="43.125" customWidth="1"/>
    <col min="4" max="4" width="32.75" customWidth="1"/>
  </cols>
  <sheetData>
    <row r="1" spans="2:7" ht="17.25" x14ac:dyDescent="0.2">
      <c r="B1" s="5" t="s">
        <v>2184</v>
      </c>
      <c r="G1" t="str">
        <f>"&lt;dl&gt;&lt;dt&gt;" &amp; B1 &amp; "&lt;/dt&gt;&lt;dd&gt;" &amp; C1 &amp; "&lt;/dd&gt;&lt;dd&gt;" &amp; D1 &amp; "&lt;/dd&gt;&lt;/dl&gt;"</f>
        <v>&lt;dl&gt;&lt;dt&gt;一、大耗定义&lt;/dt&gt;&lt;dd&gt;&lt;/dd&gt;&lt;dd&gt;&lt;/dd&gt;&lt;/dl&gt;</v>
      </c>
    </row>
    <row r="3" spans="2:7" x14ac:dyDescent="0.2">
      <c r="B3" s="2" t="s">
        <v>376</v>
      </c>
      <c r="C3" s="2" t="s">
        <v>377</v>
      </c>
      <c r="D3" s="2" t="s">
        <v>21</v>
      </c>
    </row>
    <row r="4" spans="2:7" x14ac:dyDescent="0.2">
      <c r="B4" s="3" t="s">
        <v>624</v>
      </c>
      <c r="C4" s="4" t="s">
        <v>2185</v>
      </c>
      <c r="D4" s="4"/>
    </row>
    <row r="5" spans="2:7" ht="28.5" x14ac:dyDescent="0.2">
      <c r="B5" s="3" t="s">
        <v>378</v>
      </c>
      <c r="C5" s="4" t="s">
        <v>2186</v>
      </c>
      <c r="D5" s="4"/>
    </row>
    <row r="6" spans="2:7" ht="28.5" x14ac:dyDescent="0.2">
      <c r="B6" s="3" t="s">
        <v>1717</v>
      </c>
      <c r="C6" s="4" t="s">
        <v>2187</v>
      </c>
      <c r="D6" s="4"/>
    </row>
    <row r="9" spans="2:7" ht="17.25" x14ac:dyDescent="0.2">
      <c r="B9" s="5" t="s">
        <v>1719</v>
      </c>
    </row>
    <row r="11" spans="2:7" ht="15.75" x14ac:dyDescent="0.2">
      <c r="B11" s="13" t="s">
        <v>1720</v>
      </c>
    </row>
    <row r="13" spans="2:7" x14ac:dyDescent="0.2">
      <c r="B13" s="2" t="s">
        <v>390</v>
      </c>
      <c r="C13" s="2" t="s">
        <v>1818</v>
      </c>
      <c r="D13" s="2" t="s">
        <v>1819</v>
      </c>
    </row>
    <row r="14" spans="2:7" x14ac:dyDescent="0.2">
      <c r="B14" s="3" t="s">
        <v>2188</v>
      </c>
      <c r="C14" s="4" t="s">
        <v>2189</v>
      </c>
      <c r="D14" s="4" t="s">
        <v>2190</v>
      </c>
    </row>
    <row r="15" spans="2:7" ht="28.5" x14ac:dyDescent="0.2">
      <c r="B15" s="3" t="s">
        <v>2191</v>
      </c>
      <c r="C15" s="4" t="s">
        <v>2192</v>
      </c>
      <c r="D15" s="4" t="s">
        <v>2193</v>
      </c>
    </row>
    <row r="16" spans="2:7" ht="28.5" x14ac:dyDescent="0.2">
      <c r="B16" s="3" t="s">
        <v>2194</v>
      </c>
      <c r="C16" s="4" t="s">
        <v>2195</v>
      </c>
      <c r="D16" s="4" t="s">
        <v>2196</v>
      </c>
    </row>
    <row r="17" spans="2:7" ht="28.5" x14ac:dyDescent="0.2">
      <c r="B17" s="3" t="s">
        <v>2197</v>
      </c>
      <c r="C17" s="4" t="s">
        <v>2198</v>
      </c>
      <c r="D17" s="4" t="s">
        <v>2199</v>
      </c>
    </row>
    <row r="18" spans="2:7" x14ac:dyDescent="0.2">
      <c r="B18" s="3" t="s">
        <v>2200</v>
      </c>
      <c r="C18" s="4" t="s">
        <v>2201</v>
      </c>
      <c r="D18" s="4" t="s">
        <v>2202</v>
      </c>
    </row>
    <row r="21" spans="2:7" ht="17.25" x14ac:dyDescent="0.2">
      <c r="B21" s="5" t="s">
        <v>1733</v>
      </c>
    </row>
    <row r="22" spans="2:7" ht="15" thickBot="1" x14ac:dyDescent="0.25"/>
    <row r="23" spans="2:7" ht="16.5" thickBot="1" x14ac:dyDescent="0.25">
      <c r="B23" s="2" t="s">
        <v>18</v>
      </c>
      <c r="C23" s="2" t="s">
        <v>1818</v>
      </c>
      <c r="D23" s="2" t="s">
        <v>21</v>
      </c>
      <c r="E23" s="12"/>
    </row>
    <row r="24" spans="2:7" ht="29.25" thickBot="1" x14ac:dyDescent="0.25">
      <c r="B24" s="3" t="s">
        <v>201</v>
      </c>
      <c r="C24" s="4" t="s">
        <v>2203</v>
      </c>
      <c r="D24" s="4"/>
      <c r="E24" s="15"/>
      <c r="G24" t="str">
        <f t="shared" ref="G24:G52" si="0">"&lt;dl&gt;&lt;dt&gt;" &amp; B24 &amp; "&lt;/dt&gt;&lt;dd&gt;" &amp; C24 &amp; "&lt;/dd&gt;&lt;dd&gt;" &amp; D24 &amp; "&lt;/dd&gt;&lt;/dl&gt;"</f>
        <v>&lt;dl&gt;&lt;dt&gt;命宫​&lt;/dt&gt;&lt;dd&gt;一生钱财消耗大，易因大事破财；体质易虚耗，需防元气损伤。&lt;/dd&gt;&lt;dd&gt;&lt;/dd&gt;&lt;/dl&gt;</v>
      </c>
    </row>
    <row r="25" spans="2:7" ht="29.25" thickBot="1" x14ac:dyDescent="0.25">
      <c r="B25" s="3" t="s">
        <v>246</v>
      </c>
      <c r="C25" s="4" t="s">
        <v>2204</v>
      </c>
      <c r="D25" s="4"/>
      <c r="E25" s="15"/>
      <c r="G25" t="str">
        <f t="shared" si="0"/>
        <v>&lt;dl&gt;&lt;dt&gt;兄弟宫​&lt;/dt&gt;&lt;dd&gt;兄弟姐妹间有大的财务纠纷或拖累；在团队中易因队友造成大损失。&lt;/dd&gt;&lt;dd&gt;&lt;/dd&gt;&lt;/dl&gt;</v>
      </c>
    </row>
    <row r="26" spans="2:7" ht="29.25" thickBot="1" x14ac:dyDescent="0.25">
      <c r="B26" s="3" t="s">
        <v>125</v>
      </c>
      <c r="C26" s="4" t="s">
        <v>2205</v>
      </c>
      <c r="D26" s="4"/>
      <c r="E26" s="15"/>
      <c r="G26" t="str">
        <f t="shared" si="0"/>
        <v>&lt;dl&gt;&lt;dt&gt;夫妻宫​&lt;/dt&gt;&lt;dd&gt;婚姻导致财产重大损失（如离婚析产）；配偶有破大财的倾向。&lt;/dd&gt;&lt;dd&gt;&lt;/dd&gt;&lt;/dl&gt;</v>
      </c>
    </row>
    <row r="27" spans="2:7" ht="29.25" thickBot="1" x14ac:dyDescent="0.25">
      <c r="B27" s="3" t="s">
        <v>128</v>
      </c>
      <c r="C27" s="4" t="s">
        <v>2206</v>
      </c>
      <c r="D27" s="4"/>
      <c r="E27" s="15"/>
      <c r="G27" t="str">
        <f t="shared" si="0"/>
        <v>&lt;dl&gt;&lt;dt&gt;子女宫​&lt;/dt&gt;&lt;dd&gt;子女花费巨大（如留学、重病）；因投资、投机造成严重亏损。&lt;/dd&gt;&lt;dd&gt;&lt;/dd&gt;&lt;/dl&gt;</v>
      </c>
    </row>
    <row r="28" spans="2:7" ht="29.25" thickBot="1" x14ac:dyDescent="0.25">
      <c r="B28" s="3" t="s">
        <v>3</v>
      </c>
      <c r="C28" s="3" t="s">
        <v>2207</v>
      </c>
      <c r="D28" s="4"/>
      <c r="E28" s="15"/>
      <c r="G28" t="str">
        <f t="shared" si="0"/>
        <v>&lt;dl&gt;&lt;dt&gt;财帛宫​&lt;/dt&gt;&lt;dd&gt;核心宫位。钱财进出数额大但存不住，易有意外的大笔支出或损失。&lt;/dd&gt;&lt;dd&gt;&lt;/dd&gt;&lt;/dl&gt;</v>
      </c>
    </row>
    <row r="29" spans="2:7" ht="29.25" thickBot="1" x14ac:dyDescent="0.25">
      <c r="B29" s="3" t="s">
        <v>6</v>
      </c>
      <c r="C29" s="4" t="s">
        <v>2208</v>
      </c>
      <c r="D29" s="4"/>
      <c r="E29" s="15"/>
      <c r="G29" t="str">
        <f t="shared" si="0"/>
        <v>&lt;dl&gt;&lt;dt&gt;疾厄宫​&lt;/dt&gt;&lt;dd&gt;大病、大手术导致身体元气严重耗损；患有消耗性疾病（如糖尿病、结核）。&lt;/dd&gt;&lt;dd&gt;&lt;/dd&gt;&lt;/dl&gt;</v>
      </c>
    </row>
    <row r="30" spans="2:7" ht="28.5" x14ac:dyDescent="0.2">
      <c r="B30" s="3" t="s">
        <v>15</v>
      </c>
      <c r="C30" s="4" t="s">
        <v>2209</v>
      </c>
      <c r="D30" s="4"/>
    </row>
    <row r="31" spans="2:7" ht="28.5" x14ac:dyDescent="0.2">
      <c r="B31" s="3" t="s">
        <v>12</v>
      </c>
      <c r="C31" s="4" t="s">
        <v>2210</v>
      </c>
      <c r="D31" s="4"/>
    </row>
    <row r="32" spans="2:7" ht="28.5" x14ac:dyDescent="0.2">
      <c r="B32" s="3" t="s">
        <v>206</v>
      </c>
      <c r="C32" s="4" t="s">
        <v>2211</v>
      </c>
      <c r="D32" s="4"/>
    </row>
    <row r="33" spans="2:7" ht="29.25" thickBot="1" x14ac:dyDescent="0.25">
      <c r="B33" s="3" t="s">
        <v>0</v>
      </c>
      <c r="C33" s="4" t="s">
        <v>2212</v>
      </c>
      <c r="D33" s="4"/>
    </row>
    <row r="34" spans="2:7" ht="29.25" thickBot="1" x14ac:dyDescent="0.25">
      <c r="B34" s="3" t="s">
        <v>116</v>
      </c>
      <c r="C34" s="4" t="s">
        <v>2213</v>
      </c>
      <c r="D34" s="4"/>
      <c r="E34" s="12"/>
    </row>
    <row r="35" spans="2:7" ht="29.25" thickBot="1" x14ac:dyDescent="0.25">
      <c r="B35" s="3" t="s">
        <v>9</v>
      </c>
      <c r="C35" s="4" t="s">
        <v>2214</v>
      </c>
      <c r="D35" s="4"/>
      <c r="E35" s="15"/>
      <c r="G35" t="str">
        <f t="shared" si="0"/>
        <v>&lt;dl&gt;&lt;dt&gt;父母宫​&lt;/dt&gt;&lt;dd&gt;父母破大财或家业衰败；继承遗产时发现巨大债务或漏洞。&lt;/dd&gt;&lt;dd&gt;&lt;/dd&gt;&lt;/dl&gt;</v>
      </c>
    </row>
    <row r="36" spans="2:7" ht="16.5" thickBot="1" x14ac:dyDescent="0.25">
      <c r="E36" s="15"/>
      <c r="G36" t="str">
        <f t="shared" si="0"/>
        <v>&lt;dl&gt;&lt;dt&gt;&lt;/dt&gt;&lt;dd&gt;&lt;/dd&gt;&lt;dd&gt;&lt;/dd&gt;&lt;/dl&gt;</v>
      </c>
    </row>
    <row r="37" spans="2:7" ht="16.5" thickBot="1" x14ac:dyDescent="0.25">
      <c r="E37" s="15"/>
      <c r="G37" t="str">
        <f t="shared" si="0"/>
        <v>&lt;dl&gt;&lt;dt&gt;&lt;/dt&gt;&lt;dd&gt;&lt;/dd&gt;&lt;dd&gt;&lt;/dd&gt;&lt;/dl&gt;</v>
      </c>
    </row>
    <row r="38" spans="2:7" ht="18" thickBot="1" x14ac:dyDescent="0.25">
      <c r="B38" s="5" t="s">
        <v>734</v>
      </c>
      <c r="E38" s="15"/>
      <c r="G38" t="str">
        <f t="shared" si="0"/>
        <v>&lt;dl&gt;&lt;dt&gt;四、主星组合象义&lt;/dt&gt;&lt;dd&gt;&lt;/dd&gt;&lt;dd&gt;&lt;/dd&gt;&lt;/dl&gt;</v>
      </c>
    </row>
    <row r="39" spans="2:7" ht="16.5" thickBot="1" x14ac:dyDescent="0.25">
      <c r="E39" s="15"/>
      <c r="G39" t="str">
        <f t="shared" si="0"/>
        <v>&lt;dl&gt;&lt;dt&gt;&lt;/dt&gt;&lt;dd&gt;&lt;/dd&gt;&lt;dd&gt;&lt;/dd&gt;&lt;/dl&gt;</v>
      </c>
    </row>
    <row r="40" spans="2:7" ht="16.5" thickBot="1" x14ac:dyDescent="0.25">
      <c r="B40" s="13" t="s">
        <v>2215</v>
      </c>
      <c r="E40" s="15"/>
      <c r="G40" t="str">
        <f t="shared" si="0"/>
        <v>&lt;dl&gt;&lt;dt&gt;1. 强化消耗性质组合&lt;/dt&gt;&lt;dd&gt;&lt;/dd&gt;&lt;dd&gt;&lt;/dd&gt;&lt;/dl&gt;</v>
      </c>
    </row>
    <row r="41" spans="2:7" ht="16.5" thickBot="1" x14ac:dyDescent="0.25">
      <c r="E41" s="15"/>
      <c r="G41" t="str">
        <f t="shared" si="0"/>
        <v>&lt;dl&gt;&lt;dt&gt;&lt;/dt&gt;&lt;dd&gt;&lt;/dd&gt;&lt;dd&gt;&lt;/dd&gt;&lt;/dl&gt;</v>
      </c>
    </row>
    <row r="42" spans="2:7" ht="16.5" thickBot="1" x14ac:dyDescent="0.25">
      <c r="B42" s="2" t="s">
        <v>71</v>
      </c>
      <c r="C42" s="2" t="s">
        <v>1047</v>
      </c>
      <c r="D42" s="2" t="s">
        <v>73</v>
      </c>
      <c r="E42" s="15"/>
      <c r="G42" t="str">
        <f t="shared" si="0"/>
        <v>&lt;dl&gt;&lt;dt&gt;组合​&lt;/dt&gt;&lt;dd&gt;效应​&lt;/dd&gt;&lt;dd&gt;典型案例​&lt;/dd&gt;&lt;/dl&gt;</v>
      </c>
    </row>
    <row r="43" spans="2:7" ht="29.25" thickBot="1" x14ac:dyDescent="0.25">
      <c r="B43" s="3" t="s">
        <v>2216</v>
      </c>
      <c r="C43" s="4" t="s">
        <v>2217</v>
      </c>
      <c r="D43" s="4" t="s">
        <v>2218</v>
      </c>
      <c r="E43" s="15"/>
      <c r="G43" t="str">
        <f t="shared" si="0"/>
        <v>&lt;dl&gt;&lt;dt&gt;大耗+破军​&lt;/dt&gt;&lt;dd&gt;破坏性、颠覆性的大损失。如破产、推倒重来式的投资失败。&lt;/dd&gt;&lt;dd&gt;创业失败，负债累累。&lt;/dd&gt;&lt;/dl&gt;</v>
      </c>
    </row>
    <row r="44" spans="2:7" ht="28.5" x14ac:dyDescent="0.2">
      <c r="B44" s="3" t="s">
        <v>2219</v>
      </c>
      <c r="C44" s="4" t="s">
        <v>2220</v>
      </c>
      <c r="D44" s="4" t="s">
        <v>2221</v>
      </c>
    </row>
    <row r="45" spans="2:7" x14ac:dyDescent="0.2">
      <c r="B45" s="3" t="s">
        <v>2222</v>
      </c>
      <c r="C45" s="4" t="s">
        <v>2223</v>
      </c>
      <c r="D45" s="4" t="s">
        <v>2224</v>
      </c>
    </row>
    <row r="46" spans="2:7" ht="28.5" x14ac:dyDescent="0.2">
      <c r="B46" s="3" t="s">
        <v>2225</v>
      </c>
      <c r="C46" s="4" t="s">
        <v>2226</v>
      </c>
      <c r="D46" s="4" t="s">
        <v>2227</v>
      </c>
    </row>
    <row r="47" spans="2:7" ht="29.25" thickBot="1" x14ac:dyDescent="0.25">
      <c r="B47" s="3" t="s">
        <v>2228</v>
      </c>
      <c r="C47" s="4" t="s">
        <v>2229</v>
      </c>
      <c r="D47" s="4" t="s">
        <v>2230</v>
      </c>
    </row>
    <row r="48" spans="2:7" ht="16.5" thickBot="1" x14ac:dyDescent="0.25">
      <c r="E48" s="12"/>
    </row>
    <row r="49" spans="2:7" ht="16.5" thickBot="1" x14ac:dyDescent="0.25">
      <c r="B49" s="13" t="s">
        <v>1947</v>
      </c>
      <c r="E49" s="15"/>
      <c r="G49" t="str">
        <f t="shared" si="0"/>
        <v>&lt;dl&gt;&lt;dt&gt;2. 转化与缓和组合&lt;/dt&gt;&lt;dd&gt;&lt;/dd&gt;&lt;dd&gt;&lt;/dd&gt;&lt;/dl&gt;</v>
      </c>
    </row>
    <row r="50" spans="2:7" ht="16.5" thickBot="1" x14ac:dyDescent="0.25">
      <c r="E50" s="15"/>
      <c r="G50" t="str">
        <f t="shared" si="0"/>
        <v>&lt;dl&gt;&lt;dt&gt;&lt;/dt&gt;&lt;dd&gt;&lt;/dd&gt;&lt;dd&gt;&lt;/dd&gt;&lt;/dl&gt;</v>
      </c>
    </row>
    <row r="51" spans="2:7" ht="16.5" thickBot="1" x14ac:dyDescent="0.25">
      <c r="B51" s="2" t="s">
        <v>71</v>
      </c>
      <c r="C51" s="2" t="s">
        <v>1047</v>
      </c>
      <c r="D51" s="2" t="s">
        <v>73</v>
      </c>
      <c r="E51" s="15"/>
      <c r="G51" t="str">
        <f t="shared" si="0"/>
        <v>&lt;dl&gt;&lt;dt&gt;组合​&lt;/dt&gt;&lt;dd&gt;效应​&lt;/dd&gt;&lt;dd&gt;典型案例​&lt;/dd&gt;&lt;/dl&gt;</v>
      </c>
    </row>
    <row r="52" spans="2:7" ht="29.25" thickBot="1" x14ac:dyDescent="0.25">
      <c r="B52" s="3" t="s">
        <v>2231</v>
      </c>
      <c r="C52" s="4" t="s">
        <v>2232</v>
      </c>
      <c r="D52" s="4" t="s">
        <v>2233</v>
      </c>
      <c r="E52" s="15"/>
      <c r="G52" t="str">
        <f t="shared" si="0"/>
        <v>&lt;dl&gt;&lt;dt&gt;大耗+紫微​&lt;/dt&gt;&lt;dd&gt;损失发生在重要、大型的项目上，但有能力通过权威和格局承担或挽回部分。&lt;/dd&gt;&lt;dd&gt;大型工程超支，但凭借公司实力渡过难关。&lt;/dd&gt;&lt;/dl&gt;</v>
      </c>
    </row>
    <row r="53" spans="2:7" ht="28.5" x14ac:dyDescent="0.2">
      <c r="B53" s="3" t="s">
        <v>2234</v>
      </c>
      <c r="C53" s="4" t="s">
        <v>2235</v>
      </c>
      <c r="D53" s="4" t="s">
        <v>2236</v>
      </c>
    </row>
    <row r="54" spans="2:7" ht="28.5" x14ac:dyDescent="0.2">
      <c r="B54" s="3" t="s">
        <v>2237</v>
      </c>
      <c r="C54" s="4" t="s">
        <v>2238</v>
      </c>
      <c r="D54" s="4" t="s">
        <v>2239</v>
      </c>
    </row>
    <row r="55" spans="2:7" ht="28.5" x14ac:dyDescent="0.2">
      <c r="B55" s="3" t="s">
        <v>2240</v>
      </c>
      <c r="C55" s="4" t="s">
        <v>2241</v>
      </c>
      <c r="D55" s="4" t="s">
        <v>2242</v>
      </c>
    </row>
    <row r="58" spans="2:7" ht="17.25" x14ac:dyDescent="0.2">
      <c r="B58" s="5" t="s">
        <v>746</v>
      </c>
    </row>
    <row r="60" spans="2:7" x14ac:dyDescent="0.2">
      <c r="B60" s="2" t="s">
        <v>40</v>
      </c>
      <c r="C60" s="2" t="s">
        <v>1414</v>
      </c>
      <c r="D60" s="2" t="s">
        <v>21</v>
      </c>
    </row>
    <row r="61" spans="2:7" ht="28.5" x14ac:dyDescent="0.2">
      <c r="B61" s="3" t="s">
        <v>2243</v>
      </c>
      <c r="C61" s="4" t="s">
        <v>2244</v>
      </c>
      <c r="D61" s="4" t="s">
        <v>2245</v>
      </c>
    </row>
    <row r="62" spans="2:7" ht="28.5" x14ac:dyDescent="0.2">
      <c r="B62" s="3" t="s">
        <v>2246</v>
      </c>
      <c r="C62" s="4" t="s">
        <v>2247</v>
      </c>
      <c r="D62" s="4" t="s">
        <v>2248</v>
      </c>
    </row>
    <row r="63" spans="2:7" ht="28.5" x14ac:dyDescent="0.2">
      <c r="B63" s="3" t="s">
        <v>2249</v>
      </c>
      <c r="C63" s="4" t="s">
        <v>2250</v>
      </c>
      <c r="D63" s="4" t="s">
        <v>2251</v>
      </c>
    </row>
    <row r="64" spans="2:7" ht="28.5" x14ac:dyDescent="0.2">
      <c r="B64" s="3" t="s">
        <v>2252</v>
      </c>
      <c r="C64" s="4" t="s">
        <v>2253</v>
      </c>
      <c r="D64" s="4" t="s">
        <v>2254</v>
      </c>
    </row>
    <row r="65" spans="2:4" ht="28.5" x14ac:dyDescent="0.2">
      <c r="B65" s="3" t="s">
        <v>2255</v>
      </c>
      <c r="C65" s="4" t="s">
        <v>2256</v>
      </c>
      <c r="D65" s="4" t="s">
        <v>2257</v>
      </c>
    </row>
    <row r="66" spans="2:4" ht="28.5" x14ac:dyDescent="0.2">
      <c r="B66" s="3" t="s">
        <v>2258</v>
      </c>
      <c r="C66" s="4" t="s">
        <v>2259</v>
      </c>
      <c r="D66" s="4" t="s">
        <v>2260</v>
      </c>
    </row>
    <row r="67" spans="2:4" x14ac:dyDescent="0.2">
      <c r="B67" s="3" t="s">
        <v>2261</v>
      </c>
      <c r="C67" s="4" t="s">
        <v>2262</v>
      </c>
      <c r="D67" s="4" t="s">
        <v>2263</v>
      </c>
    </row>
    <row r="68" spans="2:4" x14ac:dyDescent="0.2">
      <c r="B68" s="3" t="s">
        <v>2264</v>
      </c>
      <c r="C68" s="4" t="s">
        <v>2265</v>
      </c>
      <c r="D68" s="4" t="s">
        <v>2266</v>
      </c>
    </row>
    <row r="69" spans="2:4" x14ac:dyDescent="0.2">
      <c r="B69" s="3" t="s">
        <v>2267</v>
      </c>
      <c r="C69" s="4" t="s">
        <v>2268</v>
      </c>
      <c r="D69" s="4" t="s">
        <v>2269</v>
      </c>
    </row>
    <row r="72" spans="2:4" ht="17.25" x14ac:dyDescent="0.2">
      <c r="B72" s="5" t="s">
        <v>1805</v>
      </c>
    </row>
    <row r="73" spans="2:4" x14ac:dyDescent="0.2">
      <c r="B73" s="6"/>
    </row>
    <row r="74" spans="2:4" x14ac:dyDescent="0.2">
      <c r="B74" s="7" t="s">
        <v>2270</v>
      </c>
    </row>
    <row r="75" spans="2:4" x14ac:dyDescent="0.2">
      <c r="B75" s="7" t="s">
        <v>2271</v>
      </c>
    </row>
    <row r="76" spans="2:4" x14ac:dyDescent="0.2">
      <c r="B76" s="7" t="s">
        <v>2272</v>
      </c>
    </row>
    <row r="77" spans="2:4" x14ac:dyDescent="0.2">
      <c r="B77" s="7" t="s">
        <v>2273</v>
      </c>
    </row>
    <row r="78" spans="2:4" x14ac:dyDescent="0.2">
      <c r="B78" s="6"/>
    </row>
    <row r="79" spans="2:4" x14ac:dyDescent="0.2">
      <c r="B79" s="6" t="s">
        <v>2274</v>
      </c>
    </row>
    <row r="80" spans="2:4" x14ac:dyDescent="0.2">
      <c r="B80" s="16"/>
    </row>
    <row r="81" spans="2:2" x14ac:dyDescent="0.2">
      <c r="B81" s="6"/>
    </row>
    <row r="82" spans="2:2" x14ac:dyDescent="0.2">
      <c r="B82" s="6"/>
    </row>
  </sheetData>
  <phoneticPr fontId="2" type="noConversion"/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82AF79-735A-40B6-A5A9-065D3A55E3D0}">
  <dimension ref="B1:G82"/>
  <sheetViews>
    <sheetView zoomScaleNormal="100" workbookViewId="0">
      <selection activeCell="B1" sqref="B1:D77"/>
    </sheetView>
  </sheetViews>
  <sheetFormatPr defaultRowHeight="14.25" x14ac:dyDescent="0.2"/>
  <cols>
    <col min="1" max="1" width="2.75" customWidth="1"/>
    <col min="2" max="2" width="15.625" customWidth="1"/>
    <col min="3" max="3" width="43.125" customWidth="1"/>
    <col min="4" max="4" width="32.75" customWidth="1"/>
  </cols>
  <sheetData>
    <row r="1" spans="2:7" ht="17.25" x14ac:dyDescent="0.2">
      <c r="B1" s="5" t="s">
        <v>2275</v>
      </c>
      <c r="G1" t="str">
        <f>"&lt;dl&gt;&lt;dt&gt;" &amp; B1 &amp; "&lt;/dt&gt;&lt;dd&gt;" &amp; C1 &amp; "&lt;/dd&gt;&lt;dd&gt;" &amp; D1 &amp; "&lt;/dd&gt;&lt;/dl&gt;"</f>
        <v>&lt;dl&gt;&lt;dt&gt;一、蜚廉定义&lt;/dt&gt;&lt;dd&gt;&lt;/dd&gt;&lt;dd&gt;&lt;/dd&gt;&lt;/dl&gt;</v>
      </c>
    </row>
    <row r="3" spans="2:7" x14ac:dyDescent="0.2">
      <c r="B3" s="2" t="s">
        <v>376</v>
      </c>
      <c r="C3" s="2" t="s">
        <v>377</v>
      </c>
      <c r="D3" s="2" t="s">
        <v>21</v>
      </c>
    </row>
    <row r="4" spans="2:7" x14ac:dyDescent="0.2">
      <c r="B4" s="3" t="s">
        <v>624</v>
      </c>
      <c r="C4" s="4" t="s">
        <v>2276</v>
      </c>
      <c r="D4" s="4"/>
    </row>
    <row r="5" spans="2:7" ht="28.5" x14ac:dyDescent="0.2">
      <c r="B5" s="3" t="s">
        <v>378</v>
      </c>
      <c r="C5" s="4" t="s">
        <v>2277</v>
      </c>
      <c r="D5" s="4"/>
    </row>
    <row r="6" spans="2:7" ht="28.5" x14ac:dyDescent="0.2">
      <c r="B6" s="3" t="s">
        <v>1717</v>
      </c>
      <c r="C6" s="4" t="s">
        <v>2278</v>
      </c>
      <c r="D6" s="4"/>
    </row>
    <row r="9" spans="2:7" ht="17.25" x14ac:dyDescent="0.2">
      <c r="B9" s="5" t="s">
        <v>1719</v>
      </c>
    </row>
    <row r="11" spans="2:7" ht="15.75" x14ac:dyDescent="0.2">
      <c r="B11" s="13" t="s">
        <v>1720</v>
      </c>
    </row>
    <row r="13" spans="2:7" x14ac:dyDescent="0.2">
      <c r="B13" s="2" t="s">
        <v>390</v>
      </c>
      <c r="C13" s="2" t="s">
        <v>1818</v>
      </c>
      <c r="D13" s="2" t="s">
        <v>1819</v>
      </c>
    </row>
    <row r="14" spans="2:7" x14ac:dyDescent="0.2">
      <c r="B14" s="3" t="s">
        <v>2279</v>
      </c>
      <c r="C14" s="4" t="s">
        <v>2280</v>
      </c>
      <c r="D14" s="4" t="s">
        <v>2281</v>
      </c>
    </row>
    <row r="15" spans="2:7" x14ac:dyDescent="0.2">
      <c r="B15" s="3" t="s">
        <v>2282</v>
      </c>
      <c r="C15" s="4" t="s">
        <v>2283</v>
      </c>
      <c r="D15" s="4" t="s">
        <v>2284</v>
      </c>
    </row>
    <row r="16" spans="2:7" ht="28.5" x14ac:dyDescent="0.2">
      <c r="B16" s="3" t="s">
        <v>2285</v>
      </c>
      <c r="C16" s="4" t="s">
        <v>2286</v>
      </c>
      <c r="D16" s="4" t="s">
        <v>2287</v>
      </c>
    </row>
    <row r="17" spans="2:7" x14ac:dyDescent="0.2">
      <c r="B17" s="3" t="s">
        <v>2288</v>
      </c>
      <c r="C17" s="4" t="s">
        <v>2289</v>
      </c>
      <c r="D17" s="4" t="s">
        <v>2290</v>
      </c>
    </row>
    <row r="18" spans="2:7" x14ac:dyDescent="0.2">
      <c r="B18" s="3" t="s">
        <v>2291</v>
      </c>
      <c r="C18" s="4" t="s">
        <v>2292</v>
      </c>
      <c r="D18" s="4" t="s">
        <v>2293</v>
      </c>
    </row>
    <row r="21" spans="2:7" ht="17.25" x14ac:dyDescent="0.2">
      <c r="B21" s="5" t="s">
        <v>1733</v>
      </c>
    </row>
    <row r="22" spans="2:7" ht="15" thickBot="1" x14ac:dyDescent="0.25"/>
    <row r="23" spans="2:7" ht="16.5" thickBot="1" x14ac:dyDescent="0.25">
      <c r="B23" s="2" t="s">
        <v>18</v>
      </c>
      <c r="C23" s="2" t="s">
        <v>1818</v>
      </c>
      <c r="D23" s="2" t="s">
        <v>21</v>
      </c>
      <c r="E23" s="12"/>
    </row>
    <row r="24" spans="2:7" ht="16.5" thickBot="1" x14ac:dyDescent="0.25">
      <c r="B24" s="3" t="s">
        <v>201</v>
      </c>
      <c r="C24" s="4" t="s">
        <v>2294</v>
      </c>
      <c r="D24" s="4"/>
      <c r="E24" s="15"/>
      <c r="G24" t="str">
        <f t="shared" ref="G24:G52" si="0">"&lt;dl&gt;&lt;dt&gt;" &amp; B24 &amp; "&lt;/dt&gt;&lt;dd&gt;" &amp; C24 &amp; "&lt;/dd&gt;&lt;dd&gt;" &amp; D24 &amp; "&lt;/dd&gt;&lt;/dl&gt;"</f>
        <v>&lt;dl&gt;&lt;dt&gt;命宫​&lt;/dt&gt;&lt;dd&gt;一生易招口舌是非，常被流言困扰，需谨言慎行。&lt;/dd&gt;&lt;dd&gt;&lt;/dd&gt;&lt;/dl&gt;</v>
      </c>
    </row>
    <row r="25" spans="2:7" ht="29.25" thickBot="1" x14ac:dyDescent="0.25">
      <c r="B25" s="3" t="s">
        <v>246</v>
      </c>
      <c r="C25" s="4" t="s">
        <v>2295</v>
      </c>
      <c r="D25" s="4"/>
      <c r="E25" s="15"/>
      <c r="G25" t="str">
        <f t="shared" si="0"/>
        <v>&lt;dl&gt;&lt;dt&gt;兄弟宫​&lt;/dt&gt;&lt;dd&gt;兄弟姐妹间易有口舌，或受其朋友流言牵连；在团队中易有是非。&lt;/dd&gt;&lt;dd&gt;&lt;/dd&gt;&lt;/dl&gt;</v>
      </c>
    </row>
    <row r="26" spans="2:7" ht="29.25" thickBot="1" x14ac:dyDescent="0.25">
      <c r="B26" s="3" t="s">
        <v>125</v>
      </c>
      <c r="C26" s="4" t="s">
        <v>2296</v>
      </c>
      <c r="D26" s="4"/>
      <c r="E26" s="15"/>
      <c r="G26" t="str">
        <f t="shared" si="0"/>
        <v>&lt;dl&gt;&lt;dt&gt;夫妻宫​&lt;/dt&gt;&lt;dd&gt;婚姻中多口角，或配偶易惹是非；感情易受外人闲话影响。&lt;/dd&gt;&lt;dd&gt;&lt;/dd&gt;&lt;/dl&gt;</v>
      </c>
    </row>
    <row r="27" spans="2:7" ht="29.25" thickBot="1" x14ac:dyDescent="0.25">
      <c r="B27" s="3" t="s">
        <v>128</v>
      </c>
      <c r="C27" s="4" t="s">
        <v>2297</v>
      </c>
      <c r="D27" s="4"/>
      <c r="E27" s="15"/>
      <c r="G27" t="str">
        <f t="shared" si="0"/>
        <v>&lt;dl&gt;&lt;dt&gt;子女宫​&lt;/dt&gt;&lt;dd&gt;子女好惹是非，或因其行为招致议论；下属、学生传播流言。&lt;/dd&gt;&lt;dd&gt;&lt;/dd&gt;&lt;/dl&gt;</v>
      </c>
    </row>
    <row r="28" spans="2:7" ht="29.25" thickBot="1" x14ac:dyDescent="0.25">
      <c r="B28" s="3" t="s">
        <v>3</v>
      </c>
      <c r="C28" s="4" t="s">
        <v>2298</v>
      </c>
      <c r="D28" s="4"/>
      <c r="E28" s="15"/>
      <c r="G28" t="str">
        <f t="shared" si="0"/>
        <v>&lt;dl&gt;&lt;dt&gt;财帛宫​&lt;/dt&gt;&lt;dd&gt;钱财往来易生口舌是非（如债务纠纷）；因谣言影响财运。&lt;/dd&gt;&lt;dd&gt;&lt;/dd&gt;&lt;/dl&gt;</v>
      </c>
    </row>
    <row r="29" spans="2:7" ht="29.25" thickBot="1" x14ac:dyDescent="0.25">
      <c r="B29" s="3" t="s">
        <v>6</v>
      </c>
      <c r="C29" s="4" t="s">
        <v>2299</v>
      </c>
      <c r="D29" s="4"/>
      <c r="E29" s="15"/>
      <c r="G29" t="str">
        <f t="shared" si="0"/>
        <v>&lt;dl&gt;&lt;dt&gt;疾厄宫​&lt;/dt&gt;&lt;dd&gt;易患与“口”相关的疾病（如口腔溃疡、咽喉炎）；或病因源于生气。&lt;/dd&gt;&lt;dd&gt;&lt;/dd&gt;&lt;/dl&gt;</v>
      </c>
    </row>
    <row r="30" spans="2:7" ht="28.5" x14ac:dyDescent="0.2">
      <c r="B30" s="3" t="s">
        <v>15</v>
      </c>
      <c r="C30" s="4" t="s">
        <v>2300</v>
      </c>
      <c r="D30" s="4"/>
    </row>
    <row r="31" spans="2:7" ht="28.5" x14ac:dyDescent="0.2">
      <c r="B31" s="3" t="s">
        <v>12</v>
      </c>
      <c r="C31" s="4" t="s">
        <v>2301</v>
      </c>
      <c r="D31" s="4"/>
    </row>
    <row r="32" spans="2:7" ht="28.5" x14ac:dyDescent="0.2">
      <c r="B32" s="3" t="s">
        <v>206</v>
      </c>
      <c r="C32" s="4" t="s">
        <v>2302</v>
      </c>
      <c r="D32" s="4"/>
    </row>
    <row r="33" spans="2:7" ht="29.25" thickBot="1" x14ac:dyDescent="0.25">
      <c r="B33" s="3" t="s">
        <v>0</v>
      </c>
      <c r="C33" s="4" t="s">
        <v>2303</v>
      </c>
      <c r="D33" s="4"/>
    </row>
    <row r="34" spans="2:7" ht="29.25" thickBot="1" x14ac:dyDescent="0.25">
      <c r="B34" s="3" t="s">
        <v>116</v>
      </c>
      <c r="C34" s="4" t="s">
        <v>2304</v>
      </c>
      <c r="D34" s="4"/>
      <c r="E34" s="12"/>
    </row>
    <row r="35" spans="2:7" ht="29.25" thickBot="1" x14ac:dyDescent="0.25">
      <c r="B35" s="3" t="s">
        <v>9</v>
      </c>
      <c r="C35" s="4" t="s">
        <v>2305</v>
      </c>
      <c r="D35" s="4"/>
      <c r="E35" s="15"/>
      <c r="G35" t="str">
        <f t="shared" si="0"/>
        <v>&lt;dl&gt;&lt;dt&gt;父母宫​&lt;/dt&gt;&lt;dd&gt;与父母有代沟易争执；父母易惹官非或成为他人议论对象。&lt;/dd&gt;&lt;dd&gt;&lt;/dd&gt;&lt;/dl&gt;</v>
      </c>
    </row>
    <row r="36" spans="2:7" ht="16.5" thickBot="1" x14ac:dyDescent="0.25">
      <c r="E36" s="15"/>
      <c r="G36" t="str">
        <f t="shared" si="0"/>
        <v>&lt;dl&gt;&lt;dt&gt;&lt;/dt&gt;&lt;dd&gt;&lt;/dd&gt;&lt;dd&gt;&lt;/dd&gt;&lt;/dl&gt;</v>
      </c>
    </row>
    <row r="37" spans="2:7" ht="16.5" thickBot="1" x14ac:dyDescent="0.25">
      <c r="E37" s="15"/>
      <c r="G37" t="str">
        <f t="shared" si="0"/>
        <v>&lt;dl&gt;&lt;dt&gt;&lt;/dt&gt;&lt;dd&gt;&lt;/dd&gt;&lt;dd&gt;&lt;/dd&gt;&lt;/dl&gt;</v>
      </c>
    </row>
    <row r="38" spans="2:7" ht="18" thickBot="1" x14ac:dyDescent="0.25">
      <c r="B38" s="5" t="s">
        <v>734</v>
      </c>
      <c r="E38" s="15"/>
      <c r="G38" t="str">
        <f t="shared" si="0"/>
        <v>&lt;dl&gt;&lt;dt&gt;四、主星组合象义&lt;/dt&gt;&lt;dd&gt;&lt;/dd&gt;&lt;dd&gt;&lt;/dd&gt;&lt;/dl&gt;</v>
      </c>
    </row>
    <row r="39" spans="2:7" ht="16.5" thickBot="1" x14ac:dyDescent="0.25">
      <c r="E39" s="15"/>
      <c r="G39" t="str">
        <f t="shared" si="0"/>
        <v>&lt;dl&gt;&lt;dt&gt;&lt;/dt&gt;&lt;dd&gt;&lt;/dd&gt;&lt;dd&gt;&lt;/dd&gt;&lt;/dl&gt;</v>
      </c>
    </row>
    <row r="40" spans="2:7" ht="16.5" thickBot="1" x14ac:dyDescent="0.25">
      <c r="B40" s="13" t="s">
        <v>2306</v>
      </c>
      <c r="E40" s="15"/>
      <c r="G40" t="str">
        <f t="shared" si="0"/>
        <v>&lt;dl&gt;&lt;dt&gt;1. 强化是非性质组合&lt;/dt&gt;&lt;dd&gt;&lt;/dd&gt;&lt;dd&gt;&lt;/dd&gt;&lt;/dl&gt;</v>
      </c>
    </row>
    <row r="41" spans="2:7" ht="16.5" thickBot="1" x14ac:dyDescent="0.25">
      <c r="E41" s="15"/>
      <c r="G41" t="str">
        <f t="shared" si="0"/>
        <v>&lt;dl&gt;&lt;dt&gt;&lt;/dt&gt;&lt;dd&gt;&lt;/dd&gt;&lt;dd&gt;&lt;/dd&gt;&lt;/dl&gt;</v>
      </c>
    </row>
    <row r="42" spans="2:7" ht="16.5" thickBot="1" x14ac:dyDescent="0.25">
      <c r="B42" s="2" t="s">
        <v>71</v>
      </c>
      <c r="C42" s="2" t="s">
        <v>1047</v>
      </c>
      <c r="D42" s="2" t="s">
        <v>73</v>
      </c>
      <c r="E42" s="15"/>
      <c r="G42" t="str">
        <f t="shared" si="0"/>
        <v>&lt;dl&gt;&lt;dt&gt;组合​&lt;/dt&gt;&lt;dd&gt;效应​&lt;/dd&gt;&lt;dd&gt;典型案例​&lt;/dd&gt;&lt;/dl&gt;</v>
      </c>
    </row>
    <row r="43" spans="2:7" ht="29.25" thickBot="1" x14ac:dyDescent="0.25">
      <c r="B43" s="3" t="s">
        <v>2307</v>
      </c>
      <c r="C43" s="4" t="s">
        <v>2308</v>
      </c>
      <c r="D43" s="4" t="s">
        <v>2309</v>
      </c>
      <c r="E43" s="15"/>
      <c r="G43" t="str">
        <f t="shared" si="0"/>
        <v>&lt;dl&gt;&lt;dt&gt;蜚廉+巨门​&lt;/dt&gt;&lt;dd&gt;口舌是非的力量倍增，谣言极具杀伤力，易引发公开的激烈争吵或诉讼。&lt;/dd&gt;&lt;dd&gt;因诽谤罪被告上法庭；公开场合激烈辩论。&lt;/dd&gt;&lt;/dl&gt;</v>
      </c>
    </row>
    <row r="44" spans="2:7" ht="28.5" x14ac:dyDescent="0.2">
      <c r="B44" s="3" t="s">
        <v>2310</v>
      </c>
      <c r="C44" s="4" t="s">
        <v>2311</v>
      </c>
      <c r="D44" s="4" t="s">
        <v>2312</v>
      </c>
    </row>
    <row r="45" spans="2:7" ht="28.5" x14ac:dyDescent="0.2">
      <c r="B45" s="3" t="s">
        <v>2313</v>
      </c>
      <c r="C45" s="4" t="s">
        <v>2314</v>
      </c>
      <c r="D45" s="4" t="s">
        <v>2315</v>
      </c>
    </row>
    <row r="46" spans="2:7" ht="28.5" x14ac:dyDescent="0.2">
      <c r="B46" s="3" t="s">
        <v>2316</v>
      </c>
      <c r="C46" s="4" t="s">
        <v>2317</v>
      </c>
      <c r="D46" s="4" t="s">
        <v>2318</v>
      </c>
    </row>
    <row r="47" spans="2:7" ht="29.25" thickBot="1" x14ac:dyDescent="0.25">
      <c r="B47" s="3" t="s">
        <v>2319</v>
      </c>
      <c r="C47" s="4" t="s">
        <v>2320</v>
      </c>
      <c r="D47" s="4" t="s">
        <v>2321</v>
      </c>
    </row>
    <row r="48" spans="2:7" ht="16.5" thickBot="1" x14ac:dyDescent="0.25">
      <c r="E48" s="12"/>
    </row>
    <row r="49" spans="2:7" ht="16.5" thickBot="1" x14ac:dyDescent="0.25">
      <c r="B49" s="13" t="s">
        <v>1947</v>
      </c>
      <c r="E49" s="15"/>
      <c r="G49" t="str">
        <f t="shared" si="0"/>
        <v>&lt;dl&gt;&lt;dt&gt;2. 转化与缓和组合&lt;/dt&gt;&lt;dd&gt;&lt;/dd&gt;&lt;dd&gt;&lt;/dd&gt;&lt;/dl&gt;</v>
      </c>
    </row>
    <row r="50" spans="2:7" ht="16.5" thickBot="1" x14ac:dyDescent="0.25">
      <c r="E50" s="15"/>
      <c r="G50" t="str">
        <f t="shared" si="0"/>
        <v>&lt;dl&gt;&lt;dt&gt;&lt;/dt&gt;&lt;dd&gt;&lt;/dd&gt;&lt;dd&gt;&lt;/dd&gt;&lt;/dl&gt;</v>
      </c>
    </row>
    <row r="51" spans="2:7" ht="16.5" thickBot="1" x14ac:dyDescent="0.25">
      <c r="B51" s="2" t="s">
        <v>71</v>
      </c>
      <c r="C51" s="2" t="s">
        <v>1047</v>
      </c>
      <c r="D51" s="2" t="s">
        <v>73</v>
      </c>
      <c r="E51" s="15"/>
      <c r="G51" t="str">
        <f t="shared" si="0"/>
        <v>&lt;dl&gt;&lt;dt&gt;组合​&lt;/dt&gt;&lt;dd&gt;效应​&lt;/dd&gt;&lt;dd&gt;典型案例​&lt;/dd&gt;&lt;/dl&gt;</v>
      </c>
    </row>
    <row r="52" spans="2:7" ht="29.25" thickBot="1" x14ac:dyDescent="0.25">
      <c r="B52" s="3" t="s">
        <v>2322</v>
      </c>
      <c r="C52" s="4" t="s">
        <v>2323</v>
      </c>
      <c r="D52" s="4" t="s">
        <v>2324</v>
      </c>
      <c r="E52" s="15"/>
      <c r="G52" t="str">
        <f t="shared" si="0"/>
        <v>&lt;dl&gt;&lt;dt&gt;蜚廉+天梁​&lt;/dt&gt;&lt;dd&gt;通过法律、宗教、权威人士或长辈介入，可澄清是非，化解谣言。&lt;/dd&gt;&lt;dd&gt;通过法律诉讼恢复名誉；请德高望重者出面调解。&lt;/dd&gt;&lt;/dl&gt;</v>
      </c>
    </row>
    <row r="53" spans="2:7" ht="28.5" x14ac:dyDescent="0.2">
      <c r="B53" s="3" t="s">
        <v>2325</v>
      </c>
      <c r="C53" s="4" t="s">
        <v>2326</v>
      </c>
      <c r="D53" s="4" t="s">
        <v>2327</v>
      </c>
    </row>
    <row r="54" spans="2:7" ht="28.5" x14ac:dyDescent="0.2">
      <c r="B54" s="3" t="s">
        <v>2328</v>
      </c>
      <c r="C54" s="4" t="s">
        <v>2329</v>
      </c>
      <c r="D54" s="4" t="s">
        <v>2330</v>
      </c>
    </row>
    <row r="55" spans="2:7" ht="28.5" x14ac:dyDescent="0.2">
      <c r="B55" s="3" t="s">
        <v>2331</v>
      </c>
      <c r="C55" s="4" t="s">
        <v>2332</v>
      </c>
      <c r="D55" s="4" t="s">
        <v>2333</v>
      </c>
    </row>
    <row r="58" spans="2:7" ht="17.25" x14ac:dyDescent="0.2">
      <c r="B58" s="5" t="s">
        <v>746</v>
      </c>
    </row>
    <row r="60" spans="2:7" x14ac:dyDescent="0.2">
      <c r="B60" s="2" t="s">
        <v>40</v>
      </c>
      <c r="C60" s="2" t="s">
        <v>1414</v>
      </c>
      <c r="D60" s="2" t="s">
        <v>21</v>
      </c>
    </row>
    <row r="61" spans="2:7" ht="28.5" x14ac:dyDescent="0.2">
      <c r="B61" s="3" t="s">
        <v>2334</v>
      </c>
      <c r="C61" s="4" t="s">
        <v>2335</v>
      </c>
      <c r="D61" s="4" t="s">
        <v>2336</v>
      </c>
    </row>
    <row r="62" spans="2:7" ht="28.5" x14ac:dyDescent="0.2">
      <c r="B62" s="3" t="s">
        <v>2337</v>
      </c>
      <c r="C62" s="4" t="s">
        <v>2338</v>
      </c>
      <c r="D62" s="4" t="s">
        <v>2339</v>
      </c>
    </row>
    <row r="63" spans="2:7" ht="28.5" x14ac:dyDescent="0.2">
      <c r="B63" s="3" t="s">
        <v>2340</v>
      </c>
      <c r="C63" s="4" t="s">
        <v>2341</v>
      </c>
      <c r="D63" s="4" t="s">
        <v>2342</v>
      </c>
    </row>
    <row r="64" spans="2:7" ht="28.5" x14ac:dyDescent="0.2">
      <c r="B64" s="3" t="s">
        <v>2343</v>
      </c>
      <c r="C64" s="4" t="s">
        <v>2344</v>
      </c>
      <c r="D64" s="4" t="s">
        <v>2345</v>
      </c>
    </row>
    <row r="65" spans="2:4" ht="28.5" x14ac:dyDescent="0.2">
      <c r="B65" s="3" t="s">
        <v>2346</v>
      </c>
      <c r="C65" s="4" t="s">
        <v>2347</v>
      </c>
      <c r="D65" s="4" t="s">
        <v>2348</v>
      </c>
    </row>
    <row r="66" spans="2:4" ht="28.5" x14ac:dyDescent="0.2">
      <c r="B66" s="3" t="s">
        <v>2349</v>
      </c>
      <c r="C66" s="4" t="s">
        <v>2350</v>
      </c>
      <c r="D66" s="4" t="s">
        <v>2351</v>
      </c>
    </row>
    <row r="67" spans="2:4" ht="28.5" x14ac:dyDescent="0.2">
      <c r="B67" s="3" t="s">
        <v>2352</v>
      </c>
      <c r="C67" s="4" t="s">
        <v>2353</v>
      </c>
      <c r="D67" s="4" t="s">
        <v>2354</v>
      </c>
    </row>
    <row r="68" spans="2:4" ht="28.5" x14ac:dyDescent="0.2">
      <c r="B68" s="3" t="s">
        <v>2355</v>
      </c>
      <c r="C68" s="4" t="s">
        <v>2356</v>
      </c>
      <c r="D68" s="4" t="s">
        <v>2357</v>
      </c>
    </row>
    <row r="69" spans="2:4" ht="28.5" x14ac:dyDescent="0.2">
      <c r="B69" s="3" t="s">
        <v>2358</v>
      </c>
      <c r="C69" s="4" t="s">
        <v>2359</v>
      </c>
      <c r="D69" s="4" t="s">
        <v>2360</v>
      </c>
    </row>
    <row r="72" spans="2:4" ht="17.25" x14ac:dyDescent="0.2">
      <c r="B72" s="5" t="s">
        <v>1805</v>
      </c>
    </row>
    <row r="73" spans="2:4" x14ac:dyDescent="0.2">
      <c r="B73" s="6"/>
    </row>
    <row r="74" spans="2:4" x14ac:dyDescent="0.2">
      <c r="B74" s="7" t="s">
        <v>2361</v>
      </c>
    </row>
    <row r="75" spans="2:4" x14ac:dyDescent="0.2">
      <c r="B75" s="7" t="s">
        <v>2362</v>
      </c>
    </row>
    <row r="76" spans="2:4" x14ac:dyDescent="0.2">
      <c r="B76" s="7" t="s">
        <v>2363</v>
      </c>
    </row>
    <row r="77" spans="2:4" x14ac:dyDescent="0.2">
      <c r="B77" s="7" t="s">
        <v>2364</v>
      </c>
    </row>
    <row r="80" spans="2:4" x14ac:dyDescent="0.2">
      <c r="B80" s="16"/>
    </row>
    <row r="81" spans="2:2" x14ac:dyDescent="0.2">
      <c r="B81" s="6"/>
    </row>
    <row r="82" spans="2:2" x14ac:dyDescent="0.2">
      <c r="B82" s="6"/>
    </row>
  </sheetData>
  <phoneticPr fontId="2" type="noConversion"/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F624D0-95FF-435C-8013-5164C9C5C4C1}">
  <dimension ref="B1:G82"/>
  <sheetViews>
    <sheetView zoomScaleNormal="100" workbookViewId="0">
      <selection activeCell="C1" sqref="B1:D77"/>
    </sheetView>
  </sheetViews>
  <sheetFormatPr defaultRowHeight="14.25" x14ac:dyDescent="0.2"/>
  <cols>
    <col min="1" max="1" width="2.75" customWidth="1"/>
    <col min="2" max="2" width="15.625" customWidth="1"/>
    <col min="3" max="3" width="43.125" customWidth="1"/>
    <col min="4" max="4" width="32.75" customWidth="1"/>
  </cols>
  <sheetData>
    <row r="1" spans="2:7" ht="17.25" x14ac:dyDescent="0.2">
      <c r="B1" s="5" t="s">
        <v>2365</v>
      </c>
      <c r="G1" t="str">
        <f>"&lt;dl&gt;&lt;dt&gt;" &amp; B1 &amp; "&lt;/dt&gt;&lt;dd&gt;" &amp; C1 &amp; "&lt;/dd&gt;&lt;dd&gt;" &amp; D1 &amp; "&lt;/dd&gt;&lt;/dl&gt;"</f>
        <v>&lt;dl&gt;&lt;dt&gt;一、天哭定义&lt;/dt&gt;&lt;dd&gt;&lt;/dd&gt;&lt;dd&gt;&lt;/dd&gt;&lt;/dl&gt;</v>
      </c>
    </row>
    <row r="3" spans="2:7" x14ac:dyDescent="0.2">
      <c r="B3" s="2" t="s">
        <v>376</v>
      </c>
      <c r="C3" s="2" t="s">
        <v>377</v>
      </c>
      <c r="D3" s="2" t="s">
        <v>21</v>
      </c>
    </row>
    <row r="4" spans="2:7" x14ac:dyDescent="0.2">
      <c r="B4" s="3" t="s">
        <v>624</v>
      </c>
      <c r="C4" s="4" t="s">
        <v>2366</v>
      </c>
      <c r="D4" s="4"/>
    </row>
    <row r="5" spans="2:7" ht="28.5" x14ac:dyDescent="0.2">
      <c r="B5" s="3" t="s">
        <v>378</v>
      </c>
      <c r="C5" s="4" t="s">
        <v>2367</v>
      </c>
      <c r="D5" s="4"/>
    </row>
    <row r="6" spans="2:7" ht="28.5" x14ac:dyDescent="0.2">
      <c r="B6" s="3" t="s">
        <v>1717</v>
      </c>
      <c r="C6" s="4" t="s">
        <v>2368</v>
      </c>
      <c r="D6" s="4"/>
    </row>
    <row r="9" spans="2:7" ht="17.25" x14ac:dyDescent="0.2">
      <c r="B9" s="5" t="s">
        <v>1719</v>
      </c>
    </row>
    <row r="11" spans="2:7" ht="15.75" x14ac:dyDescent="0.2">
      <c r="B11" s="13" t="s">
        <v>1720</v>
      </c>
    </row>
    <row r="13" spans="2:7" x14ac:dyDescent="0.2">
      <c r="B13" s="2" t="s">
        <v>390</v>
      </c>
      <c r="C13" s="2" t="s">
        <v>1818</v>
      </c>
      <c r="D13" s="2" t="s">
        <v>1819</v>
      </c>
    </row>
    <row r="14" spans="2:7" ht="28.5" x14ac:dyDescent="0.2">
      <c r="B14" s="3" t="s">
        <v>2369</v>
      </c>
      <c r="C14" s="4" t="s">
        <v>2370</v>
      </c>
      <c r="D14" s="4" t="s">
        <v>2371</v>
      </c>
    </row>
    <row r="15" spans="2:7" ht="28.5" x14ac:dyDescent="0.2">
      <c r="B15" s="3" t="s">
        <v>2372</v>
      </c>
      <c r="C15" s="4" t="s">
        <v>2373</v>
      </c>
      <c r="D15" s="4" t="s">
        <v>2374</v>
      </c>
    </row>
    <row r="16" spans="2:7" ht="28.5" x14ac:dyDescent="0.2">
      <c r="B16" s="3" t="s">
        <v>2375</v>
      </c>
      <c r="C16" s="4" t="s">
        <v>2376</v>
      </c>
      <c r="D16" s="4" t="s">
        <v>2377</v>
      </c>
    </row>
    <row r="17" spans="2:7" ht="28.5" x14ac:dyDescent="0.2">
      <c r="B17" s="3" t="s">
        <v>2378</v>
      </c>
      <c r="C17" s="4" t="s">
        <v>2379</v>
      </c>
      <c r="D17" s="4" t="s">
        <v>2380</v>
      </c>
    </row>
    <row r="18" spans="2:7" ht="28.5" x14ac:dyDescent="0.2">
      <c r="B18" s="3" t="s">
        <v>2381</v>
      </c>
      <c r="C18" s="4" t="s">
        <v>2382</v>
      </c>
      <c r="D18" s="4" t="s">
        <v>2383</v>
      </c>
    </row>
    <row r="21" spans="2:7" ht="17.25" x14ac:dyDescent="0.2">
      <c r="B21" s="5" t="s">
        <v>1733</v>
      </c>
    </row>
    <row r="22" spans="2:7" ht="15" thickBot="1" x14ac:dyDescent="0.25"/>
    <row r="23" spans="2:7" ht="16.5" thickBot="1" x14ac:dyDescent="0.25">
      <c r="B23" s="2" t="s">
        <v>18</v>
      </c>
      <c r="C23" s="2" t="s">
        <v>1818</v>
      </c>
      <c r="D23" s="2" t="s">
        <v>21</v>
      </c>
      <c r="E23" s="12"/>
    </row>
    <row r="24" spans="2:7" ht="29.25" thickBot="1" x14ac:dyDescent="0.25">
      <c r="B24" s="3" t="s">
        <v>201</v>
      </c>
      <c r="C24" s="4" t="s">
        <v>2384</v>
      </c>
      <c r="D24" s="4"/>
      <c r="E24" s="15"/>
      <c r="G24" t="str">
        <f t="shared" ref="G24:G52" si="0">"&lt;dl&gt;&lt;dt&gt;" &amp; B24 &amp; "&lt;/dt&gt;&lt;dd&gt;" &amp; C24 &amp; "&lt;/dd&gt;&lt;dd&gt;" &amp; D24 &amp; "&lt;/dd&gt;&lt;/dl&gt;"</f>
        <v>&lt;dl&gt;&lt;dt&gt;命宫​&lt;/dt&gt;&lt;dd&gt;一生心性悲悯，易为情所困，经历伤心事较多，有流泪之象。&lt;/dd&gt;&lt;dd&gt;&lt;/dd&gt;&lt;/dl&gt;</v>
      </c>
    </row>
    <row r="25" spans="2:7" ht="29.25" thickBot="1" x14ac:dyDescent="0.25">
      <c r="B25" s="3" t="s">
        <v>246</v>
      </c>
      <c r="C25" s="4" t="s">
        <v>2385</v>
      </c>
      <c r="D25" s="4"/>
      <c r="E25" s="15"/>
      <c r="G25" t="str">
        <f t="shared" si="0"/>
        <v>&lt;dl&gt;&lt;dt&gt;兄弟宫​&lt;/dt&gt;&lt;dd&gt;与兄弟姐妹感情深厚但易有伤心事；在团队中易感到委屈。&lt;/dd&gt;&lt;dd&gt;&lt;/dd&gt;&lt;/dl&gt;</v>
      </c>
    </row>
    <row r="26" spans="2:7" ht="29.25" thickBot="1" x14ac:dyDescent="0.25">
      <c r="B26" s="3" t="s">
        <v>125</v>
      </c>
      <c r="C26" s="4" t="s">
        <v>2386</v>
      </c>
      <c r="D26" s="4"/>
      <c r="E26" s="15"/>
      <c r="G26" t="str">
        <f t="shared" si="0"/>
        <v>&lt;dl&gt;&lt;dt&gt;夫妻宫​&lt;/dt&gt;&lt;dd&gt;感情经历波折，易因离别或情伤而哭泣；配偶性格多愁善感。&lt;/dd&gt;&lt;dd&gt;&lt;/dd&gt;&lt;/dl&gt;</v>
      </c>
    </row>
    <row r="27" spans="2:7" ht="29.25" thickBot="1" x14ac:dyDescent="0.25">
      <c r="B27" s="3" t="s">
        <v>128</v>
      </c>
      <c r="C27" s="4" t="s">
        <v>2387</v>
      </c>
      <c r="D27" s="4"/>
      <c r="E27" s="15"/>
      <c r="G27" t="str">
        <f t="shared" si="0"/>
        <v>&lt;dl&gt;&lt;dt&gt;子女宫​&lt;/dt&gt;&lt;dd&gt;为子女操心、伤心；投资或爱好带来情感上的失落感。&lt;/dd&gt;&lt;dd&gt;&lt;/dd&gt;&lt;/dl&gt;</v>
      </c>
    </row>
    <row r="28" spans="2:7" ht="16.5" thickBot="1" x14ac:dyDescent="0.25">
      <c r="B28" s="3" t="s">
        <v>3</v>
      </c>
      <c r="C28" s="4" t="s">
        <v>2388</v>
      </c>
      <c r="D28" s="4"/>
      <c r="E28" s="15"/>
      <c r="G28" t="str">
        <f t="shared" si="0"/>
        <v>&lt;dl&gt;&lt;dt&gt;财帛宫​&lt;/dt&gt;&lt;dd&gt;因钱财损失而伤心；赚钱过程多辛酸泪。&lt;/dd&gt;&lt;dd&gt;&lt;/dd&gt;&lt;/dl&gt;</v>
      </c>
    </row>
    <row r="29" spans="2:7" ht="29.25" thickBot="1" x14ac:dyDescent="0.25">
      <c r="B29" s="3" t="s">
        <v>6</v>
      </c>
      <c r="C29" s="4" t="s">
        <v>2389</v>
      </c>
      <c r="D29" s="4"/>
      <c r="E29" s="15"/>
      <c r="G29" t="str">
        <f t="shared" si="0"/>
        <v>&lt;dl&gt;&lt;dt&gt;疾厄宫​&lt;/dt&gt;&lt;dd&gt;易患与情绪相关的疾病（如抑郁症）；或呼吸系统（肺）脆弱。&lt;/dd&gt;&lt;dd&gt;&lt;/dd&gt;&lt;/dl&gt;</v>
      </c>
    </row>
    <row r="30" spans="2:7" ht="28.5" x14ac:dyDescent="0.2">
      <c r="B30" s="3" t="s">
        <v>15</v>
      </c>
      <c r="C30" s="4" t="s">
        <v>2390</v>
      </c>
      <c r="D30" s="4"/>
    </row>
    <row r="31" spans="2:7" ht="28.5" x14ac:dyDescent="0.2">
      <c r="B31" s="3" t="s">
        <v>12</v>
      </c>
      <c r="C31" s="4" t="s">
        <v>2391</v>
      </c>
      <c r="D31" s="4"/>
    </row>
    <row r="32" spans="2:7" ht="28.5" x14ac:dyDescent="0.2">
      <c r="B32" s="3" t="s">
        <v>206</v>
      </c>
      <c r="C32" s="4" t="s">
        <v>2392</v>
      </c>
      <c r="D32" s="4"/>
    </row>
    <row r="33" spans="2:7" ht="29.25" thickBot="1" x14ac:dyDescent="0.25">
      <c r="B33" s="3" t="s">
        <v>0</v>
      </c>
      <c r="C33" s="4" t="s">
        <v>2393</v>
      </c>
      <c r="D33" s="4"/>
    </row>
    <row r="34" spans="2:7" ht="29.25" thickBot="1" x14ac:dyDescent="0.25">
      <c r="B34" s="3" t="s">
        <v>116</v>
      </c>
      <c r="C34" s="3" t="s">
        <v>2394</v>
      </c>
      <c r="D34" s="4"/>
      <c r="E34" s="12"/>
    </row>
    <row r="35" spans="2:7" ht="29.25" thickBot="1" x14ac:dyDescent="0.25">
      <c r="B35" s="3" t="s">
        <v>9</v>
      </c>
      <c r="C35" s="4" t="s">
        <v>2395</v>
      </c>
      <c r="D35" s="4"/>
      <c r="E35" s="15"/>
      <c r="G35" t="str">
        <f t="shared" si="0"/>
        <v>&lt;dl&gt;&lt;dt&gt;父母宫​&lt;/dt&gt;&lt;dd&gt;与父母缘分带伤感，易为父母之事伤心；父母性格忧郁。&lt;/dd&gt;&lt;dd&gt;&lt;/dd&gt;&lt;/dl&gt;</v>
      </c>
    </row>
    <row r="36" spans="2:7" ht="16.5" thickBot="1" x14ac:dyDescent="0.25">
      <c r="E36" s="15"/>
      <c r="G36" t="str">
        <f t="shared" si="0"/>
        <v>&lt;dl&gt;&lt;dt&gt;&lt;/dt&gt;&lt;dd&gt;&lt;/dd&gt;&lt;dd&gt;&lt;/dd&gt;&lt;/dl&gt;</v>
      </c>
    </row>
    <row r="37" spans="2:7" ht="16.5" thickBot="1" x14ac:dyDescent="0.25">
      <c r="E37" s="15"/>
      <c r="G37" t="str">
        <f t="shared" si="0"/>
        <v>&lt;dl&gt;&lt;dt&gt;&lt;/dt&gt;&lt;dd&gt;&lt;/dd&gt;&lt;dd&gt;&lt;/dd&gt;&lt;/dl&gt;</v>
      </c>
    </row>
    <row r="38" spans="2:7" ht="18" thickBot="1" x14ac:dyDescent="0.25">
      <c r="B38" s="5" t="s">
        <v>734</v>
      </c>
      <c r="E38" s="15"/>
      <c r="G38" t="str">
        <f t="shared" si="0"/>
        <v>&lt;dl&gt;&lt;dt&gt;四、主星组合象义&lt;/dt&gt;&lt;dd&gt;&lt;/dd&gt;&lt;dd&gt;&lt;/dd&gt;&lt;/dl&gt;</v>
      </c>
    </row>
    <row r="39" spans="2:7" ht="16.5" thickBot="1" x14ac:dyDescent="0.25">
      <c r="E39" s="15"/>
      <c r="G39" t="str">
        <f t="shared" si="0"/>
        <v>&lt;dl&gt;&lt;dt&gt;&lt;/dt&gt;&lt;dd&gt;&lt;/dd&gt;&lt;dd&gt;&lt;/dd&gt;&lt;/dl&gt;</v>
      </c>
    </row>
    <row r="40" spans="2:7" ht="16.5" thickBot="1" x14ac:dyDescent="0.25">
      <c r="B40" s="13" t="s">
        <v>2396</v>
      </c>
      <c r="E40" s="15"/>
      <c r="G40" t="str">
        <f t="shared" si="0"/>
        <v>&lt;dl&gt;&lt;dt&gt;1. 强化悲伤性质组合&lt;/dt&gt;&lt;dd&gt;&lt;/dd&gt;&lt;dd&gt;&lt;/dd&gt;&lt;/dl&gt;</v>
      </c>
    </row>
    <row r="41" spans="2:7" ht="16.5" thickBot="1" x14ac:dyDescent="0.25">
      <c r="E41" s="15"/>
      <c r="G41" t="str">
        <f t="shared" si="0"/>
        <v>&lt;dl&gt;&lt;dt&gt;&lt;/dt&gt;&lt;dd&gt;&lt;/dd&gt;&lt;dd&gt;&lt;/dd&gt;&lt;/dl&gt;</v>
      </c>
    </row>
    <row r="42" spans="2:7" ht="16.5" thickBot="1" x14ac:dyDescent="0.25">
      <c r="B42" s="2" t="s">
        <v>71</v>
      </c>
      <c r="C42" s="2" t="s">
        <v>1047</v>
      </c>
      <c r="D42" s="2" t="s">
        <v>73</v>
      </c>
      <c r="E42" s="15"/>
      <c r="G42" t="str">
        <f t="shared" si="0"/>
        <v>&lt;dl&gt;&lt;dt&gt;组合​&lt;/dt&gt;&lt;dd&gt;效应​&lt;/dd&gt;&lt;dd&gt;典型案例​&lt;/dd&gt;&lt;/dl&gt;</v>
      </c>
    </row>
    <row r="43" spans="2:7" ht="29.25" thickBot="1" x14ac:dyDescent="0.25">
      <c r="B43" s="3" t="s">
        <v>2397</v>
      </c>
      <c r="C43" s="4" t="s">
        <v>2398</v>
      </c>
      <c r="D43" s="4" t="s">
        <v>2399</v>
      </c>
      <c r="E43" s="15"/>
      <c r="G43" t="str">
        <f t="shared" si="0"/>
        <v>&lt;dl&gt;&lt;dt&gt;天哭+天同​&lt;/dt&gt;&lt;dd&gt;强化情绪化特质，悲天悯人，易因感情、享受受挫而伤心痛哭。&lt;/dd&gt;&lt;dd&gt;失恋后长时间沉浸在悲伤中无法自拔。&lt;/dd&gt;&lt;/dl&gt;</v>
      </c>
    </row>
    <row r="44" spans="2:7" ht="28.5" x14ac:dyDescent="0.2">
      <c r="B44" s="3" t="s">
        <v>2400</v>
      </c>
      <c r="C44" s="4" t="s">
        <v>2401</v>
      </c>
      <c r="D44" s="4" t="s">
        <v>2402</v>
      </c>
    </row>
    <row r="45" spans="2:7" ht="28.5" x14ac:dyDescent="0.2">
      <c r="B45" s="3" t="s">
        <v>2403</v>
      </c>
      <c r="C45" s="4" t="s">
        <v>2404</v>
      </c>
      <c r="D45" s="4" t="s">
        <v>2405</v>
      </c>
    </row>
    <row r="46" spans="2:7" ht="28.5" x14ac:dyDescent="0.2">
      <c r="B46" s="3" t="s">
        <v>2406</v>
      </c>
      <c r="C46" s="4" t="s">
        <v>2407</v>
      </c>
      <c r="D46" s="4" t="s">
        <v>2408</v>
      </c>
    </row>
    <row r="47" spans="2:7" ht="29.25" thickBot="1" x14ac:dyDescent="0.25">
      <c r="B47" s="3" t="s">
        <v>2409</v>
      </c>
      <c r="C47" s="4" t="s">
        <v>2410</v>
      </c>
      <c r="D47" s="4" t="s">
        <v>2411</v>
      </c>
    </row>
    <row r="48" spans="2:7" ht="16.5" thickBot="1" x14ac:dyDescent="0.25">
      <c r="E48" s="12"/>
    </row>
    <row r="49" spans="2:7" ht="16.5" thickBot="1" x14ac:dyDescent="0.25">
      <c r="B49" s="13" t="s">
        <v>1947</v>
      </c>
      <c r="E49" s="15"/>
      <c r="G49" t="str">
        <f t="shared" si="0"/>
        <v>&lt;dl&gt;&lt;dt&gt;2. 转化与缓和组合&lt;/dt&gt;&lt;dd&gt;&lt;/dd&gt;&lt;dd&gt;&lt;/dd&gt;&lt;/dl&gt;</v>
      </c>
    </row>
    <row r="50" spans="2:7" ht="16.5" thickBot="1" x14ac:dyDescent="0.25">
      <c r="E50" s="15"/>
      <c r="G50" t="str">
        <f t="shared" si="0"/>
        <v>&lt;dl&gt;&lt;dt&gt;&lt;/dt&gt;&lt;dd&gt;&lt;/dd&gt;&lt;dd&gt;&lt;/dd&gt;&lt;/dl&gt;</v>
      </c>
    </row>
    <row r="51" spans="2:7" ht="16.5" thickBot="1" x14ac:dyDescent="0.25">
      <c r="B51" s="2" t="s">
        <v>71</v>
      </c>
      <c r="C51" s="2" t="s">
        <v>1047</v>
      </c>
      <c r="D51" s="2" t="s">
        <v>73</v>
      </c>
      <c r="E51" s="15"/>
      <c r="G51" t="str">
        <f t="shared" si="0"/>
        <v>&lt;dl&gt;&lt;dt&gt;组合​&lt;/dt&gt;&lt;dd&gt;效应​&lt;/dd&gt;&lt;dd&gt;典型案例​&lt;/dd&gt;&lt;/dl&gt;</v>
      </c>
    </row>
    <row r="52" spans="2:7" ht="29.25" thickBot="1" x14ac:dyDescent="0.25">
      <c r="B52" s="3" t="s">
        <v>2412</v>
      </c>
      <c r="C52" s="4" t="s">
        <v>2413</v>
      </c>
      <c r="D52" s="4" t="s">
        <v>2414</v>
      </c>
      <c r="E52" s="15"/>
      <c r="G52" t="str">
        <f t="shared" si="0"/>
        <v>&lt;dl&gt;&lt;dt&gt;天哭+太阳​&lt;/dt&gt;&lt;dd&gt;悲伤得以公开表达和宣泄，或转化为博爱、同情心去帮助他人。&lt;/dd&gt;&lt;dd&gt;化个人悲痛为力量，从事公益事业。&lt;/dd&gt;&lt;/dl&gt;</v>
      </c>
    </row>
    <row r="53" spans="2:7" ht="28.5" x14ac:dyDescent="0.2">
      <c r="B53" s="3" t="s">
        <v>2415</v>
      </c>
      <c r="C53" s="4" t="s">
        <v>2416</v>
      </c>
      <c r="D53" s="4" t="s">
        <v>2417</v>
      </c>
    </row>
    <row r="54" spans="2:7" ht="28.5" x14ac:dyDescent="0.2">
      <c r="B54" s="3" t="s">
        <v>2418</v>
      </c>
      <c r="C54" s="4" t="s">
        <v>2419</v>
      </c>
      <c r="D54" s="4" t="s">
        <v>2420</v>
      </c>
    </row>
    <row r="55" spans="2:7" ht="28.5" x14ac:dyDescent="0.2">
      <c r="B55" s="3" t="s">
        <v>2421</v>
      </c>
      <c r="C55" s="4" t="s">
        <v>2422</v>
      </c>
      <c r="D55" s="4" t="s">
        <v>2423</v>
      </c>
    </row>
    <row r="58" spans="2:7" ht="17.25" x14ac:dyDescent="0.2">
      <c r="B58" s="5" t="s">
        <v>746</v>
      </c>
    </row>
    <row r="60" spans="2:7" x14ac:dyDescent="0.2">
      <c r="B60" s="2" t="s">
        <v>40</v>
      </c>
      <c r="C60" s="2" t="s">
        <v>1414</v>
      </c>
      <c r="D60" s="2" t="s">
        <v>21</v>
      </c>
    </row>
    <row r="61" spans="2:7" ht="28.5" x14ac:dyDescent="0.2">
      <c r="B61" s="3" t="s">
        <v>2424</v>
      </c>
      <c r="C61" s="4" t="s">
        <v>2425</v>
      </c>
      <c r="D61" s="4" t="s">
        <v>2426</v>
      </c>
    </row>
    <row r="62" spans="2:7" ht="28.5" x14ac:dyDescent="0.2">
      <c r="B62" s="3" t="s">
        <v>2427</v>
      </c>
      <c r="C62" s="4" t="s">
        <v>2428</v>
      </c>
      <c r="D62" s="4" t="s">
        <v>2429</v>
      </c>
    </row>
    <row r="63" spans="2:7" ht="28.5" x14ac:dyDescent="0.2">
      <c r="B63" s="3" t="s">
        <v>2430</v>
      </c>
      <c r="C63" s="4" t="s">
        <v>2431</v>
      </c>
      <c r="D63" s="4" t="s">
        <v>2432</v>
      </c>
    </row>
    <row r="64" spans="2:7" ht="28.5" x14ac:dyDescent="0.2">
      <c r="B64" s="3" t="s">
        <v>2433</v>
      </c>
      <c r="C64" s="4" t="s">
        <v>2434</v>
      </c>
      <c r="D64" s="4" t="s">
        <v>2435</v>
      </c>
    </row>
    <row r="65" spans="2:4" ht="28.5" x14ac:dyDescent="0.2">
      <c r="B65" s="3" t="s">
        <v>2436</v>
      </c>
      <c r="C65" s="4" t="s">
        <v>2437</v>
      </c>
      <c r="D65" s="4" t="s">
        <v>2438</v>
      </c>
    </row>
    <row r="66" spans="2:4" ht="28.5" x14ac:dyDescent="0.2">
      <c r="B66" s="3" t="s">
        <v>2439</v>
      </c>
      <c r="C66" s="4" t="s">
        <v>2440</v>
      </c>
      <c r="D66" s="4" t="s">
        <v>2441</v>
      </c>
    </row>
    <row r="67" spans="2:4" ht="28.5" x14ac:dyDescent="0.2">
      <c r="B67" s="3" t="s">
        <v>2442</v>
      </c>
      <c r="C67" s="4" t="s">
        <v>2443</v>
      </c>
      <c r="D67" s="4" t="s">
        <v>2444</v>
      </c>
    </row>
    <row r="68" spans="2:4" x14ac:dyDescent="0.2">
      <c r="B68" s="3" t="s">
        <v>2445</v>
      </c>
      <c r="C68" s="4" t="s">
        <v>2446</v>
      </c>
      <c r="D68" s="4" t="s">
        <v>2447</v>
      </c>
    </row>
    <row r="69" spans="2:4" ht="28.5" x14ac:dyDescent="0.2">
      <c r="B69" s="3" t="s">
        <v>2448</v>
      </c>
      <c r="C69" s="4" t="s">
        <v>2449</v>
      </c>
      <c r="D69" s="4" t="s">
        <v>2450</v>
      </c>
    </row>
    <row r="72" spans="2:4" ht="17.25" x14ac:dyDescent="0.2">
      <c r="B72" s="5" t="s">
        <v>1805</v>
      </c>
    </row>
    <row r="73" spans="2:4" x14ac:dyDescent="0.2">
      <c r="B73" s="6"/>
    </row>
    <row r="74" spans="2:4" x14ac:dyDescent="0.2">
      <c r="B74" s="7" t="s">
        <v>2451</v>
      </c>
    </row>
    <row r="75" spans="2:4" x14ac:dyDescent="0.2">
      <c r="B75" s="7" t="s">
        <v>2452</v>
      </c>
    </row>
    <row r="76" spans="2:4" x14ac:dyDescent="0.2">
      <c r="B76" s="7" t="s">
        <v>2453</v>
      </c>
    </row>
    <row r="77" spans="2:4" x14ac:dyDescent="0.2">
      <c r="B77" s="7" t="s">
        <v>2454</v>
      </c>
    </row>
    <row r="80" spans="2:4" x14ac:dyDescent="0.2">
      <c r="B80" s="16"/>
    </row>
    <row r="81" spans="2:2" x14ac:dyDescent="0.2">
      <c r="B81" s="6"/>
    </row>
    <row r="82" spans="2:2" x14ac:dyDescent="0.2">
      <c r="B82" s="6"/>
    </row>
  </sheetData>
  <phoneticPr fontId="2" type="noConversion"/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4EF873-7CC4-4388-B3C6-2355C43FF6A6}">
  <dimension ref="B1:G82"/>
  <sheetViews>
    <sheetView zoomScaleNormal="100" workbookViewId="0">
      <selection activeCell="B1" sqref="B1:D78"/>
    </sheetView>
  </sheetViews>
  <sheetFormatPr defaultRowHeight="14.25" x14ac:dyDescent="0.2"/>
  <cols>
    <col min="1" max="1" width="2.75" customWidth="1"/>
    <col min="2" max="2" width="15.625" customWidth="1"/>
    <col min="3" max="3" width="43.125" customWidth="1"/>
    <col min="4" max="4" width="32.75" customWidth="1"/>
  </cols>
  <sheetData>
    <row r="1" spans="2:7" ht="17.25" x14ac:dyDescent="0.2">
      <c r="B1" s="5" t="s">
        <v>2455</v>
      </c>
      <c r="G1" t="str">
        <f>"&lt;dl&gt;&lt;dt&gt;" &amp; B1 &amp; "&lt;/dt&gt;&lt;dd&gt;" &amp; C1 &amp; "&lt;/dd&gt;&lt;dd&gt;" &amp; D1 &amp; "&lt;/dd&gt;&lt;/dl&gt;"</f>
        <v>&lt;dl&gt;&lt;dt&gt;一、天厨定义&lt;/dt&gt;&lt;dd&gt;&lt;/dd&gt;&lt;dd&gt;&lt;/dd&gt;&lt;/dl&gt;</v>
      </c>
    </row>
    <row r="3" spans="2:7" x14ac:dyDescent="0.2">
      <c r="B3" s="2" t="s">
        <v>376</v>
      </c>
      <c r="C3" s="2" t="s">
        <v>377</v>
      </c>
      <c r="D3" s="2" t="s">
        <v>21</v>
      </c>
    </row>
    <row r="4" spans="2:7" x14ac:dyDescent="0.2">
      <c r="B4" s="3" t="s">
        <v>624</v>
      </c>
      <c r="C4" s="4" t="s">
        <v>2456</v>
      </c>
      <c r="D4" s="4"/>
    </row>
    <row r="5" spans="2:7" ht="28.5" x14ac:dyDescent="0.2">
      <c r="B5" s="3" t="s">
        <v>378</v>
      </c>
      <c r="C5" s="4" t="s">
        <v>2457</v>
      </c>
      <c r="D5" s="4"/>
    </row>
    <row r="6" spans="2:7" ht="28.5" x14ac:dyDescent="0.2">
      <c r="B6" s="3" t="s">
        <v>1717</v>
      </c>
      <c r="C6" s="4" t="s">
        <v>2458</v>
      </c>
      <c r="D6" s="4"/>
    </row>
    <row r="9" spans="2:7" ht="17.25" x14ac:dyDescent="0.2">
      <c r="B9" s="5" t="s">
        <v>1719</v>
      </c>
    </row>
    <row r="11" spans="2:7" ht="15.75" x14ac:dyDescent="0.2">
      <c r="B11" s="13" t="s">
        <v>1720</v>
      </c>
    </row>
    <row r="13" spans="2:7" x14ac:dyDescent="0.2">
      <c r="B13" s="2" t="s">
        <v>390</v>
      </c>
      <c r="C13" s="2" t="s">
        <v>1818</v>
      </c>
      <c r="D13" s="2" t="s">
        <v>1819</v>
      </c>
    </row>
    <row r="14" spans="2:7" ht="28.5" x14ac:dyDescent="0.2">
      <c r="B14" s="3" t="s">
        <v>2459</v>
      </c>
      <c r="C14" s="4" t="s">
        <v>2460</v>
      </c>
      <c r="D14" s="4" t="s">
        <v>2461</v>
      </c>
    </row>
    <row r="15" spans="2:7" ht="28.5" x14ac:dyDescent="0.2">
      <c r="B15" s="3" t="s">
        <v>2462</v>
      </c>
      <c r="C15" s="4" t="s">
        <v>2463</v>
      </c>
      <c r="D15" s="4" t="s">
        <v>2464</v>
      </c>
    </row>
    <row r="16" spans="2:7" x14ac:dyDescent="0.2">
      <c r="B16" s="3" t="s">
        <v>2465</v>
      </c>
      <c r="C16" s="4" t="s">
        <v>2466</v>
      </c>
      <c r="D16" s="4" t="s">
        <v>2467</v>
      </c>
    </row>
    <row r="17" spans="2:7" x14ac:dyDescent="0.2">
      <c r="B17" s="3" t="s">
        <v>2468</v>
      </c>
      <c r="C17" s="4" t="s">
        <v>2469</v>
      </c>
      <c r="D17" s="4" t="s">
        <v>2470</v>
      </c>
    </row>
    <row r="18" spans="2:7" x14ac:dyDescent="0.2">
      <c r="B18" s="3" t="s">
        <v>2471</v>
      </c>
      <c r="C18" s="4" t="s">
        <v>2472</v>
      </c>
      <c r="D18" s="4" t="s">
        <v>2473</v>
      </c>
    </row>
    <row r="21" spans="2:7" ht="17.25" x14ac:dyDescent="0.2">
      <c r="B21" s="5" t="s">
        <v>1733</v>
      </c>
    </row>
    <row r="22" spans="2:7" ht="15" thickBot="1" x14ac:dyDescent="0.25"/>
    <row r="23" spans="2:7" ht="16.5" thickBot="1" x14ac:dyDescent="0.25">
      <c r="B23" s="2" t="s">
        <v>18</v>
      </c>
      <c r="C23" s="2" t="s">
        <v>1818</v>
      </c>
      <c r="D23" s="2" t="s">
        <v>21</v>
      </c>
      <c r="E23" s="12"/>
    </row>
    <row r="24" spans="2:7" ht="29.25" thickBot="1" x14ac:dyDescent="0.25">
      <c r="B24" s="3" t="s">
        <v>201</v>
      </c>
      <c r="C24" s="4" t="s">
        <v>2474</v>
      </c>
      <c r="D24" s="4"/>
      <c r="E24" s="15"/>
      <c r="G24" t="str">
        <f t="shared" ref="G24:G52" si="0">"&lt;dl&gt;&lt;dt&gt;" &amp; B24 &amp; "&lt;/dt&gt;&lt;dd&gt;" &amp; C24 &amp; "&lt;/dd&gt;&lt;dd&gt;" &amp; D24 &amp; "&lt;/dd&gt;&lt;/dl&gt;"</f>
        <v>&lt;dl&gt;&lt;dt&gt;命宫​&lt;/dt&gt;&lt;dd&gt;本人擅长烹饪，注重生活品味，有口福，一生饮食无忧。&lt;/dd&gt;&lt;dd&gt;&lt;/dd&gt;&lt;/dl&gt;</v>
      </c>
    </row>
    <row r="25" spans="2:7" ht="29.25" thickBot="1" x14ac:dyDescent="0.25">
      <c r="B25" s="3" t="s">
        <v>246</v>
      </c>
      <c r="C25" s="4" t="s">
        <v>2475</v>
      </c>
      <c r="D25" s="4"/>
      <c r="E25" s="15"/>
      <c r="G25" t="str">
        <f t="shared" si="0"/>
        <v>&lt;dl&gt;&lt;dt&gt;兄弟宫​&lt;/dt&gt;&lt;dd&gt;兄弟姐妹中有人擅长烹饪或经营餐饮；家庭聚会多。&lt;/dd&gt;&lt;dd&gt;&lt;/dd&gt;&lt;/dl&gt;</v>
      </c>
    </row>
    <row r="26" spans="2:7" ht="29.25" thickBot="1" x14ac:dyDescent="0.25">
      <c r="B26" s="3" t="s">
        <v>125</v>
      </c>
      <c r="C26" s="4" t="s">
        <v>2476</v>
      </c>
      <c r="D26" s="4"/>
      <c r="E26" s="15"/>
      <c r="G26" t="str">
        <f t="shared" si="0"/>
        <v>&lt;dl&gt;&lt;dt&gt;夫妻宫​&lt;/dt&gt;&lt;dd&gt;配偶擅长料理家务饮食，或夫妻因美食结缘；婚姻生活有口福。&lt;/dd&gt;&lt;dd&gt;&lt;/dd&gt;&lt;/dl&gt;</v>
      </c>
    </row>
    <row r="27" spans="2:7" ht="29.25" thickBot="1" x14ac:dyDescent="0.25">
      <c r="B27" s="3" t="s">
        <v>128</v>
      </c>
      <c r="C27" s="4" t="s">
        <v>2477</v>
      </c>
      <c r="D27" s="4"/>
      <c r="E27" s="15"/>
      <c r="G27" t="str">
        <f t="shared" si="0"/>
        <v>&lt;dl&gt;&lt;dt&gt;子女宫​&lt;/dt&gt;&lt;dd&gt;子女贪吃或擅长烹饪；在娱乐、餐饮方面的投资有收益。&lt;/dd&gt;&lt;dd&gt;&lt;/dd&gt;&lt;/dl&gt;</v>
      </c>
    </row>
    <row r="28" spans="2:7" ht="29.25" thickBot="1" x14ac:dyDescent="0.25">
      <c r="B28" s="3" t="s">
        <v>3</v>
      </c>
      <c r="C28" s="4" t="s">
        <v>2478</v>
      </c>
      <c r="D28" s="4"/>
      <c r="E28" s="15"/>
      <c r="G28" t="str">
        <f t="shared" si="0"/>
        <v>&lt;dl&gt;&lt;dt&gt;财帛宫​&lt;/dt&gt;&lt;dd&gt;钱财来源于饮食行业、食品贸易，或稳定的工资俸禄。&lt;/dd&gt;&lt;dd&gt;&lt;/dd&gt;&lt;/dl&gt;</v>
      </c>
    </row>
    <row r="29" spans="2:7" ht="29.25" thickBot="1" x14ac:dyDescent="0.25">
      <c r="B29" s="3" t="s">
        <v>6</v>
      </c>
      <c r="C29" s="4" t="s">
        <v>2479</v>
      </c>
      <c r="D29" s="4"/>
      <c r="E29" s="15"/>
      <c r="G29" t="str">
        <f t="shared" si="0"/>
        <v>&lt;dl&gt;&lt;dt&gt;疾厄宫​&lt;/dt&gt;&lt;dd&gt;消化系统良好，注重饮食健康，但需防饮食过度导致的疾病。&lt;/dd&gt;&lt;dd&gt;&lt;/dd&gt;&lt;/dl&gt;</v>
      </c>
    </row>
    <row r="30" spans="2:7" ht="28.5" x14ac:dyDescent="0.2">
      <c r="B30" s="3" t="s">
        <v>15</v>
      </c>
      <c r="C30" s="4" t="s">
        <v>2480</v>
      </c>
      <c r="D30" s="4"/>
    </row>
    <row r="31" spans="2:7" ht="28.5" x14ac:dyDescent="0.2">
      <c r="B31" s="3" t="s">
        <v>12</v>
      </c>
      <c r="C31" s="4" t="s">
        <v>2481</v>
      </c>
      <c r="D31" s="4"/>
    </row>
    <row r="32" spans="2:7" ht="28.5" x14ac:dyDescent="0.2">
      <c r="B32" s="3" t="s">
        <v>206</v>
      </c>
      <c r="C32" s="4" t="s">
        <v>2482</v>
      </c>
      <c r="D32" s="4"/>
    </row>
    <row r="33" spans="2:7" ht="29.25" thickBot="1" x14ac:dyDescent="0.25">
      <c r="B33" s="3" t="s">
        <v>0</v>
      </c>
      <c r="C33" s="4" t="s">
        <v>2483</v>
      </c>
      <c r="D33" s="4"/>
    </row>
    <row r="34" spans="2:7" ht="29.25" thickBot="1" x14ac:dyDescent="0.25">
      <c r="B34" s="3" t="s">
        <v>116</v>
      </c>
      <c r="C34" s="3" t="s">
        <v>2484</v>
      </c>
      <c r="D34" s="4"/>
      <c r="E34" s="12"/>
    </row>
    <row r="35" spans="2:7" ht="29.25" thickBot="1" x14ac:dyDescent="0.25">
      <c r="B35" s="3" t="s">
        <v>9</v>
      </c>
      <c r="C35" s="4" t="s">
        <v>2485</v>
      </c>
      <c r="D35" s="4"/>
      <c r="E35" s="15"/>
      <c r="G35" t="str">
        <f t="shared" si="0"/>
        <v>&lt;dl&gt;&lt;dt&gt;父母宫​&lt;/dt&gt;&lt;dd&gt;父母注重饮食，家庭生活富足；可能继承与饮食相关的家业。&lt;/dd&gt;&lt;dd&gt;&lt;/dd&gt;&lt;/dl&gt;</v>
      </c>
    </row>
    <row r="36" spans="2:7" ht="16.5" thickBot="1" x14ac:dyDescent="0.25">
      <c r="E36" s="15"/>
      <c r="G36" t="str">
        <f t="shared" si="0"/>
        <v>&lt;dl&gt;&lt;dt&gt;&lt;/dt&gt;&lt;dd&gt;&lt;/dd&gt;&lt;dd&gt;&lt;/dd&gt;&lt;/dl&gt;</v>
      </c>
    </row>
    <row r="37" spans="2:7" ht="16.5" thickBot="1" x14ac:dyDescent="0.25">
      <c r="E37" s="15"/>
      <c r="G37" t="str">
        <f t="shared" si="0"/>
        <v>&lt;dl&gt;&lt;dt&gt;&lt;/dt&gt;&lt;dd&gt;&lt;/dd&gt;&lt;dd&gt;&lt;/dd&gt;&lt;/dl&gt;</v>
      </c>
    </row>
    <row r="38" spans="2:7" ht="18" thickBot="1" x14ac:dyDescent="0.25">
      <c r="B38" s="5" t="s">
        <v>734</v>
      </c>
      <c r="E38" s="15"/>
      <c r="G38" t="str">
        <f t="shared" si="0"/>
        <v>&lt;dl&gt;&lt;dt&gt;四、主星组合象义&lt;/dt&gt;&lt;dd&gt;&lt;/dd&gt;&lt;dd&gt;&lt;/dd&gt;&lt;/dl&gt;</v>
      </c>
    </row>
    <row r="39" spans="2:7" ht="16.5" thickBot="1" x14ac:dyDescent="0.25">
      <c r="E39" s="15"/>
      <c r="G39" t="str">
        <f t="shared" si="0"/>
        <v>&lt;dl&gt;&lt;dt&gt;&lt;/dt&gt;&lt;dd&gt;&lt;/dd&gt;&lt;dd&gt;&lt;/dd&gt;&lt;/dl&gt;</v>
      </c>
    </row>
    <row r="40" spans="2:7" ht="16.5" thickBot="1" x14ac:dyDescent="0.25">
      <c r="B40" s="13" t="s">
        <v>2486</v>
      </c>
      <c r="E40" s="15"/>
      <c r="G40" t="str">
        <f t="shared" si="0"/>
        <v>&lt;dl&gt;&lt;dt&gt;1. 吉象组合（福气彰显）&lt;/dt&gt;&lt;dd&gt;&lt;/dd&gt;&lt;dd&gt;&lt;/dd&gt;&lt;/dl&gt;</v>
      </c>
    </row>
    <row r="41" spans="2:7" ht="16.5" thickBot="1" x14ac:dyDescent="0.25">
      <c r="E41" s="15"/>
      <c r="G41" t="str">
        <f t="shared" si="0"/>
        <v>&lt;dl&gt;&lt;dt&gt;&lt;/dt&gt;&lt;dd&gt;&lt;/dd&gt;&lt;dd&gt;&lt;/dd&gt;&lt;/dl&gt;</v>
      </c>
    </row>
    <row r="42" spans="2:7" ht="16.5" thickBot="1" x14ac:dyDescent="0.25">
      <c r="B42" s="2" t="s">
        <v>71</v>
      </c>
      <c r="C42" s="2" t="s">
        <v>1047</v>
      </c>
      <c r="D42" s="2" t="s">
        <v>73</v>
      </c>
      <c r="E42" s="15"/>
      <c r="G42" t="str">
        <f t="shared" si="0"/>
        <v>&lt;dl&gt;&lt;dt&gt;组合​&lt;/dt&gt;&lt;dd&gt;效应​&lt;/dd&gt;&lt;dd&gt;典型案例​&lt;/dd&gt;&lt;/dl&gt;</v>
      </c>
    </row>
    <row r="43" spans="2:7" ht="29.25" thickBot="1" x14ac:dyDescent="0.25">
      <c r="B43" s="3" t="s">
        <v>2487</v>
      </c>
      <c r="C43" s="4" t="s">
        <v>2488</v>
      </c>
      <c r="D43" s="4" t="s">
        <v>2489</v>
      </c>
      <c r="E43" s="15"/>
      <c r="G43" t="str">
        <f t="shared" si="0"/>
        <v>&lt;dl&gt;&lt;dt&gt;天厨+天同​&lt;/dt&gt;&lt;dd&gt;将享受美食与生活乐趣发挥到极致，是真正的享乐主义者、美食家。&lt;/dd&gt;&lt;dd&gt;生活优渥，四处寻觅美食，乐在其中。&lt;/dd&gt;&lt;/dl&gt;</v>
      </c>
    </row>
    <row r="44" spans="2:7" ht="28.5" x14ac:dyDescent="0.2">
      <c r="B44" s="3" t="s">
        <v>2490</v>
      </c>
      <c r="C44" s="4" t="s">
        <v>2491</v>
      </c>
      <c r="D44" s="4" t="s">
        <v>2492</v>
      </c>
    </row>
    <row r="45" spans="2:7" ht="28.5" x14ac:dyDescent="0.2">
      <c r="B45" s="3" t="s">
        <v>2493</v>
      </c>
      <c r="C45" s="4" t="s">
        <v>2494</v>
      </c>
      <c r="D45" s="4" t="s">
        <v>2495</v>
      </c>
    </row>
    <row r="46" spans="2:7" ht="28.5" x14ac:dyDescent="0.2">
      <c r="B46" s="3" t="s">
        <v>2496</v>
      </c>
      <c r="C46" s="4" t="s">
        <v>2497</v>
      </c>
      <c r="D46" s="4" t="s">
        <v>2498</v>
      </c>
    </row>
    <row r="47" spans="2:7" ht="29.25" thickBot="1" x14ac:dyDescent="0.25">
      <c r="B47" s="3" t="s">
        <v>2499</v>
      </c>
      <c r="C47" s="4" t="s">
        <v>2500</v>
      </c>
      <c r="D47" s="4" t="s">
        <v>2501</v>
      </c>
    </row>
    <row r="48" spans="2:7" ht="16.5" thickBot="1" x14ac:dyDescent="0.25">
      <c r="E48" s="12"/>
    </row>
    <row r="49" spans="2:7" ht="16.5" thickBot="1" x14ac:dyDescent="0.25">
      <c r="B49" s="13" t="s">
        <v>2502</v>
      </c>
      <c r="E49" s="15"/>
      <c r="G49" t="str">
        <f t="shared" si="0"/>
        <v>&lt;dl&gt;&lt;dt&gt;2. 凶象组合（享受过度）&lt;/dt&gt;&lt;dd&gt;&lt;/dd&gt;&lt;dd&gt;&lt;/dd&gt;&lt;/dl&gt;</v>
      </c>
    </row>
    <row r="50" spans="2:7" ht="16.5" thickBot="1" x14ac:dyDescent="0.25">
      <c r="E50" s="15"/>
      <c r="G50" t="str">
        <f t="shared" si="0"/>
        <v>&lt;dl&gt;&lt;dt&gt;&lt;/dt&gt;&lt;dd&gt;&lt;/dd&gt;&lt;dd&gt;&lt;/dd&gt;&lt;/dl&gt;</v>
      </c>
    </row>
    <row r="51" spans="2:7" ht="16.5" thickBot="1" x14ac:dyDescent="0.25">
      <c r="B51" s="2" t="s">
        <v>71</v>
      </c>
      <c r="C51" s="2" t="s">
        <v>1047</v>
      </c>
      <c r="D51" s="2" t="s">
        <v>73</v>
      </c>
      <c r="E51" s="15"/>
      <c r="G51" t="str">
        <f t="shared" si="0"/>
        <v>&lt;dl&gt;&lt;dt&gt;组合​&lt;/dt&gt;&lt;dd&gt;效应​&lt;/dd&gt;&lt;dd&gt;典型案例​&lt;/dd&gt;&lt;/dl&gt;</v>
      </c>
    </row>
    <row r="52" spans="2:7" ht="29.25" thickBot="1" x14ac:dyDescent="0.25">
      <c r="B52" s="3" t="s">
        <v>2503</v>
      </c>
      <c r="C52" s="4" t="s">
        <v>2504</v>
      </c>
      <c r="D52" s="4" t="s">
        <v>2505</v>
      </c>
      <c r="E52" s="15"/>
      <c r="G52" t="str">
        <f t="shared" si="0"/>
        <v>&lt;dl&gt;&lt;dt&gt;天厨+贪狼​&lt;/dt&gt;&lt;dd&gt;对美食美酒欲望无度，易暴饮暴食，沉迷享乐，挥霍钱财。&lt;/dd&gt;&lt;dd&gt;吃喝无节制，导致健康与财务问题。&lt;/dd&gt;&lt;/dl&gt;</v>
      </c>
    </row>
    <row r="53" spans="2:7" ht="28.5" x14ac:dyDescent="0.2">
      <c r="B53" s="3" t="s">
        <v>2506</v>
      </c>
      <c r="C53" s="4" t="s">
        <v>2507</v>
      </c>
      <c r="D53" s="4" t="s">
        <v>2508</v>
      </c>
    </row>
    <row r="54" spans="2:7" ht="28.5" x14ac:dyDescent="0.2">
      <c r="B54" s="3" t="s">
        <v>2509</v>
      </c>
      <c r="C54" s="4" t="s">
        <v>2510</v>
      </c>
      <c r="D54" s="4" t="s">
        <v>2511</v>
      </c>
    </row>
    <row r="55" spans="2:7" ht="28.5" x14ac:dyDescent="0.2">
      <c r="B55" s="3" t="s">
        <v>2512</v>
      </c>
      <c r="C55" s="4" t="s">
        <v>2513</v>
      </c>
      <c r="D55" s="4" t="s">
        <v>2514</v>
      </c>
    </row>
    <row r="56" spans="2:7" ht="28.5" x14ac:dyDescent="0.2">
      <c r="B56" s="3" t="s">
        <v>2515</v>
      </c>
      <c r="C56" s="4" t="s">
        <v>2516</v>
      </c>
      <c r="D56" s="4" t="s">
        <v>2517</v>
      </c>
    </row>
    <row r="59" spans="2:7" ht="17.25" x14ac:dyDescent="0.2">
      <c r="B59" s="5" t="s">
        <v>746</v>
      </c>
    </row>
    <row r="61" spans="2:7" x14ac:dyDescent="0.2">
      <c r="B61" s="2" t="s">
        <v>40</v>
      </c>
      <c r="C61" s="2" t="s">
        <v>1414</v>
      </c>
      <c r="D61" s="2" t="s">
        <v>21</v>
      </c>
    </row>
    <row r="62" spans="2:7" ht="28.5" x14ac:dyDescent="0.2">
      <c r="B62" s="3" t="s">
        <v>2518</v>
      </c>
      <c r="C62" s="4" t="s">
        <v>2519</v>
      </c>
      <c r="D62" s="4" t="s">
        <v>2520</v>
      </c>
    </row>
    <row r="63" spans="2:7" ht="28.5" x14ac:dyDescent="0.2">
      <c r="B63" s="3" t="s">
        <v>2521</v>
      </c>
      <c r="C63" s="4" t="s">
        <v>2522</v>
      </c>
      <c r="D63" s="4" t="s">
        <v>2523</v>
      </c>
    </row>
    <row r="64" spans="2:7" ht="28.5" x14ac:dyDescent="0.2">
      <c r="B64" s="3" t="s">
        <v>2524</v>
      </c>
      <c r="C64" s="4" t="s">
        <v>2525</v>
      </c>
      <c r="D64" s="4" t="s">
        <v>2526</v>
      </c>
    </row>
    <row r="65" spans="2:4" ht="28.5" x14ac:dyDescent="0.2">
      <c r="B65" s="3" t="s">
        <v>2527</v>
      </c>
      <c r="C65" s="4" t="s">
        <v>2528</v>
      </c>
      <c r="D65" s="4" t="s">
        <v>2529</v>
      </c>
    </row>
    <row r="66" spans="2:4" ht="28.5" x14ac:dyDescent="0.2">
      <c r="B66" s="3" t="s">
        <v>2530</v>
      </c>
      <c r="C66" s="4" t="s">
        <v>2531</v>
      </c>
      <c r="D66" s="4" t="s">
        <v>2532</v>
      </c>
    </row>
    <row r="67" spans="2:4" ht="28.5" x14ac:dyDescent="0.2">
      <c r="B67" s="3" t="s">
        <v>2533</v>
      </c>
      <c r="C67" s="4" t="s">
        <v>2534</v>
      </c>
      <c r="D67" s="4" t="s">
        <v>2535</v>
      </c>
    </row>
    <row r="68" spans="2:4" ht="28.5" x14ac:dyDescent="0.2">
      <c r="B68" s="3" t="s">
        <v>2536</v>
      </c>
      <c r="C68" s="4" t="s">
        <v>2537</v>
      </c>
      <c r="D68" s="4" t="s">
        <v>2538</v>
      </c>
    </row>
    <row r="69" spans="2:4" ht="28.5" x14ac:dyDescent="0.2">
      <c r="B69" s="3" t="s">
        <v>2539</v>
      </c>
      <c r="C69" s="4" t="s">
        <v>2540</v>
      </c>
      <c r="D69" s="4" t="s">
        <v>2541</v>
      </c>
    </row>
    <row r="70" spans="2:4" ht="28.5" x14ac:dyDescent="0.2">
      <c r="B70" s="3" t="s">
        <v>2542</v>
      </c>
      <c r="C70" s="4" t="s">
        <v>2543</v>
      </c>
      <c r="D70" s="4" t="s">
        <v>2544</v>
      </c>
    </row>
    <row r="73" spans="2:4" ht="17.25" x14ac:dyDescent="0.2">
      <c r="B73" s="5" t="s">
        <v>1805</v>
      </c>
    </row>
    <row r="74" spans="2:4" x14ac:dyDescent="0.2">
      <c r="B74" s="6"/>
    </row>
    <row r="75" spans="2:4" x14ac:dyDescent="0.2">
      <c r="B75" s="7" t="s">
        <v>2545</v>
      </c>
    </row>
    <row r="76" spans="2:4" x14ac:dyDescent="0.2">
      <c r="B76" s="7" t="s">
        <v>2546</v>
      </c>
    </row>
    <row r="77" spans="2:4" x14ac:dyDescent="0.2">
      <c r="B77" s="7" t="s">
        <v>2547</v>
      </c>
    </row>
    <row r="78" spans="2:4" x14ac:dyDescent="0.2">
      <c r="B78" s="7" t="s">
        <v>2548</v>
      </c>
    </row>
    <row r="80" spans="2:4" x14ac:dyDescent="0.2">
      <c r="B80" s="16"/>
    </row>
    <row r="81" spans="2:2" x14ac:dyDescent="0.2">
      <c r="B81" s="6"/>
    </row>
    <row r="82" spans="2:2" x14ac:dyDescent="0.2">
      <c r="B82" s="6"/>
    </row>
  </sheetData>
  <phoneticPr fontId="2" type="noConversion"/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309000-E233-4141-ACF1-656B68F6EC22}">
  <dimension ref="B1:G82"/>
  <sheetViews>
    <sheetView zoomScaleNormal="100" workbookViewId="0">
      <selection activeCell="B1" sqref="B1:D78"/>
    </sheetView>
  </sheetViews>
  <sheetFormatPr defaultRowHeight="14.25" x14ac:dyDescent="0.2"/>
  <cols>
    <col min="1" max="1" width="2.75" customWidth="1"/>
    <col min="2" max="2" width="15.625" customWidth="1"/>
    <col min="3" max="3" width="43.125" customWidth="1"/>
    <col min="4" max="4" width="32.75" customWidth="1"/>
  </cols>
  <sheetData>
    <row r="1" spans="2:7" ht="17.25" x14ac:dyDescent="0.2">
      <c r="B1" s="5" t="s">
        <v>2549</v>
      </c>
      <c r="G1" t="str">
        <f>"&lt;dl&gt;&lt;dt&gt;" &amp; B1 &amp; "&lt;/dt&gt;&lt;dd&gt;" &amp; C1 &amp; "&lt;/dd&gt;&lt;dd&gt;" &amp; D1 &amp; "&lt;/dd&gt;&lt;/dl&gt;"</f>
        <v>&lt;dl&gt;&lt;dt&gt;一、恩光定义&lt;/dt&gt;&lt;dd&gt;&lt;/dd&gt;&lt;dd&gt;&lt;/dd&gt;&lt;/dl&gt;</v>
      </c>
    </row>
    <row r="3" spans="2:7" x14ac:dyDescent="0.2">
      <c r="B3" s="2" t="s">
        <v>376</v>
      </c>
      <c r="C3" s="2" t="s">
        <v>377</v>
      </c>
      <c r="D3" s="2" t="s">
        <v>21</v>
      </c>
    </row>
    <row r="4" spans="2:7" x14ac:dyDescent="0.2">
      <c r="B4" s="3" t="s">
        <v>624</v>
      </c>
      <c r="C4" s="4" t="s">
        <v>2550</v>
      </c>
      <c r="D4" s="4"/>
    </row>
    <row r="5" spans="2:7" ht="28.5" x14ac:dyDescent="0.2">
      <c r="B5" s="3" t="s">
        <v>378</v>
      </c>
      <c r="C5" s="4" t="s">
        <v>2551</v>
      </c>
      <c r="D5" s="4"/>
    </row>
    <row r="6" spans="2:7" ht="28.5" x14ac:dyDescent="0.2">
      <c r="B6" s="3" t="s">
        <v>1717</v>
      </c>
      <c r="C6" s="4" t="s">
        <v>2552</v>
      </c>
      <c r="D6" s="4"/>
    </row>
    <row r="9" spans="2:7" ht="17.25" x14ac:dyDescent="0.2">
      <c r="B9" s="5" t="s">
        <v>1719</v>
      </c>
    </row>
    <row r="11" spans="2:7" ht="15.75" x14ac:dyDescent="0.2">
      <c r="B11" s="13" t="s">
        <v>1720</v>
      </c>
    </row>
    <row r="13" spans="2:7" x14ac:dyDescent="0.2">
      <c r="B13" s="2" t="s">
        <v>390</v>
      </c>
      <c r="C13" s="2" t="s">
        <v>1818</v>
      </c>
      <c r="D13" s="2" t="s">
        <v>1819</v>
      </c>
    </row>
    <row r="14" spans="2:7" x14ac:dyDescent="0.2">
      <c r="B14" s="3" t="s">
        <v>2553</v>
      </c>
      <c r="C14" s="4" t="s">
        <v>2554</v>
      </c>
      <c r="D14" s="4" t="s">
        <v>2555</v>
      </c>
    </row>
    <row r="15" spans="2:7" x14ac:dyDescent="0.2">
      <c r="B15" s="3" t="s">
        <v>2556</v>
      </c>
      <c r="C15" s="4" t="s">
        <v>2557</v>
      </c>
      <c r="D15" s="4" t="s">
        <v>2558</v>
      </c>
    </row>
    <row r="16" spans="2:7" x14ac:dyDescent="0.2">
      <c r="B16" s="3" t="s">
        <v>2559</v>
      </c>
      <c r="C16" s="4" t="s">
        <v>2560</v>
      </c>
      <c r="D16" s="4" t="s">
        <v>2561</v>
      </c>
    </row>
    <row r="17" spans="2:7" x14ac:dyDescent="0.2">
      <c r="B17" s="3" t="s">
        <v>2562</v>
      </c>
      <c r="C17" s="4" t="s">
        <v>2563</v>
      </c>
      <c r="D17" s="4" t="s">
        <v>2564</v>
      </c>
    </row>
    <row r="18" spans="2:7" x14ac:dyDescent="0.2">
      <c r="B18" s="3" t="s">
        <v>2565</v>
      </c>
      <c r="C18" s="4" t="s">
        <v>2566</v>
      </c>
      <c r="D18" s="4" t="s">
        <v>2567</v>
      </c>
    </row>
    <row r="21" spans="2:7" ht="17.25" x14ac:dyDescent="0.2">
      <c r="B21" s="5" t="s">
        <v>1733</v>
      </c>
    </row>
    <row r="22" spans="2:7" ht="15" thickBot="1" x14ac:dyDescent="0.25"/>
    <row r="23" spans="2:7" ht="16.5" thickBot="1" x14ac:dyDescent="0.25">
      <c r="B23" s="2" t="s">
        <v>18</v>
      </c>
      <c r="C23" s="2" t="s">
        <v>1818</v>
      </c>
      <c r="D23" s="2" t="s">
        <v>21</v>
      </c>
      <c r="E23" s="12"/>
    </row>
    <row r="24" spans="2:7" ht="29.25" thickBot="1" x14ac:dyDescent="0.25">
      <c r="B24" s="3" t="s">
        <v>201</v>
      </c>
      <c r="C24" s="4" t="s">
        <v>2568</v>
      </c>
      <c r="D24" s="4"/>
      <c r="E24" s="15"/>
      <c r="G24" t="str">
        <f t="shared" ref="G24:G52" si="0">"&lt;dl&gt;&lt;dt&gt;" &amp; B24 &amp; "&lt;/dt&gt;&lt;dd&gt;" &amp; C24 &amp; "&lt;/dd&gt;&lt;dd&gt;" &amp; D24 &amp; "&lt;/dd&gt;&lt;/dl&gt;"</f>
        <v>&lt;dl&gt;&lt;dt&gt;命宫​&lt;/dt&gt;&lt;dd&gt;一生易得贵人赏识，有荣誉加身的机会，为人重名誉、有光彩。&lt;/dd&gt;&lt;dd&gt;&lt;/dd&gt;&lt;/dl&gt;</v>
      </c>
    </row>
    <row r="25" spans="2:7" ht="29.25" thickBot="1" x14ac:dyDescent="0.25">
      <c r="B25" s="3" t="s">
        <v>246</v>
      </c>
      <c r="C25" s="4" t="s">
        <v>2569</v>
      </c>
      <c r="D25" s="4"/>
      <c r="E25" s="15"/>
      <c r="G25" t="str">
        <f t="shared" si="0"/>
        <v>&lt;dl&gt;&lt;dt&gt;兄弟宫​&lt;/dt&gt;&lt;dd&gt;兄弟姐妹中有显荣者，能给自己带来荣耀；在团队中易受嘉奖。&lt;/dd&gt;&lt;dd&gt;&lt;/dd&gt;&lt;/dl&gt;</v>
      </c>
    </row>
    <row r="26" spans="2:7" ht="29.25" thickBot="1" x14ac:dyDescent="0.25">
      <c r="B26" s="3" t="s">
        <v>125</v>
      </c>
      <c r="C26" s="4" t="s">
        <v>2570</v>
      </c>
      <c r="D26" s="4"/>
      <c r="E26" s="15"/>
      <c r="G26" t="str">
        <f t="shared" si="0"/>
        <v>&lt;dl&gt;&lt;dt&gt;夫妻宫​&lt;/dt&gt;&lt;dd&gt;配偶体面或有荣誉，婚姻能为自己增添光彩；易得配偶方长辈提携。&lt;/dd&gt;&lt;dd&gt;&lt;/dd&gt;&lt;/dl&gt;</v>
      </c>
    </row>
    <row r="27" spans="2:7" ht="29.25" thickBot="1" x14ac:dyDescent="0.25">
      <c r="B27" s="3" t="s">
        <v>128</v>
      </c>
      <c r="C27" s="4" t="s">
        <v>2571</v>
      </c>
      <c r="D27" s="4"/>
      <c r="E27" s="15"/>
      <c r="G27" t="str">
        <f t="shared" si="0"/>
        <v>&lt;dl&gt;&lt;dt&gt;子女宫​&lt;/dt&gt;&lt;dd&gt;子女有出息、获奖，为自己争光；在投资、娱乐方面获得荣誉性回报。&lt;/dd&gt;&lt;dd&gt;&lt;/dd&gt;&lt;/dl&gt;</v>
      </c>
    </row>
    <row r="28" spans="2:7" ht="29.25" thickBot="1" x14ac:dyDescent="0.25">
      <c r="B28" s="3" t="s">
        <v>3</v>
      </c>
      <c r="C28" s="4" t="s">
        <v>2572</v>
      </c>
      <c r="D28" s="4"/>
      <c r="E28" s="15"/>
      <c r="G28" t="str">
        <f t="shared" si="0"/>
        <v>&lt;dl&gt;&lt;dt&gt;财帛宫​&lt;/dt&gt;&lt;dd&gt;钱财来源于正当荣誉（如奖金、奖学金），或因好名声得财。&lt;/dd&gt;&lt;dd&gt;&lt;/dd&gt;&lt;/dl&gt;</v>
      </c>
    </row>
    <row r="29" spans="2:7" ht="29.25" thickBot="1" x14ac:dyDescent="0.25">
      <c r="B29" s="3" t="s">
        <v>6</v>
      </c>
      <c r="C29" s="4" t="s">
        <v>2573</v>
      </c>
      <c r="D29" s="4"/>
      <c r="E29" s="15"/>
      <c r="G29" t="str">
        <f t="shared" si="0"/>
        <v>&lt;dl&gt;&lt;dt&gt;疾厄宫​&lt;/dt&gt;&lt;dd&gt;得到名医诊治，或使用荣誉性的先进疗法；病情易公开并获得关怀。&lt;/dd&gt;&lt;dd&gt;&lt;/dd&gt;&lt;/dl&gt;</v>
      </c>
    </row>
    <row r="30" spans="2:7" ht="28.5" x14ac:dyDescent="0.2">
      <c r="B30" s="3" t="s">
        <v>15</v>
      </c>
      <c r="C30" s="4" t="s">
        <v>2574</v>
      </c>
      <c r="D30" s="4"/>
    </row>
    <row r="31" spans="2:7" ht="28.5" x14ac:dyDescent="0.2">
      <c r="B31" s="3" t="s">
        <v>12</v>
      </c>
      <c r="C31" s="4" t="s">
        <v>2575</v>
      </c>
      <c r="D31" s="4"/>
    </row>
    <row r="32" spans="2:7" ht="28.5" x14ac:dyDescent="0.2">
      <c r="B32" s="3" t="s">
        <v>206</v>
      </c>
      <c r="C32" s="3" t="s">
        <v>2576</v>
      </c>
      <c r="D32" s="4"/>
    </row>
    <row r="33" spans="2:7" ht="29.25" thickBot="1" x14ac:dyDescent="0.25">
      <c r="B33" s="3" t="s">
        <v>0</v>
      </c>
      <c r="C33" s="4" t="s">
        <v>2577</v>
      </c>
      <c r="D33" s="4"/>
    </row>
    <row r="34" spans="2:7" ht="29.25" thickBot="1" x14ac:dyDescent="0.25">
      <c r="B34" s="3" t="s">
        <v>116</v>
      </c>
      <c r="C34" s="4" t="s">
        <v>2578</v>
      </c>
      <c r="D34" s="4"/>
      <c r="E34" s="12"/>
    </row>
    <row r="35" spans="2:7" ht="29.25" thickBot="1" x14ac:dyDescent="0.25">
      <c r="B35" s="3" t="s">
        <v>9</v>
      </c>
      <c r="C35" s="4" t="s">
        <v>2579</v>
      </c>
      <c r="D35" s="4"/>
      <c r="E35" s="15"/>
      <c r="G35" t="str">
        <f t="shared" si="0"/>
        <v>&lt;dl&gt;&lt;dt&gt;父母宫​&lt;/dt&gt;&lt;dd&gt;父母有社会地位或荣誉，自己易得父母福荫及长辈上司关照。&lt;/dd&gt;&lt;dd&gt;&lt;/dd&gt;&lt;/dl&gt;</v>
      </c>
    </row>
    <row r="36" spans="2:7" ht="16.5" thickBot="1" x14ac:dyDescent="0.25">
      <c r="E36" s="15"/>
      <c r="G36" t="str">
        <f t="shared" si="0"/>
        <v>&lt;dl&gt;&lt;dt&gt;&lt;/dt&gt;&lt;dd&gt;&lt;/dd&gt;&lt;dd&gt;&lt;/dd&gt;&lt;/dl&gt;</v>
      </c>
    </row>
    <row r="37" spans="2:7" ht="16.5" thickBot="1" x14ac:dyDescent="0.25">
      <c r="E37" s="15"/>
      <c r="G37" t="str">
        <f t="shared" si="0"/>
        <v>&lt;dl&gt;&lt;dt&gt;&lt;/dt&gt;&lt;dd&gt;&lt;/dd&gt;&lt;dd&gt;&lt;/dd&gt;&lt;/dl&gt;</v>
      </c>
    </row>
    <row r="38" spans="2:7" ht="18" thickBot="1" x14ac:dyDescent="0.25">
      <c r="B38" s="5" t="s">
        <v>734</v>
      </c>
      <c r="E38" s="15"/>
      <c r="G38" t="str">
        <f t="shared" si="0"/>
        <v>&lt;dl&gt;&lt;dt&gt;四、主星组合象义&lt;/dt&gt;&lt;dd&gt;&lt;/dd&gt;&lt;dd&gt;&lt;/dd&gt;&lt;/dl&gt;</v>
      </c>
    </row>
    <row r="39" spans="2:7" ht="16.5" thickBot="1" x14ac:dyDescent="0.25">
      <c r="E39" s="15"/>
      <c r="G39" t="str">
        <f t="shared" si="0"/>
        <v>&lt;dl&gt;&lt;dt&gt;&lt;/dt&gt;&lt;dd&gt;&lt;/dd&gt;&lt;dd&gt;&lt;/dd&gt;&lt;/dl&gt;</v>
      </c>
    </row>
    <row r="40" spans="2:7" ht="16.5" thickBot="1" x14ac:dyDescent="0.25">
      <c r="B40" s="13" t="s">
        <v>2580</v>
      </c>
      <c r="E40" s="15"/>
      <c r="G40" t="str">
        <f t="shared" si="0"/>
        <v>&lt;dl&gt;&lt;dt&gt;1. 强化贵气荣耀组合&lt;/dt&gt;&lt;dd&gt;&lt;/dd&gt;&lt;dd&gt;&lt;/dd&gt;&lt;/dl&gt;</v>
      </c>
    </row>
    <row r="41" spans="2:7" ht="16.5" thickBot="1" x14ac:dyDescent="0.25">
      <c r="E41" s="15"/>
      <c r="G41" t="str">
        <f t="shared" si="0"/>
        <v>&lt;dl&gt;&lt;dt&gt;&lt;/dt&gt;&lt;dd&gt;&lt;/dd&gt;&lt;dd&gt;&lt;/dd&gt;&lt;/dl&gt;</v>
      </c>
    </row>
    <row r="42" spans="2:7" ht="16.5" thickBot="1" x14ac:dyDescent="0.25">
      <c r="B42" s="2" t="s">
        <v>71</v>
      </c>
      <c r="C42" s="2" t="s">
        <v>1047</v>
      </c>
      <c r="D42" s="2" t="s">
        <v>73</v>
      </c>
      <c r="E42" s="15"/>
      <c r="G42" t="str">
        <f t="shared" si="0"/>
        <v>&lt;dl&gt;&lt;dt&gt;组合​&lt;/dt&gt;&lt;dd&gt;效应​&lt;/dd&gt;&lt;dd&gt;典型案例​&lt;/dd&gt;&lt;/dl&gt;</v>
      </c>
    </row>
    <row r="43" spans="2:7" ht="29.25" thickBot="1" x14ac:dyDescent="0.25">
      <c r="B43" s="3" t="s">
        <v>2581</v>
      </c>
      <c r="C43" s="4" t="s">
        <v>2582</v>
      </c>
      <c r="D43" s="4" t="s">
        <v>2583</v>
      </c>
      <c r="E43" s="15"/>
      <c r="G43" t="str">
        <f t="shared" si="0"/>
        <v>&lt;dl&gt;&lt;dt&gt;恩光+紫微​&lt;/dt&gt;&lt;dd&gt;帝星得恩光，贵气非凡，易获最高级别的嘉奖与权位荣耀。&lt;/dd&gt;&lt;dd&gt;获得国家勋章；成为行业领袖并受表彰。&lt;/dd&gt;&lt;/dl&gt;</v>
      </c>
    </row>
    <row r="44" spans="2:7" ht="28.5" x14ac:dyDescent="0.2">
      <c r="B44" s="3" t="s">
        <v>2584</v>
      </c>
      <c r="C44" s="4" t="s">
        <v>2585</v>
      </c>
      <c r="D44" s="4" t="s">
        <v>2586</v>
      </c>
    </row>
    <row r="45" spans="2:7" ht="28.5" x14ac:dyDescent="0.2">
      <c r="B45" s="3" t="s">
        <v>2587</v>
      </c>
      <c r="C45" s="4" t="s">
        <v>2588</v>
      </c>
      <c r="D45" s="4" t="s">
        <v>2589</v>
      </c>
    </row>
    <row r="46" spans="2:7" ht="28.5" x14ac:dyDescent="0.2">
      <c r="B46" s="3" t="s">
        <v>2590</v>
      </c>
      <c r="C46" s="4" t="s">
        <v>2591</v>
      </c>
      <c r="D46" s="4" t="s">
        <v>2592</v>
      </c>
    </row>
    <row r="47" spans="2:7" ht="29.25" thickBot="1" x14ac:dyDescent="0.25">
      <c r="B47" s="3" t="s">
        <v>2593</v>
      </c>
      <c r="C47" s="4" t="s">
        <v>2594</v>
      </c>
      <c r="D47" s="4" t="s">
        <v>2595</v>
      </c>
    </row>
    <row r="48" spans="2:7" ht="16.5" thickBot="1" x14ac:dyDescent="0.25">
      <c r="E48" s="12"/>
    </row>
    <row r="49" spans="2:7" ht="16.5" thickBot="1" x14ac:dyDescent="0.25">
      <c r="B49" s="13" t="s">
        <v>2596</v>
      </c>
      <c r="E49" s="15"/>
      <c r="G49" t="str">
        <f t="shared" si="0"/>
        <v>&lt;dl&gt;&lt;dt&gt;2. 转化与具体化组合&lt;/dt&gt;&lt;dd&gt;&lt;/dd&gt;&lt;dd&gt;&lt;/dd&gt;&lt;/dl&gt;</v>
      </c>
    </row>
    <row r="50" spans="2:7" ht="16.5" thickBot="1" x14ac:dyDescent="0.25">
      <c r="E50" s="15"/>
      <c r="G50" t="str">
        <f t="shared" si="0"/>
        <v>&lt;dl&gt;&lt;dt&gt;&lt;/dt&gt;&lt;dd&gt;&lt;/dd&gt;&lt;dd&gt;&lt;/dd&gt;&lt;/dl&gt;</v>
      </c>
    </row>
    <row r="51" spans="2:7" ht="16.5" thickBot="1" x14ac:dyDescent="0.25">
      <c r="B51" s="2" t="s">
        <v>71</v>
      </c>
      <c r="C51" s="2" t="s">
        <v>1047</v>
      </c>
      <c r="D51" s="2" t="s">
        <v>73</v>
      </c>
      <c r="E51" s="15"/>
      <c r="G51" t="str">
        <f t="shared" si="0"/>
        <v>&lt;dl&gt;&lt;dt&gt;组合​&lt;/dt&gt;&lt;dd&gt;效应​&lt;/dd&gt;&lt;dd&gt;典型案例​&lt;/dd&gt;&lt;/dl&gt;</v>
      </c>
    </row>
    <row r="52" spans="2:7" ht="16.5" thickBot="1" x14ac:dyDescent="0.25">
      <c r="B52" s="3" t="s">
        <v>2597</v>
      </c>
      <c r="C52" s="4" t="s">
        <v>2598</v>
      </c>
      <c r="D52" s="4" t="s">
        <v>2599</v>
      </c>
      <c r="E52" s="15"/>
      <c r="G52" t="str">
        <f t="shared" si="0"/>
        <v>&lt;dl&gt;&lt;dt&gt;恩光+武曲​&lt;/dt&gt;&lt;dd&gt;在财经、金融、军事领域因功绩获得荣誉与奖金。&lt;/dd&gt;&lt;dd&gt;获得金融创新大奖；军功章。&lt;/dd&gt;&lt;/dl&gt;</v>
      </c>
    </row>
    <row r="53" spans="2:7" ht="28.5" x14ac:dyDescent="0.2">
      <c r="B53" s="3" t="s">
        <v>2600</v>
      </c>
      <c r="C53" s="4" t="s">
        <v>2601</v>
      </c>
      <c r="D53" s="4" t="s">
        <v>2602</v>
      </c>
    </row>
    <row r="54" spans="2:7" ht="28.5" x14ac:dyDescent="0.2">
      <c r="B54" s="3" t="s">
        <v>2603</v>
      </c>
      <c r="C54" s="4" t="s">
        <v>2604</v>
      </c>
      <c r="D54" s="4" t="s">
        <v>2605</v>
      </c>
    </row>
    <row r="55" spans="2:7" ht="28.5" x14ac:dyDescent="0.2">
      <c r="B55" s="3" t="s">
        <v>2606</v>
      </c>
      <c r="C55" s="4" t="s">
        <v>2607</v>
      </c>
      <c r="D55" s="4" t="s">
        <v>2608</v>
      </c>
    </row>
    <row r="56" spans="2:7" ht="28.5" x14ac:dyDescent="0.2">
      <c r="B56" s="3" t="s">
        <v>2609</v>
      </c>
      <c r="C56" s="4" t="s">
        <v>2610</v>
      </c>
      <c r="D56" s="4" t="s">
        <v>2611</v>
      </c>
    </row>
    <row r="59" spans="2:7" ht="17.25" x14ac:dyDescent="0.2">
      <c r="B59" s="5" t="s">
        <v>746</v>
      </c>
    </row>
    <row r="61" spans="2:7" x14ac:dyDescent="0.2">
      <c r="B61" s="2" t="s">
        <v>40</v>
      </c>
      <c r="C61" s="2" t="s">
        <v>1414</v>
      </c>
      <c r="D61" s="2" t="s">
        <v>21</v>
      </c>
    </row>
    <row r="62" spans="2:7" ht="28.5" x14ac:dyDescent="0.2">
      <c r="B62" s="3" t="s">
        <v>2612</v>
      </c>
      <c r="C62" s="3" t="s">
        <v>2613</v>
      </c>
      <c r="D62" s="4" t="s">
        <v>2614</v>
      </c>
    </row>
    <row r="63" spans="2:7" ht="28.5" x14ac:dyDescent="0.2">
      <c r="B63" s="3" t="s">
        <v>2615</v>
      </c>
      <c r="C63" s="4" t="s">
        <v>2616</v>
      </c>
      <c r="D63" s="4" t="s">
        <v>2617</v>
      </c>
    </row>
    <row r="64" spans="2:7" ht="28.5" x14ac:dyDescent="0.2">
      <c r="B64" s="3" t="s">
        <v>2618</v>
      </c>
      <c r="C64" s="4" t="s">
        <v>2619</v>
      </c>
      <c r="D64" s="4" t="s">
        <v>2620</v>
      </c>
    </row>
    <row r="65" spans="2:4" x14ac:dyDescent="0.2">
      <c r="B65" s="3" t="s">
        <v>2621</v>
      </c>
      <c r="C65" s="4" t="s">
        <v>2622</v>
      </c>
      <c r="D65" s="4" t="s">
        <v>2623</v>
      </c>
    </row>
    <row r="66" spans="2:4" ht="28.5" x14ac:dyDescent="0.2">
      <c r="B66" s="3" t="s">
        <v>2624</v>
      </c>
      <c r="C66" s="4" t="s">
        <v>2625</v>
      </c>
      <c r="D66" s="4" t="s">
        <v>2626</v>
      </c>
    </row>
    <row r="67" spans="2:4" ht="28.5" x14ac:dyDescent="0.2">
      <c r="B67" s="3" t="s">
        <v>2627</v>
      </c>
      <c r="C67" s="4" t="s">
        <v>2628</v>
      </c>
      <c r="D67" s="4" t="s">
        <v>2629</v>
      </c>
    </row>
    <row r="68" spans="2:4" ht="28.5" x14ac:dyDescent="0.2">
      <c r="B68" s="3" t="s">
        <v>2630</v>
      </c>
      <c r="C68" s="4" t="s">
        <v>2631</v>
      </c>
      <c r="D68" s="4" t="s">
        <v>2632</v>
      </c>
    </row>
    <row r="69" spans="2:4" ht="28.5" x14ac:dyDescent="0.2">
      <c r="B69" s="3" t="s">
        <v>2633</v>
      </c>
      <c r="C69" s="4" t="s">
        <v>2634</v>
      </c>
      <c r="D69" s="4" t="s">
        <v>2635</v>
      </c>
    </row>
    <row r="70" spans="2:4" x14ac:dyDescent="0.2">
      <c r="B70" s="3" t="s">
        <v>2636</v>
      </c>
      <c r="C70" s="4" t="s">
        <v>2637</v>
      </c>
      <c r="D70" s="4" t="s">
        <v>2638</v>
      </c>
    </row>
    <row r="73" spans="2:4" ht="17.25" x14ac:dyDescent="0.2">
      <c r="B73" s="5" t="s">
        <v>1805</v>
      </c>
    </row>
    <row r="74" spans="2:4" x14ac:dyDescent="0.2">
      <c r="B74" s="6"/>
    </row>
    <row r="75" spans="2:4" x14ac:dyDescent="0.2">
      <c r="B75" s="7" t="s">
        <v>2639</v>
      </c>
    </row>
    <row r="76" spans="2:4" x14ac:dyDescent="0.2">
      <c r="B76" s="7" t="s">
        <v>2640</v>
      </c>
    </row>
    <row r="77" spans="2:4" x14ac:dyDescent="0.2">
      <c r="B77" s="7" t="s">
        <v>2641</v>
      </c>
    </row>
    <row r="78" spans="2:4" x14ac:dyDescent="0.2">
      <c r="B78" s="7" t="s">
        <v>2642</v>
      </c>
    </row>
    <row r="80" spans="2:4" x14ac:dyDescent="0.2">
      <c r="B80" s="16"/>
    </row>
    <row r="81" spans="2:2" x14ac:dyDescent="0.2">
      <c r="B81" s="6"/>
    </row>
    <row r="82" spans="2:2" x14ac:dyDescent="0.2">
      <c r="B82" s="6"/>
    </row>
  </sheetData>
  <phoneticPr fontId="2" type="noConversion"/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2DB8E2-FD51-4A10-9482-A4BCA6FE2326}">
  <dimension ref="B1:G82"/>
  <sheetViews>
    <sheetView zoomScaleNormal="100" workbookViewId="0">
      <selection activeCell="E22" sqref="E22"/>
    </sheetView>
  </sheetViews>
  <sheetFormatPr defaultRowHeight="14.25" x14ac:dyDescent="0.2"/>
  <cols>
    <col min="1" max="1" width="2.75" customWidth="1"/>
    <col min="2" max="2" width="15.625" customWidth="1"/>
    <col min="3" max="3" width="43.125" customWidth="1"/>
    <col min="4" max="4" width="32.75" customWidth="1"/>
  </cols>
  <sheetData>
    <row r="1" spans="2:7" ht="17.25" x14ac:dyDescent="0.2">
      <c r="B1" s="5" t="s">
        <v>3506</v>
      </c>
      <c r="G1" t="str">
        <f>"&lt;dl&gt;&lt;dt&gt;" &amp; B1 &amp; "&lt;/dt&gt;&lt;dd&gt;" &amp; C1 &amp; "&lt;/dd&gt;&lt;dd&gt;" &amp; D1 &amp; "&lt;/dd&gt;&lt;/dl&gt;"</f>
        <v>&lt;dl&gt;&lt;dt&gt;一、天贵定义&lt;/dt&gt;&lt;dd&gt;&lt;/dd&gt;&lt;dd&gt;&lt;/dd&gt;&lt;/dl&gt;</v>
      </c>
    </row>
    <row r="3" spans="2:7" x14ac:dyDescent="0.2">
      <c r="B3" s="2" t="s">
        <v>376</v>
      </c>
      <c r="C3" s="2" t="s">
        <v>377</v>
      </c>
      <c r="D3" s="2" t="s">
        <v>21</v>
      </c>
    </row>
    <row r="4" spans="2:7" x14ac:dyDescent="0.2">
      <c r="B4" s="3" t="s">
        <v>624</v>
      </c>
      <c r="C4" s="4" t="s">
        <v>3507</v>
      </c>
      <c r="D4" s="4"/>
    </row>
    <row r="5" spans="2:7" ht="42.75" x14ac:dyDescent="0.2">
      <c r="B5" s="3" t="s">
        <v>378</v>
      </c>
      <c r="C5" s="4" t="s">
        <v>3508</v>
      </c>
      <c r="D5" s="4"/>
    </row>
    <row r="6" spans="2:7" ht="42.75" x14ac:dyDescent="0.2">
      <c r="B6" s="3" t="s">
        <v>1717</v>
      </c>
      <c r="C6" s="4" t="s">
        <v>3509</v>
      </c>
      <c r="D6" s="4"/>
    </row>
    <row r="9" spans="2:7" ht="17.25" x14ac:dyDescent="0.2">
      <c r="B9" s="5" t="s">
        <v>1719</v>
      </c>
    </row>
    <row r="11" spans="2:7" ht="15.75" x14ac:dyDescent="0.2">
      <c r="B11" s="13" t="s">
        <v>1720</v>
      </c>
    </row>
    <row r="13" spans="2:7" x14ac:dyDescent="0.2">
      <c r="B13" s="2" t="s">
        <v>390</v>
      </c>
      <c r="C13" s="2" t="s">
        <v>1818</v>
      </c>
      <c r="D13" s="2" t="s">
        <v>1819</v>
      </c>
    </row>
    <row r="14" spans="2:7" ht="28.5" x14ac:dyDescent="0.2">
      <c r="B14" s="3" t="s">
        <v>3510</v>
      </c>
      <c r="C14" s="4" t="s">
        <v>3511</v>
      </c>
      <c r="D14" s="4" t="s">
        <v>3512</v>
      </c>
    </row>
    <row r="15" spans="2:7" x14ac:dyDescent="0.2">
      <c r="B15" s="3" t="s">
        <v>3513</v>
      </c>
      <c r="C15" s="4" t="s">
        <v>3514</v>
      </c>
      <c r="D15" s="4" t="s">
        <v>3515</v>
      </c>
    </row>
    <row r="16" spans="2:7" x14ac:dyDescent="0.2">
      <c r="B16" s="3" t="s">
        <v>3516</v>
      </c>
      <c r="C16" s="4" t="s">
        <v>3517</v>
      </c>
      <c r="D16" s="4" t="s">
        <v>3518</v>
      </c>
    </row>
    <row r="17" spans="2:7" x14ac:dyDescent="0.2">
      <c r="B17" s="3" t="s">
        <v>3139</v>
      </c>
      <c r="C17" s="4" t="s">
        <v>3519</v>
      </c>
      <c r="D17" s="4" t="s">
        <v>3141</v>
      </c>
    </row>
    <row r="18" spans="2:7" x14ac:dyDescent="0.2">
      <c r="B18" s="3" t="s">
        <v>3520</v>
      </c>
      <c r="C18" s="4" t="s">
        <v>3521</v>
      </c>
      <c r="D18" s="4" t="s">
        <v>3522</v>
      </c>
    </row>
    <row r="21" spans="2:7" ht="17.25" x14ac:dyDescent="0.2">
      <c r="B21" s="5" t="s">
        <v>1733</v>
      </c>
    </row>
    <row r="22" spans="2:7" ht="15" thickBot="1" x14ac:dyDescent="0.25"/>
    <row r="23" spans="2:7" ht="16.5" thickBot="1" x14ac:dyDescent="0.25">
      <c r="B23" s="2" t="s">
        <v>18</v>
      </c>
      <c r="C23" s="2" t="s">
        <v>1818</v>
      </c>
      <c r="D23" s="2" t="s">
        <v>21</v>
      </c>
      <c r="E23" s="12"/>
    </row>
    <row r="24" spans="2:7" ht="29.25" thickBot="1" x14ac:dyDescent="0.25">
      <c r="B24" s="3" t="s">
        <v>201</v>
      </c>
      <c r="C24" s="4" t="s">
        <v>3523</v>
      </c>
      <c r="D24" s="4"/>
      <c r="E24" s="15"/>
      <c r="G24" t="str">
        <f t="shared" ref="G24:G52" si="0">"&lt;dl&gt;&lt;dt&gt;" &amp; B24 &amp; "&lt;/dt&gt;&lt;dd&gt;" &amp; C24 &amp; "&lt;/dd&gt;&lt;dd&gt;" &amp; D24 &amp; "&lt;/dd&gt;&lt;/dl&gt;"</f>
        <v>&lt;dl&gt;&lt;dt&gt;命宫​&lt;/dt&gt;&lt;dd&gt;为人端庄有礼，天生有贵气，易得长辈疼爱，一生受人尊重。&lt;/dd&gt;&lt;dd&gt;&lt;/dd&gt;&lt;/dl&gt;</v>
      </c>
    </row>
    <row r="25" spans="2:7" ht="29.25" thickBot="1" x14ac:dyDescent="0.25">
      <c r="B25" s="3" t="s">
        <v>246</v>
      </c>
      <c r="C25" s="4" t="s">
        <v>3524</v>
      </c>
      <c r="D25" s="4"/>
      <c r="E25" s="15"/>
      <c r="G25" t="str">
        <f t="shared" si="0"/>
        <v>&lt;dl&gt;&lt;dt&gt;兄弟宫​&lt;/dt&gt;&lt;dd&gt;兄弟姐妹中有贵气或受长辈宠爱者；在团队中易受领导偏爱。&lt;/dd&gt;&lt;dd&gt;&lt;/dd&gt;&lt;/dl&gt;</v>
      </c>
    </row>
    <row r="26" spans="2:7" ht="29.25" thickBot="1" x14ac:dyDescent="0.25">
      <c r="B26" s="3" t="s">
        <v>125</v>
      </c>
      <c r="C26" s="4" t="s">
        <v>3525</v>
      </c>
      <c r="D26" s="4"/>
      <c r="E26" s="15"/>
      <c r="G26" t="str">
        <f t="shared" si="0"/>
        <v>&lt;dl&gt;&lt;dt&gt;夫妻宫​&lt;/dt&gt;&lt;dd&gt;配偶家世好或有贵气，得配偶家族关爱；婚姻受长辈祝福。&lt;/dd&gt;&lt;dd&gt;&lt;/dd&gt;&lt;/dl&gt;</v>
      </c>
    </row>
    <row r="27" spans="2:7" ht="29.25" thickBot="1" x14ac:dyDescent="0.25">
      <c r="B27" s="3" t="s">
        <v>128</v>
      </c>
      <c r="C27" s="4" t="s">
        <v>3526</v>
      </c>
      <c r="D27" s="4"/>
      <c r="E27" s="15"/>
      <c r="G27" t="str">
        <f t="shared" si="0"/>
        <v>&lt;dl&gt;&lt;dt&gt;子女宫​&lt;/dt&gt;&lt;dd&gt;子女有贵气，得长辈宠爱；在合作中易得对方优待。&lt;/dd&gt;&lt;dd&gt;&lt;/dd&gt;&lt;/dl&gt;</v>
      </c>
    </row>
    <row r="28" spans="2:7" ht="29.25" thickBot="1" x14ac:dyDescent="0.25">
      <c r="B28" s="3" t="s">
        <v>3</v>
      </c>
      <c r="C28" s="4" t="s">
        <v>3527</v>
      </c>
      <c r="D28" s="4"/>
      <c r="E28" s="15"/>
      <c r="G28" t="str">
        <f t="shared" si="0"/>
        <v>&lt;dl&gt;&lt;dt&gt;财帛宫​&lt;/dt&gt;&lt;dd&gt;钱财来源正派，易因长辈赠与、遗产或上级嘉奖得财。&lt;/dd&gt;&lt;dd&gt;&lt;/dd&gt;&lt;/dl&gt;</v>
      </c>
    </row>
    <row r="29" spans="2:7" ht="16.5" thickBot="1" x14ac:dyDescent="0.25">
      <c r="B29" s="3" t="s">
        <v>6</v>
      </c>
      <c r="C29" s="4" t="s">
        <v>3528</v>
      </c>
      <c r="D29" s="4"/>
      <c r="E29" s="15"/>
      <c r="G29" t="str">
        <f t="shared" si="0"/>
        <v>&lt;dl&gt;&lt;dt&gt;疾厄宫​&lt;/dt&gt;&lt;dd&gt;能得到贵重的医疗资源或名医诊治；病情受关照。&lt;/dd&gt;&lt;dd&gt;&lt;/dd&gt;&lt;/dl&gt;</v>
      </c>
    </row>
    <row r="30" spans="2:7" ht="28.5" x14ac:dyDescent="0.2">
      <c r="B30" s="3" t="s">
        <v>15</v>
      </c>
      <c r="C30" s="4" t="s">
        <v>3529</v>
      </c>
      <c r="D30" s="4"/>
    </row>
    <row r="31" spans="2:7" ht="28.5" x14ac:dyDescent="0.2">
      <c r="B31" s="3" t="s">
        <v>12</v>
      </c>
      <c r="C31" s="4" t="s">
        <v>3530</v>
      </c>
      <c r="D31" s="4"/>
    </row>
    <row r="32" spans="2:7" ht="28.5" x14ac:dyDescent="0.2">
      <c r="B32" s="3" t="s">
        <v>206</v>
      </c>
      <c r="C32" s="3" t="s">
        <v>3531</v>
      </c>
      <c r="D32" s="4"/>
    </row>
    <row r="33" spans="2:7" ht="29.25" thickBot="1" x14ac:dyDescent="0.25">
      <c r="B33" s="3" t="s">
        <v>0</v>
      </c>
      <c r="C33" s="4" t="s">
        <v>3532</v>
      </c>
      <c r="D33" s="4"/>
    </row>
    <row r="34" spans="2:7" ht="29.25" thickBot="1" x14ac:dyDescent="0.25">
      <c r="B34" s="3" t="s">
        <v>116</v>
      </c>
      <c r="C34" s="4" t="s">
        <v>3533</v>
      </c>
      <c r="D34" s="4"/>
      <c r="E34" s="12"/>
    </row>
    <row r="35" spans="2:7" ht="29.25" thickBot="1" x14ac:dyDescent="0.25">
      <c r="B35" s="3" t="s">
        <v>9</v>
      </c>
      <c r="C35" s="3" t="s">
        <v>3534</v>
      </c>
      <c r="D35" s="4"/>
      <c r="E35" s="15"/>
      <c r="G35" t="str">
        <f t="shared" si="0"/>
        <v>&lt;dl&gt;&lt;dt&gt;父母宫​&lt;/dt&gt;&lt;dd&gt;核心宫位。父母有贵气或社会地位，得父母极度宠爱与庇荫。&lt;/dd&gt;&lt;dd&gt;&lt;/dd&gt;&lt;/dl&gt;</v>
      </c>
    </row>
    <row r="36" spans="2:7" ht="16.5" thickBot="1" x14ac:dyDescent="0.25">
      <c r="E36" s="15"/>
      <c r="G36" t="str">
        <f t="shared" si="0"/>
        <v>&lt;dl&gt;&lt;dt&gt;&lt;/dt&gt;&lt;dd&gt;&lt;/dd&gt;&lt;dd&gt;&lt;/dd&gt;&lt;/dl&gt;</v>
      </c>
    </row>
    <row r="37" spans="2:7" ht="16.5" thickBot="1" x14ac:dyDescent="0.25">
      <c r="E37" s="15"/>
      <c r="G37" t="str">
        <f t="shared" si="0"/>
        <v>&lt;dl&gt;&lt;dt&gt;&lt;/dt&gt;&lt;dd&gt;&lt;/dd&gt;&lt;dd&gt;&lt;/dd&gt;&lt;/dl&gt;</v>
      </c>
    </row>
    <row r="38" spans="2:7" ht="18" thickBot="1" x14ac:dyDescent="0.25">
      <c r="B38" s="5" t="s">
        <v>734</v>
      </c>
      <c r="E38" s="15"/>
      <c r="G38" t="str">
        <f t="shared" si="0"/>
        <v>&lt;dl&gt;&lt;dt&gt;四、主星组合象义&lt;/dt&gt;&lt;dd&gt;&lt;/dd&gt;&lt;dd&gt;&lt;/dd&gt;&lt;/dl&gt;</v>
      </c>
    </row>
    <row r="39" spans="2:7" ht="16.5" thickBot="1" x14ac:dyDescent="0.25">
      <c r="E39" s="15"/>
      <c r="G39" t="str">
        <f t="shared" si="0"/>
        <v>&lt;dl&gt;&lt;dt&gt;&lt;/dt&gt;&lt;dd&gt;&lt;/dd&gt;&lt;dd&gt;&lt;/dd&gt;&lt;/dl&gt;</v>
      </c>
    </row>
    <row r="40" spans="2:7" ht="16.5" thickBot="1" x14ac:dyDescent="0.25">
      <c r="B40" s="13" t="s">
        <v>3535</v>
      </c>
      <c r="E40" s="15"/>
      <c r="G40" t="str">
        <f t="shared" si="0"/>
        <v>&lt;dl&gt;&lt;dt&gt;1. 增强贵气受宠组合&lt;/dt&gt;&lt;dd&gt;&lt;/dd&gt;&lt;dd&gt;&lt;/dd&gt;&lt;/dl&gt;</v>
      </c>
    </row>
    <row r="41" spans="2:7" ht="16.5" thickBot="1" x14ac:dyDescent="0.25">
      <c r="E41" s="15"/>
      <c r="G41" t="str">
        <f t="shared" si="0"/>
        <v>&lt;dl&gt;&lt;dt&gt;&lt;/dt&gt;&lt;dd&gt;&lt;/dd&gt;&lt;dd&gt;&lt;/dd&gt;&lt;/dl&gt;</v>
      </c>
    </row>
    <row r="42" spans="2:7" ht="16.5" thickBot="1" x14ac:dyDescent="0.25">
      <c r="B42" s="2" t="s">
        <v>71</v>
      </c>
      <c r="C42" s="2" t="s">
        <v>1047</v>
      </c>
      <c r="D42" s="2" t="s">
        <v>73</v>
      </c>
      <c r="E42" s="15"/>
      <c r="G42" t="str">
        <f t="shared" si="0"/>
        <v>&lt;dl&gt;&lt;dt&gt;组合​&lt;/dt&gt;&lt;dd&gt;效应​&lt;/dd&gt;&lt;dd&gt;典型案例​&lt;/dd&gt;&lt;/dl&gt;</v>
      </c>
    </row>
    <row r="43" spans="2:7" ht="29.25" thickBot="1" x14ac:dyDescent="0.25">
      <c r="B43" s="3" t="s">
        <v>3536</v>
      </c>
      <c r="C43" s="4" t="s">
        <v>3537</v>
      </c>
      <c r="D43" s="4" t="s">
        <v>3538</v>
      </c>
      <c r="E43" s="15"/>
      <c r="G43" t="str">
        <f t="shared" si="0"/>
        <v>&lt;dl&gt;&lt;dt&gt;天贵+紫微​&lt;/dt&gt;&lt;dd&gt;贵气逼人，有帝王般的尊崇，易得最高层长辈或权威人士的极度赏识与宠爱。&lt;/dd&gt;&lt;dd&gt;世家子弟；被公司创始人视为接班人培养。&lt;/dd&gt;&lt;/dl&gt;</v>
      </c>
    </row>
    <row r="44" spans="2:7" ht="28.5" x14ac:dyDescent="0.2">
      <c r="B44" s="3" t="s">
        <v>3539</v>
      </c>
      <c r="C44" s="4" t="s">
        <v>3540</v>
      </c>
      <c r="D44" s="4" t="s">
        <v>3541</v>
      </c>
    </row>
    <row r="45" spans="2:7" ht="28.5" x14ac:dyDescent="0.2">
      <c r="B45" s="3" t="s">
        <v>3542</v>
      </c>
      <c r="C45" s="4" t="s">
        <v>3543</v>
      </c>
      <c r="D45" s="4" t="s">
        <v>3544</v>
      </c>
    </row>
    <row r="46" spans="2:7" ht="28.5" x14ac:dyDescent="0.2">
      <c r="B46" s="3" t="s">
        <v>3545</v>
      </c>
      <c r="C46" s="4" t="s">
        <v>3546</v>
      </c>
      <c r="D46" s="4" t="s">
        <v>3547</v>
      </c>
    </row>
    <row r="47" spans="2:7" ht="29.25" thickBot="1" x14ac:dyDescent="0.25">
      <c r="B47" s="3" t="s">
        <v>3548</v>
      </c>
      <c r="C47" s="4" t="s">
        <v>3549</v>
      </c>
      <c r="D47" s="4" t="s">
        <v>3550</v>
      </c>
    </row>
    <row r="48" spans="2:7" ht="16.5" thickBot="1" x14ac:dyDescent="0.25">
      <c r="E48" s="12"/>
    </row>
    <row r="49" spans="2:7" ht="16.5" thickBot="1" x14ac:dyDescent="0.25">
      <c r="B49" s="13" t="s">
        <v>3551</v>
      </c>
      <c r="E49" s="15"/>
      <c r="G49" t="str">
        <f t="shared" si="0"/>
        <v>&lt;dl&gt;&lt;dt&gt;2. 专业化与受赏识组合&lt;/dt&gt;&lt;dd&gt;&lt;/dd&gt;&lt;dd&gt;&lt;/dd&gt;&lt;/dl&gt;</v>
      </c>
    </row>
    <row r="50" spans="2:7" ht="16.5" thickBot="1" x14ac:dyDescent="0.25">
      <c r="E50" s="15"/>
      <c r="G50" t="str">
        <f t="shared" si="0"/>
        <v>&lt;dl&gt;&lt;dt&gt;&lt;/dt&gt;&lt;dd&gt;&lt;/dd&gt;&lt;dd&gt;&lt;/dd&gt;&lt;/dl&gt;</v>
      </c>
    </row>
    <row r="51" spans="2:7" ht="16.5" thickBot="1" x14ac:dyDescent="0.25">
      <c r="B51" s="2" t="s">
        <v>71</v>
      </c>
      <c r="C51" s="2" t="s">
        <v>1047</v>
      </c>
      <c r="D51" s="2" t="s">
        <v>73</v>
      </c>
      <c r="E51" s="15"/>
      <c r="G51" t="str">
        <f t="shared" si="0"/>
        <v>&lt;dl&gt;&lt;dt&gt;组合​&lt;/dt&gt;&lt;dd&gt;效应​&lt;/dd&gt;&lt;dd&gt;典型案例​&lt;/dd&gt;&lt;/dl&gt;</v>
      </c>
    </row>
    <row r="52" spans="2:7" ht="29.25" thickBot="1" x14ac:dyDescent="0.25">
      <c r="B52" s="3" t="s">
        <v>3552</v>
      </c>
      <c r="C52" s="4" t="s">
        <v>3553</v>
      </c>
      <c r="D52" s="4" t="s">
        <v>3554</v>
      </c>
      <c r="E52" s="15"/>
      <c r="G52" t="str">
        <f t="shared" si="0"/>
        <v>&lt;dl&gt;&lt;dt&gt;天贵+天机​&lt;/dt&gt;&lt;dd&gt;因聪明、机巧而得长辈喜爱，易得师长、前辈的智慧点拨与提携。&lt;/dd&gt;&lt;dd&gt;老师的得意门生；被技术前辈收为徒弟。&lt;/dd&gt;&lt;/dl&gt;</v>
      </c>
    </row>
    <row r="53" spans="2:7" ht="28.5" x14ac:dyDescent="0.2">
      <c r="B53" s="3" t="s">
        <v>3555</v>
      </c>
      <c r="C53" s="4" t="s">
        <v>3556</v>
      </c>
      <c r="D53" s="4" t="s">
        <v>3557</v>
      </c>
    </row>
    <row r="54" spans="2:7" ht="28.5" x14ac:dyDescent="0.2">
      <c r="B54" s="3" t="s">
        <v>3558</v>
      </c>
      <c r="C54" s="4" t="s">
        <v>3559</v>
      </c>
      <c r="D54" s="4" t="s">
        <v>3560</v>
      </c>
    </row>
    <row r="55" spans="2:7" ht="28.5" x14ac:dyDescent="0.2">
      <c r="B55" s="3" t="s">
        <v>3561</v>
      </c>
      <c r="C55" s="4" t="s">
        <v>3562</v>
      </c>
      <c r="D55" s="4" t="s">
        <v>3563</v>
      </c>
    </row>
    <row r="56" spans="2:7" ht="28.5" x14ac:dyDescent="0.2">
      <c r="B56" s="3" t="s">
        <v>3564</v>
      </c>
      <c r="C56" s="4" t="s">
        <v>3565</v>
      </c>
      <c r="D56" s="4" t="s">
        <v>3566</v>
      </c>
    </row>
    <row r="59" spans="2:7" ht="17.25" x14ac:dyDescent="0.2">
      <c r="B59" s="5" t="s">
        <v>746</v>
      </c>
    </row>
    <row r="61" spans="2:7" x14ac:dyDescent="0.2">
      <c r="B61" s="2" t="s">
        <v>40</v>
      </c>
      <c r="C61" s="2" t="s">
        <v>1414</v>
      </c>
      <c r="D61" s="2" t="s">
        <v>21</v>
      </c>
    </row>
    <row r="62" spans="2:7" ht="28.5" x14ac:dyDescent="0.2">
      <c r="B62" s="3" t="s">
        <v>3567</v>
      </c>
      <c r="C62" s="3" t="s">
        <v>3568</v>
      </c>
      <c r="D62" s="4" t="s">
        <v>3569</v>
      </c>
    </row>
    <row r="63" spans="2:7" ht="28.5" x14ac:dyDescent="0.2">
      <c r="B63" s="3" t="s">
        <v>3570</v>
      </c>
      <c r="C63" s="3" t="s">
        <v>3571</v>
      </c>
      <c r="D63" s="4" t="s">
        <v>3572</v>
      </c>
    </row>
    <row r="64" spans="2:7" ht="28.5" x14ac:dyDescent="0.2">
      <c r="B64" s="3" t="s">
        <v>3573</v>
      </c>
      <c r="C64" s="4" t="s">
        <v>3574</v>
      </c>
      <c r="D64" s="4" t="s">
        <v>3575</v>
      </c>
    </row>
    <row r="65" spans="2:4" ht="28.5" x14ac:dyDescent="0.2">
      <c r="B65" s="3" t="s">
        <v>3576</v>
      </c>
      <c r="C65" s="4" t="s">
        <v>3577</v>
      </c>
      <c r="D65" s="4" t="s">
        <v>3578</v>
      </c>
    </row>
    <row r="66" spans="2:4" ht="28.5" x14ac:dyDescent="0.2">
      <c r="B66" s="3" t="s">
        <v>3579</v>
      </c>
      <c r="C66" s="4" t="s">
        <v>3580</v>
      </c>
      <c r="D66" s="4" t="s">
        <v>3581</v>
      </c>
    </row>
    <row r="67" spans="2:4" ht="28.5" x14ac:dyDescent="0.2">
      <c r="B67" s="3" t="s">
        <v>3582</v>
      </c>
      <c r="C67" s="4" t="s">
        <v>3583</v>
      </c>
      <c r="D67" s="4" t="s">
        <v>3584</v>
      </c>
    </row>
    <row r="68" spans="2:4" ht="28.5" x14ac:dyDescent="0.2">
      <c r="B68" s="3" t="s">
        <v>3585</v>
      </c>
      <c r="C68" s="4" t="s">
        <v>3586</v>
      </c>
      <c r="D68" s="4" t="s">
        <v>3587</v>
      </c>
    </row>
    <row r="69" spans="2:4" ht="28.5" x14ac:dyDescent="0.2">
      <c r="B69" s="3" t="s">
        <v>3588</v>
      </c>
      <c r="C69" s="4" t="s">
        <v>3589</v>
      </c>
      <c r="D69" s="4" t="s">
        <v>3590</v>
      </c>
    </row>
    <row r="70" spans="2:4" ht="28.5" x14ac:dyDescent="0.2">
      <c r="B70" s="3" t="s">
        <v>3591</v>
      </c>
      <c r="C70" s="4" t="s">
        <v>3592</v>
      </c>
      <c r="D70" s="4" t="s">
        <v>3593</v>
      </c>
    </row>
    <row r="71" spans="2:4" ht="28.5" x14ac:dyDescent="0.2">
      <c r="B71" s="3" t="s">
        <v>3594</v>
      </c>
      <c r="C71" s="4" t="s">
        <v>3595</v>
      </c>
      <c r="D71" s="4" t="s">
        <v>3596</v>
      </c>
    </row>
    <row r="74" spans="2:4" ht="17.25" x14ac:dyDescent="0.2">
      <c r="B74" s="5" t="s">
        <v>1805</v>
      </c>
    </row>
    <row r="75" spans="2:4" x14ac:dyDescent="0.2">
      <c r="B75" s="6"/>
    </row>
    <row r="76" spans="2:4" x14ac:dyDescent="0.2">
      <c r="B76" s="7" t="s">
        <v>3597</v>
      </c>
    </row>
    <row r="77" spans="2:4" x14ac:dyDescent="0.2">
      <c r="B77" s="7" t="s">
        <v>3598</v>
      </c>
    </row>
    <row r="78" spans="2:4" x14ac:dyDescent="0.2">
      <c r="B78" s="7" t="s">
        <v>3599</v>
      </c>
    </row>
    <row r="79" spans="2:4" x14ac:dyDescent="0.2">
      <c r="B79" s="7" t="s">
        <v>3600</v>
      </c>
    </row>
    <row r="80" spans="2:4" x14ac:dyDescent="0.2">
      <c r="B80" s="16"/>
    </row>
    <row r="81" spans="2:2" x14ac:dyDescent="0.2">
      <c r="B81" s="6"/>
    </row>
    <row r="82" spans="2:2" x14ac:dyDescent="0.2">
      <c r="B82" s="6"/>
    </row>
  </sheetData>
  <phoneticPr fontId="2" type="noConversion"/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1DC5A7-FEE7-4544-8CBF-C75B10B1067D}">
  <dimension ref="B1:G82"/>
  <sheetViews>
    <sheetView zoomScaleNormal="100" workbookViewId="0">
      <selection activeCell="B1" sqref="B1:D80"/>
    </sheetView>
  </sheetViews>
  <sheetFormatPr defaultRowHeight="14.25" x14ac:dyDescent="0.2"/>
  <cols>
    <col min="1" max="1" width="2.75" customWidth="1"/>
    <col min="2" max="2" width="15.625" customWidth="1"/>
    <col min="3" max="3" width="43.125" customWidth="1"/>
    <col min="4" max="4" width="32.75" customWidth="1"/>
  </cols>
  <sheetData>
    <row r="1" spans="2:7" ht="17.25" x14ac:dyDescent="0.2">
      <c r="B1" s="5" t="s">
        <v>2643</v>
      </c>
      <c r="G1" t="str">
        <f>"&lt;dl&gt;&lt;dt&gt;" &amp; B1 &amp; "&lt;/dt&gt;&lt;dd&gt;" &amp; C1 &amp; "&lt;/dd&gt;&lt;dd&gt;" &amp; D1 &amp; "&lt;/dd&gt;&lt;/dl&gt;"</f>
        <v>&lt;dl&gt;&lt;dt&gt;一、红鸾定义&lt;/dt&gt;&lt;dd&gt;&lt;/dd&gt;&lt;dd&gt;&lt;/dd&gt;&lt;/dl&gt;</v>
      </c>
    </row>
    <row r="3" spans="2:7" x14ac:dyDescent="0.2">
      <c r="B3" s="2" t="s">
        <v>376</v>
      </c>
      <c r="C3" s="2" t="s">
        <v>377</v>
      </c>
      <c r="D3" s="2" t="s">
        <v>21</v>
      </c>
    </row>
    <row r="4" spans="2:7" x14ac:dyDescent="0.2">
      <c r="B4" s="3" t="s">
        <v>624</v>
      </c>
      <c r="C4" s="4" t="s">
        <v>2644</v>
      </c>
      <c r="D4" s="4"/>
    </row>
    <row r="5" spans="2:7" ht="42.75" x14ac:dyDescent="0.2">
      <c r="B5" s="3" t="s">
        <v>378</v>
      </c>
      <c r="C5" s="4" t="s">
        <v>2645</v>
      </c>
      <c r="D5" s="4"/>
    </row>
    <row r="6" spans="2:7" ht="28.5" x14ac:dyDescent="0.2">
      <c r="B6" s="3" t="s">
        <v>1717</v>
      </c>
      <c r="C6" s="4" t="s">
        <v>2646</v>
      </c>
      <c r="D6" s="4"/>
    </row>
    <row r="9" spans="2:7" ht="17.25" x14ac:dyDescent="0.2">
      <c r="B9" s="5" t="s">
        <v>1719</v>
      </c>
    </row>
    <row r="11" spans="2:7" ht="15.75" x14ac:dyDescent="0.2">
      <c r="B11" s="13" t="s">
        <v>1720</v>
      </c>
    </row>
    <row r="13" spans="2:7" x14ac:dyDescent="0.2">
      <c r="B13" s="2" t="s">
        <v>390</v>
      </c>
      <c r="C13" s="2" t="s">
        <v>1818</v>
      </c>
      <c r="D13" s="2" t="s">
        <v>1819</v>
      </c>
    </row>
    <row r="14" spans="2:7" ht="28.5" x14ac:dyDescent="0.2">
      <c r="B14" s="3" t="s">
        <v>2647</v>
      </c>
      <c r="C14" s="4" t="s">
        <v>2648</v>
      </c>
      <c r="D14" s="4" t="s">
        <v>2649</v>
      </c>
    </row>
    <row r="15" spans="2:7" x14ac:dyDescent="0.2">
      <c r="B15" s="3" t="s">
        <v>2650</v>
      </c>
      <c r="C15" s="4" t="s">
        <v>2651</v>
      </c>
      <c r="D15" s="4" t="s">
        <v>2652</v>
      </c>
    </row>
    <row r="16" spans="2:7" x14ac:dyDescent="0.2">
      <c r="B16" s="3" t="s">
        <v>2653</v>
      </c>
      <c r="C16" s="4" t="s">
        <v>2654</v>
      </c>
      <c r="D16" s="4" t="s">
        <v>2655</v>
      </c>
    </row>
    <row r="17" spans="2:7" x14ac:dyDescent="0.2">
      <c r="B17" s="3" t="s">
        <v>2656</v>
      </c>
      <c r="C17" s="4" t="s">
        <v>2657</v>
      </c>
      <c r="D17" s="4" t="s">
        <v>2658</v>
      </c>
    </row>
    <row r="18" spans="2:7" x14ac:dyDescent="0.2">
      <c r="B18" s="3" t="s">
        <v>2659</v>
      </c>
      <c r="C18" s="4" t="s">
        <v>2660</v>
      </c>
      <c r="D18" s="4" t="s">
        <v>2661</v>
      </c>
    </row>
    <row r="21" spans="2:7" ht="17.25" x14ac:dyDescent="0.2">
      <c r="B21" s="5" t="s">
        <v>1733</v>
      </c>
    </row>
    <row r="22" spans="2:7" ht="15" thickBot="1" x14ac:dyDescent="0.25"/>
    <row r="23" spans="2:7" ht="16.5" thickBot="1" x14ac:dyDescent="0.25">
      <c r="B23" s="2" t="s">
        <v>18</v>
      </c>
      <c r="C23" s="2" t="s">
        <v>1818</v>
      </c>
      <c r="D23" s="2" t="s">
        <v>21</v>
      </c>
      <c r="E23" s="12"/>
    </row>
    <row r="24" spans="2:7" ht="29.25" thickBot="1" x14ac:dyDescent="0.25">
      <c r="B24" s="3" t="s">
        <v>201</v>
      </c>
      <c r="C24" s="4" t="s">
        <v>2662</v>
      </c>
      <c r="D24" s="4"/>
      <c r="E24" s="15"/>
      <c r="G24" t="str">
        <f t="shared" ref="G24:G52" si="0">"&lt;dl&gt;&lt;dt&gt;" &amp; B24 &amp; "&lt;/dt&gt;&lt;dd&gt;" &amp; C24 &amp; "&lt;/dd&gt;&lt;dd&gt;" &amp; D24 &amp; "&lt;/dd&gt;&lt;/dl&gt;"</f>
        <v>&lt;dl&gt;&lt;dt&gt;命宫​&lt;/dt&gt;&lt;dd&gt;相貌讨喜，性格热情，异性缘佳，一生多喜庆机遇，亦需注意血光。&lt;/dd&gt;&lt;dd&gt;&lt;/dd&gt;&lt;/dl&gt;</v>
      </c>
    </row>
    <row r="25" spans="2:7" ht="29.25" thickBot="1" x14ac:dyDescent="0.25">
      <c r="B25" s="3" t="s">
        <v>246</v>
      </c>
      <c r="C25" s="4" t="s">
        <v>2663</v>
      </c>
      <c r="D25" s="4"/>
      <c r="E25" s="15"/>
      <c r="G25" t="str">
        <f t="shared" si="0"/>
        <v>&lt;dl&gt;&lt;dt&gt;兄弟宫​&lt;/dt&gt;&lt;dd&gt;兄弟姐妹中多早婚或人缘好；与同事、同学关系融洽。&lt;/dd&gt;&lt;dd&gt;&lt;/dd&gt;&lt;/dl&gt;</v>
      </c>
    </row>
    <row r="26" spans="2:7" ht="29.25" thickBot="1" x14ac:dyDescent="0.25">
      <c r="B26" s="3" t="s">
        <v>125</v>
      </c>
      <c r="C26" s="3" t="s">
        <v>2664</v>
      </c>
      <c r="D26" s="4"/>
      <c r="E26" s="15"/>
      <c r="G26" t="str">
        <f t="shared" si="0"/>
        <v>&lt;dl&gt;&lt;dt&gt;夫妻宫​&lt;/dt&gt;&lt;dd&gt;核心宫位。配偶貌美或有魅力，婚姻生活多情趣，为正式婚缘的标志。&lt;/dd&gt;&lt;dd&gt;&lt;/dd&gt;&lt;/dl&gt;</v>
      </c>
    </row>
    <row r="27" spans="2:7" ht="29.25" thickBot="1" x14ac:dyDescent="0.25">
      <c r="B27" s="3" t="s">
        <v>128</v>
      </c>
      <c r="C27" s="4" t="s">
        <v>2665</v>
      </c>
      <c r="D27" s="4"/>
      <c r="E27" s="15"/>
      <c r="G27" t="str">
        <f t="shared" si="0"/>
        <v>&lt;dl&gt;&lt;dt&gt;子女宫​&lt;/dt&gt;&lt;dd&gt;子女可爱讨喜；有怀孕、生产之象；在娱乐、创作方面有喜事。&lt;/dd&gt;&lt;dd&gt;&lt;/dd&gt;&lt;/dl&gt;</v>
      </c>
    </row>
    <row r="28" spans="2:7" ht="29.25" thickBot="1" x14ac:dyDescent="0.25">
      <c r="B28" s="3" t="s">
        <v>3</v>
      </c>
      <c r="C28" s="4" t="s">
        <v>2666</v>
      </c>
      <c r="D28" s="4"/>
      <c r="E28" s="15"/>
      <c r="G28" t="str">
        <f t="shared" si="0"/>
        <v>&lt;dl&gt;&lt;dt&gt;财帛宫​&lt;/dt&gt;&lt;dd&gt;钱财来源于与人缘、喜庆相关的行业（如婚庆、娱乐）；因喜事得财。&lt;/dd&gt;&lt;dd&gt;&lt;/dd&gt;&lt;/dl&gt;</v>
      </c>
    </row>
    <row r="29" spans="2:7" ht="29.25" thickBot="1" x14ac:dyDescent="0.25">
      <c r="B29" s="3" t="s">
        <v>6</v>
      </c>
      <c r="C29" s="4" t="s">
        <v>2667</v>
      </c>
      <c r="D29" s="4"/>
      <c r="E29" s="15"/>
      <c r="G29" t="str">
        <f t="shared" si="0"/>
        <v>&lt;dl&gt;&lt;dt&gt;疾厄宫​&lt;/dt&gt;&lt;dd&gt;注意与血液、生殖系统相关的疾病；有手术、生产之象。&lt;/dd&gt;&lt;dd&gt;&lt;/dd&gt;&lt;/dl&gt;</v>
      </c>
    </row>
    <row r="30" spans="2:7" ht="28.5" x14ac:dyDescent="0.2">
      <c r="B30" s="3" t="s">
        <v>15</v>
      </c>
      <c r="C30" s="4" t="s">
        <v>2668</v>
      </c>
      <c r="D30" s="4"/>
    </row>
    <row r="31" spans="2:7" ht="28.5" x14ac:dyDescent="0.2">
      <c r="B31" s="3" t="s">
        <v>12</v>
      </c>
      <c r="C31" s="4" t="s">
        <v>2669</v>
      </c>
      <c r="D31" s="4"/>
    </row>
    <row r="32" spans="2:7" ht="28.5" x14ac:dyDescent="0.2">
      <c r="B32" s="3" t="s">
        <v>206</v>
      </c>
      <c r="C32" s="4" t="s">
        <v>2670</v>
      </c>
      <c r="D32" s="4"/>
    </row>
    <row r="33" spans="2:7" ht="29.25" thickBot="1" x14ac:dyDescent="0.25">
      <c r="B33" s="3" t="s">
        <v>0</v>
      </c>
      <c r="C33" s="4" t="s">
        <v>2671</v>
      </c>
      <c r="D33" s="4"/>
    </row>
    <row r="34" spans="2:7" ht="29.25" thickBot="1" x14ac:dyDescent="0.25">
      <c r="B34" s="3" t="s">
        <v>116</v>
      </c>
      <c r="C34" s="4" t="s">
        <v>2672</v>
      </c>
      <c r="D34" s="4"/>
      <c r="E34" s="12"/>
    </row>
    <row r="35" spans="2:7" ht="29.25" thickBot="1" x14ac:dyDescent="0.25">
      <c r="B35" s="3" t="s">
        <v>9</v>
      </c>
      <c r="C35" s="4" t="s">
        <v>2673</v>
      </c>
      <c r="D35" s="4"/>
      <c r="E35" s="15"/>
      <c r="G35" t="str">
        <f t="shared" si="0"/>
        <v>&lt;dl&gt;&lt;dt&gt;父母宫​&lt;/dt&gt;&lt;dd&gt;父母感情好，家庭和睦；父母可能是介绍姻缘的贵人。&lt;/dd&gt;&lt;dd&gt;&lt;/dd&gt;&lt;/dl&gt;</v>
      </c>
    </row>
    <row r="36" spans="2:7" ht="16.5" thickBot="1" x14ac:dyDescent="0.25">
      <c r="E36" s="15"/>
      <c r="G36" t="str">
        <f t="shared" si="0"/>
        <v>&lt;dl&gt;&lt;dt&gt;&lt;/dt&gt;&lt;dd&gt;&lt;/dd&gt;&lt;dd&gt;&lt;/dd&gt;&lt;/dl&gt;</v>
      </c>
    </row>
    <row r="37" spans="2:7" ht="16.5" thickBot="1" x14ac:dyDescent="0.25">
      <c r="E37" s="15"/>
      <c r="G37" t="str">
        <f t="shared" si="0"/>
        <v>&lt;dl&gt;&lt;dt&gt;&lt;/dt&gt;&lt;dd&gt;&lt;/dd&gt;&lt;dd&gt;&lt;/dd&gt;&lt;/dl&gt;</v>
      </c>
    </row>
    <row r="38" spans="2:7" ht="18" thickBot="1" x14ac:dyDescent="0.25">
      <c r="B38" s="5" t="s">
        <v>734</v>
      </c>
      <c r="E38" s="15"/>
      <c r="G38" t="str">
        <f t="shared" si="0"/>
        <v>&lt;dl&gt;&lt;dt&gt;四、主星组合象义&lt;/dt&gt;&lt;dd&gt;&lt;/dd&gt;&lt;dd&gt;&lt;/dd&gt;&lt;/dl&gt;</v>
      </c>
    </row>
    <row r="39" spans="2:7" ht="16.5" thickBot="1" x14ac:dyDescent="0.25">
      <c r="E39" s="15"/>
      <c r="G39" t="str">
        <f t="shared" si="0"/>
        <v>&lt;dl&gt;&lt;dt&gt;&lt;/dt&gt;&lt;dd&gt;&lt;/dd&gt;&lt;dd&gt;&lt;/dd&gt;&lt;/dl&gt;</v>
      </c>
    </row>
    <row r="40" spans="2:7" ht="16.5" thickBot="1" x14ac:dyDescent="0.25">
      <c r="B40" s="13" t="s">
        <v>2674</v>
      </c>
      <c r="E40" s="15"/>
      <c r="G40" t="str">
        <f t="shared" si="0"/>
        <v>&lt;dl&gt;&lt;dt&gt;1. 吉庆增强组合&lt;/dt&gt;&lt;dd&gt;&lt;/dd&gt;&lt;dd&gt;&lt;/dd&gt;&lt;/dl&gt;</v>
      </c>
    </row>
    <row r="41" spans="2:7" ht="16.5" thickBot="1" x14ac:dyDescent="0.25">
      <c r="E41" s="15"/>
      <c r="G41" t="str">
        <f t="shared" si="0"/>
        <v>&lt;dl&gt;&lt;dt&gt;&lt;/dt&gt;&lt;dd&gt;&lt;/dd&gt;&lt;dd&gt;&lt;/dd&gt;&lt;/dl&gt;</v>
      </c>
    </row>
    <row r="42" spans="2:7" ht="16.5" thickBot="1" x14ac:dyDescent="0.25">
      <c r="B42" s="2" t="s">
        <v>71</v>
      </c>
      <c r="C42" s="2" t="s">
        <v>1047</v>
      </c>
      <c r="D42" s="2" t="s">
        <v>73</v>
      </c>
      <c r="E42" s="15"/>
      <c r="G42" t="str">
        <f t="shared" si="0"/>
        <v>&lt;dl&gt;&lt;dt&gt;组合​&lt;/dt&gt;&lt;dd&gt;效应​&lt;/dd&gt;&lt;dd&gt;典型案例​&lt;/dd&gt;&lt;/dl&gt;</v>
      </c>
    </row>
    <row r="43" spans="2:7" ht="29.25" thickBot="1" x14ac:dyDescent="0.25">
      <c r="B43" s="3" t="s">
        <v>2675</v>
      </c>
      <c r="C43" s="4" t="s">
        <v>2676</v>
      </c>
      <c r="D43" s="4" t="s">
        <v>2677</v>
      </c>
      <c r="E43" s="15"/>
      <c r="G43" t="str">
        <f t="shared" si="0"/>
        <v>&lt;dl&gt;&lt;dt&gt;红鸾+天同​&lt;/dt&gt;&lt;dd&gt;感情丰富，享受恋爱与婚姻生活，婚缘美满，多情趣。&lt;/dd&gt;&lt;dd&gt;夫妻恩爱，生活充满小确幸。&lt;/dd&gt;&lt;/dl&gt;</v>
      </c>
    </row>
    <row r="44" spans="2:7" ht="28.5" x14ac:dyDescent="0.2">
      <c r="B44" s="3" t="s">
        <v>2678</v>
      </c>
      <c r="C44" s="4" t="s">
        <v>2679</v>
      </c>
      <c r="D44" s="4" t="s">
        <v>2680</v>
      </c>
    </row>
    <row r="45" spans="2:7" ht="28.5" x14ac:dyDescent="0.2">
      <c r="B45" s="3" t="s">
        <v>2681</v>
      </c>
      <c r="C45" s="4" t="s">
        <v>2682</v>
      </c>
      <c r="D45" s="4" t="s">
        <v>2683</v>
      </c>
    </row>
    <row r="46" spans="2:7" ht="28.5" x14ac:dyDescent="0.2">
      <c r="B46" s="3" t="s">
        <v>2684</v>
      </c>
      <c r="C46" s="4" t="s">
        <v>2685</v>
      </c>
      <c r="D46" s="4" t="s">
        <v>2686</v>
      </c>
    </row>
    <row r="47" spans="2:7" ht="29.25" thickBot="1" x14ac:dyDescent="0.25">
      <c r="B47" s="3" t="s">
        <v>2687</v>
      </c>
      <c r="C47" s="4" t="s">
        <v>2688</v>
      </c>
      <c r="D47" s="4" t="s">
        <v>2689</v>
      </c>
    </row>
    <row r="48" spans="2:7" ht="16.5" thickBot="1" x14ac:dyDescent="0.25">
      <c r="E48" s="12"/>
    </row>
    <row r="49" spans="2:7" ht="16.5" thickBot="1" x14ac:dyDescent="0.25">
      <c r="B49" s="13" t="s">
        <v>2690</v>
      </c>
      <c r="E49" s="15"/>
      <c r="G49" t="str">
        <f t="shared" si="0"/>
        <v>&lt;dl&gt;&lt;dt&gt;2. 感情复杂组合&lt;/dt&gt;&lt;dd&gt;&lt;/dd&gt;&lt;dd&gt;&lt;/dd&gt;&lt;/dl&gt;</v>
      </c>
    </row>
    <row r="50" spans="2:7" ht="16.5" thickBot="1" x14ac:dyDescent="0.25">
      <c r="E50" s="15"/>
      <c r="G50" t="str">
        <f t="shared" si="0"/>
        <v>&lt;dl&gt;&lt;dt&gt;&lt;/dt&gt;&lt;dd&gt;&lt;/dd&gt;&lt;dd&gt;&lt;/dd&gt;&lt;/dl&gt;</v>
      </c>
    </row>
    <row r="51" spans="2:7" ht="16.5" thickBot="1" x14ac:dyDescent="0.25">
      <c r="B51" s="2" t="s">
        <v>71</v>
      </c>
      <c r="C51" s="2" t="s">
        <v>1047</v>
      </c>
      <c r="D51" s="2" t="s">
        <v>73</v>
      </c>
      <c r="E51" s="15"/>
      <c r="G51" t="str">
        <f t="shared" si="0"/>
        <v>&lt;dl&gt;&lt;dt&gt;组合​&lt;/dt&gt;&lt;dd&gt;效应​&lt;/dd&gt;&lt;dd&gt;典型案例​&lt;/dd&gt;&lt;/dl&gt;</v>
      </c>
    </row>
    <row r="52" spans="2:7" ht="29.25" thickBot="1" x14ac:dyDescent="0.25">
      <c r="B52" s="3" t="s">
        <v>2691</v>
      </c>
      <c r="C52" s="3" t="s">
        <v>2692</v>
      </c>
      <c r="D52" s="4" t="s">
        <v>2693</v>
      </c>
      <c r="E52" s="15"/>
      <c r="G52" t="str">
        <f t="shared" si="0"/>
        <v>&lt;dl&gt;&lt;dt&gt;红鸾+贪狼​&lt;/dt&gt;&lt;dd&gt;标准桃花组合。感情机会多，欲望强烈，易有复杂恋情或婚外情。&lt;/dd&gt;&lt;dd&gt;风流多情，恋情不断，难定于一人。&lt;/dd&gt;&lt;/dl&gt;</v>
      </c>
    </row>
    <row r="53" spans="2:7" ht="28.5" x14ac:dyDescent="0.2">
      <c r="B53" s="3" t="s">
        <v>2694</v>
      </c>
      <c r="C53" s="4" t="s">
        <v>2695</v>
      </c>
      <c r="D53" s="4" t="s">
        <v>2696</v>
      </c>
    </row>
    <row r="54" spans="2:7" ht="28.5" x14ac:dyDescent="0.2">
      <c r="B54" s="3" t="s">
        <v>2697</v>
      </c>
      <c r="C54" s="4" t="s">
        <v>2698</v>
      </c>
      <c r="D54" s="4" t="s">
        <v>2699</v>
      </c>
    </row>
    <row r="55" spans="2:7" ht="28.5" x14ac:dyDescent="0.2">
      <c r="B55" s="3" t="s">
        <v>2700</v>
      </c>
      <c r="C55" s="4" t="s">
        <v>2701</v>
      </c>
      <c r="D55" s="4" t="s">
        <v>2702</v>
      </c>
    </row>
    <row r="56" spans="2:7" ht="28.5" x14ac:dyDescent="0.2">
      <c r="B56" s="3" t="s">
        <v>2703</v>
      </c>
      <c r="C56" s="4" t="s">
        <v>2704</v>
      </c>
      <c r="D56" s="4" t="s">
        <v>2705</v>
      </c>
    </row>
    <row r="59" spans="2:7" ht="17.25" x14ac:dyDescent="0.2">
      <c r="B59" s="5" t="s">
        <v>746</v>
      </c>
    </row>
    <row r="61" spans="2:7" x14ac:dyDescent="0.2">
      <c r="B61" s="2" t="s">
        <v>40</v>
      </c>
      <c r="C61" s="2" t="s">
        <v>1414</v>
      </c>
      <c r="D61" s="2" t="s">
        <v>21</v>
      </c>
    </row>
    <row r="62" spans="2:7" ht="28.5" x14ac:dyDescent="0.2">
      <c r="B62" s="3" t="s">
        <v>2706</v>
      </c>
      <c r="C62" s="3" t="s">
        <v>2707</v>
      </c>
      <c r="D62" s="4" t="s">
        <v>2708</v>
      </c>
    </row>
    <row r="63" spans="2:7" x14ac:dyDescent="0.2">
      <c r="B63" s="3" t="s">
        <v>2709</v>
      </c>
      <c r="C63" s="4" t="s">
        <v>2710</v>
      </c>
      <c r="D63" s="4" t="s">
        <v>2711</v>
      </c>
    </row>
    <row r="64" spans="2:7" ht="28.5" x14ac:dyDescent="0.2">
      <c r="B64" s="3" t="s">
        <v>2712</v>
      </c>
      <c r="C64" s="3" t="s">
        <v>2713</v>
      </c>
      <c r="D64" s="4" t="s">
        <v>2714</v>
      </c>
    </row>
    <row r="65" spans="2:4" ht="28.5" x14ac:dyDescent="0.2">
      <c r="B65" s="3" t="s">
        <v>2715</v>
      </c>
      <c r="C65" s="4" t="s">
        <v>2716</v>
      </c>
      <c r="D65" s="4" t="s">
        <v>2717</v>
      </c>
    </row>
    <row r="66" spans="2:4" ht="28.5" x14ac:dyDescent="0.2">
      <c r="B66" s="3" t="s">
        <v>2718</v>
      </c>
      <c r="C66" s="4" t="s">
        <v>2719</v>
      </c>
      <c r="D66" s="4" t="s">
        <v>2720</v>
      </c>
    </row>
    <row r="67" spans="2:4" ht="28.5" x14ac:dyDescent="0.2">
      <c r="B67" s="3" t="s">
        <v>2721</v>
      </c>
      <c r="C67" s="4" t="s">
        <v>2722</v>
      </c>
      <c r="D67" s="4" t="s">
        <v>2723</v>
      </c>
    </row>
    <row r="68" spans="2:4" ht="28.5" x14ac:dyDescent="0.2">
      <c r="B68" s="3" t="s">
        <v>2724</v>
      </c>
      <c r="C68" s="4" t="s">
        <v>2725</v>
      </c>
      <c r="D68" s="4" t="s">
        <v>2726</v>
      </c>
    </row>
    <row r="69" spans="2:4" ht="28.5" x14ac:dyDescent="0.2">
      <c r="B69" s="3" t="s">
        <v>2727</v>
      </c>
      <c r="C69" s="4" t="s">
        <v>2728</v>
      </c>
      <c r="D69" s="4" t="s">
        <v>2729</v>
      </c>
    </row>
    <row r="70" spans="2:4" ht="28.5" x14ac:dyDescent="0.2">
      <c r="B70" s="3" t="s">
        <v>2730</v>
      </c>
      <c r="C70" s="4" t="s">
        <v>2731</v>
      </c>
      <c r="D70" s="4" t="s">
        <v>2732</v>
      </c>
    </row>
    <row r="71" spans="2:4" ht="28.5" x14ac:dyDescent="0.2">
      <c r="B71" s="3" t="s">
        <v>2733</v>
      </c>
      <c r="C71" s="4" t="s">
        <v>2734</v>
      </c>
      <c r="D71" s="4" t="s">
        <v>2735</v>
      </c>
    </row>
    <row r="74" spans="2:4" ht="17.25" x14ac:dyDescent="0.2">
      <c r="B74" s="5" t="s">
        <v>1805</v>
      </c>
    </row>
    <row r="75" spans="2:4" x14ac:dyDescent="0.2">
      <c r="B75" s="6"/>
    </row>
    <row r="76" spans="2:4" x14ac:dyDescent="0.2">
      <c r="B76" s="7" t="s">
        <v>2736</v>
      </c>
    </row>
    <row r="77" spans="2:4" x14ac:dyDescent="0.2">
      <c r="B77" s="7" t="s">
        <v>2737</v>
      </c>
    </row>
    <row r="78" spans="2:4" x14ac:dyDescent="0.2">
      <c r="B78" s="7" t="s">
        <v>2738</v>
      </c>
    </row>
    <row r="79" spans="2:4" x14ac:dyDescent="0.2">
      <c r="B79" s="7" t="s">
        <v>2739</v>
      </c>
    </row>
    <row r="80" spans="2:4" x14ac:dyDescent="0.2">
      <c r="B80" s="7" t="s">
        <v>2740</v>
      </c>
    </row>
    <row r="81" spans="2:2" x14ac:dyDescent="0.2">
      <c r="B81" s="6"/>
    </row>
    <row r="82" spans="2:2" x14ac:dyDescent="0.2">
      <c r="B82" s="6"/>
    </row>
  </sheetData>
  <phoneticPr fontId="2" type="noConversion"/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98F226-0583-4AD6-8C5C-D1113A0D21FC}">
  <dimension ref="B1:G82"/>
  <sheetViews>
    <sheetView zoomScaleNormal="100" workbookViewId="0">
      <selection activeCell="B1" sqref="B1:D81"/>
    </sheetView>
  </sheetViews>
  <sheetFormatPr defaultRowHeight="14.25" x14ac:dyDescent="0.2"/>
  <cols>
    <col min="1" max="1" width="2.75" customWidth="1"/>
    <col min="2" max="2" width="15.625" customWidth="1"/>
    <col min="3" max="3" width="43.125" customWidth="1"/>
    <col min="4" max="4" width="32.75" customWidth="1"/>
  </cols>
  <sheetData>
    <row r="1" spans="2:7" ht="17.25" x14ac:dyDescent="0.2">
      <c r="B1" s="5" t="s">
        <v>2741</v>
      </c>
      <c r="G1" t="str">
        <f>"&lt;dl&gt;&lt;dt&gt;" &amp; B1 &amp; "&lt;/dt&gt;&lt;dd&gt;" &amp; C1 &amp; "&lt;/dd&gt;&lt;dd&gt;" &amp; D1 &amp; "&lt;/dd&gt;&lt;/dl&gt;"</f>
        <v>&lt;dl&gt;&lt;dt&gt;一、天喜定义&lt;/dt&gt;&lt;dd&gt;&lt;/dd&gt;&lt;dd&gt;&lt;/dd&gt;&lt;/dl&gt;</v>
      </c>
    </row>
    <row r="3" spans="2:7" x14ac:dyDescent="0.2">
      <c r="B3" s="2" t="s">
        <v>376</v>
      </c>
      <c r="C3" s="2" t="s">
        <v>377</v>
      </c>
      <c r="D3" s="2" t="s">
        <v>21</v>
      </c>
    </row>
    <row r="4" spans="2:7" x14ac:dyDescent="0.2">
      <c r="B4" s="3" t="s">
        <v>624</v>
      </c>
      <c r="C4" s="4" t="s">
        <v>2742</v>
      </c>
      <c r="D4" s="4"/>
    </row>
    <row r="5" spans="2:7" ht="42.75" x14ac:dyDescent="0.2">
      <c r="B5" s="3" t="s">
        <v>378</v>
      </c>
      <c r="C5" s="4" t="s">
        <v>2743</v>
      </c>
      <c r="D5" s="4"/>
    </row>
    <row r="6" spans="2:7" ht="28.5" x14ac:dyDescent="0.2">
      <c r="B6" s="3" t="s">
        <v>1717</v>
      </c>
      <c r="C6" s="4" t="s">
        <v>2744</v>
      </c>
      <c r="D6" s="4"/>
    </row>
    <row r="9" spans="2:7" ht="17.25" x14ac:dyDescent="0.2">
      <c r="B9" s="5" t="s">
        <v>1719</v>
      </c>
    </row>
    <row r="11" spans="2:7" ht="15.75" x14ac:dyDescent="0.2">
      <c r="B11" s="13" t="s">
        <v>1720</v>
      </c>
    </row>
    <row r="13" spans="2:7" x14ac:dyDescent="0.2">
      <c r="B13" s="2" t="s">
        <v>390</v>
      </c>
      <c r="C13" s="2" t="s">
        <v>1818</v>
      </c>
      <c r="D13" s="2" t="s">
        <v>1819</v>
      </c>
    </row>
    <row r="14" spans="2:7" x14ac:dyDescent="0.2">
      <c r="B14" s="3" t="s">
        <v>2745</v>
      </c>
      <c r="C14" s="4" t="s">
        <v>2746</v>
      </c>
      <c r="D14" s="4" t="s">
        <v>2747</v>
      </c>
    </row>
    <row r="15" spans="2:7" x14ac:dyDescent="0.2">
      <c r="B15" s="3" t="s">
        <v>2748</v>
      </c>
      <c r="C15" s="4" t="s">
        <v>2749</v>
      </c>
      <c r="D15" s="4" t="s">
        <v>2750</v>
      </c>
    </row>
    <row r="16" spans="2:7" ht="28.5" x14ac:dyDescent="0.2">
      <c r="B16" s="3" t="s">
        <v>2751</v>
      </c>
      <c r="C16" s="4" t="s">
        <v>2752</v>
      </c>
      <c r="D16" s="4" t="s">
        <v>2753</v>
      </c>
    </row>
    <row r="17" spans="2:7" ht="28.5" x14ac:dyDescent="0.2">
      <c r="B17" s="3" t="s">
        <v>2754</v>
      </c>
      <c r="C17" s="4" t="s">
        <v>2755</v>
      </c>
      <c r="D17" s="4" t="s">
        <v>2756</v>
      </c>
    </row>
    <row r="18" spans="2:7" x14ac:dyDescent="0.2">
      <c r="B18" s="3" t="s">
        <v>2757</v>
      </c>
      <c r="C18" s="4" t="s">
        <v>2758</v>
      </c>
      <c r="D18" s="4" t="s">
        <v>2759</v>
      </c>
    </row>
    <row r="19" spans="2:7" ht="28.5" x14ac:dyDescent="0.2">
      <c r="B19" s="3" t="s">
        <v>2760</v>
      </c>
      <c r="C19" s="4" t="s">
        <v>2761</v>
      </c>
      <c r="D19" s="4" t="s">
        <v>2762</v>
      </c>
    </row>
    <row r="22" spans="2:7" ht="18" thickBot="1" x14ac:dyDescent="0.25">
      <c r="B22" s="5" t="s">
        <v>1733</v>
      </c>
    </row>
    <row r="23" spans="2:7" ht="16.5" thickBot="1" x14ac:dyDescent="0.25">
      <c r="E23" s="12"/>
    </row>
    <row r="24" spans="2:7" ht="16.5" thickBot="1" x14ac:dyDescent="0.25">
      <c r="B24" s="2" t="s">
        <v>18</v>
      </c>
      <c r="C24" s="2" t="s">
        <v>1818</v>
      </c>
      <c r="D24" s="2" t="s">
        <v>21</v>
      </c>
      <c r="E24" s="15"/>
      <c r="G24" t="str">
        <f t="shared" ref="G24:G52" si="0">"&lt;dl&gt;&lt;dt&gt;" &amp; B24 &amp; "&lt;/dt&gt;&lt;dd&gt;" &amp; C24 &amp; "&lt;/dd&gt;&lt;dd&gt;" &amp; D24 &amp; "&lt;/dd&gt;&lt;/dl&gt;"</f>
        <v>&lt;dl&gt;&lt;dt&gt;宫位​&lt;/dt&gt;&lt;dd&gt;具体象义​&lt;/dd&gt;&lt;dd&gt;文献依据​&lt;/dd&gt;&lt;/dl&gt;</v>
      </c>
    </row>
    <row r="25" spans="2:7" ht="29.25" thickBot="1" x14ac:dyDescent="0.25">
      <c r="B25" s="3" t="s">
        <v>201</v>
      </c>
      <c r="C25" s="4" t="s">
        <v>2763</v>
      </c>
      <c r="D25" s="4"/>
      <c r="E25" s="15"/>
      <c r="G25" t="str">
        <f t="shared" si="0"/>
        <v>&lt;dl&gt;&lt;dt&gt;命宫​&lt;/dt&gt;&lt;dd&gt;性格乐观讨喜，一生多喜庆机遇，易有添丁等喜事，人缘佳。&lt;/dd&gt;&lt;dd&gt;&lt;/dd&gt;&lt;/dl&gt;</v>
      </c>
    </row>
    <row r="26" spans="2:7" ht="29.25" thickBot="1" x14ac:dyDescent="0.25">
      <c r="B26" s="3" t="s">
        <v>246</v>
      </c>
      <c r="C26" s="4" t="s">
        <v>2764</v>
      </c>
      <c r="D26" s="4"/>
      <c r="E26" s="15"/>
      <c r="G26" t="str">
        <f t="shared" si="0"/>
        <v>&lt;dl&gt;&lt;dt&gt;兄弟宫​&lt;/dt&gt;&lt;dd&gt;兄弟姐妹中多喜事，或与同事、同学关系融洽，团队气氛欢乐。&lt;/dd&gt;&lt;dd&gt;&lt;/dd&gt;&lt;/dl&gt;</v>
      </c>
    </row>
    <row r="27" spans="2:7" ht="29.25" thickBot="1" x14ac:dyDescent="0.25">
      <c r="B27" s="3" t="s">
        <v>125</v>
      </c>
      <c r="C27" s="4" t="s">
        <v>2765</v>
      </c>
      <c r="D27" s="4"/>
      <c r="E27" s="15"/>
      <c r="G27" t="str">
        <f t="shared" si="0"/>
        <v>&lt;dl&gt;&lt;dt&gt;夫妻宫​&lt;/dt&gt;&lt;dd&gt;婚姻生活和谐愉快，配偶性格开朗，能带来喜悦；利怀孕。&lt;/dd&gt;&lt;dd&gt;&lt;/dd&gt;&lt;/dl&gt;</v>
      </c>
    </row>
    <row r="28" spans="2:7" ht="29.25" thickBot="1" x14ac:dyDescent="0.25">
      <c r="B28" s="3" t="s">
        <v>128</v>
      </c>
      <c r="C28" s="3" t="s">
        <v>2766</v>
      </c>
      <c r="D28" s="4"/>
      <c r="E28" s="15"/>
      <c r="G28" t="str">
        <f t="shared" si="0"/>
        <v>&lt;dl&gt;&lt;dt&gt;子女宫​&lt;/dt&gt;&lt;dd&gt;核心宫位。易怀孕得子，子女活泼可爱；在娱乐、创作方面有喜事。&lt;/dd&gt;&lt;dd&gt;&lt;/dd&gt;&lt;/dl&gt;</v>
      </c>
    </row>
    <row r="29" spans="2:7" ht="29.25" thickBot="1" x14ac:dyDescent="0.25">
      <c r="B29" s="3" t="s">
        <v>3</v>
      </c>
      <c r="C29" s="4" t="s">
        <v>2767</v>
      </c>
      <c r="D29" s="4"/>
      <c r="E29" s="15"/>
      <c r="G29" t="str">
        <f t="shared" si="0"/>
        <v>&lt;dl&gt;&lt;dt&gt;财帛宫​&lt;/dt&gt;&lt;dd&gt;钱财来源于喜庆行业（如母婴、婚庆）；因喜事得财或破财。&lt;/dd&gt;&lt;dd&gt;&lt;/dd&gt;&lt;/dl&gt;</v>
      </c>
    </row>
    <row r="30" spans="2:7" ht="28.5" x14ac:dyDescent="0.2">
      <c r="B30" s="3" t="s">
        <v>6</v>
      </c>
      <c r="C30" s="4" t="s">
        <v>2768</v>
      </c>
      <c r="D30" s="4"/>
    </row>
    <row r="31" spans="2:7" ht="28.5" x14ac:dyDescent="0.2">
      <c r="B31" s="3" t="s">
        <v>15</v>
      </c>
      <c r="C31" s="4" t="s">
        <v>2769</v>
      </c>
      <c r="D31" s="4"/>
    </row>
    <row r="32" spans="2:7" ht="28.5" x14ac:dyDescent="0.2">
      <c r="B32" s="3" t="s">
        <v>12</v>
      </c>
      <c r="C32" s="4" t="s">
        <v>2770</v>
      </c>
      <c r="D32" s="4"/>
    </row>
    <row r="33" spans="2:7" ht="29.25" thickBot="1" x14ac:dyDescent="0.25">
      <c r="B33" s="3" t="s">
        <v>206</v>
      </c>
      <c r="C33" s="4" t="s">
        <v>2771</v>
      </c>
      <c r="D33" s="4"/>
    </row>
    <row r="34" spans="2:7" ht="29.25" thickBot="1" x14ac:dyDescent="0.25">
      <c r="B34" s="3" t="s">
        <v>0</v>
      </c>
      <c r="C34" s="4" t="s">
        <v>2772</v>
      </c>
      <c r="D34" s="4"/>
      <c r="E34" s="12"/>
    </row>
    <row r="35" spans="2:7" ht="16.5" thickBot="1" x14ac:dyDescent="0.25">
      <c r="B35" s="3" t="s">
        <v>116</v>
      </c>
      <c r="C35" s="4" t="s">
        <v>2773</v>
      </c>
      <c r="D35" s="4"/>
      <c r="E35" s="15"/>
      <c r="G35" t="str">
        <f t="shared" si="0"/>
        <v>&lt;dl&gt;&lt;dt&gt;福德宫​&lt;/dt&gt;&lt;dd&gt;内心常怀喜悦，精神乐观，懂得享受生活乐趣。&lt;/dd&gt;&lt;dd&gt;&lt;/dd&gt;&lt;/dl&gt;</v>
      </c>
    </row>
    <row r="36" spans="2:7" ht="29.25" thickBot="1" x14ac:dyDescent="0.25">
      <c r="B36" s="3" t="s">
        <v>9</v>
      </c>
      <c r="C36" s="4" t="s">
        <v>2774</v>
      </c>
      <c r="D36" s="4"/>
      <c r="E36" s="15"/>
      <c r="G36" t="str">
        <f t="shared" si="0"/>
        <v>&lt;dl&gt;&lt;dt&gt;父母宫​&lt;/dt&gt;&lt;dd&gt;父母关系融洽，家庭温暖；易得长辈馈赠或分享其喜事。&lt;/dd&gt;&lt;dd&gt;&lt;/dd&gt;&lt;/dl&gt;</v>
      </c>
    </row>
    <row r="37" spans="2:7" ht="16.5" thickBot="1" x14ac:dyDescent="0.25">
      <c r="E37" s="15"/>
      <c r="G37" t="str">
        <f t="shared" si="0"/>
        <v>&lt;dl&gt;&lt;dt&gt;&lt;/dt&gt;&lt;dd&gt;&lt;/dd&gt;&lt;dd&gt;&lt;/dd&gt;&lt;/dl&gt;</v>
      </c>
    </row>
    <row r="38" spans="2:7" ht="16.5" thickBot="1" x14ac:dyDescent="0.25">
      <c r="E38" s="15"/>
      <c r="G38" t="str">
        <f t="shared" si="0"/>
        <v>&lt;dl&gt;&lt;dt&gt;&lt;/dt&gt;&lt;dd&gt;&lt;/dd&gt;&lt;dd&gt;&lt;/dd&gt;&lt;/dl&gt;</v>
      </c>
    </row>
    <row r="39" spans="2:7" ht="18" thickBot="1" x14ac:dyDescent="0.25">
      <c r="B39" s="5" t="s">
        <v>734</v>
      </c>
      <c r="E39" s="15"/>
      <c r="G39" t="str">
        <f t="shared" si="0"/>
        <v>&lt;dl&gt;&lt;dt&gt;四、主星组合象义&lt;/dt&gt;&lt;dd&gt;&lt;/dd&gt;&lt;dd&gt;&lt;/dd&gt;&lt;/dl&gt;</v>
      </c>
    </row>
    <row r="40" spans="2:7" ht="16.5" thickBot="1" x14ac:dyDescent="0.25">
      <c r="E40" s="15"/>
      <c r="G40" t="str">
        <f t="shared" si="0"/>
        <v>&lt;dl&gt;&lt;dt&gt;&lt;/dt&gt;&lt;dd&gt;&lt;/dd&gt;&lt;dd&gt;&lt;/dd&gt;&lt;/dl&gt;</v>
      </c>
    </row>
    <row r="41" spans="2:7" ht="16.5" thickBot="1" x14ac:dyDescent="0.25">
      <c r="B41" s="13" t="s">
        <v>2674</v>
      </c>
      <c r="E41" s="15"/>
      <c r="G41" t="str">
        <f t="shared" si="0"/>
        <v>&lt;dl&gt;&lt;dt&gt;1. 吉庆增强组合&lt;/dt&gt;&lt;dd&gt;&lt;/dd&gt;&lt;dd&gt;&lt;/dd&gt;&lt;/dl&gt;</v>
      </c>
    </row>
    <row r="42" spans="2:7" ht="16.5" thickBot="1" x14ac:dyDescent="0.25">
      <c r="E42" s="15"/>
      <c r="G42" t="str">
        <f t="shared" si="0"/>
        <v>&lt;dl&gt;&lt;dt&gt;&lt;/dt&gt;&lt;dd&gt;&lt;/dd&gt;&lt;dd&gt;&lt;/dd&gt;&lt;/dl&gt;</v>
      </c>
    </row>
    <row r="43" spans="2:7" ht="16.5" thickBot="1" x14ac:dyDescent="0.25">
      <c r="B43" s="2" t="s">
        <v>71</v>
      </c>
      <c r="C43" s="2" t="s">
        <v>1047</v>
      </c>
      <c r="D43" s="2" t="s">
        <v>73</v>
      </c>
      <c r="E43" s="15"/>
      <c r="G43" t="str">
        <f t="shared" si="0"/>
        <v>&lt;dl&gt;&lt;dt&gt;组合​&lt;/dt&gt;&lt;dd&gt;效应​&lt;/dd&gt;&lt;dd&gt;典型案例​&lt;/dd&gt;&lt;/dl&gt;</v>
      </c>
    </row>
    <row r="44" spans="2:7" ht="28.5" x14ac:dyDescent="0.2">
      <c r="B44" s="3" t="s">
        <v>2775</v>
      </c>
      <c r="C44" s="4" t="s">
        <v>2776</v>
      </c>
      <c r="D44" s="4" t="s">
        <v>2777</v>
      </c>
    </row>
    <row r="45" spans="2:7" ht="28.5" x14ac:dyDescent="0.2">
      <c r="B45" s="3" t="s">
        <v>2778</v>
      </c>
      <c r="C45" s="4" t="s">
        <v>2779</v>
      </c>
      <c r="D45" s="4" t="s">
        <v>2780</v>
      </c>
    </row>
    <row r="46" spans="2:7" ht="28.5" x14ac:dyDescent="0.2">
      <c r="B46" s="3" t="s">
        <v>2781</v>
      </c>
      <c r="C46" s="4" t="s">
        <v>2782</v>
      </c>
      <c r="D46" s="4" t="s">
        <v>2783</v>
      </c>
    </row>
    <row r="47" spans="2:7" ht="29.25" thickBot="1" x14ac:dyDescent="0.25">
      <c r="B47" s="3" t="s">
        <v>2784</v>
      </c>
      <c r="C47" s="4" t="s">
        <v>2785</v>
      </c>
      <c r="D47" s="4" t="s">
        <v>2786</v>
      </c>
    </row>
    <row r="48" spans="2:7" ht="29.25" thickBot="1" x14ac:dyDescent="0.25">
      <c r="B48" s="3" t="s">
        <v>2787</v>
      </c>
      <c r="C48" s="4" t="s">
        <v>2788</v>
      </c>
      <c r="D48" s="4" t="s">
        <v>2789</v>
      </c>
      <c r="E48" s="12"/>
    </row>
    <row r="49" spans="2:7" ht="16.5" thickBot="1" x14ac:dyDescent="0.25">
      <c r="E49" s="15"/>
      <c r="G49" t="str">
        <f t="shared" si="0"/>
        <v>&lt;dl&gt;&lt;dt&gt;&lt;/dt&gt;&lt;dd&gt;&lt;/dd&gt;&lt;dd&gt;&lt;/dd&gt;&lt;/dl&gt;</v>
      </c>
    </row>
    <row r="50" spans="2:7" ht="16.5" thickBot="1" x14ac:dyDescent="0.25">
      <c r="B50" s="13" t="s">
        <v>2790</v>
      </c>
      <c r="E50" s="15"/>
      <c r="G50" t="str">
        <f t="shared" si="0"/>
        <v>&lt;dl&gt;&lt;dt&gt;2. 喜庆带变动组合&lt;/dt&gt;&lt;dd&gt;&lt;/dd&gt;&lt;dd&gt;&lt;/dd&gt;&lt;/dl&gt;</v>
      </c>
    </row>
    <row r="51" spans="2:7" ht="16.5" thickBot="1" x14ac:dyDescent="0.25">
      <c r="E51" s="15"/>
      <c r="G51" t="str">
        <f t="shared" si="0"/>
        <v>&lt;dl&gt;&lt;dt&gt;&lt;/dt&gt;&lt;dd&gt;&lt;/dd&gt;&lt;dd&gt;&lt;/dd&gt;&lt;/dl&gt;</v>
      </c>
    </row>
    <row r="52" spans="2:7" ht="16.5" thickBot="1" x14ac:dyDescent="0.25">
      <c r="B52" s="2" t="s">
        <v>71</v>
      </c>
      <c r="C52" s="2" t="s">
        <v>1047</v>
      </c>
      <c r="D52" s="2" t="s">
        <v>73</v>
      </c>
      <c r="E52" s="15"/>
      <c r="G52" t="str">
        <f t="shared" si="0"/>
        <v>&lt;dl&gt;&lt;dt&gt;组合​&lt;/dt&gt;&lt;dd&gt;效应​&lt;/dd&gt;&lt;dd&gt;典型案例​&lt;/dd&gt;&lt;/dl&gt;</v>
      </c>
    </row>
    <row r="53" spans="2:7" ht="28.5" x14ac:dyDescent="0.2">
      <c r="B53" s="3" t="s">
        <v>2791</v>
      </c>
      <c r="C53" s="4" t="s">
        <v>2792</v>
      </c>
      <c r="D53" s="4" t="s">
        <v>2793</v>
      </c>
    </row>
    <row r="54" spans="2:7" ht="28.5" x14ac:dyDescent="0.2">
      <c r="B54" s="3" t="s">
        <v>2794</v>
      </c>
      <c r="C54" s="4" t="s">
        <v>2795</v>
      </c>
      <c r="D54" s="4" t="s">
        <v>2796</v>
      </c>
    </row>
    <row r="55" spans="2:7" ht="28.5" x14ac:dyDescent="0.2">
      <c r="B55" s="3" t="s">
        <v>2797</v>
      </c>
      <c r="C55" s="4" t="s">
        <v>2798</v>
      </c>
      <c r="D55" s="4" t="s">
        <v>2799</v>
      </c>
    </row>
    <row r="56" spans="2:7" ht="28.5" x14ac:dyDescent="0.2">
      <c r="B56" s="3" t="s">
        <v>2800</v>
      </c>
      <c r="C56" s="4" t="s">
        <v>2801</v>
      </c>
      <c r="D56" s="4" t="s">
        <v>2802</v>
      </c>
    </row>
    <row r="57" spans="2:7" ht="28.5" x14ac:dyDescent="0.2">
      <c r="B57" s="3" t="s">
        <v>2803</v>
      </c>
      <c r="C57" s="4" t="s">
        <v>2804</v>
      </c>
      <c r="D57" s="4" t="s">
        <v>2805</v>
      </c>
    </row>
    <row r="60" spans="2:7" ht="17.25" x14ac:dyDescent="0.2">
      <c r="B60" s="5" t="s">
        <v>746</v>
      </c>
    </row>
    <row r="62" spans="2:7" x14ac:dyDescent="0.2">
      <c r="B62" s="2" t="s">
        <v>40</v>
      </c>
      <c r="C62" s="2" t="s">
        <v>1414</v>
      </c>
      <c r="D62" s="2" t="s">
        <v>21</v>
      </c>
    </row>
    <row r="63" spans="2:7" ht="28.5" x14ac:dyDescent="0.2">
      <c r="B63" s="3" t="s">
        <v>2806</v>
      </c>
      <c r="C63" s="3" t="s">
        <v>2807</v>
      </c>
      <c r="D63" s="4" t="s">
        <v>2808</v>
      </c>
    </row>
    <row r="64" spans="2:7" ht="28.5" x14ac:dyDescent="0.2">
      <c r="B64" s="3" t="s">
        <v>2809</v>
      </c>
      <c r="C64" s="4" t="s">
        <v>2810</v>
      </c>
      <c r="D64" s="4" t="s">
        <v>2811</v>
      </c>
    </row>
    <row r="65" spans="2:4" ht="28.5" x14ac:dyDescent="0.2">
      <c r="B65" s="3" t="s">
        <v>2812</v>
      </c>
      <c r="C65" s="4" t="s">
        <v>2813</v>
      </c>
      <c r="D65" s="4" t="s">
        <v>2814</v>
      </c>
    </row>
    <row r="66" spans="2:4" x14ac:dyDescent="0.2">
      <c r="B66" s="3" t="s">
        <v>2815</v>
      </c>
      <c r="C66" s="4" t="s">
        <v>2816</v>
      </c>
      <c r="D66" s="4" t="s">
        <v>2817</v>
      </c>
    </row>
    <row r="67" spans="2:4" ht="28.5" x14ac:dyDescent="0.2">
      <c r="B67" s="3" t="s">
        <v>2818</v>
      </c>
      <c r="C67" s="4" t="s">
        <v>2819</v>
      </c>
      <c r="D67" s="4" t="s">
        <v>2820</v>
      </c>
    </row>
    <row r="68" spans="2:4" ht="28.5" x14ac:dyDescent="0.2">
      <c r="B68" s="3" t="s">
        <v>2821</v>
      </c>
      <c r="C68" s="4" t="s">
        <v>2822</v>
      </c>
      <c r="D68" s="4" t="s">
        <v>2823</v>
      </c>
    </row>
    <row r="69" spans="2:4" ht="28.5" x14ac:dyDescent="0.2">
      <c r="B69" s="3" t="s">
        <v>2824</v>
      </c>
      <c r="C69" s="4" t="s">
        <v>2825</v>
      </c>
      <c r="D69" s="4" t="s">
        <v>2826</v>
      </c>
    </row>
    <row r="70" spans="2:4" x14ac:dyDescent="0.2">
      <c r="B70" s="3" t="s">
        <v>2827</v>
      </c>
      <c r="C70" s="4" t="s">
        <v>2828</v>
      </c>
      <c r="D70" s="4" t="s">
        <v>2829</v>
      </c>
    </row>
    <row r="71" spans="2:4" ht="28.5" x14ac:dyDescent="0.2">
      <c r="B71" s="3" t="s">
        <v>2830</v>
      </c>
      <c r="C71" s="4" t="s">
        <v>2831</v>
      </c>
      <c r="D71" s="4" t="s">
        <v>2832</v>
      </c>
    </row>
    <row r="72" spans="2:4" ht="28.5" x14ac:dyDescent="0.2">
      <c r="B72" s="3" t="s">
        <v>2833</v>
      </c>
      <c r="C72" s="4" t="s">
        <v>2834</v>
      </c>
      <c r="D72" s="4" t="s">
        <v>2835</v>
      </c>
    </row>
    <row r="75" spans="2:4" ht="17.25" x14ac:dyDescent="0.2">
      <c r="B75" s="5" t="s">
        <v>1805</v>
      </c>
    </row>
    <row r="76" spans="2:4" x14ac:dyDescent="0.2">
      <c r="B76" s="6"/>
    </row>
    <row r="77" spans="2:4" x14ac:dyDescent="0.2">
      <c r="B77" s="7" t="s">
        <v>2836</v>
      </c>
    </row>
    <row r="78" spans="2:4" x14ac:dyDescent="0.2">
      <c r="B78" s="7" t="s">
        <v>2837</v>
      </c>
    </row>
    <row r="79" spans="2:4" x14ac:dyDescent="0.2">
      <c r="B79" s="7" t="s">
        <v>2838</v>
      </c>
    </row>
    <row r="80" spans="2:4" x14ac:dyDescent="0.2">
      <c r="B80" s="7" t="s">
        <v>2839</v>
      </c>
    </row>
    <row r="81" spans="2:2" x14ac:dyDescent="0.2">
      <c r="B81" s="7" t="s">
        <v>2840</v>
      </c>
    </row>
    <row r="82" spans="2:2" x14ac:dyDescent="0.2">
      <c r="B82" s="6"/>
    </row>
  </sheetData>
  <phoneticPr fontId="2" type="noConversion"/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47ECCD-415E-4157-A1CD-05DED01DD518}">
  <dimension ref="B1:G82"/>
  <sheetViews>
    <sheetView zoomScaleNormal="100" workbookViewId="0">
      <selection activeCell="I9" sqref="I9"/>
    </sheetView>
  </sheetViews>
  <sheetFormatPr defaultRowHeight="14.25" x14ac:dyDescent="0.2"/>
  <cols>
    <col min="1" max="1" width="2.75" customWidth="1"/>
    <col min="2" max="2" width="15.625" customWidth="1"/>
    <col min="3" max="3" width="43.125" customWidth="1"/>
    <col min="4" max="4" width="32.75" customWidth="1"/>
  </cols>
  <sheetData>
    <row r="1" spans="2:7" ht="17.25" x14ac:dyDescent="0.2">
      <c r="B1" s="5" t="s">
        <v>2841</v>
      </c>
      <c r="G1" t="str">
        <f>"&lt;dl&gt;&lt;dt&gt;" &amp; B1 &amp; "&lt;/dt&gt;&lt;dd&gt;" &amp; C1 &amp; "&lt;/dd&gt;&lt;dd&gt;" &amp; D1 &amp; "&lt;/dd&gt;&lt;/dl&gt;"</f>
        <v>&lt;dl&gt;&lt;dt&gt;一、天虚定义&lt;/dt&gt;&lt;dd&gt;&lt;/dd&gt;&lt;dd&gt;&lt;/dd&gt;&lt;/dl&gt;</v>
      </c>
    </row>
    <row r="3" spans="2:7" x14ac:dyDescent="0.2">
      <c r="B3" s="2" t="s">
        <v>376</v>
      </c>
      <c r="C3" s="2" t="s">
        <v>377</v>
      </c>
      <c r="D3" s="2" t="s">
        <v>21</v>
      </c>
    </row>
    <row r="4" spans="2:7" x14ac:dyDescent="0.2">
      <c r="B4" s="3" t="s">
        <v>624</v>
      </c>
      <c r="C4" s="4" t="s">
        <v>2842</v>
      </c>
      <c r="D4" s="4"/>
    </row>
    <row r="5" spans="2:7" ht="28.5" x14ac:dyDescent="0.2">
      <c r="B5" s="3" t="s">
        <v>378</v>
      </c>
      <c r="C5" s="4" t="s">
        <v>2843</v>
      </c>
      <c r="D5" s="4"/>
    </row>
    <row r="6" spans="2:7" ht="28.5" x14ac:dyDescent="0.2">
      <c r="B6" s="3" t="s">
        <v>1717</v>
      </c>
      <c r="C6" s="4" t="s">
        <v>2844</v>
      </c>
      <c r="D6" s="4"/>
    </row>
    <row r="9" spans="2:7" ht="17.25" x14ac:dyDescent="0.2">
      <c r="B9" s="5" t="s">
        <v>1719</v>
      </c>
    </row>
    <row r="11" spans="2:7" ht="15.75" x14ac:dyDescent="0.2">
      <c r="B11" s="13" t="s">
        <v>1720</v>
      </c>
    </row>
    <row r="13" spans="2:7" x14ac:dyDescent="0.2">
      <c r="B13" s="2" t="s">
        <v>390</v>
      </c>
      <c r="C13" s="2" t="s">
        <v>1818</v>
      </c>
      <c r="D13" s="2" t="s">
        <v>1819</v>
      </c>
    </row>
    <row r="14" spans="2:7" ht="28.5" x14ac:dyDescent="0.2">
      <c r="B14" s="3" t="s">
        <v>2845</v>
      </c>
      <c r="C14" s="4" t="s">
        <v>2846</v>
      </c>
      <c r="D14" s="4" t="s">
        <v>2371</v>
      </c>
    </row>
    <row r="15" spans="2:7" ht="28.5" x14ac:dyDescent="0.2">
      <c r="B15" s="3" t="s">
        <v>2847</v>
      </c>
      <c r="C15" s="4" t="s">
        <v>2848</v>
      </c>
      <c r="D15" s="4" t="s">
        <v>2849</v>
      </c>
    </row>
    <row r="16" spans="2:7" ht="28.5" x14ac:dyDescent="0.2">
      <c r="B16" s="3" t="s">
        <v>2850</v>
      </c>
      <c r="C16" s="4" t="s">
        <v>2851</v>
      </c>
      <c r="D16" s="4" t="s">
        <v>2852</v>
      </c>
    </row>
    <row r="17" spans="2:7" ht="28.5" x14ac:dyDescent="0.2">
      <c r="B17" s="3" t="s">
        <v>2853</v>
      </c>
      <c r="C17" s="4" t="s">
        <v>2854</v>
      </c>
      <c r="D17" s="4" t="s">
        <v>2855</v>
      </c>
    </row>
    <row r="18" spans="2:7" ht="28.5" x14ac:dyDescent="0.2">
      <c r="B18" s="3" t="s">
        <v>2856</v>
      </c>
      <c r="C18" s="4" t="s">
        <v>2857</v>
      </c>
      <c r="D18" s="4" t="s">
        <v>2858</v>
      </c>
    </row>
    <row r="21" spans="2:7" ht="17.25" x14ac:dyDescent="0.2">
      <c r="B21" s="5" t="s">
        <v>1733</v>
      </c>
    </row>
    <row r="22" spans="2:7" ht="15" thickBot="1" x14ac:dyDescent="0.25"/>
    <row r="23" spans="2:7" ht="16.5" thickBot="1" x14ac:dyDescent="0.25">
      <c r="B23" s="2" t="s">
        <v>18</v>
      </c>
      <c r="C23" s="2" t="s">
        <v>1818</v>
      </c>
      <c r="D23" s="2" t="s">
        <v>21</v>
      </c>
      <c r="E23" s="12"/>
    </row>
    <row r="24" spans="2:7" ht="29.25" thickBot="1" x14ac:dyDescent="0.25">
      <c r="B24" s="3" t="s">
        <v>201</v>
      </c>
      <c r="C24" s="4" t="s">
        <v>2859</v>
      </c>
      <c r="D24" s="4"/>
      <c r="E24" s="15"/>
      <c r="G24" t="str">
        <f t="shared" ref="G24:G52" si="0">"&lt;dl&gt;&lt;dt&gt;" &amp; B24 &amp; "&lt;/dt&gt;&lt;dd&gt;" &amp; C24 &amp; "&lt;/dd&gt;&lt;dd&gt;" &amp; D24 &amp; "&lt;/dd&gt;&lt;/dl&gt;"</f>
        <v>&lt;dl&gt;&lt;dt&gt;命宫​&lt;/dt&gt;&lt;dd&gt;性格内向多忧，自信心不足，身体较弱，一生易有虚耗之事。&lt;/dd&gt;&lt;dd&gt;&lt;/dd&gt;&lt;/dl&gt;</v>
      </c>
    </row>
    <row r="25" spans="2:7" ht="29.25" thickBot="1" x14ac:dyDescent="0.25">
      <c r="B25" s="3" t="s">
        <v>246</v>
      </c>
      <c r="C25" s="4" t="s">
        <v>2860</v>
      </c>
      <c r="D25" s="4"/>
      <c r="E25" s="15"/>
      <c r="G25" t="str">
        <f t="shared" si="0"/>
        <v>&lt;dl&gt;&lt;dt&gt;兄弟宫​&lt;/dt&gt;&lt;dd&gt;与兄弟姐妹缘薄或助力少；在团队中易感孤立，同僚关系虚浮。&lt;/dd&gt;&lt;dd&gt;&lt;/dd&gt;&lt;/dl&gt;</v>
      </c>
    </row>
    <row r="26" spans="2:7" ht="29.25" thickBot="1" x14ac:dyDescent="0.25">
      <c r="B26" s="3" t="s">
        <v>125</v>
      </c>
      <c r="C26" s="4" t="s">
        <v>2861</v>
      </c>
      <c r="D26" s="4"/>
      <c r="E26" s="15"/>
      <c r="G26" t="str">
        <f t="shared" si="0"/>
        <v>&lt;dl&gt;&lt;dt&gt;夫妻宫​&lt;/dt&gt;&lt;dd&gt;配偶身体可能较弱；感情关系中有不实在的感觉，或婚姻有名无实。&lt;/dd&gt;&lt;dd&gt;&lt;/dd&gt;&lt;/dl&gt;</v>
      </c>
    </row>
    <row r="27" spans="2:7" ht="29.25" thickBot="1" x14ac:dyDescent="0.25">
      <c r="B27" s="3" t="s">
        <v>128</v>
      </c>
      <c r="C27" s="4" t="s">
        <v>2862</v>
      </c>
      <c r="D27" s="4"/>
      <c r="E27" s="15"/>
      <c r="G27" t="str">
        <f t="shared" si="0"/>
        <v>&lt;dl&gt;&lt;dt&gt;子女宫​&lt;/dt&gt;&lt;dd&gt;子女身体较弱或缘分薄；在娱乐、创作方面投入多而实质收获少。&lt;/dd&gt;&lt;dd&gt;&lt;/dd&gt;&lt;/dl&gt;</v>
      </c>
    </row>
    <row r="28" spans="2:7" ht="29.25" thickBot="1" x14ac:dyDescent="0.25">
      <c r="B28" s="3" t="s">
        <v>3</v>
      </c>
      <c r="C28" s="3" t="s">
        <v>2863</v>
      </c>
      <c r="D28" s="4"/>
      <c r="E28" s="15"/>
      <c r="G28" t="str">
        <f t="shared" si="0"/>
        <v>&lt;dl&gt;&lt;dt&gt;财帛宫​&lt;/dt&gt;&lt;dd&gt;核心宫位。钱财难聚，易有意外损耗，虚花浪费，投资易亏。&lt;/dd&gt;&lt;dd&gt;&lt;/dd&gt;&lt;/dl&gt;</v>
      </c>
    </row>
    <row r="29" spans="2:7" ht="29.25" thickBot="1" x14ac:dyDescent="0.25">
      <c r="B29" s="3" t="s">
        <v>6</v>
      </c>
      <c r="C29" s="4" t="s">
        <v>2864</v>
      </c>
      <c r="D29" s="4"/>
      <c r="E29" s="15"/>
      <c r="G29" t="str">
        <f t="shared" si="0"/>
        <v>&lt;dl&gt;&lt;dt&gt;疾厄宫​&lt;/dt&gt;&lt;dd&gt;体质虚弱，易患慢性病、虚症，抵抗力差，病后康复缓慢。&lt;/dd&gt;&lt;dd&gt;&lt;/dd&gt;&lt;/dl&gt;</v>
      </c>
    </row>
    <row r="30" spans="2:7" ht="28.5" x14ac:dyDescent="0.2">
      <c r="B30" s="3" t="s">
        <v>15</v>
      </c>
      <c r="C30" s="4" t="s">
        <v>2865</v>
      </c>
      <c r="D30" s="4"/>
    </row>
    <row r="31" spans="2:7" ht="28.5" x14ac:dyDescent="0.2">
      <c r="B31" s="3" t="s">
        <v>12</v>
      </c>
      <c r="C31" s="4" t="s">
        <v>2866</v>
      </c>
      <c r="D31" s="4"/>
    </row>
    <row r="32" spans="2:7" ht="28.5" x14ac:dyDescent="0.2">
      <c r="B32" s="3" t="s">
        <v>206</v>
      </c>
      <c r="C32" s="4" t="s">
        <v>2867</v>
      </c>
      <c r="D32" s="4"/>
    </row>
    <row r="33" spans="2:7" ht="29.25" thickBot="1" x14ac:dyDescent="0.25">
      <c r="B33" s="3" t="s">
        <v>0</v>
      </c>
      <c r="C33" s="4" t="s">
        <v>2868</v>
      </c>
      <c r="D33" s="4"/>
    </row>
    <row r="34" spans="2:7" ht="29.25" thickBot="1" x14ac:dyDescent="0.25">
      <c r="B34" s="3" t="s">
        <v>116</v>
      </c>
      <c r="C34" s="3" t="s">
        <v>2869</v>
      </c>
      <c r="D34" s="4"/>
      <c r="E34" s="12"/>
    </row>
    <row r="35" spans="2:7" ht="29.25" thickBot="1" x14ac:dyDescent="0.25">
      <c r="B35" s="3" t="s">
        <v>9</v>
      </c>
      <c r="C35" s="4" t="s">
        <v>2870</v>
      </c>
      <c r="D35" s="4"/>
      <c r="E35" s="15"/>
      <c r="G35" t="str">
        <f t="shared" si="0"/>
        <v>&lt;dl&gt;&lt;dt&gt;父母宫​&lt;/dt&gt;&lt;dd&gt;与父母缘分较淡，或得到父母的实质关爱较少；长辈健康需注意。&lt;/dd&gt;&lt;dd&gt;&lt;/dd&gt;&lt;/dl&gt;</v>
      </c>
    </row>
    <row r="36" spans="2:7" ht="16.5" thickBot="1" x14ac:dyDescent="0.25">
      <c r="E36" s="15"/>
      <c r="G36" t="str">
        <f t="shared" si="0"/>
        <v>&lt;dl&gt;&lt;dt&gt;&lt;/dt&gt;&lt;dd&gt;&lt;/dd&gt;&lt;dd&gt;&lt;/dd&gt;&lt;/dl&gt;</v>
      </c>
    </row>
    <row r="37" spans="2:7" ht="16.5" thickBot="1" x14ac:dyDescent="0.25">
      <c r="E37" s="15"/>
      <c r="G37" t="str">
        <f t="shared" si="0"/>
        <v>&lt;dl&gt;&lt;dt&gt;&lt;/dt&gt;&lt;dd&gt;&lt;/dd&gt;&lt;dd&gt;&lt;/dd&gt;&lt;/dl&gt;</v>
      </c>
    </row>
    <row r="38" spans="2:7" ht="18" thickBot="1" x14ac:dyDescent="0.25">
      <c r="B38" s="5" t="s">
        <v>734</v>
      </c>
      <c r="E38" s="15"/>
      <c r="G38" t="str">
        <f t="shared" si="0"/>
        <v>&lt;dl&gt;&lt;dt&gt;四、主星组合象义&lt;/dt&gt;&lt;dd&gt;&lt;/dd&gt;&lt;dd&gt;&lt;/dd&gt;&lt;/dl&gt;</v>
      </c>
    </row>
    <row r="39" spans="2:7" ht="16.5" thickBot="1" x14ac:dyDescent="0.25">
      <c r="E39" s="15"/>
      <c r="G39" t="str">
        <f t="shared" si="0"/>
        <v>&lt;dl&gt;&lt;dt&gt;&lt;/dt&gt;&lt;dd&gt;&lt;/dd&gt;&lt;dd&gt;&lt;/dd&gt;&lt;/dl&gt;</v>
      </c>
    </row>
    <row r="40" spans="2:7" ht="16.5" thickBot="1" x14ac:dyDescent="0.25">
      <c r="B40" s="13" t="s">
        <v>2871</v>
      </c>
      <c r="E40" s="15"/>
      <c r="G40" t="str">
        <f t="shared" si="0"/>
        <v>&lt;dl&gt;&lt;dt&gt;1. 加重虚耗组合&lt;/dt&gt;&lt;dd&gt;&lt;/dd&gt;&lt;dd&gt;&lt;/dd&gt;&lt;/dl&gt;</v>
      </c>
    </row>
    <row r="41" spans="2:7" ht="16.5" thickBot="1" x14ac:dyDescent="0.25">
      <c r="E41" s="15"/>
      <c r="G41" t="str">
        <f t="shared" si="0"/>
        <v>&lt;dl&gt;&lt;dt&gt;&lt;/dt&gt;&lt;dd&gt;&lt;/dd&gt;&lt;dd&gt;&lt;/dd&gt;&lt;/dl&gt;</v>
      </c>
    </row>
    <row r="42" spans="2:7" ht="16.5" thickBot="1" x14ac:dyDescent="0.25">
      <c r="B42" s="2" t="s">
        <v>71</v>
      </c>
      <c r="C42" s="2" t="s">
        <v>1047</v>
      </c>
      <c r="D42" s="2" t="s">
        <v>73</v>
      </c>
      <c r="E42" s="15"/>
      <c r="G42" t="str">
        <f t="shared" si="0"/>
        <v>&lt;dl&gt;&lt;dt&gt;组合​&lt;/dt&gt;&lt;dd&gt;效应​&lt;/dd&gt;&lt;dd&gt;典型案例​&lt;/dd&gt;&lt;/dl&gt;</v>
      </c>
    </row>
    <row r="43" spans="2:7" ht="29.25" thickBot="1" x14ac:dyDescent="0.25">
      <c r="B43" s="3" t="s">
        <v>2872</v>
      </c>
      <c r="C43" s="4" t="s">
        <v>2873</v>
      </c>
      <c r="D43" s="4" t="s">
        <v>2874</v>
      </c>
      <c r="E43" s="15"/>
      <c r="G43" t="str">
        <f t="shared" si="0"/>
        <v>&lt;dl&gt;&lt;dt&gt;天虚+天同​&lt;/dt&gt;&lt;dd&gt;加重情绪化与空虚感，沉溺于空想而不作为，福气打折扣。&lt;/dd&gt;&lt;dd&gt;想得多做得少，常感人生无趣。&lt;/dd&gt;&lt;/dl&gt;</v>
      </c>
    </row>
    <row r="44" spans="2:7" x14ac:dyDescent="0.2">
      <c r="B44" s="3" t="s">
        <v>2875</v>
      </c>
      <c r="C44" s="4" t="s">
        <v>2876</v>
      </c>
      <c r="D44" s="4" t="s">
        <v>2877</v>
      </c>
    </row>
    <row r="45" spans="2:7" ht="28.5" x14ac:dyDescent="0.2">
      <c r="B45" s="3" t="s">
        <v>2878</v>
      </c>
      <c r="C45" s="4" t="s">
        <v>2879</v>
      </c>
      <c r="D45" s="4" t="s">
        <v>2880</v>
      </c>
    </row>
    <row r="46" spans="2:7" ht="28.5" x14ac:dyDescent="0.2">
      <c r="B46" s="3" t="s">
        <v>2881</v>
      </c>
      <c r="C46" s="4" t="s">
        <v>2882</v>
      </c>
      <c r="D46" s="4" t="s">
        <v>2883</v>
      </c>
    </row>
    <row r="47" spans="2:7" ht="29.25" thickBot="1" x14ac:dyDescent="0.25">
      <c r="B47" s="3" t="s">
        <v>2884</v>
      </c>
      <c r="C47" s="4" t="s">
        <v>2885</v>
      </c>
      <c r="D47" s="4" t="s">
        <v>2886</v>
      </c>
    </row>
    <row r="48" spans="2:7" ht="16.5" thickBot="1" x14ac:dyDescent="0.25">
      <c r="E48" s="12"/>
    </row>
    <row r="49" spans="2:7" ht="16.5" thickBot="1" x14ac:dyDescent="0.25">
      <c r="B49" s="13" t="s">
        <v>2887</v>
      </c>
      <c r="E49" s="15"/>
      <c r="G49" t="str">
        <f t="shared" si="0"/>
        <v>&lt;dl&gt;&lt;dt&gt;2. 转化与制约组合&lt;/dt&gt;&lt;dd&gt;&lt;/dd&gt;&lt;dd&gt;&lt;/dd&gt;&lt;/dl&gt;</v>
      </c>
    </row>
    <row r="50" spans="2:7" ht="16.5" thickBot="1" x14ac:dyDescent="0.25">
      <c r="E50" s="15"/>
      <c r="G50" t="str">
        <f t="shared" si="0"/>
        <v>&lt;dl&gt;&lt;dt&gt;&lt;/dt&gt;&lt;dd&gt;&lt;/dd&gt;&lt;dd&gt;&lt;/dd&gt;&lt;/dl&gt;</v>
      </c>
    </row>
    <row r="51" spans="2:7" ht="16.5" thickBot="1" x14ac:dyDescent="0.25">
      <c r="B51" s="2" t="s">
        <v>71</v>
      </c>
      <c r="C51" s="2" t="s">
        <v>1047</v>
      </c>
      <c r="D51" s="2" t="s">
        <v>73</v>
      </c>
      <c r="E51" s="15"/>
      <c r="G51" t="str">
        <f t="shared" si="0"/>
        <v>&lt;dl&gt;&lt;dt&gt;组合​&lt;/dt&gt;&lt;dd&gt;效应​&lt;/dd&gt;&lt;dd&gt;典型案例​&lt;/dd&gt;&lt;/dl&gt;</v>
      </c>
    </row>
    <row r="52" spans="2:7" ht="16.5" thickBot="1" x14ac:dyDescent="0.25">
      <c r="B52" s="3" t="s">
        <v>2888</v>
      </c>
      <c r="C52" s="4" t="s">
        <v>2889</v>
      </c>
      <c r="D52" s="4" t="s">
        <v>2890</v>
      </c>
      <c r="E52" s="15"/>
      <c r="G52" t="str">
        <f t="shared" si="0"/>
        <v>&lt;dl&gt;&lt;dt&gt;天虚+紫微​&lt;/dt&gt;&lt;dd&gt;虚荣心重，追求虚名与排场，导致不必要的损耗。&lt;/dd&gt;&lt;dd&gt;为撑面子挥霍钱财，内里空虚。&lt;/dd&gt;&lt;/dl&gt;</v>
      </c>
    </row>
    <row r="53" spans="2:7" ht="28.5" x14ac:dyDescent="0.2">
      <c r="B53" s="3" t="s">
        <v>2891</v>
      </c>
      <c r="C53" s="4" t="s">
        <v>2892</v>
      </c>
      <c r="D53" s="4" t="s">
        <v>2893</v>
      </c>
    </row>
    <row r="54" spans="2:7" ht="28.5" x14ac:dyDescent="0.2">
      <c r="B54" s="3" t="s">
        <v>2894</v>
      </c>
      <c r="C54" s="4" t="s">
        <v>2895</v>
      </c>
      <c r="D54" s="4" t="s">
        <v>2896</v>
      </c>
    </row>
    <row r="55" spans="2:7" ht="28.5" x14ac:dyDescent="0.2">
      <c r="B55" s="3" t="s">
        <v>2897</v>
      </c>
      <c r="C55" s="4" t="s">
        <v>2898</v>
      </c>
      <c r="D55" s="4" t="s">
        <v>2899</v>
      </c>
    </row>
    <row r="56" spans="2:7" x14ac:dyDescent="0.2">
      <c r="B56" s="3" t="s">
        <v>2900</v>
      </c>
      <c r="C56" s="4" t="s">
        <v>2901</v>
      </c>
      <c r="D56" s="4" t="s">
        <v>2902</v>
      </c>
    </row>
    <row r="59" spans="2:7" ht="17.25" x14ac:dyDescent="0.2">
      <c r="B59" s="5" t="s">
        <v>746</v>
      </c>
    </row>
    <row r="61" spans="2:7" x14ac:dyDescent="0.2">
      <c r="B61" s="2" t="s">
        <v>40</v>
      </c>
      <c r="C61" s="2" t="s">
        <v>1414</v>
      </c>
      <c r="D61" s="2" t="s">
        <v>21</v>
      </c>
    </row>
    <row r="62" spans="2:7" ht="28.5" x14ac:dyDescent="0.2">
      <c r="B62" s="3" t="s">
        <v>2903</v>
      </c>
      <c r="C62" s="3" t="s">
        <v>2904</v>
      </c>
      <c r="D62" s="4" t="s">
        <v>2905</v>
      </c>
    </row>
    <row r="63" spans="2:7" ht="28.5" x14ac:dyDescent="0.2">
      <c r="B63" s="3" t="s">
        <v>2906</v>
      </c>
      <c r="C63" s="3" t="s">
        <v>2907</v>
      </c>
      <c r="D63" s="4" t="s">
        <v>2908</v>
      </c>
    </row>
    <row r="64" spans="2:7" ht="28.5" x14ac:dyDescent="0.2">
      <c r="B64" s="3" t="s">
        <v>2909</v>
      </c>
      <c r="C64" s="4" t="s">
        <v>2910</v>
      </c>
      <c r="D64" s="4" t="s">
        <v>2911</v>
      </c>
    </row>
    <row r="65" spans="2:4" x14ac:dyDescent="0.2">
      <c r="B65" s="3" t="s">
        <v>2912</v>
      </c>
      <c r="C65" s="4" t="s">
        <v>2913</v>
      </c>
      <c r="D65" s="4" t="s">
        <v>2914</v>
      </c>
    </row>
    <row r="66" spans="2:4" x14ac:dyDescent="0.2">
      <c r="B66" s="3" t="s">
        <v>2915</v>
      </c>
      <c r="C66" s="4" t="s">
        <v>2916</v>
      </c>
      <c r="D66" s="4" t="s">
        <v>2917</v>
      </c>
    </row>
    <row r="67" spans="2:4" ht="28.5" x14ac:dyDescent="0.2">
      <c r="B67" s="3" t="s">
        <v>2918</v>
      </c>
      <c r="C67" s="4" t="s">
        <v>2919</v>
      </c>
      <c r="D67" s="4" t="s">
        <v>2920</v>
      </c>
    </row>
    <row r="68" spans="2:4" ht="28.5" x14ac:dyDescent="0.2">
      <c r="B68" s="3" t="s">
        <v>2921</v>
      </c>
      <c r="C68" s="4" t="s">
        <v>2922</v>
      </c>
      <c r="D68" s="4" t="s">
        <v>2923</v>
      </c>
    </row>
    <row r="69" spans="2:4" ht="28.5" x14ac:dyDescent="0.2">
      <c r="B69" s="3" t="s">
        <v>2924</v>
      </c>
      <c r="C69" s="4" t="s">
        <v>2925</v>
      </c>
      <c r="D69" s="4" t="s">
        <v>2926</v>
      </c>
    </row>
    <row r="70" spans="2:4" ht="28.5" x14ac:dyDescent="0.2">
      <c r="B70" s="3" t="s">
        <v>2927</v>
      </c>
      <c r="C70" s="4" t="s">
        <v>2928</v>
      </c>
      <c r="D70" s="4" t="s">
        <v>2929</v>
      </c>
    </row>
    <row r="71" spans="2:4" ht="28.5" x14ac:dyDescent="0.2">
      <c r="B71" s="3" t="s">
        <v>2930</v>
      </c>
      <c r="C71" s="4" t="s">
        <v>2931</v>
      </c>
      <c r="D71" s="4" t="s">
        <v>2932</v>
      </c>
    </row>
    <row r="74" spans="2:4" ht="17.25" x14ac:dyDescent="0.2">
      <c r="B74" s="5" t="s">
        <v>1805</v>
      </c>
    </row>
    <row r="75" spans="2:4" x14ac:dyDescent="0.2">
      <c r="B75" s="6"/>
    </row>
    <row r="76" spans="2:4" x14ac:dyDescent="0.2">
      <c r="B76" s="7" t="s">
        <v>2933</v>
      </c>
    </row>
    <row r="77" spans="2:4" x14ac:dyDescent="0.2">
      <c r="B77" s="7" t="s">
        <v>2934</v>
      </c>
    </row>
    <row r="78" spans="2:4" x14ac:dyDescent="0.2">
      <c r="B78" s="7" t="s">
        <v>2935</v>
      </c>
    </row>
    <row r="79" spans="2:4" x14ac:dyDescent="0.2">
      <c r="B79" s="7" t="s">
        <v>2936</v>
      </c>
    </row>
    <row r="80" spans="2:4" x14ac:dyDescent="0.2">
      <c r="B80" s="16"/>
    </row>
    <row r="81" spans="2:2" x14ac:dyDescent="0.2">
      <c r="B81" s="6"/>
    </row>
    <row r="82" spans="2:2" x14ac:dyDescent="0.2">
      <c r="B82" s="6"/>
    </row>
  </sheetData>
  <phoneticPr fontId="2" type="noConversion"/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0F3CB4-9B7B-4709-A696-C69AA602EACF}">
  <dimension ref="B1:G82"/>
  <sheetViews>
    <sheetView zoomScaleNormal="100" workbookViewId="0">
      <selection activeCell="B1" sqref="B1:D79"/>
    </sheetView>
  </sheetViews>
  <sheetFormatPr defaultRowHeight="14.25" x14ac:dyDescent="0.2"/>
  <cols>
    <col min="1" max="1" width="2.75" customWidth="1"/>
    <col min="2" max="2" width="15.625" customWidth="1"/>
    <col min="3" max="3" width="43.125" customWidth="1"/>
    <col min="4" max="4" width="32.75" customWidth="1"/>
  </cols>
  <sheetData>
    <row r="1" spans="2:7" ht="17.25" x14ac:dyDescent="0.2">
      <c r="B1" s="5" t="s">
        <v>2937</v>
      </c>
      <c r="G1" t="str">
        <f>"&lt;dl&gt;&lt;dt&gt;" &amp; B1 &amp; "&lt;/dt&gt;&lt;dd&gt;" &amp; C1 &amp; "&lt;/dd&gt;&lt;dd&gt;" &amp; D1 &amp; "&lt;/dd&gt;&lt;/dl&gt;"</f>
        <v>&lt;dl&gt;&lt;dt&gt;一、天姚定义&lt;/dt&gt;&lt;dd&gt;&lt;/dd&gt;&lt;dd&gt;&lt;/dd&gt;&lt;/dl&gt;</v>
      </c>
    </row>
    <row r="3" spans="2:7" x14ac:dyDescent="0.2">
      <c r="B3" s="2" t="s">
        <v>376</v>
      </c>
      <c r="C3" s="2" t="s">
        <v>377</v>
      </c>
      <c r="D3" s="2" t="s">
        <v>21</v>
      </c>
    </row>
    <row r="4" spans="2:7" x14ac:dyDescent="0.2">
      <c r="B4" s="3" t="s">
        <v>624</v>
      </c>
      <c r="C4" s="4" t="s">
        <v>2938</v>
      </c>
      <c r="D4" s="4"/>
    </row>
    <row r="5" spans="2:7" ht="42.75" x14ac:dyDescent="0.2">
      <c r="B5" s="3" t="s">
        <v>378</v>
      </c>
      <c r="C5" s="4" t="s">
        <v>2939</v>
      </c>
      <c r="D5" s="4"/>
    </row>
    <row r="6" spans="2:7" ht="28.5" x14ac:dyDescent="0.2">
      <c r="B6" s="3" t="s">
        <v>1717</v>
      </c>
      <c r="C6" s="4" t="s">
        <v>2940</v>
      </c>
      <c r="D6" s="4"/>
    </row>
    <row r="9" spans="2:7" ht="17.25" x14ac:dyDescent="0.2">
      <c r="B9" s="5" t="s">
        <v>1719</v>
      </c>
    </row>
    <row r="11" spans="2:7" ht="15.75" x14ac:dyDescent="0.2">
      <c r="B11" s="13" t="s">
        <v>1720</v>
      </c>
    </row>
    <row r="13" spans="2:7" x14ac:dyDescent="0.2">
      <c r="B13" s="2" t="s">
        <v>390</v>
      </c>
      <c r="C13" s="2" t="s">
        <v>1818</v>
      </c>
      <c r="D13" s="2" t="s">
        <v>1819</v>
      </c>
    </row>
    <row r="14" spans="2:7" ht="28.5" x14ac:dyDescent="0.2">
      <c r="B14" s="3" t="s">
        <v>2941</v>
      </c>
      <c r="C14" s="4" t="s">
        <v>2942</v>
      </c>
      <c r="D14" s="4" t="s">
        <v>2943</v>
      </c>
    </row>
    <row r="15" spans="2:7" ht="28.5" x14ac:dyDescent="0.2">
      <c r="B15" s="3" t="s">
        <v>2944</v>
      </c>
      <c r="C15" s="4" t="s">
        <v>2945</v>
      </c>
      <c r="D15" s="4" t="s">
        <v>2946</v>
      </c>
    </row>
    <row r="16" spans="2:7" ht="28.5" x14ac:dyDescent="0.2">
      <c r="B16" s="3" t="s">
        <v>2947</v>
      </c>
      <c r="C16" s="4" t="s">
        <v>2948</v>
      </c>
      <c r="D16" s="4" t="s">
        <v>2949</v>
      </c>
    </row>
    <row r="17" spans="2:7" ht="28.5" x14ac:dyDescent="0.2">
      <c r="B17" s="3" t="s">
        <v>2950</v>
      </c>
      <c r="C17" s="4" t="s">
        <v>2951</v>
      </c>
      <c r="D17" s="4" t="s">
        <v>2952</v>
      </c>
    </row>
    <row r="18" spans="2:7" ht="28.5" x14ac:dyDescent="0.2">
      <c r="B18" s="3" t="s">
        <v>2953</v>
      </c>
      <c r="C18" s="4" t="s">
        <v>2954</v>
      </c>
      <c r="D18" s="4" t="s">
        <v>2955</v>
      </c>
    </row>
    <row r="21" spans="2:7" ht="17.25" x14ac:dyDescent="0.2">
      <c r="B21" s="5" t="s">
        <v>1733</v>
      </c>
    </row>
    <row r="22" spans="2:7" ht="15" thickBot="1" x14ac:dyDescent="0.25"/>
    <row r="23" spans="2:7" ht="16.5" thickBot="1" x14ac:dyDescent="0.25">
      <c r="B23" s="2" t="s">
        <v>18</v>
      </c>
      <c r="C23" s="2" t="s">
        <v>1818</v>
      </c>
      <c r="D23" s="2" t="s">
        <v>21</v>
      </c>
      <c r="E23" s="12"/>
    </row>
    <row r="24" spans="2:7" ht="29.25" thickBot="1" x14ac:dyDescent="0.25">
      <c r="B24" s="3" t="s">
        <v>201</v>
      </c>
      <c r="C24" s="4" t="s">
        <v>2956</v>
      </c>
      <c r="D24" s="4"/>
      <c r="E24" s="15"/>
      <c r="G24" t="str">
        <f t="shared" ref="G24:G52" si="0">"&lt;dl&gt;&lt;dt&gt;" &amp; B24 &amp; "&lt;/dt&gt;&lt;dd&gt;" &amp; C24 &amp; "&lt;/dd&gt;&lt;dd&gt;" &amp; D24 &amp; "&lt;/dd&gt;&lt;/dl&gt;"</f>
        <v>&lt;dl&gt;&lt;dt&gt;命宫​&lt;/dt&gt;&lt;dd&gt;外貌俊美，富有魅力，性情浪漫，一生桃花不断，多才多艺。&lt;/dd&gt;&lt;dd&gt;&lt;/dd&gt;&lt;/dl&gt;</v>
      </c>
    </row>
    <row r="25" spans="2:7" ht="29.25" thickBot="1" x14ac:dyDescent="0.25">
      <c r="B25" s="3" t="s">
        <v>246</v>
      </c>
      <c r="C25" s="4" t="s">
        <v>2957</v>
      </c>
      <c r="D25" s="4"/>
      <c r="E25" s="15"/>
      <c r="G25" t="str">
        <f t="shared" si="0"/>
        <v>&lt;dl&gt;&lt;dt&gt;兄弟宫​&lt;/dt&gt;&lt;dd&gt;兄弟姐妹有魅力或桃花旺；在团队中善于处理人际关系。&lt;/dd&gt;&lt;dd&gt;&lt;/dd&gt;&lt;/dl&gt;</v>
      </c>
    </row>
    <row r="26" spans="2:7" ht="29.25" thickBot="1" x14ac:dyDescent="0.25">
      <c r="B26" s="3" t="s">
        <v>125</v>
      </c>
      <c r="C26" s="3" t="s">
        <v>2958</v>
      </c>
      <c r="D26" s="4"/>
      <c r="E26" s="15"/>
      <c r="G26" t="str">
        <f t="shared" si="0"/>
        <v>&lt;dl&gt;&lt;dt&gt;夫妻宫​&lt;/dt&gt;&lt;dd&gt;核心宫位。配偶貌美或有情趣，感情生活丰富，但易有外情干扰。&lt;/dd&gt;&lt;dd&gt;&lt;/dd&gt;&lt;/dl&gt;</v>
      </c>
    </row>
    <row r="27" spans="2:7" ht="29.25" thickBot="1" x14ac:dyDescent="0.25">
      <c r="B27" s="3" t="s">
        <v>128</v>
      </c>
      <c r="C27" s="4" t="s">
        <v>2959</v>
      </c>
      <c r="D27" s="4"/>
      <c r="E27" s="15"/>
      <c r="G27" t="str">
        <f t="shared" si="0"/>
        <v>&lt;dl&gt;&lt;dt&gt;子女宫​&lt;/dt&gt;&lt;dd&gt;子女漂亮可爱；本人性欲较强；在娱乐、创作方面有桃花机遇。&lt;/dd&gt;&lt;dd&gt;&lt;/dd&gt;&lt;/dl&gt;</v>
      </c>
    </row>
    <row r="28" spans="2:7" ht="29.25" thickBot="1" x14ac:dyDescent="0.25">
      <c r="B28" s="3" t="s">
        <v>3</v>
      </c>
      <c r="C28" s="4" t="s">
        <v>2960</v>
      </c>
      <c r="D28" s="4"/>
      <c r="E28" s="15"/>
      <c r="G28" t="str">
        <f t="shared" si="0"/>
        <v>&lt;dl&gt;&lt;dt&gt;财帛宫​&lt;/dt&gt;&lt;dd&gt;钱财来源于与异性、艺术、娱乐相关的行业；或因桃花得财/破财。&lt;/dd&gt;&lt;dd&gt;&lt;/dd&gt;&lt;/dl&gt;</v>
      </c>
    </row>
    <row r="29" spans="2:7" ht="29.25" thickBot="1" x14ac:dyDescent="0.25">
      <c r="B29" s="3" t="s">
        <v>6</v>
      </c>
      <c r="C29" s="4" t="s">
        <v>2961</v>
      </c>
      <c r="D29" s="4"/>
      <c r="E29" s="15"/>
      <c r="G29" t="str">
        <f t="shared" si="0"/>
        <v>&lt;dl&gt;&lt;dt&gt;疾厄宫​&lt;/dt&gt;&lt;dd&gt;注意生殖系统、泌尿系统疾病；或因纵欲导致身体虚耗。&lt;/dd&gt;&lt;dd&gt;&lt;/dd&gt;&lt;/dl&gt;</v>
      </c>
    </row>
    <row r="30" spans="2:7" ht="28.5" x14ac:dyDescent="0.2">
      <c r="B30" s="3" t="s">
        <v>15</v>
      </c>
      <c r="C30" s="4" t="s">
        <v>2962</v>
      </c>
      <c r="D30" s="4"/>
    </row>
    <row r="31" spans="2:7" ht="28.5" x14ac:dyDescent="0.2">
      <c r="B31" s="3" t="s">
        <v>12</v>
      </c>
      <c r="C31" s="4" t="s">
        <v>2963</v>
      </c>
      <c r="D31" s="4"/>
    </row>
    <row r="32" spans="2:7" ht="28.5" x14ac:dyDescent="0.2">
      <c r="B32" s="3" t="s">
        <v>206</v>
      </c>
      <c r="C32" s="4" t="s">
        <v>2964</v>
      </c>
      <c r="D32" s="4"/>
    </row>
    <row r="33" spans="2:7" ht="29.25" thickBot="1" x14ac:dyDescent="0.25">
      <c r="B33" s="3" t="s">
        <v>0</v>
      </c>
      <c r="C33" s="4" t="s">
        <v>2965</v>
      </c>
      <c r="D33" s="4"/>
    </row>
    <row r="34" spans="2:7" ht="29.25" thickBot="1" x14ac:dyDescent="0.25">
      <c r="B34" s="3" t="s">
        <v>116</v>
      </c>
      <c r="C34" s="4" t="s">
        <v>2966</v>
      </c>
      <c r="D34" s="4"/>
      <c r="E34" s="12"/>
    </row>
    <row r="35" spans="2:7" ht="29.25" thickBot="1" x14ac:dyDescent="0.25">
      <c r="B35" s="3" t="s">
        <v>9</v>
      </c>
      <c r="C35" s="4" t="s">
        <v>2967</v>
      </c>
      <c r="D35" s="4"/>
      <c r="E35" s="15"/>
      <c r="G35" t="str">
        <f t="shared" si="0"/>
        <v>&lt;dl&gt;&lt;dt&gt;父母宫​&lt;/dt&gt;&lt;dd&gt;父母相貌佳或有艺术气质；本人易受异性长辈喜爱。&lt;/dd&gt;&lt;dd&gt;&lt;/dd&gt;&lt;/dl&gt;</v>
      </c>
    </row>
    <row r="36" spans="2:7" ht="16.5" thickBot="1" x14ac:dyDescent="0.25">
      <c r="E36" s="15"/>
      <c r="G36" t="str">
        <f t="shared" si="0"/>
        <v>&lt;dl&gt;&lt;dt&gt;&lt;/dt&gt;&lt;dd&gt;&lt;/dd&gt;&lt;dd&gt;&lt;/dd&gt;&lt;/dl&gt;</v>
      </c>
    </row>
    <row r="37" spans="2:7" ht="16.5" thickBot="1" x14ac:dyDescent="0.25">
      <c r="E37" s="15"/>
      <c r="G37" t="str">
        <f t="shared" si="0"/>
        <v>&lt;dl&gt;&lt;dt&gt;&lt;/dt&gt;&lt;dd&gt;&lt;/dd&gt;&lt;dd&gt;&lt;/dd&gt;&lt;/dl&gt;</v>
      </c>
    </row>
    <row r="38" spans="2:7" ht="18" thickBot="1" x14ac:dyDescent="0.25">
      <c r="B38" s="5" t="s">
        <v>734</v>
      </c>
      <c r="E38" s="15"/>
      <c r="G38" t="str">
        <f t="shared" si="0"/>
        <v>&lt;dl&gt;&lt;dt&gt;四、主星组合象义&lt;/dt&gt;&lt;dd&gt;&lt;/dd&gt;&lt;dd&gt;&lt;/dd&gt;&lt;/dl&gt;</v>
      </c>
    </row>
    <row r="39" spans="2:7" ht="16.5" thickBot="1" x14ac:dyDescent="0.25">
      <c r="E39" s="15"/>
      <c r="G39" t="str">
        <f t="shared" si="0"/>
        <v>&lt;dl&gt;&lt;dt&gt;&lt;/dt&gt;&lt;dd&gt;&lt;/dd&gt;&lt;dd&gt;&lt;/dd&gt;&lt;/dl&gt;</v>
      </c>
    </row>
    <row r="40" spans="2:7" ht="16.5" thickBot="1" x14ac:dyDescent="0.25">
      <c r="B40" s="13" t="s">
        <v>2968</v>
      </c>
      <c r="E40" s="15"/>
      <c r="G40" t="str">
        <f t="shared" si="0"/>
        <v>&lt;dl&gt;&lt;dt&gt;1. 增强才艺魅力组合&lt;/dt&gt;&lt;dd&gt;&lt;/dd&gt;&lt;dd&gt;&lt;/dd&gt;&lt;/dl&gt;</v>
      </c>
    </row>
    <row r="41" spans="2:7" ht="16.5" thickBot="1" x14ac:dyDescent="0.25">
      <c r="E41" s="15"/>
      <c r="G41" t="str">
        <f t="shared" si="0"/>
        <v>&lt;dl&gt;&lt;dt&gt;&lt;/dt&gt;&lt;dd&gt;&lt;/dd&gt;&lt;dd&gt;&lt;/dd&gt;&lt;/dl&gt;</v>
      </c>
    </row>
    <row r="42" spans="2:7" ht="16.5" thickBot="1" x14ac:dyDescent="0.25">
      <c r="B42" s="2" t="s">
        <v>71</v>
      </c>
      <c r="C42" s="2" t="s">
        <v>1047</v>
      </c>
      <c r="D42" s="2" t="s">
        <v>73</v>
      </c>
      <c r="E42" s="15"/>
      <c r="G42" t="str">
        <f t="shared" si="0"/>
        <v>&lt;dl&gt;&lt;dt&gt;组合​&lt;/dt&gt;&lt;dd&gt;效应​&lt;/dd&gt;&lt;dd&gt;典型案例​&lt;/dd&gt;&lt;/dl&gt;</v>
      </c>
    </row>
    <row r="43" spans="2:7" ht="29.25" thickBot="1" x14ac:dyDescent="0.25">
      <c r="B43" s="3" t="s">
        <v>2969</v>
      </c>
      <c r="C43" s="4" t="s">
        <v>2970</v>
      </c>
      <c r="D43" s="4" t="s">
        <v>2971</v>
      </c>
      <c r="E43" s="15"/>
      <c r="G43" t="str">
        <f t="shared" si="0"/>
        <v>&lt;dl&gt;&lt;dt&gt;天姚+紫微​&lt;/dt&gt;&lt;dd&gt;魅力中带有尊贵与领导气质，桃花对象层次高，多为有地位者。&lt;/dd&gt;&lt;dd&gt;吸引企业高管、社会名流。&lt;/dd&gt;&lt;/dl&gt;</v>
      </c>
    </row>
    <row r="44" spans="2:7" ht="28.5" x14ac:dyDescent="0.2">
      <c r="B44" s="3" t="s">
        <v>2972</v>
      </c>
      <c r="C44" s="4" t="s">
        <v>2973</v>
      </c>
      <c r="D44" s="4" t="s">
        <v>2974</v>
      </c>
    </row>
    <row r="45" spans="2:7" ht="28.5" x14ac:dyDescent="0.2">
      <c r="B45" s="3" t="s">
        <v>2975</v>
      </c>
      <c r="C45" s="4" t="s">
        <v>2976</v>
      </c>
      <c r="D45" s="4" t="s">
        <v>2977</v>
      </c>
    </row>
    <row r="46" spans="2:7" ht="28.5" x14ac:dyDescent="0.2">
      <c r="B46" s="3" t="s">
        <v>2978</v>
      </c>
      <c r="C46" s="4" t="s">
        <v>2979</v>
      </c>
      <c r="D46" s="4" t="s">
        <v>2980</v>
      </c>
    </row>
    <row r="47" spans="2:7" ht="29.25" thickBot="1" x14ac:dyDescent="0.25">
      <c r="B47" s="3" t="s">
        <v>2981</v>
      </c>
      <c r="C47" s="4" t="s">
        <v>2982</v>
      </c>
      <c r="D47" s="4" t="s">
        <v>2983</v>
      </c>
    </row>
    <row r="48" spans="2:7" ht="16.5" thickBot="1" x14ac:dyDescent="0.25">
      <c r="E48" s="12"/>
    </row>
    <row r="49" spans="2:7" ht="16.5" thickBot="1" x14ac:dyDescent="0.25">
      <c r="B49" s="13" t="s">
        <v>2984</v>
      </c>
      <c r="E49" s="15"/>
      <c r="G49" t="str">
        <f t="shared" si="0"/>
        <v>&lt;dl&gt;&lt;dt&gt;2. 加重情欲风流组合&lt;/dt&gt;&lt;dd&gt;&lt;/dd&gt;&lt;dd&gt;&lt;/dd&gt;&lt;/dl&gt;</v>
      </c>
    </row>
    <row r="50" spans="2:7" ht="16.5" thickBot="1" x14ac:dyDescent="0.25">
      <c r="E50" s="15"/>
      <c r="G50" t="str">
        <f t="shared" si="0"/>
        <v>&lt;dl&gt;&lt;dt&gt;&lt;/dt&gt;&lt;dd&gt;&lt;/dd&gt;&lt;dd&gt;&lt;/dd&gt;&lt;/dl&gt;</v>
      </c>
    </row>
    <row r="51" spans="2:7" ht="16.5" thickBot="1" x14ac:dyDescent="0.25">
      <c r="B51" s="2" t="s">
        <v>71</v>
      </c>
      <c r="C51" s="2" t="s">
        <v>1047</v>
      </c>
      <c r="D51" s="2" t="s">
        <v>73</v>
      </c>
      <c r="E51" s="15"/>
      <c r="G51" t="str">
        <f t="shared" si="0"/>
        <v>&lt;dl&gt;&lt;dt&gt;组合​&lt;/dt&gt;&lt;dd&gt;效应​&lt;/dd&gt;&lt;dd&gt;典型案例​&lt;/dd&gt;&lt;/dl&gt;</v>
      </c>
    </row>
    <row r="52" spans="2:7" ht="29.25" thickBot="1" x14ac:dyDescent="0.25">
      <c r="B52" s="3" t="s">
        <v>2985</v>
      </c>
      <c r="C52" s="3" t="s">
        <v>2986</v>
      </c>
      <c r="D52" s="4" t="s">
        <v>2987</v>
      </c>
      <c r="E52" s="15"/>
      <c r="G52" t="str">
        <f t="shared" si="0"/>
        <v>&lt;dl&gt;&lt;dt&gt;天姚+贪狼​&lt;/dt&gt;&lt;dd&gt;标准桃花组合。欲望强烈，风流多情，易沉溺酒色，桃花复杂。&lt;/dd&gt;&lt;dd&gt;频繁更换伴侣，流连风月场所。&lt;/dd&gt;&lt;/dl&gt;</v>
      </c>
    </row>
    <row r="53" spans="2:7" ht="28.5" x14ac:dyDescent="0.2">
      <c r="B53" s="3" t="s">
        <v>2988</v>
      </c>
      <c r="C53" s="4" t="s">
        <v>2989</v>
      </c>
      <c r="D53" s="4" t="s">
        <v>2990</v>
      </c>
    </row>
    <row r="54" spans="2:7" ht="28.5" x14ac:dyDescent="0.2">
      <c r="B54" s="3" t="s">
        <v>2991</v>
      </c>
      <c r="C54" s="4" t="s">
        <v>2992</v>
      </c>
      <c r="D54" s="4" t="s">
        <v>2993</v>
      </c>
    </row>
    <row r="55" spans="2:7" ht="28.5" x14ac:dyDescent="0.2">
      <c r="B55" s="3" t="s">
        <v>2994</v>
      </c>
      <c r="C55" s="4" t="s">
        <v>2995</v>
      </c>
      <c r="D55" s="4" t="s">
        <v>2996</v>
      </c>
    </row>
    <row r="56" spans="2:7" ht="28.5" x14ac:dyDescent="0.2">
      <c r="B56" s="3" t="s">
        <v>2997</v>
      </c>
      <c r="C56" s="4" t="s">
        <v>2998</v>
      </c>
      <c r="D56" s="4" t="s">
        <v>2999</v>
      </c>
    </row>
    <row r="59" spans="2:7" ht="17.25" x14ac:dyDescent="0.2">
      <c r="B59" s="5" t="s">
        <v>746</v>
      </c>
    </row>
    <row r="61" spans="2:7" x14ac:dyDescent="0.2">
      <c r="B61" s="2" t="s">
        <v>40</v>
      </c>
      <c r="C61" s="2" t="s">
        <v>1414</v>
      </c>
      <c r="D61" s="2" t="s">
        <v>21</v>
      </c>
    </row>
    <row r="62" spans="2:7" ht="28.5" x14ac:dyDescent="0.2">
      <c r="B62" s="3" t="s">
        <v>3000</v>
      </c>
      <c r="C62" s="3" t="s">
        <v>3001</v>
      </c>
      <c r="D62" s="4" t="s">
        <v>3002</v>
      </c>
    </row>
    <row r="63" spans="2:7" ht="28.5" x14ac:dyDescent="0.2">
      <c r="B63" s="3" t="s">
        <v>3003</v>
      </c>
      <c r="C63" s="3" t="s">
        <v>3004</v>
      </c>
      <c r="D63" s="4" t="s">
        <v>3005</v>
      </c>
    </row>
    <row r="64" spans="2:7" ht="28.5" x14ac:dyDescent="0.2">
      <c r="B64" s="3" t="s">
        <v>3006</v>
      </c>
      <c r="C64" s="4" t="s">
        <v>3007</v>
      </c>
      <c r="D64" s="4" t="s">
        <v>3008</v>
      </c>
    </row>
    <row r="65" spans="2:4" ht="28.5" x14ac:dyDescent="0.2">
      <c r="B65" s="3" t="s">
        <v>3009</v>
      </c>
      <c r="C65" s="4" t="s">
        <v>3010</v>
      </c>
      <c r="D65" s="4" t="s">
        <v>3011</v>
      </c>
    </row>
    <row r="66" spans="2:4" ht="28.5" x14ac:dyDescent="0.2">
      <c r="B66" s="3" t="s">
        <v>3012</v>
      </c>
      <c r="C66" s="4" t="s">
        <v>3013</v>
      </c>
      <c r="D66" s="4" t="s">
        <v>3014</v>
      </c>
    </row>
    <row r="67" spans="2:4" ht="28.5" x14ac:dyDescent="0.2">
      <c r="B67" s="3" t="s">
        <v>3015</v>
      </c>
      <c r="C67" s="4" t="s">
        <v>3016</v>
      </c>
      <c r="D67" s="4" t="s">
        <v>3017</v>
      </c>
    </row>
    <row r="68" spans="2:4" ht="28.5" x14ac:dyDescent="0.2">
      <c r="B68" s="3" t="s">
        <v>3018</v>
      </c>
      <c r="C68" s="4" t="s">
        <v>3019</v>
      </c>
      <c r="D68" s="4" t="s">
        <v>3020</v>
      </c>
    </row>
    <row r="69" spans="2:4" ht="28.5" x14ac:dyDescent="0.2">
      <c r="B69" s="3" t="s">
        <v>3021</v>
      </c>
      <c r="C69" s="4" t="s">
        <v>3022</v>
      </c>
      <c r="D69" s="4" t="s">
        <v>3023</v>
      </c>
    </row>
    <row r="70" spans="2:4" ht="28.5" x14ac:dyDescent="0.2">
      <c r="B70" s="3" t="s">
        <v>3024</v>
      </c>
      <c r="C70" s="4" t="s">
        <v>3025</v>
      </c>
      <c r="D70" s="4" t="s">
        <v>3026</v>
      </c>
    </row>
    <row r="71" spans="2:4" ht="28.5" x14ac:dyDescent="0.2">
      <c r="B71" s="3" t="s">
        <v>3027</v>
      </c>
      <c r="C71" s="4" t="s">
        <v>3028</v>
      </c>
      <c r="D71" s="4" t="s">
        <v>3029</v>
      </c>
    </row>
    <row r="74" spans="2:4" ht="17.25" x14ac:dyDescent="0.2">
      <c r="B74" s="5" t="s">
        <v>1805</v>
      </c>
    </row>
    <row r="75" spans="2:4" x14ac:dyDescent="0.2">
      <c r="B75" s="6"/>
    </row>
    <row r="76" spans="2:4" x14ac:dyDescent="0.2">
      <c r="B76" s="7" t="s">
        <v>3030</v>
      </c>
    </row>
    <row r="77" spans="2:4" x14ac:dyDescent="0.2">
      <c r="B77" s="7" t="s">
        <v>3031</v>
      </c>
    </row>
    <row r="78" spans="2:4" x14ac:dyDescent="0.2">
      <c r="B78" s="7" t="s">
        <v>3032</v>
      </c>
    </row>
    <row r="79" spans="2:4" x14ac:dyDescent="0.2">
      <c r="B79" s="7" t="s">
        <v>3033</v>
      </c>
    </row>
    <row r="80" spans="2:4" x14ac:dyDescent="0.2">
      <c r="B80" s="16"/>
    </row>
    <row r="81" spans="2:2" x14ac:dyDescent="0.2">
      <c r="B81" s="6"/>
    </row>
    <row r="82" spans="2:2" x14ac:dyDescent="0.2">
      <c r="B82" s="6"/>
    </row>
  </sheetData>
  <phoneticPr fontId="2" type="noConversion"/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B26135-416C-400C-8F61-D67ADD2FE0B1}">
  <dimension ref="B1:G82"/>
  <sheetViews>
    <sheetView zoomScaleNormal="100" workbookViewId="0">
      <selection activeCell="B1" sqref="B1:D79"/>
    </sheetView>
  </sheetViews>
  <sheetFormatPr defaultRowHeight="14.25" x14ac:dyDescent="0.2"/>
  <cols>
    <col min="1" max="1" width="2.75" customWidth="1"/>
    <col min="2" max="2" width="15.625" customWidth="1"/>
    <col min="3" max="3" width="43.125" customWidth="1"/>
    <col min="4" max="4" width="32.75" customWidth="1"/>
  </cols>
  <sheetData>
    <row r="1" spans="2:7" ht="17.25" x14ac:dyDescent="0.2">
      <c r="B1" s="5" t="s">
        <v>3034</v>
      </c>
      <c r="G1" t="str">
        <f>"&lt;dl&gt;&lt;dt&gt;" &amp; B1 &amp; "&lt;/dt&gt;&lt;dd&gt;" &amp; C1 &amp; "&lt;/dd&gt;&lt;dd&gt;" &amp; D1 &amp; "&lt;/dd&gt;&lt;/dl&gt;"</f>
        <v>&lt;dl&gt;&lt;dt&gt;一、咸池定义&lt;/dt&gt;&lt;dd&gt;&lt;/dd&gt;&lt;dd&gt;&lt;/dd&gt;&lt;/dl&gt;</v>
      </c>
    </row>
    <row r="3" spans="2:7" x14ac:dyDescent="0.2">
      <c r="B3" s="2" t="s">
        <v>376</v>
      </c>
      <c r="C3" s="2" t="s">
        <v>377</v>
      </c>
      <c r="D3" s="2" t="s">
        <v>21</v>
      </c>
    </row>
    <row r="4" spans="2:7" x14ac:dyDescent="0.2">
      <c r="B4" s="3" t="s">
        <v>624</v>
      </c>
      <c r="C4" s="4" t="s">
        <v>3035</v>
      </c>
      <c r="D4" s="4"/>
    </row>
    <row r="5" spans="2:7" ht="42.75" x14ac:dyDescent="0.2">
      <c r="B5" s="3" t="s">
        <v>378</v>
      </c>
      <c r="C5" s="4" t="s">
        <v>3036</v>
      </c>
      <c r="D5" s="4"/>
    </row>
    <row r="6" spans="2:7" ht="42.75" x14ac:dyDescent="0.2">
      <c r="B6" s="3" t="s">
        <v>1717</v>
      </c>
      <c r="C6" s="4" t="s">
        <v>3037</v>
      </c>
      <c r="D6" s="4"/>
    </row>
    <row r="9" spans="2:7" ht="17.25" x14ac:dyDescent="0.2">
      <c r="B9" s="5" t="s">
        <v>1719</v>
      </c>
    </row>
    <row r="11" spans="2:7" ht="15.75" x14ac:dyDescent="0.2">
      <c r="B11" s="13" t="s">
        <v>1720</v>
      </c>
    </row>
    <row r="13" spans="2:7" x14ac:dyDescent="0.2">
      <c r="B13" s="2" t="s">
        <v>390</v>
      </c>
      <c r="C13" s="2" t="s">
        <v>1818</v>
      </c>
      <c r="D13" s="2" t="s">
        <v>1819</v>
      </c>
    </row>
    <row r="14" spans="2:7" ht="28.5" x14ac:dyDescent="0.2">
      <c r="B14" s="3" t="s">
        <v>3038</v>
      </c>
      <c r="C14" s="4" t="s">
        <v>3039</v>
      </c>
      <c r="D14" s="4" t="s">
        <v>2371</v>
      </c>
    </row>
    <row r="15" spans="2:7" ht="28.5" x14ac:dyDescent="0.2">
      <c r="B15" s="3" t="s">
        <v>3040</v>
      </c>
      <c r="C15" s="4" t="s">
        <v>3041</v>
      </c>
      <c r="D15" s="4" t="s">
        <v>2946</v>
      </c>
    </row>
    <row r="16" spans="2:7" ht="28.5" x14ac:dyDescent="0.2">
      <c r="B16" s="3" t="s">
        <v>3042</v>
      </c>
      <c r="C16" s="4" t="s">
        <v>3043</v>
      </c>
      <c r="D16" s="4" t="s">
        <v>2949</v>
      </c>
    </row>
    <row r="17" spans="2:7" ht="28.5" x14ac:dyDescent="0.2">
      <c r="B17" s="3" t="s">
        <v>3044</v>
      </c>
      <c r="C17" s="4" t="s">
        <v>3045</v>
      </c>
      <c r="D17" s="4" t="s">
        <v>2849</v>
      </c>
    </row>
    <row r="18" spans="2:7" ht="28.5" x14ac:dyDescent="0.2">
      <c r="B18" s="3" t="s">
        <v>2950</v>
      </c>
      <c r="C18" s="4" t="s">
        <v>3046</v>
      </c>
      <c r="D18" s="4" t="s">
        <v>3047</v>
      </c>
    </row>
    <row r="21" spans="2:7" ht="17.25" x14ac:dyDescent="0.2">
      <c r="B21" s="5" t="s">
        <v>1733</v>
      </c>
    </row>
    <row r="22" spans="2:7" ht="15" thickBot="1" x14ac:dyDescent="0.25"/>
    <row r="23" spans="2:7" ht="16.5" thickBot="1" x14ac:dyDescent="0.25">
      <c r="B23" s="2" t="s">
        <v>18</v>
      </c>
      <c r="C23" s="2" t="s">
        <v>1818</v>
      </c>
      <c r="D23" s="2" t="s">
        <v>21</v>
      </c>
      <c r="E23" s="12"/>
    </row>
    <row r="24" spans="2:7" ht="29.25" thickBot="1" x14ac:dyDescent="0.25">
      <c r="B24" s="3" t="s">
        <v>201</v>
      </c>
      <c r="C24" s="4" t="s">
        <v>3048</v>
      </c>
      <c r="D24" s="4"/>
      <c r="E24" s="15"/>
      <c r="G24" t="str">
        <f t="shared" ref="G24:G52" si="0">"&lt;dl&gt;&lt;dt&gt;" &amp; B24 &amp; "&lt;/dt&gt;&lt;dd&gt;" &amp; C24 &amp; "&lt;/dd&gt;&lt;dd&gt;" &amp; D24 &amp; "&lt;/dd&gt;&lt;/dl&gt;"</f>
        <v>&lt;dl&gt;&lt;dt&gt;命宫​&lt;/dt&gt;&lt;dd&gt;外貌性感有魅力，性情浪漫多情，喜好享乐，一生多酒色机缘。&lt;/dd&gt;&lt;dd&gt;&lt;/dd&gt;&lt;/dl&gt;</v>
      </c>
    </row>
    <row r="25" spans="2:7" ht="29.25" thickBot="1" x14ac:dyDescent="0.25">
      <c r="B25" s="3" t="s">
        <v>246</v>
      </c>
      <c r="C25" s="4" t="s">
        <v>3049</v>
      </c>
      <c r="D25" s="4"/>
      <c r="E25" s="15"/>
      <c r="G25" t="str">
        <f t="shared" si="0"/>
        <v>&lt;dl&gt;&lt;dt&gt;兄弟宫​&lt;/dt&gt;&lt;dd&gt;兄弟姐妹中多情场高手或享乐主义者；与同事、同学常进行娱乐活动。&lt;/dd&gt;&lt;dd&gt;&lt;/dd&gt;&lt;/dl&gt;</v>
      </c>
    </row>
    <row r="26" spans="2:7" ht="29.25" thickBot="1" x14ac:dyDescent="0.25">
      <c r="B26" s="3" t="s">
        <v>125</v>
      </c>
      <c r="C26" s="3" t="s">
        <v>3050</v>
      </c>
      <c r="D26" s="4"/>
      <c r="E26" s="15"/>
      <c r="G26" t="str">
        <f t="shared" si="0"/>
        <v>&lt;dl&gt;&lt;dt&gt;夫妻宫​&lt;/dt&gt;&lt;dd&gt;核心宫位。配偶性感或有情趣，但感情中易有外情干扰或注重肉欲。&lt;/dd&gt;&lt;dd&gt;&lt;/dd&gt;&lt;/dl&gt;</v>
      </c>
    </row>
    <row r="27" spans="2:7" ht="29.25" thickBot="1" x14ac:dyDescent="0.25">
      <c r="B27" s="3" t="s">
        <v>128</v>
      </c>
      <c r="C27" s="4" t="s">
        <v>3051</v>
      </c>
      <c r="D27" s="4"/>
      <c r="E27" s="15"/>
      <c r="G27" t="str">
        <f t="shared" si="0"/>
        <v>&lt;dl&gt;&lt;dt&gt;子女宫​&lt;/dt&gt;&lt;dd&gt;子女漂亮；本人性欲旺盛；在娱乐、创作方面有特殊才华。&lt;/dd&gt;&lt;dd&gt;&lt;/dd&gt;&lt;/dl&gt;</v>
      </c>
    </row>
    <row r="28" spans="2:7" ht="29.25" thickBot="1" x14ac:dyDescent="0.25">
      <c r="B28" s="3" t="s">
        <v>3</v>
      </c>
      <c r="C28" s="4" t="s">
        <v>3052</v>
      </c>
      <c r="D28" s="4"/>
      <c r="E28" s="15"/>
      <c r="G28" t="str">
        <f t="shared" si="0"/>
        <v>&lt;dl&gt;&lt;dt&gt;财帛宫​&lt;/dt&gt;&lt;dd&gt;钱财来源于娱乐、酒色、艺术等偏门行业；易因酒色破财或得财。&lt;/dd&gt;&lt;dd&gt;&lt;/dd&gt;&lt;/dl&gt;</v>
      </c>
    </row>
    <row r="29" spans="2:7" ht="29.25" thickBot="1" x14ac:dyDescent="0.25">
      <c r="B29" s="3" t="s">
        <v>6</v>
      </c>
      <c r="C29" s="4" t="s">
        <v>3053</v>
      </c>
      <c r="D29" s="4"/>
      <c r="E29" s="15"/>
      <c r="G29" t="str">
        <f t="shared" si="0"/>
        <v>&lt;dl&gt;&lt;dt&gt;疾厄宫​&lt;/dt&gt;&lt;dd&gt;注意因纵欲导致的肾虚、泌尿系统、生殖系统疾病。&lt;/dd&gt;&lt;dd&gt;&lt;/dd&gt;&lt;/dl&gt;</v>
      </c>
    </row>
    <row r="30" spans="2:7" ht="28.5" x14ac:dyDescent="0.2">
      <c r="B30" s="3" t="s">
        <v>15</v>
      </c>
      <c r="C30" s="4" t="s">
        <v>3054</v>
      </c>
      <c r="D30" s="4"/>
    </row>
    <row r="31" spans="2:7" ht="28.5" x14ac:dyDescent="0.2">
      <c r="B31" s="3" t="s">
        <v>12</v>
      </c>
      <c r="C31" s="4" t="s">
        <v>3055</v>
      </c>
      <c r="D31" s="4"/>
    </row>
    <row r="32" spans="2:7" ht="28.5" x14ac:dyDescent="0.2">
      <c r="B32" s="3" t="s">
        <v>206</v>
      </c>
      <c r="C32" s="4" t="s">
        <v>3056</v>
      </c>
      <c r="D32" s="4"/>
    </row>
    <row r="33" spans="2:7" ht="29.25" thickBot="1" x14ac:dyDescent="0.25">
      <c r="B33" s="3" t="s">
        <v>0</v>
      </c>
      <c r="C33" s="4" t="s">
        <v>3057</v>
      </c>
      <c r="D33" s="4"/>
    </row>
    <row r="34" spans="2:7" ht="29.25" thickBot="1" x14ac:dyDescent="0.25">
      <c r="B34" s="3" t="s">
        <v>116</v>
      </c>
      <c r="C34" s="4" t="s">
        <v>3058</v>
      </c>
      <c r="D34" s="4"/>
      <c r="E34" s="12"/>
    </row>
    <row r="35" spans="2:7" ht="29.25" thickBot="1" x14ac:dyDescent="0.25">
      <c r="B35" s="3" t="s">
        <v>9</v>
      </c>
      <c r="C35" s="4" t="s">
        <v>3059</v>
      </c>
      <c r="D35" s="4"/>
      <c r="E35" s="15"/>
      <c r="G35" t="str">
        <f t="shared" si="0"/>
        <v>&lt;dl&gt;&lt;dt&gt;父母宫​&lt;/dt&gt;&lt;dd&gt;父母可能从事娱乐行业或自身感情生活丰富；本人易受享乐主义影响。&lt;/dd&gt;&lt;dd&gt;&lt;/dd&gt;&lt;/dl&gt;</v>
      </c>
    </row>
    <row r="36" spans="2:7" ht="16.5" thickBot="1" x14ac:dyDescent="0.25">
      <c r="E36" s="15"/>
      <c r="G36" t="str">
        <f t="shared" si="0"/>
        <v>&lt;dl&gt;&lt;dt&gt;&lt;/dt&gt;&lt;dd&gt;&lt;/dd&gt;&lt;dd&gt;&lt;/dd&gt;&lt;/dl&gt;</v>
      </c>
    </row>
    <row r="37" spans="2:7" ht="16.5" thickBot="1" x14ac:dyDescent="0.25">
      <c r="E37" s="15"/>
      <c r="G37" t="str">
        <f t="shared" si="0"/>
        <v>&lt;dl&gt;&lt;dt&gt;&lt;/dt&gt;&lt;dd&gt;&lt;/dd&gt;&lt;dd&gt;&lt;/dd&gt;&lt;/dl&gt;</v>
      </c>
    </row>
    <row r="38" spans="2:7" ht="18" thickBot="1" x14ac:dyDescent="0.25">
      <c r="B38" s="5" t="s">
        <v>734</v>
      </c>
      <c r="E38" s="15"/>
      <c r="G38" t="str">
        <f t="shared" si="0"/>
        <v>&lt;dl&gt;&lt;dt&gt;四、主星组合象义&lt;/dt&gt;&lt;dd&gt;&lt;/dd&gt;&lt;dd&gt;&lt;/dd&gt;&lt;/dl&gt;</v>
      </c>
    </row>
    <row r="39" spans="2:7" ht="16.5" thickBot="1" x14ac:dyDescent="0.25">
      <c r="E39" s="15"/>
      <c r="G39" t="str">
        <f t="shared" si="0"/>
        <v>&lt;dl&gt;&lt;dt&gt;&lt;/dt&gt;&lt;dd&gt;&lt;/dd&gt;&lt;dd&gt;&lt;/dd&gt;&lt;/dl&gt;</v>
      </c>
    </row>
    <row r="40" spans="2:7" ht="16.5" thickBot="1" x14ac:dyDescent="0.25">
      <c r="B40" s="13" t="s">
        <v>3060</v>
      </c>
      <c r="E40" s="15"/>
      <c r="G40" t="str">
        <f t="shared" si="0"/>
        <v>&lt;dl&gt;&lt;dt&gt;1. 增强才艺偏财组合&lt;/dt&gt;&lt;dd&gt;&lt;/dd&gt;&lt;dd&gt;&lt;/dd&gt;&lt;/dl&gt;</v>
      </c>
    </row>
    <row r="41" spans="2:7" ht="16.5" thickBot="1" x14ac:dyDescent="0.25">
      <c r="E41" s="15"/>
      <c r="G41" t="str">
        <f t="shared" si="0"/>
        <v>&lt;dl&gt;&lt;dt&gt;&lt;/dt&gt;&lt;dd&gt;&lt;/dd&gt;&lt;dd&gt;&lt;/dd&gt;&lt;/dl&gt;</v>
      </c>
    </row>
    <row r="42" spans="2:7" ht="16.5" thickBot="1" x14ac:dyDescent="0.25">
      <c r="B42" s="2" t="s">
        <v>71</v>
      </c>
      <c r="C42" s="2" t="s">
        <v>1047</v>
      </c>
      <c r="D42" s="2" t="s">
        <v>73</v>
      </c>
      <c r="E42" s="15"/>
      <c r="G42" t="str">
        <f t="shared" si="0"/>
        <v>&lt;dl&gt;&lt;dt&gt;组合​&lt;/dt&gt;&lt;dd&gt;效应​&lt;/dd&gt;&lt;dd&gt;典型案例​&lt;/dd&gt;&lt;/dl&gt;</v>
      </c>
    </row>
    <row r="43" spans="2:7" ht="29.25" thickBot="1" x14ac:dyDescent="0.25">
      <c r="B43" s="3" t="s">
        <v>3061</v>
      </c>
      <c r="C43" s="3" t="s">
        <v>3062</v>
      </c>
      <c r="D43" s="4" t="s">
        <v>3063</v>
      </c>
      <c r="E43" s="15"/>
      <c r="G43" t="str">
        <f t="shared" si="0"/>
        <v>&lt;dl&gt;&lt;dt&gt;咸池+贪狼​&lt;/dt&gt;&lt;dd&gt;标准酒色财气组合。欲望强烈，多才多艺，善交际，偏财运佳，但易沉溺酒色。&lt;/dd&gt;&lt;dd&gt;娱乐圈人士、公关、销售，靠应酬得财。&lt;/dd&gt;&lt;/dl&gt;</v>
      </c>
    </row>
    <row r="44" spans="2:7" ht="28.5" x14ac:dyDescent="0.2">
      <c r="B44" s="3" t="s">
        <v>3064</v>
      </c>
      <c r="C44" s="4" t="s">
        <v>3065</v>
      </c>
      <c r="D44" s="4" t="s">
        <v>3066</v>
      </c>
    </row>
    <row r="45" spans="2:7" ht="28.5" x14ac:dyDescent="0.2">
      <c r="B45" s="3" t="s">
        <v>3067</v>
      </c>
      <c r="C45" s="4" t="s">
        <v>3068</v>
      </c>
      <c r="D45" s="4" t="s">
        <v>3069</v>
      </c>
    </row>
    <row r="46" spans="2:7" ht="28.5" x14ac:dyDescent="0.2">
      <c r="B46" s="3" t="s">
        <v>3070</v>
      </c>
      <c r="C46" s="4" t="s">
        <v>3071</v>
      </c>
      <c r="D46" s="4" t="s">
        <v>3072</v>
      </c>
    </row>
    <row r="47" spans="2:7" ht="29.25" thickBot="1" x14ac:dyDescent="0.25">
      <c r="B47" s="3" t="s">
        <v>3073</v>
      </c>
      <c r="C47" s="4" t="s">
        <v>3074</v>
      </c>
      <c r="D47" s="4" t="s">
        <v>3075</v>
      </c>
    </row>
    <row r="48" spans="2:7" ht="16.5" thickBot="1" x14ac:dyDescent="0.25">
      <c r="E48" s="12"/>
    </row>
    <row r="49" spans="2:7" ht="16.5" thickBot="1" x14ac:dyDescent="0.25">
      <c r="B49" s="13" t="s">
        <v>3076</v>
      </c>
      <c r="E49" s="15"/>
      <c r="G49" t="str">
        <f t="shared" si="0"/>
        <v>&lt;dl&gt;&lt;dt&gt;2. 加重酒色是非组合&lt;/dt&gt;&lt;dd&gt;&lt;/dd&gt;&lt;dd&gt;&lt;/dd&gt;&lt;/dl&gt;</v>
      </c>
    </row>
    <row r="50" spans="2:7" ht="16.5" thickBot="1" x14ac:dyDescent="0.25">
      <c r="E50" s="15"/>
      <c r="G50" t="str">
        <f t="shared" si="0"/>
        <v>&lt;dl&gt;&lt;dt&gt;&lt;/dt&gt;&lt;dd&gt;&lt;/dd&gt;&lt;dd&gt;&lt;/dd&gt;&lt;/dl&gt;</v>
      </c>
    </row>
    <row r="51" spans="2:7" ht="16.5" thickBot="1" x14ac:dyDescent="0.25">
      <c r="B51" s="2" t="s">
        <v>71</v>
      </c>
      <c r="C51" s="2" t="s">
        <v>1047</v>
      </c>
      <c r="D51" s="2" t="s">
        <v>73</v>
      </c>
      <c r="E51" s="15"/>
      <c r="G51" t="str">
        <f t="shared" si="0"/>
        <v>&lt;dl&gt;&lt;dt&gt;组合​&lt;/dt&gt;&lt;dd&gt;效应​&lt;/dd&gt;&lt;dd&gt;典型案例​&lt;/dd&gt;&lt;/dl&gt;</v>
      </c>
    </row>
    <row r="52" spans="2:7" ht="29.25" thickBot="1" x14ac:dyDescent="0.25">
      <c r="B52" s="3" t="s">
        <v>3077</v>
      </c>
      <c r="C52" s="4" t="s">
        <v>3078</v>
      </c>
      <c r="D52" s="4" t="s">
        <v>3079</v>
      </c>
      <c r="E52" s="15"/>
      <c r="G52" t="str">
        <f t="shared" si="0"/>
        <v>&lt;dl&gt;&lt;dt&gt;咸池+巨门​&lt;/dt&gt;&lt;dd&gt;桃花引发口舌是非、秘密曝光，或因酒色之事招惹诽谤。&lt;/dd&gt;&lt;dd&gt;桃色绯闻缠身；因娱乐消费产生纠纷。&lt;/dd&gt;&lt;/dl&gt;</v>
      </c>
    </row>
    <row r="53" spans="2:7" ht="28.5" x14ac:dyDescent="0.2">
      <c r="B53" s="3" t="s">
        <v>3080</v>
      </c>
      <c r="C53" s="4" t="s">
        <v>3081</v>
      </c>
      <c r="D53" s="4" t="s">
        <v>3082</v>
      </c>
    </row>
    <row r="54" spans="2:7" ht="28.5" x14ac:dyDescent="0.2">
      <c r="B54" s="3" t="s">
        <v>3083</v>
      </c>
      <c r="C54" s="4" t="s">
        <v>3084</v>
      </c>
      <c r="D54" s="4" t="s">
        <v>3085</v>
      </c>
    </row>
    <row r="55" spans="2:7" ht="28.5" x14ac:dyDescent="0.2">
      <c r="B55" s="3" t="s">
        <v>3086</v>
      </c>
      <c r="C55" s="4" t="s">
        <v>3087</v>
      </c>
      <c r="D55" s="4" t="s">
        <v>3088</v>
      </c>
    </row>
    <row r="56" spans="2:7" ht="28.5" x14ac:dyDescent="0.2">
      <c r="B56" s="3" t="s">
        <v>3089</v>
      </c>
      <c r="C56" s="4" t="s">
        <v>3090</v>
      </c>
      <c r="D56" s="4" t="s">
        <v>3091</v>
      </c>
    </row>
    <row r="59" spans="2:7" ht="17.25" x14ac:dyDescent="0.2">
      <c r="B59" s="5" t="s">
        <v>746</v>
      </c>
    </row>
    <row r="61" spans="2:7" x14ac:dyDescent="0.2">
      <c r="B61" s="2" t="s">
        <v>40</v>
      </c>
      <c r="C61" s="2" t="s">
        <v>1414</v>
      </c>
      <c r="D61" s="2" t="s">
        <v>21</v>
      </c>
    </row>
    <row r="62" spans="2:7" ht="28.5" x14ac:dyDescent="0.2">
      <c r="B62" s="3" t="s">
        <v>3092</v>
      </c>
      <c r="C62" s="3" t="s">
        <v>3093</v>
      </c>
      <c r="D62" s="4" t="s">
        <v>3094</v>
      </c>
    </row>
    <row r="63" spans="2:7" ht="28.5" x14ac:dyDescent="0.2">
      <c r="B63" s="3" t="s">
        <v>3095</v>
      </c>
      <c r="C63" s="4" t="s">
        <v>3096</v>
      </c>
      <c r="D63" s="4" t="s">
        <v>3097</v>
      </c>
    </row>
    <row r="64" spans="2:7" ht="28.5" x14ac:dyDescent="0.2">
      <c r="B64" s="3" t="s">
        <v>3098</v>
      </c>
      <c r="C64" s="3" t="s">
        <v>3099</v>
      </c>
      <c r="D64" s="4" t="s">
        <v>3100</v>
      </c>
    </row>
    <row r="65" spans="2:4" ht="28.5" x14ac:dyDescent="0.2">
      <c r="B65" s="3" t="s">
        <v>3101</v>
      </c>
      <c r="C65" s="4" t="s">
        <v>3102</v>
      </c>
      <c r="D65" s="4" t="s">
        <v>3103</v>
      </c>
    </row>
    <row r="66" spans="2:4" ht="28.5" x14ac:dyDescent="0.2">
      <c r="B66" s="3" t="s">
        <v>3104</v>
      </c>
      <c r="C66" s="4" t="s">
        <v>3105</v>
      </c>
      <c r="D66" s="4" t="s">
        <v>3106</v>
      </c>
    </row>
    <row r="67" spans="2:4" ht="28.5" x14ac:dyDescent="0.2">
      <c r="B67" s="3" t="s">
        <v>3107</v>
      </c>
      <c r="C67" s="4" t="s">
        <v>3108</v>
      </c>
      <c r="D67" s="4" t="s">
        <v>3109</v>
      </c>
    </row>
    <row r="68" spans="2:4" ht="28.5" x14ac:dyDescent="0.2">
      <c r="B68" s="3" t="s">
        <v>3110</v>
      </c>
      <c r="C68" s="4" t="s">
        <v>3111</v>
      </c>
      <c r="D68" s="4" t="s">
        <v>3112</v>
      </c>
    </row>
    <row r="69" spans="2:4" x14ac:dyDescent="0.2">
      <c r="B69" s="3" t="s">
        <v>3113</v>
      </c>
      <c r="C69" s="4" t="s">
        <v>3114</v>
      </c>
      <c r="D69" s="4" t="s">
        <v>3115</v>
      </c>
    </row>
    <row r="70" spans="2:4" ht="28.5" x14ac:dyDescent="0.2">
      <c r="B70" s="3" t="s">
        <v>3116</v>
      </c>
      <c r="C70" s="4" t="s">
        <v>3117</v>
      </c>
      <c r="D70" s="4" t="s">
        <v>3118</v>
      </c>
    </row>
    <row r="71" spans="2:4" ht="28.5" x14ac:dyDescent="0.2">
      <c r="B71" s="3" t="s">
        <v>3119</v>
      </c>
      <c r="C71" s="4" t="s">
        <v>3120</v>
      </c>
      <c r="D71" s="4" t="s">
        <v>3121</v>
      </c>
    </row>
    <row r="74" spans="2:4" ht="17.25" x14ac:dyDescent="0.2">
      <c r="B74" s="5" t="s">
        <v>1805</v>
      </c>
    </row>
    <row r="75" spans="2:4" x14ac:dyDescent="0.2">
      <c r="B75" s="6"/>
    </row>
    <row r="76" spans="2:4" x14ac:dyDescent="0.2">
      <c r="B76" s="7" t="s">
        <v>3122</v>
      </c>
    </row>
    <row r="77" spans="2:4" x14ac:dyDescent="0.2">
      <c r="B77" s="7" t="s">
        <v>3123</v>
      </c>
    </row>
    <row r="78" spans="2:4" x14ac:dyDescent="0.2">
      <c r="B78" s="7" t="s">
        <v>3124</v>
      </c>
    </row>
    <row r="79" spans="2:4" x14ac:dyDescent="0.2">
      <c r="B79" s="7" t="s">
        <v>3125</v>
      </c>
    </row>
    <row r="80" spans="2:4" x14ac:dyDescent="0.2">
      <c r="B80" s="16"/>
    </row>
    <row r="81" spans="2:2" x14ac:dyDescent="0.2">
      <c r="B81" s="6"/>
    </row>
    <row r="82" spans="2:2" x14ac:dyDescent="0.2">
      <c r="B82" s="6"/>
    </row>
  </sheetData>
  <phoneticPr fontId="2" type="noConversion"/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CDA1E-157C-4FBA-9079-95CC32EBE9A1}">
  <dimension ref="B1:G82"/>
  <sheetViews>
    <sheetView zoomScaleNormal="100" workbookViewId="0">
      <selection activeCell="B1" sqref="B1:D79"/>
    </sheetView>
  </sheetViews>
  <sheetFormatPr defaultRowHeight="14.25" x14ac:dyDescent="0.2"/>
  <cols>
    <col min="1" max="1" width="2.75" customWidth="1"/>
    <col min="2" max="2" width="15.625" customWidth="1"/>
    <col min="3" max="3" width="43.125" customWidth="1"/>
    <col min="4" max="4" width="32.75" customWidth="1"/>
  </cols>
  <sheetData>
    <row r="1" spans="2:7" ht="17.25" x14ac:dyDescent="0.2">
      <c r="B1" s="5" t="s">
        <v>3126</v>
      </c>
      <c r="G1" t="str">
        <f>"&lt;dl&gt;&lt;dt&gt;" &amp; B1 &amp; "&lt;/dt&gt;&lt;dd&gt;" &amp; C1 &amp; "&lt;/dd&gt;&lt;dd&gt;" &amp; D1 &amp; "&lt;/dd&gt;&lt;/dl&gt;"</f>
        <v>&lt;dl&gt;&lt;dt&gt;一、台辅定义&lt;/dt&gt;&lt;dd&gt;&lt;/dd&gt;&lt;dd&gt;&lt;/dd&gt;&lt;/dl&gt;</v>
      </c>
    </row>
    <row r="3" spans="2:7" x14ac:dyDescent="0.2">
      <c r="B3" s="2" t="s">
        <v>376</v>
      </c>
      <c r="C3" s="2" t="s">
        <v>377</v>
      </c>
      <c r="D3" s="2" t="s">
        <v>21</v>
      </c>
    </row>
    <row r="4" spans="2:7" x14ac:dyDescent="0.2">
      <c r="B4" s="3" t="s">
        <v>624</v>
      </c>
      <c r="C4" s="4" t="s">
        <v>3127</v>
      </c>
      <c r="D4" s="4"/>
    </row>
    <row r="5" spans="2:7" ht="42.75" x14ac:dyDescent="0.2">
      <c r="B5" s="3" t="s">
        <v>378</v>
      </c>
      <c r="C5" s="4" t="s">
        <v>3128</v>
      </c>
      <c r="D5" s="4"/>
    </row>
    <row r="6" spans="2:7" ht="28.5" x14ac:dyDescent="0.2">
      <c r="B6" s="3" t="s">
        <v>1717</v>
      </c>
      <c r="C6" s="4" t="s">
        <v>3129</v>
      </c>
      <c r="D6" s="4"/>
    </row>
    <row r="9" spans="2:7" ht="17.25" x14ac:dyDescent="0.2">
      <c r="B9" s="5" t="s">
        <v>1719</v>
      </c>
    </row>
    <row r="11" spans="2:7" ht="15.75" x14ac:dyDescent="0.2">
      <c r="B11" s="13" t="s">
        <v>1720</v>
      </c>
    </row>
    <row r="13" spans="2:7" x14ac:dyDescent="0.2">
      <c r="B13" s="2" t="s">
        <v>390</v>
      </c>
      <c r="C13" s="2" t="s">
        <v>1818</v>
      </c>
      <c r="D13" s="2" t="s">
        <v>1819</v>
      </c>
    </row>
    <row r="14" spans="2:7" ht="28.5" x14ac:dyDescent="0.2">
      <c r="B14" s="3" t="s">
        <v>3130</v>
      </c>
      <c r="C14" s="4" t="s">
        <v>3131</v>
      </c>
      <c r="D14" s="4" t="s">
        <v>3132</v>
      </c>
    </row>
    <row r="15" spans="2:7" ht="28.5" x14ac:dyDescent="0.2">
      <c r="B15" s="3" t="s">
        <v>3133</v>
      </c>
      <c r="C15" s="4" t="s">
        <v>3134</v>
      </c>
      <c r="D15" s="4" t="s">
        <v>3135</v>
      </c>
    </row>
    <row r="16" spans="2:7" ht="28.5" x14ac:dyDescent="0.2">
      <c r="B16" s="3" t="s">
        <v>3136</v>
      </c>
      <c r="C16" s="4" t="s">
        <v>3137</v>
      </c>
      <c r="D16" s="4" t="s">
        <v>3138</v>
      </c>
    </row>
    <row r="17" spans="2:7" ht="28.5" x14ac:dyDescent="0.2">
      <c r="B17" s="3" t="s">
        <v>3139</v>
      </c>
      <c r="C17" s="4" t="s">
        <v>3140</v>
      </c>
      <c r="D17" s="4" t="s">
        <v>3141</v>
      </c>
    </row>
    <row r="18" spans="2:7" x14ac:dyDescent="0.2">
      <c r="B18" s="3" t="s">
        <v>3142</v>
      </c>
      <c r="C18" s="4" t="s">
        <v>3143</v>
      </c>
      <c r="D18" s="4" t="s">
        <v>3144</v>
      </c>
    </row>
    <row r="21" spans="2:7" ht="17.25" x14ac:dyDescent="0.2">
      <c r="B21" s="5" t="s">
        <v>1733</v>
      </c>
    </row>
    <row r="22" spans="2:7" ht="15" thickBot="1" x14ac:dyDescent="0.25"/>
    <row r="23" spans="2:7" ht="16.5" thickBot="1" x14ac:dyDescent="0.25">
      <c r="B23" s="2" t="s">
        <v>18</v>
      </c>
      <c r="C23" s="2" t="s">
        <v>1818</v>
      </c>
      <c r="D23" s="2" t="s">
        <v>21</v>
      </c>
      <c r="E23" s="12"/>
    </row>
    <row r="24" spans="2:7" ht="29.25" thickBot="1" x14ac:dyDescent="0.25">
      <c r="B24" s="3" t="s">
        <v>201</v>
      </c>
      <c r="C24" s="4" t="s">
        <v>3145</v>
      </c>
      <c r="D24" s="4"/>
      <c r="E24" s="15"/>
      <c r="G24" t="str">
        <f t="shared" ref="G24:G52" si="0">"&lt;dl&gt;&lt;dt&gt;" &amp; B24 &amp; "&lt;/dt&gt;&lt;dd&gt;" &amp; C24 &amp; "&lt;/dd&gt;&lt;dd&gt;" &amp; D24 &amp; "&lt;/dd&gt;&lt;/dl&gt;"</f>
        <v>&lt;dl&gt;&lt;dt&gt;命宫​&lt;/dt&gt;&lt;dd&gt;为人正直可靠，易得同辈友人相助，一生多实际助力，适合担任副手或管理职位。&lt;/dd&gt;&lt;dd&gt;&lt;/dd&gt;&lt;/dl&gt;</v>
      </c>
    </row>
    <row r="25" spans="2:7" ht="29.25" thickBot="1" x14ac:dyDescent="0.25">
      <c r="B25" s="3" t="s">
        <v>246</v>
      </c>
      <c r="C25" s="4" t="s">
        <v>3146</v>
      </c>
      <c r="D25" s="4"/>
      <c r="E25" s="15"/>
      <c r="G25" t="str">
        <f t="shared" si="0"/>
        <v>&lt;dl&gt;&lt;dt&gt;兄弟宫​&lt;/dt&gt;&lt;dd&gt;兄弟姐妹或同事、同学能提供实质性帮助，团队合作顺利。&lt;/dd&gt;&lt;dd&gt;&lt;/dd&gt;&lt;/dl&gt;</v>
      </c>
    </row>
    <row r="26" spans="2:7" ht="29.25" thickBot="1" x14ac:dyDescent="0.25">
      <c r="B26" s="3" t="s">
        <v>125</v>
      </c>
      <c r="C26" s="4" t="s">
        <v>3147</v>
      </c>
      <c r="D26" s="4"/>
      <c r="E26" s="15"/>
      <c r="G26" t="str">
        <f t="shared" si="0"/>
        <v>&lt;dl&gt;&lt;dt&gt;夫妻宫​&lt;/dt&gt;&lt;dd&gt;配偶是自己的得力助手，或在事业、生活上能给予实际支持；婚姻关系稳定。&lt;/dd&gt;&lt;dd&gt;&lt;/dd&gt;&lt;/dl&gt;</v>
      </c>
    </row>
    <row r="27" spans="2:7" ht="29.25" thickBot="1" x14ac:dyDescent="0.25">
      <c r="B27" s="3" t="s">
        <v>128</v>
      </c>
      <c r="C27" s="4" t="s">
        <v>3148</v>
      </c>
      <c r="D27" s="4"/>
      <c r="E27" s="15"/>
      <c r="G27" t="str">
        <f t="shared" si="0"/>
        <v>&lt;dl&gt;&lt;dt&gt;子女宫​&lt;/dt&gt;&lt;dd&gt;子女能干，是得力助手；在合作、创作项目中易得伙伴鼎力相助。&lt;/dd&gt;&lt;dd&gt;&lt;/dd&gt;&lt;/dl&gt;</v>
      </c>
    </row>
    <row r="28" spans="2:7" ht="29.25" thickBot="1" x14ac:dyDescent="0.25">
      <c r="B28" s="3" t="s">
        <v>3</v>
      </c>
      <c r="C28" s="4" t="s">
        <v>3149</v>
      </c>
      <c r="D28" s="4"/>
      <c r="E28" s="15"/>
      <c r="G28" t="str">
        <f t="shared" si="0"/>
        <v>&lt;dl&gt;&lt;dt&gt;财帛宫​&lt;/dt&gt;&lt;dd&gt;钱财来源稳定，易通过合作、签约得财，财务管理有章法、有凭证。&lt;/dd&gt;&lt;dd&gt;&lt;/dd&gt;&lt;/dl&gt;</v>
      </c>
    </row>
    <row r="29" spans="2:7" ht="29.25" thickBot="1" x14ac:dyDescent="0.25">
      <c r="B29" s="3" t="s">
        <v>6</v>
      </c>
      <c r="C29" s="4" t="s">
        <v>3150</v>
      </c>
      <c r="D29" s="4"/>
      <c r="E29" s="15"/>
      <c r="G29" t="str">
        <f t="shared" si="0"/>
        <v>&lt;dl&gt;&lt;dt&gt;疾厄宫​&lt;/dt&gt;&lt;dd&gt;身体健康能得到有效的辅助治疗或得力看护；病情诊断有明确报告。&lt;/dd&gt;&lt;dd&gt;&lt;/dd&gt;&lt;/dl&gt;</v>
      </c>
    </row>
    <row r="30" spans="2:7" ht="28.5" x14ac:dyDescent="0.2">
      <c r="B30" s="3" t="s">
        <v>15</v>
      </c>
      <c r="C30" s="4" t="s">
        <v>3151</v>
      </c>
      <c r="D30" s="4"/>
    </row>
    <row r="31" spans="2:7" ht="28.5" x14ac:dyDescent="0.2">
      <c r="B31" s="3" t="s">
        <v>12</v>
      </c>
      <c r="C31" s="3" t="s">
        <v>3152</v>
      </c>
      <c r="D31" s="4"/>
    </row>
    <row r="32" spans="2:7" ht="28.5" x14ac:dyDescent="0.2">
      <c r="B32" s="3" t="s">
        <v>206</v>
      </c>
      <c r="C32" s="3" t="s">
        <v>3153</v>
      </c>
      <c r="D32" s="4"/>
    </row>
    <row r="33" spans="2:7" ht="29.25" thickBot="1" x14ac:dyDescent="0.25">
      <c r="B33" s="3" t="s">
        <v>0</v>
      </c>
      <c r="C33" s="4" t="s">
        <v>3154</v>
      </c>
      <c r="D33" s="4"/>
    </row>
    <row r="34" spans="2:7" ht="29.25" thickBot="1" x14ac:dyDescent="0.25">
      <c r="B34" s="3" t="s">
        <v>116</v>
      </c>
      <c r="C34" s="4" t="s">
        <v>3155</v>
      </c>
      <c r="D34" s="4"/>
      <c r="E34" s="12"/>
    </row>
    <row r="35" spans="2:7" ht="29.25" thickBot="1" x14ac:dyDescent="0.25">
      <c r="B35" s="3" t="s">
        <v>9</v>
      </c>
      <c r="C35" s="4" t="s">
        <v>3156</v>
      </c>
      <c r="D35" s="4"/>
      <c r="E35" s="15"/>
      <c r="G35" t="str">
        <f t="shared" si="0"/>
        <v>&lt;dl&gt;&lt;dt&gt;父母宫​&lt;/dt&gt;&lt;dd&gt;父母或长辈能给予实质性支持（如资源、人脉）；与官方机构打交道顺利。&lt;/dd&gt;&lt;dd&gt;&lt;/dd&gt;&lt;/dl&gt;</v>
      </c>
    </row>
    <row r="36" spans="2:7" ht="16.5" thickBot="1" x14ac:dyDescent="0.25">
      <c r="E36" s="15"/>
      <c r="G36" t="str">
        <f t="shared" si="0"/>
        <v>&lt;dl&gt;&lt;dt&gt;&lt;/dt&gt;&lt;dd&gt;&lt;/dd&gt;&lt;dd&gt;&lt;/dd&gt;&lt;/dl&gt;</v>
      </c>
    </row>
    <row r="37" spans="2:7" ht="16.5" thickBot="1" x14ac:dyDescent="0.25">
      <c r="E37" s="15"/>
      <c r="G37" t="str">
        <f t="shared" si="0"/>
        <v>&lt;dl&gt;&lt;dt&gt;&lt;/dt&gt;&lt;dd&gt;&lt;/dd&gt;&lt;dd&gt;&lt;/dd&gt;&lt;/dl&gt;</v>
      </c>
    </row>
    <row r="38" spans="2:7" ht="18" thickBot="1" x14ac:dyDescent="0.25">
      <c r="B38" s="5" t="s">
        <v>734</v>
      </c>
      <c r="E38" s="15"/>
      <c r="G38" t="str">
        <f t="shared" si="0"/>
        <v>&lt;dl&gt;&lt;dt&gt;四、主星组合象义&lt;/dt&gt;&lt;dd&gt;&lt;/dd&gt;&lt;dd&gt;&lt;/dd&gt;&lt;/dl&gt;</v>
      </c>
    </row>
    <row r="39" spans="2:7" ht="16.5" thickBot="1" x14ac:dyDescent="0.25">
      <c r="E39" s="15"/>
      <c r="G39" t="str">
        <f t="shared" si="0"/>
        <v>&lt;dl&gt;&lt;dt&gt;&lt;/dt&gt;&lt;dd&gt;&lt;/dd&gt;&lt;dd&gt;&lt;/dd&gt;&lt;/dl&gt;</v>
      </c>
    </row>
    <row r="40" spans="2:7" ht="16.5" thickBot="1" x14ac:dyDescent="0.25">
      <c r="B40" s="13" t="s">
        <v>3157</v>
      </c>
      <c r="E40" s="15"/>
      <c r="G40" t="str">
        <f t="shared" si="0"/>
        <v>&lt;dl&gt;&lt;dt&gt;1. 增强贵气助力组合&lt;/dt&gt;&lt;dd&gt;&lt;/dd&gt;&lt;dd&gt;&lt;/dd&gt;&lt;/dl&gt;</v>
      </c>
    </row>
    <row r="41" spans="2:7" ht="16.5" thickBot="1" x14ac:dyDescent="0.25">
      <c r="E41" s="15"/>
      <c r="G41" t="str">
        <f t="shared" si="0"/>
        <v>&lt;dl&gt;&lt;dt&gt;&lt;/dt&gt;&lt;dd&gt;&lt;/dd&gt;&lt;dd&gt;&lt;/dd&gt;&lt;/dl&gt;</v>
      </c>
    </row>
    <row r="42" spans="2:7" ht="16.5" thickBot="1" x14ac:dyDescent="0.25">
      <c r="B42" s="2" t="s">
        <v>71</v>
      </c>
      <c r="C42" s="2" t="s">
        <v>1047</v>
      </c>
      <c r="D42" s="2" t="s">
        <v>73</v>
      </c>
      <c r="E42" s="15"/>
      <c r="G42" t="str">
        <f t="shared" si="0"/>
        <v>&lt;dl&gt;&lt;dt&gt;组合​&lt;/dt&gt;&lt;dd&gt;效应​&lt;/dd&gt;&lt;dd&gt;典型案例​&lt;/dd&gt;&lt;/dl&gt;</v>
      </c>
    </row>
    <row r="43" spans="2:7" ht="29.25" thickBot="1" x14ac:dyDescent="0.25">
      <c r="B43" s="3" t="s">
        <v>3158</v>
      </c>
      <c r="C43" s="4" t="s">
        <v>3159</v>
      </c>
      <c r="D43" s="4" t="s">
        <v>3160</v>
      </c>
      <c r="E43" s="15"/>
      <c r="G43" t="str">
        <f t="shared" si="0"/>
        <v>&lt;dl&gt;&lt;dt&gt;台辅+紫微​&lt;/dt&gt;&lt;dd&gt;增强领导权威，得优秀幕僚团队辅佐，政令、文书通行无阻。&lt;/dd&gt;&lt;dd&gt;企业CEO拥有高效执行团队；官员有智囊团。&lt;/dd&gt;&lt;/dl&gt;</v>
      </c>
    </row>
    <row r="44" spans="2:7" ht="28.5" x14ac:dyDescent="0.2">
      <c r="B44" s="3" t="s">
        <v>3161</v>
      </c>
      <c r="C44" s="4" t="s">
        <v>3162</v>
      </c>
      <c r="D44" s="4" t="s">
        <v>3163</v>
      </c>
    </row>
    <row r="45" spans="2:7" ht="28.5" x14ac:dyDescent="0.2">
      <c r="B45" s="3" t="s">
        <v>3164</v>
      </c>
      <c r="C45" s="4" t="s">
        <v>3165</v>
      </c>
      <c r="D45" s="4" t="s">
        <v>3166</v>
      </c>
    </row>
    <row r="46" spans="2:7" ht="28.5" x14ac:dyDescent="0.2">
      <c r="B46" s="3" t="s">
        <v>3167</v>
      </c>
      <c r="C46" s="4" t="s">
        <v>3168</v>
      </c>
      <c r="D46" s="4" t="s">
        <v>3169</v>
      </c>
    </row>
    <row r="47" spans="2:7" ht="29.25" thickBot="1" x14ac:dyDescent="0.25">
      <c r="B47" s="3" t="s">
        <v>3170</v>
      </c>
      <c r="C47" s="4" t="s">
        <v>3171</v>
      </c>
      <c r="D47" s="4" t="s">
        <v>3172</v>
      </c>
    </row>
    <row r="48" spans="2:7" ht="16.5" thickBot="1" x14ac:dyDescent="0.25">
      <c r="E48" s="12"/>
    </row>
    <row r="49" spans="2:7" ht="16.5" thickBot="1" x14ac:dyDescent="0.25">
      <c r="B49" s="13" t="s">
        <v>3173</v>
      </c>
      <c r="E49" s="15"/>
      <c r="G49" t="str">
        <f t="shared" si="0"/>
        <v>&lt;dl&gt;&lt;dt&gt;2. 专业化与执行力组合&lt;/dt&gt;&lt;dd&gt;&lt;/dd&gt;&lt;dd&gt;&lt;/dd&gt;&lt;/dl&gt;</v>
      </c>
    </row>
    <row r="50" spans="2:7" ht="16.5" thickBot="1" x14ac:dyDescent="0.25">
      <c r="E50" s="15"/>
      <c r="G50" t="str">
        <f t="shared" si="0"/>
        <v>&lt;dl&gt;&lt;dt&gt;&lt;/dt&gt;&lt;dd&gt;&lt;/dd&gt;&lt;dd&gt;&lt;/dd&gt;&lt;/dl&gt;</v>
      </c>
    </row>
    <row r="51" spans="2:7" ht="16.5" thickBot="1" x14ac:dyDescent="0.25">
      <c r="B51" s="2" t="s">
        <v>71</v>
      </c>
      <c r="C51" s="2" t="s">
        <v>1047</v>
      </c>
      <c r="D51" s="2" t="s">
        <v>73</v>
      </c>
      <c r="E51" s="15"/>
      <c r="G51" t="str">
        <f t="shared" si="0"/>
        <v>&lt;dl&gt;&lt;dt&gt;组合​&lt;/dt&gt;&lt;dd&gt;效应​&lt;/dd&gt;&lt;dd&gt;典型案例​&lt;/dd&gt;&lt;/dl&gt;</v>
      </c>
    </row>
    <row r="52" spans="2:7" ht="29.25" thickBot="1" x14ac:dyDescent="0.25">
      <c r="B52" s="3" t="s">
        <v>3174</v>
      </c>
      <c r="C52" s="4" t="s">
        <v>3175</v>
      </c>
      <c r="D52" s="4" t="s">
        <v>3176</v>
      </c>
      <c r="E52" s="15"/>
      <c r="G52" t="str">
        <f t="shared" si="0"/>
        <v>&lt;dl&gt;&lt;dt&gt;台辅+天机​&lt;/dt&gt;&lt;dd&gt;策划、谋略得到有效执行，思维有实际方案和文件支持。&lt;/dd&gt;&lt;dd&gt;策划案有详细的执行手册；军师有落实的将领。&lt;/dd&gt;&lt;/dl&gt;</v>
      </c>
    </row>
    <row r="53" spans="2:7" ht="28.5" x14ac:dyDescent="0.2">
      <c r="B53" s="3" t="s">
        <v>3177</v>
      </c>
      <c r="C53" s="4" t="s">
        <v>3178</v>
      </c>
      <c r="D53" s="4" t="s">
        <v>3179</v>
      </c>
    </row>
    <row r="54" spans="2:7" ht="28.5" x14ac:dyDescent="0.2">
      <c r="B54" s="3" t="s">
        <v>3180</v>
      </c>
      <c r="C54" s="4" t="s">
        <v>3181</v>
      </c>
      <c r="D54" s="4" t="s">
        <v>3182</v>
      </c>
    </row>
    <row r="55" spans="2:7" ht="28.5" x14ac:dyDescent="0.2">
      <c r="B55" s="3" t="s">
        <v>3183</v>
      </c>
      <c r="C55" s="4" t="s">
        <v>3184</v>
      </c>
      <c r="D55" s="4" t="s">
        <v>3185</v>
      </c>
    </row>
    <row r="56" spans="2:7" ht="28.5" x14ac:dyDescent="0.2">
      <c r="B56" s="3" t="s">
        <v>3186</v>
      </c>
      <c r="C56" s="4" t="s">
        <v>3187</v>
      </c>
      <c r="D56" s="4" t="s">
        <v>3188</v>
      </c>
    </row>
    <row r="59" spans="2:7" ht="17.25" x14ac:dyDescent="0.2">
      <c r="B59" s="5" t="s">
        <v>746</v>
      </c>
    </row>
    <row r="61" spans="2:7" x14ac:dyDescent="0.2">
      <c r="B61" s="2" t="s">
        <v>40</v>
      </c>
      <c r="C61" s="2" t="s">
        <v>1414</v>
      </c>
      <c r="D61" s="2" t="s">
        <v>21</v>
      </c>
    </row>
    <row r="62" spans="2:7" ht="28.5" x14ac:dyDescent="0.2">
      <c r="B62" s="3" t="s">
        <v>3189</v>
      </c>
      <c r="C62" s="3" t="s">
        <v>3190</v>
      </c>
      <c r="D62" s="4" t="s">
        <v>3191</v>
      </c>
    </row>
    <row r="63" spans="2:7" ht="28.5" x14ac:dyDescent="0.2">
      <c r="B63" s="3" t="s">
        <v>3192</v>
      </c>
      <c r="C63" s="3" t="s">
        <v>3193</v>
      </c>
      <c r="D63" s="4" t="s">
        <v>3194</v>
      </c>
    </row>
    <row r="64" spans="2:7" ht="28.5" x14ac:dyDescent="0.2">
      <c r="B64" s="3" t="s">
        <v>3195</v>
      </c>
      <c r="C64" s="3" t="s">
        <v>3196</v>
      </c>
      <c r="D64" s="4" t="s">
        <v>3197</v>
      </c>
    </row>
    <row r="65" spans="2:4" ht="28.5" x14ac:dyDescent="0.2">
      <c r="B65" s="3" t="s">
        <v>3198</v>
      </c>
      <c r="C65" s="3" t="s">
        <v>3199</v>
      </c>
      <c r="D65" s="4" t="s">
        <v>3200</v>
      </c>
    </row>
    <row r="66" spans="2:4" ht="28.5" x14ac:dyDescent="0.2">
      <c r="B66" s="3" t="s">
        <v>3201</v>
      </c>
      <c r="C66" s="4" t="s">
        <v>3202</v>
      </c>
      <c r="D66" s="4" t="s">
        <v>3203</v>
      </c>
    </row>
    <row r="67" spans="2:4" ht="28.5" x14ac:dyDescent="0.2">
      <c r="B67" s="3" t="s">
        <v>3204</v>
      </c>
      <c r="C67" s="4" t="s">
        <v>3205</v>
      </c>
      <c r="D67" s="4" t="s">
        <v>3206</v>
      </c>
    </row>
    <row r="68" spans="2:4" ht="28.5" x14ac:dyDescent="0.2">
      <c r="B68" s="3" t="s">
        <v>3207</v>
      </c>
      <c r="C68" s="4" t="s">
        <v>3208</v>
      </c>
      <c r="D68" s="4" t="s">
        <v>3209</v>
      </c>
    </row>
    <row r="69" spans="2:4" ht="28.5" x14ac:dyDescent="0.2">
      <c r="B69" s="3" t="s">
        <v>3210</v>
      </c>
      <c r="C69" s="4" t="s">
        <v>3211</v>
      </c>
      <c r="D69" s="4" t="s">
        <v>3212</v>
      </c>
    </row>
    <row r="70" spans="2:4" ht="28.5" x14ac:dyDescent="0.2">
      <c r="B70" s="3" t="s">
        <v>3213</v>
      </c>
      <c r="C70" s="4" t="s">
        <v>3214</v>
      </c>
      <c r="D70" s="4" t="s">
        <v>3215</v>
      </c>
    </row>
    <row r="71" spans="2:4" ht="28.5" x14ac:dyDescent="0.2">
      <c r="B71" s="3" t="s">
        <v>3216</v>
      </c>
      <c r="C71" s="4" t="s">
        <v>3217</v>
      </c>
      <c r="D71" s="4" t="s">
        <v>3218</v>
      </c>
    </row>
    <row r="74" spans="2:4" ht="17.25" x14ac:dyDescent="0.2">
      <c r="B74" s="5" t="s">
        <v>1805</v>
      </c>
    </row>
    <row r="75" spans="2:4" x14ac:dyDescent="0.2">
      <c r="B75" s="6"/>
    </row>
    <row r="76" spans="2:4" x14ac:dyDescent="0.2">
      <c r="B76" s="7" t="s">
        <v>3219</v>
      </c>
    </row>
    <row r="77" spans="2:4" x14ac:dyDescent="0.2">
      <c r="B77" s="7" t="s">
        <v>3220</v>
      </c>
    </row>
    <row r="78" spans="2:4" x14ac:dyDescent="0.2">
      <c r="B78" s="7" t="s">
        <v>3221</v>
      </c>
    </row>
    <row r="79" spans="2:4" x14ac:dyDescent="0.2">
      <c r="B79" s="7" t="s">
        <v>3222</v>
      </c>
    </row>
    <row r="80" spans="2:4" x14ac:dyDescent="0.2">
      <c r="B80" s="16"/>
    </row>
    <row r="81" spans="2:2" x14ac:dyDescent="0.2">
      <c r="B81" s="6"/>
    </row>
    <row r="82" spans="2:2" x14ac:dyDescent="0.2">
      <c r="B82" s="6"/>
    </row>
  </sheetData>
  <phoneticPr fontId="2" type="noConversion"/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96424C-E9AC-4D88-AE2B-C85C074D3893}">
  <dimension ref="B1:G82"/>
  <sheetViews>
    <sheetView topLeftCell="A20" zoomScaleNormal="100" workbookViewId="0">
      <selection activeCell="B1" sqref="B1:D79"/>
    </sheetView>
  </sheetViews>
  <sheetFormatPr defaultRowHeight="14.25" x14ac:dyDescent="0.2"/>
  <cols>
    <col min="1" max="1" width="2.75" customWidth="1"/>
    <col min="2" max="2" width="15.625" customWidth="1"/>
    <col min="3" max="3" width="43.125" customWidth="1"/>
    <col min="4" max="4" width="32.75" customWidth="1"/>
  </cols>
  <sheetData>
    <row r="1" spans="2:7" ht="17.25" x14ac:dyDescent="0.2">
      <c r="B1" s="5" t="s">
        <v>3223</v>
      </c>
      <c r="G1" t="str">
        <f>"&lt;dl&gt;&lt;dt&gt;" &amp; B1 &amp; "&lt;/dt&gt;&lt;dd&gt;" &amp; C1 &amp; "&lt;/dd&gt;&lt;dd&gt;" &amp; D1 &amp; "&lt;/dd&gt;&lt;/dl&gt;"</f>
        <v>&lt;dl&gt;&lt;dt&gt;一、封诰定义&lt;/dt&gt;&lt;dd&gt;&lt;/dd&gt;&lt;dd&gt;&lt;/dd&gt;&lt;/dl&gt;</v>
      </c>
    </row>
    <row r="3" spans="2:7" x14ac:dyDescent="0.2">
      <c r="B3" s="2" t="s">
        <v>376</v>
      </c>
      <c r="C3" s="2" t="s">
        <v>377</v>
      </c>
      <c r="D3" s="2" t="s">
        <v>21</v>
      </c>
    </row>
    <row r="4" spans="2:7" x14ac:dyDescent="0.2">
      <c r="B4" s="3" t="s">
        <v>624</v>
      </c>
      <c r="C4" s="4" t="s">
        <v>3224</v>
      </c>
      <c r="D4" s="4"/>
    </row>
    <row r="5" spans="2:7" ht="28.5" x14ac:dyDescent="0.2">
      <c r="B5" s="3" t="s">
        <v>378</v>
      </c>
      <c r="C5" s="4" t="s">
        <v>3225</v>
      </c>
      <c r="D5" s="4"/>
    </row>
    <row r="6" spans="2:7" ht="42.75" x14ac:dyDescent="0.2">
      <c r="B6" s="3" t="s">
        <v>1717</v>
      </c>
      <c r="C6" s="4" t="s">
        <v>3226</v>
      </c>
      <c r="D6" s="4"/>
    </row>
    <row r="9" spans="2:7" ht="17.25" x14ac:dyDescent="0.2">
      <c r="B9" s="5" t="s">
        <v>1719</v>
      </c>
    </row>
    <row r="11" spans="2:7" ht="15.75" x14ac:dyDescent="0.2">
      <c r="B11" s="13" t="s">
        <v>1720</v>
      </c>
    </row>
    <row r="13" spans="2:7" x14ac:dyDescent="0.2">
      <c r="B13" s="2" t="s">
        <v>390</v>
      </c>
      <c r="C13" s="2" t="s">
        <v>1818</v>
      </c>
      <c r="D13" s="2" t="s">
        <v>1819</v>
      </c>
    </row>
    <row r="14" spans="2:7" x14ac:dyDescent="0.2">
      <c r="B14" s="3" t="s">
        <v>3227</v>
      </c>
      <c r="C14" s="4" t="s">
        <v>3228</v>
      </c>
      <c r="D14" s="4" t="s">
        <v>3229</v>
      </c>
    </row>
    <row r="15" spans="2:7" ht="28.5" x14ac:dyDescent="0.2">
      <c r="B15" s="3" t="s">
        <v>3230</v>
      </c>
      <c r="C15" s="4" t="s">
        <v>3231</v>
      </c>
      <c r="D15" s="4" t="s">
        <v>3232</v>
      </c>
    </row>
    <row r="16" spans="2:7" ht="28.5" x14ac:dyDescent="0.2">
      <c r="B16" s="3" t="s">
        <v>3233</v>
      </c>
      <c r="C16" s="4" t="s">
        <v>3234</v>
      </c>
      <c r="D16" s="4" t="s">
        <v>3235</v>
      </c>
    </row>
    <row r="17" spans="2:7" ht="28.5" x14ac:dyDescent="0.2">
      <c r="B17" s="3" t="s">
        <v>2559</v>
      </c>
      <c r="C17" s="4" t="s">
        <v>3236</v>
      </c>
      <c r="D17" s="4" t="s">
        <v>3141</v>
      </c>
    </row>
    <row r="18" spans="2:7" ht="28.5" x14ac:dyDescent="0.2">
      <c r="B18" s="3" t="s">
        <v>3237</v>
      </c>
      <c r="C18" s="4" t="s">
        <v>3238</v>
      </c>
      <c r="D18" s="4" t="s">
        <v>3239</v>
      </c>
    </row>
    <row r="21" spans="2:7" ht="17.25" x14ac:dyDescent="0.2">
      <c r="B21" s="5" t="s">
        <v>1733</v>
      </c>
    </row>
    <row r="22" spans="2:7" ht="15" thickBot="1" x14ac:dyDescent="0.25"/>
    <row r="23" spans="2:7" ht="16.5" thickBot="1" x14ac:dyDescent="0.25">
      <c r="B23" s="2" t="s">
        <v>18</v>
      </c>
      <c r="C23" s="2" t="s">
        <v>1818</v>
      </c>
      <c r="D23" s="2" t="s">
        <v>21</v>
      </c>
      <c r="E23" s="12"/>
    </row>
    <row r="24" spans="2:7" ht="29.25" thickBot="1" x14ac:dyDescent="0.25">
      <c r="B24" s="3" t="s">
        <v>201</v>
      </c>
      <c r="C24" s="4" t="s">
        <v>3240</v>
      </c>
      <c r="D24" s="4"/>
      <c r="E24" s="15"/>
      <c r="G24" t="str">
        <f t="shared" ref="G24:G52" si="0">"&lt;dl&gt;&lt;dt&gt;" &amp; B24 &amp; "&lt;/dt&gt;&lt;dd&gt;" &amp; C24 &amp; "&lt;/dd&gt;&lt;dd&gt;" &amp; D24 &amp; "&lt;/dd&gt;&lt;/dl&gt;"</f>
        <v>&lt;dl&gt;&lt;dt&gt;命宫​&lt;/dt&gt;&lt;dd&gt;注重名誉与形象，一生易获荣誉或头衔，社会评价高。&lt;/dd&gt;&lt;dd&gt;&lt;/dd&gt;&lt;/dl&gt;</v>
      </c>
    </row>
    <row r="25" spans="2:7" ht="29.25" thickBot="1" x14ac:dyDescent="0.25">
      <c r="B25" s="3" t="s">
        <v>246</v>
      </c>
      <c r="C25" s="4" t="s">
        <v>3241</v>
      </c>
      <c r="D25" s="4"/>
      <c r="E25" s="15"/>
      <c r="G25" t="str">
        <f t="shared" si="0"/>
        <v>&lt;dl&gt;&lt;dt&gt;兄弟宫​&lt;/dt&gt;&lt;dd&gt;兄弟姐妹或同事、同学中有名誉良好者；在团队中易因表现获表彰。&lt;/dd&gt;&lt;dd&gt;&lt;/dd&gt;&lt;/dl&gt;</v>
      </c>
    </row>
    <row r="26" spans="2:7" ht="29.25" thickBot="1" x14ac:dyDescent="0.25">
      <c r="B26" s="3" t="s">
        <v>125</v>
      </c>
      <c r="C26" s="4" t="s">
        <v>3242</v>
      </c>
      <c r="D26" s="4"/>
      <c r="E26" s="15"/>
      <c r="G26" t="str">
        <f t="shared" si="0"/>
        <v>&lt;dl&gt;&lt;dt&gt;夫妻宫​&lt;/dt&gt;&lt;dd&gt;配偶有名望或获得过荣誉；婚姻关系受外界认可与称赞。&lt;/dd&gt;&lt;dd&gt;&lt;/dd&gt;&lt;/dl&gt;</v>
      </c>
    </row>
    <row r="27" spans="2:7" ht="29.25" thickBot="1" x14ac:dyDescent="0.25">
      <c r="B27" s="3" t="s">
        <v>128</v>
      </c>
      <c r="C27" s="4" t="s">
        <v>3243</v>
      </c>
      <c r="D27" s="4"/>
      <c r="E27" s="15"/>
      <c r="G27" t="str">
        <f t="shared" si="0"/>
        <v>&lt;dl&gt;&lt;dt&gt;子女宫​&lt;/dt&gt;&lt;dd&gt;子女有荣誉感或获得奖项；在创作、合作项目中易获得好评。&lt;/dd&gt;&lt;dd&gt;&lt;/dd&gt;&lt;/dl&gt;</v>
      </c>
    </row>
    <row r="28" spans="2:7" ht="29.25" thickBot="1" x14ac:dyDescent="0.25">
      <c r="B28" s="3" t="s">
        <v>3</v>
      </c>
      <c r="C28" s="4" t="s">
        <v>3244</v>
      </c>
      <c r="D28" s="4"/>
      <c r="E28" s="15"/>
      <c r="G28" t="str">
        <f t="shared" si="0"/>
        <v>&lt;dl&gt;&lt;dt&gt;财帛宫​&lt;/dt&gt;&lt;dd&gt;钱财来源正当且有名声，或因名誉、品牌效应得财。&lt;/dd&gt;&lt;dd&gt;&lt;/dd&gt;&lt;/dl&gt;</v>
      </c>
    </row>
    <row r="29" spans="2:7" ht="29.25" thickBot="1" x14ac:dyDescent="0.25">
      <c r="B29" s="3" t="s">
        <v>6</v>
      </c>
      <c r="C29" s="4" t="s">
        <v>3245</v>
      </c>
      <c r="D29" s="4"/>
      <c r="E29" s="15"/>
      <c r="G29" t="str">
        <f t="shared" si="0"/>
        <v>&lt;dl&gt;&lt;dt&gt;疾厄宫​&lt;/dt&gt;&lt;dd&gt;获得权威医疗诊断或名医治疗；病情得到社会关怀（如募捐）。&lt;/dd&gt;&lt;dd&gt;&lt;/dd&gt;&lt;/dl&gt;</v>
      </c>
    </row>
    <row r="30" spans="2:7" ht="28.5" x14ac:dyDescent="0.2">
      <c r="B30" s="3" t="s">
        <v>15</v>
      </c>
      <c r="C30" s="4" t="s">
        <v>3246</v>
      </c>
      <c r="D30" s="4"/>
    </row>
    <row r="31" spans="2:7" ht="28.5" x14ac:dyDescent="0.2">
      <c r="B31" s="3" t="s">
        <v>12</v>
      </c>
      <c r="C31" s="4" t="s">
        <v>3247</v>
      </c>
      <c r="D31" s="4"/>
    </row>
    <row r="32" spans="2:7" ht="28.5" x14ac:dyDescent="0.2">
      <c r="B32" s="3" t="s">
        <v>206</v>
      </c>
      <c r="C32" s="3" t="s">
        <v>3248</v>
      </c>
      <c r="D32" s="4"/>
    </row>
    <row r="33" spans="2:7" ht="29.25" thickBot="1" x14ac:dyDescent="0.25">
      <c r="B33" s="3" t="s">
        <v>0</v>
      </c>
      <c r="C33" s="4" t="s">
        <v>3249</v>
      </c>
      <c r="D33" s="4"/>
    </row>
    <row r="34" spans="2:7" ht="29.25" thickBot="1" x14ac:dyDescent="0.25">
      <c r="B34" s="3" t="s">
        <v>116</v>
      </c>
      <c r="C34" s="4" t="s">
        <v>3250</v>
      </c>
      <c r="D34" s="4"/>
      <c r="E34" s="12"/>
    </row>
    <row r="35" spans="2:7" ht="29.25" thickBot="1" x14ac:dyDescent="0.25">
      <c r="B35" s="3" t="s">
        <v>9</v>
      </c>
      <c r="C35" s="4" t="s">
        <v>3251</v>
      </c>
      <c r="D35" s="4"/>
      <c r="E35" s="15"/>
      <c r="G35" t="str">
        <f t="shared" si="0"/>
        <v>&lt;dl&gt;&lt;dt&gt;父母宫​&lt;/dt&gt;&lt;dd&gt;父母或长辈有名望；易获得官方、学校的嘉奖或文凭。&lt;/dd&gt;&lt;dd&gt;&lt;/dd&gt;&lt;/dl&gt;</v>
      </c>
    </row>
    <row r="36" spans="2:7" ht="16.5" thickBot="1" x14ac:dyDescent="0.25">
      <c r="E36" s="15"/>
      <c r="G36" t="str">
        <f t="shared" si="0"/>
        <v>&lt;dl&gt;&lt;dt&gt;&lt;/dt&gt;&lt;dd&gt;&lt;/dd&gt;&lt;dd&gt;&lt;/dd&gt;&lt;/dl&gt;</v>
      </c>
    </row>
    <row r="37" spans="2:7" ht="16.5" thickBot="1" x14ac:dyDescent="0.25">
      <c r="E37" s="15"/>
      <c r="G37" t="str">
        <f t="shared" si="0"/>
        <v>&lt;dl&gt;&lt;dt&gt;&lt;/dt&gt;&lt;dd&gt;&lt;/dd&gt;&lt;dd&gt;&lt;/dd&gt;&lt;/dl&gt;</v>
      </c>
    </row>
    <row r="38" spans="2:7" ht="18" thickBot="1" x14ac:dyDescent="0.25">
      <c r="B38" s="5" t="s">
        <v>734</v>
      </c>
      <c r="E38" s="15"/>
      <c r="G38" t="str">
        <f t="shared" si="0"/>
        <v>&lt;dl&gt;&lt;dt&gt;四、主星组合象义&lt;/dt&gt;&lt;dd&gt;&lt;/dd&gt;&lt;dd&gt;&lt;/dd&gt;&lt;/dl&gt;</v>
      </c>
    </row>
    <row r="39" spans="2:7" ht="16.5" thickBot="1" x14ac:dyDescent="0.25">
      <c r="E39" s="15"/>
      <c r="G39" t="str">
        <f t="shared" si="0"/>
        <v>&lt;dl&gt;&lt;dt&gt;&lt;/dt&gt;&lt;dd&gt;&lt;/dd&gt;&lt;dd&gt;&lt;/dd&gt;&lt;/dl&gt;</v>
      </c>
    </row>
    <row r="40" spans="2:7" ht="16.5" thickBot="1" x14ac:dyDescent="0.25">
      <c r="B40" s="13" t="s">
        <v>3252</v>
      </c>
      <c r="E40" s="15"/>
      <c r="G40" t="str">
        <f t="shared" si="0"/>
        <v>&lt;dl&gt;&lt;dt&gt;1. 增强名誉贵气组合&lt;/dt&gt;&lt;dd&gt;&lt;/dd&gt;&lt;dd&gt;&lt;/dd&gt;&lt;/dl&gt;</v>
      </c>
    </row>
    <row r="41" spans="2:7" ht="16.5" thickBot="1" x14ac:dyDescent="0.25">
      <c r="E41" s="15"/>
      <c r="G41" t="str">
        <f t="shared" si="0"/>
        <v>&lt;dl&gt;&lt;dt&gt;&lt;/dt&gt;&lt;dd&gt;&lt;/dd&gt;&lt;dd&gt;&lt;/dd&gt;&lt;/dl&gt;</v>
      </c>
    </row>
    <row r="42" spans="2:7" ht="16.5" thickBot="1" x14ac:dyDescent="0.25">
      <c r="B42" s="2" t="s">
        <v>71</v>
      </c>
      <c r="C42" s="2" t="s">
        <v>1047</v>
      </c>
      <c r="D42" s="2" t="s">
        <v>73</v>
      </c>
      <c r="E42" s="15"/>
      <c r="G42" t="str">
        <f t="shared" si="0"/>
        <v>&lt;dl&gt;&lt;dt&gt;组合​&lt;/dt&gt;&lt;dd&gt;效应​&lt;/dd&gt;&lt;dd&gt;典型案例​&lt;/dd&gt;&lt;/dl&gt;</v>
      </c>
    </row>
    <row r="43" spans="2:7" ht="29.25" thickBot="1" x14ac:dyDescent="0.25">
      <c r="B43" s="3" t="s">
        <v>3253</v>
      </c>
      <c r="C43" s="4" t="s">
        <v>3254</v>
      </c>
      <c r="D43" s="4" t="s">
        <v>3255</v>
      </c>
      <c r="E43" s="15"/>
      <c r="G43" t="str">
        <f t="shared" si="0"/>
        <v>&lt;dl&gt;&lt;dt&gt;封诰+紫微​&lt;/dt&gt;&lt;dd&gt;获得极高的社会地位与官方荣誉，如爵位、领导头衔、重大奖项。&lt;/dd&gt;&lt;dd&gt;获得国家勋章；被授予终身成就奖。&lt;/dd&gt;&lt;/dl&gt;</v>
      </c>
    </row>
    <row r="44" spans="2:7" ht="28.5" x14ac:dyDescent="0.2">
      <c r="B44" s="3" t="s">
        <v>3256</v>
      </c>
      <c r="C44" s="4" t="s">
        <v>3257</v>
      </c>
      <c r="D44" s="4" t="s">
        <v>3258</v>
      </c>
    </row>
    <row r="45" spans="2:7" ht="28.5" x14ac:dyDescent="0.2">
      <c r="B45" s="3" t="s">
        <v>3259</v>
      </c>
      <c r="C45" s="4" t="s">
        <v>3260</v>
      </c>
      <c r="D45" s="4" t="s">
        <v>3261</v>
      </c>
    </row>
    <row r="46" spans="2:7" ht="28.5" x14ac:dyDescent="0.2">
      <c r="B46" s="3" t="s">
        <v>3262</v>
      </c>
      <c r="C46" s="4" t="s">
        <v>3263</v>
      </c>
      <c r="D46" s="4" t="s">
        <v>3264</v>
      </c>
    </row>
    <row r="47" spans="2:7" ht="29.25" thickBot="1" x14ac:dyDescent="0.25">
      <c r="B47" s="3" t="s">
        <v>3265</v>
      </c>
      <c r="C47" s="4" t="s">
        <v>3266</v>
      </c>
      <c r="D47" s="4" t="s">
        <v>3267</v>
      </c>
    </row>
    <row r="48" spans="2:7" ht="16.5" thickBot="1" x14ac:dyDescent="0.25">
      <c r="E48" s="12"/>
    </row>
    <row r="49" spans="2:7" ht="16.5" thickBot="1" x14ac:dyDescent="0.25">
      <c r="B49" s="13" t="s">
        <v>3268</v>
      </c>
      <c r="E49" s="15"/>
      <c r="G49" t="str">
        <f t="shared" si="0"/>
        <v>&lt;dl&gt;&lt;dt&gt;2. 专业化与学术名誉组合&lt;/dt&gt;&lt;dd&gt;&lt;/dd&gt;&lt;dd&gt;&lt;/dd&gt;&lt;/dl&gt;</v>
      </c>
    </row>
    <row r="50" spans="2:7" ht="16.5" thickBot="1" x14ac:dyDescent="0.25">
      <c r="E50" s="15"/>
      <c r="G50" t="str">
        <f t="shared" si="0"/>
        <v>&lt;dl&gt;&lt;dt&gt;&lt;/dt&gt;&lt;dd&gt;&lt;/dd&gt;&lt;dd&gt;&lt;/dd&gt;&lt;/dl&gt;</v>
      </c>
    </row>
    <row r="51" spans="2:7" ht="16.5" thickBot="1" x14ac:dyDescent="0.25">
      <c r="B51" s="2" t="s">
        <v>71</v>
      </c>
      <c r="C51" s="2" t="s">
        <v>1047</v>
      </c>
      <c r="D51" s="2" t="s">
        <v>73</v>
      </c>
      <c r="E51" s="15"/>
      <c r="G51" t="str">
        <f t="shared" si="0"/>
        <v>&lt;dl&gt;&lt;dt&gt;组合​&lt;/dt&gt;&lt;dd&gt;效应​&lt;/dd&gt;&lt;dd&gt;典型案例​&lt;/dd&gt;&lt;/dl&gt;</v>
      </c>
    </row>
    <row r="52" spans="2:7" ht="29.25" thickBot="1" x14ac:dyDescent="0.25">
      <c r="B52" s="3" t="s">
        <v>3269</v>
      </c>
      <c r="C52" s="4" t="s">
        <v>3270</v>
      </c>
      <c r="D52" s="4" t="s">
        <v>3271</v>
      </c>
      <c r="E52" s="15"/>
      <c r="G52" t="str">
        <f t="shared" si="0"/>
        <v>&lt;dl&gt;&lt;dt&gt;封诰+天机​&lt;/dt&gt;&lt;dd&gt;因策划、谋略、学术研究获得名誉，如专利证书、学术头衔。&lt;/dd&gt;&lt;dd&gt;获得“杰出青年科学家”称号；取得发明专利证书。&lt;/dd&gt;&lt;/dl&gt;</v>
      </c>
    </row>
    <row r="53" spans="2:7" ht="28.5" x14ac:dyDescent="0.2">
      <c r="B53" s="3" t="s">
        <v>3272</v>
      </c>
      <c r="C53" s="4" t="s">
        <v>3273</v>
      </c>
      <c r="D53" s="4" t="s">
        <v>3274</v>
      </c>
    </row>
    <row r="54" spans="2:7" ht="28.5" x14ac:dyDescent="0.2">
      <c r="B54" s="3" t="s">
        <v>3275</v>
      </c>
      <c r="C54" s="4" t="s">
        <v>3276</v>
      </c>
      <c r="D54" s="4" t="s">
        <v>3277</v>
      </c>
    </row>
    <row r="55" spans="2:7" ht="28.5" x14ac:dyDescent="0.2">
      <c r="B55" s="3" t="s">
        <v>3278</v>
      </c>
      <c r="C55" s="4" t="s">
        <v>3279</v>
      </c>
      <c r="D55" s="4" t="s">
        <v>3280</v>
      </c>
    </row>
    <row r="56" spans="2:7" ht="28.5" x14ac:dyDescent="0.2">
      <c r="B56" s="3" t="s">
        <v>3281</v>
      </c>
      <c r="C56" s="4" t="s">
        <v>3282</v>
      </c>
      <c r="D56" s="4" t="s">
        <v>3283</v>
      </c>
    </row>
    <row r="59" spans="2:7" ht="17.25" x14ac:dyDescent="0.2">
      <c r="B59" s="5" t="s">
        <v>746</v>
      </c>
    </row>
    <row r="61" spans="2:7" x14ac:dyDescent="0.2">
      <c r="B61" s="2" t="s">
        <v>40</v>
      </c>
      <c r="C61" s="2" t="s">
        <v>1414</v>
      </c>
      <c r="D61" s="2" t="s">
        <v>21</v>
      </c>
    </row>
    <row r="62" spans="2:7" ht="28.5" x14ac:dyDescent="0.2">
      <c r="B62" s="3" t="s">
        <v>3284</v>
      </c>
      <c r="C62" s="3" t="s">
        <v>3285</v>
      </c>
      <c r="D62" s="4" t="s">
        <v>3286</v>
      </c>
    </row>
    <row r="63" spans="2:7" ht="28.5" x14ac:dyDescent="0.2">
      <c r="B63" s="3" t="s">
        <v>3287</v>
      </c>
      <c r="C63" s="3" t="s">
        <v>3288</v>
      </c>
      <c r="D63" s="4" t="s">
        <v>3289</v>
      </c>
    </row>
    <row r="64" spans="2:7" ht="28.5" x14ac:dyDescent="0.2">
      <c r="B64" s="3" t="s">
        <v>3290</v>
      </c>
      <c r="C64" s="3" t="s">
        <v>3291</v>
      </c>
      <c r="D64" s="4" t="s">
        <v>3292</v>
      </c>
    </row>
    <row r="65" spans="2:4" ht="28.5" x14ac:dyDescent="0.2">
      <c r="B65" s="3" t="s">
        <v>3293</v>
      </c>
      <c r="C65" s="4" t="s">
        <v>3294</v>
      </c>
      <c r="D65" s="4" t="s">
        <v>3295</v>
      </c>
    </row>
    <row r="66" spans="2:4" ht="28.5" x14ac:dyDescent="0.2">
      <c r="B66" s="3" t="s">
        <v>3296</v>
      </c>
      <c r="C66" s="4" t="s">
        <v>3297</v>
      </c>
      <c r="D66" s="4" t="s">
        <v>3298</v>
      </c>
    </row>
    <row r="67" spans="2:4" ht="28.5" x14ac:dyDescent="0.2">
      <c r="B67" s="3" t="s">
        <v>3299</v>
      </c>
      <c r="C67" s="4" t="s">
        <v>3300</v>
      </c>
      <c r="D67" s="4" t="s">
        <v>3301</v>
      </c>
    </row>
    <row r="68" spans="2:4" ht="28.5" x14ac:dyDescent="0.2">
      <c r="B68" s="3" t="s">
        <v>3302</v>
      </c>
      <c r="C68" s="4" t="s">
        <v>3303</v>
      </c>
      <c r="D68" s="4" t="s">
        <v>3304</v>
      </c>
    </row>
    <row r="69" spans="2:4" ht="28.5" x14ac:dyDescent="0.2">
      <c r="B69" s="3" t="s">
        <v>3305</v>
      </c>
      <c r="C69" s="4" t="s">
        <v>3306</v>
      </c>
      <c r="D69" s="4" t="s">
        <v>3307</v>
      </c>
    </row>
    <row r="70" spans="2:4" ht="28.5" x14ac:dyDescent="0.2">
      <c r="B70" s="3" t="s">
        <v>3308</v>
      </c>
      <c r="C70" s="4" t="s">
        <v>3309</v>
      </c>
      <c r="D70" s="4" t="s">
        <v>3310</v>
      </c>
    </row>
    <row r="71" spans="2:4" ht="28.5" x14ac:dyDescent="0.2">
      <c r="B71" s="3" t="s">
        <v>3311</v>
      </c>
      <c r="C71" s="4" t="s">
        <v>3312</v>
      </c>
      <c r="D71" s="4" t="s">
        <v>3313</v>
      </c>
    </row>
    <row r="74" spans="2:4" ht="17.25" x14ac:dyDescent="0.2">
      <c r="B74" s="5" t="s">
        <v>1805</v>
      </c>
    </row>
    <row r="75" spans="2:4" x14ac:dyDescent="0.2">
      <c r="B75" s="6"/>
    </row>
    <row r="76" spans="2:4" x14ac:dyDescent="0.2">
      <c r="B76" s="7" t="s">
        <v>3314</v>
      </c>
    </row>
    <row r="77" spans="2:4" x14ac:dyDescent="0.2">
      <c r="B77" s="7" t="s">
        <v>3315</v>
      </c>
    </row>
    <row r="78" spans="2:4" x14ac:dyDescent="0.2">
      <c r="B78" s="7" t="s">
        <v>3316</v>
      </c>
    </row>
    <row r="79" spans="2:4" x14ac:dyDescent="0.2">
      <c r="B79" s="7" t="s">
        <v>3317</v>
      </c>
    </row>
    <row r="80" spans="2:4" x14ac:dyDescent="0.2">
      <c r="B80" s="16"/>
    </row>
    <row r="81" spans="2:2" x14ac:dyDescent="0.2">
      <c r="B81" s="6"/>
    </row>
    <row r="82" spans="2:2" x14ac:dyDescent="0.2">
      <c r="B82" s="6"/>
    </row>
  </sheetData>
  <phoneticPr fontId="2" type="noConversion"/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71D7B7-3C5C-445F-B119-790C39796BBA}">
  <dimension ref="B1:G82"/>
  <sheetViews>
    <sheetView zoomScaleNormal="100" workbookViewId="0">
      <selection activeCell="F23" sqref="F23"/>
    </sheetView>
  </sheetViews>
  <sheetFormatPr defaultRowHeight="14.25" x14ac:dyDescent="0.2"/>
  <cols>
    <col min="1" max="1" width="2.75" customWidth="1"/>
    <col min="2" max="2" width="15.625" customWidth="1"/>
    <col min="3" max="3" width="43.125" customWidth="1"/>
    <col min="4" max="4" width="32.75" customWidth="1"/>
  </cols>
  <sheetData>
    <row r="1" spans="2:7" ht="17.25" x14ac:dyDescent="0.2">
      <c r="B1" s="5" t="s">
        <v>3318</v>
      </c>
      <c r="G1" t="str">
        <f>"&lt;dl&gt;&lt;dt&gt;" &amp; B1 &amp; "&lt;/dt&gt;&lt;dd&gt;" &amp; C1 &amp; "&lt;/dd&gt;&lt;dd&gt;" &amp; D1 &amp; "&lt;/dd&gt;&lt;/dl&gt;"</f>
        <v>&lt;dl&gt;&lt;dt&gt;一、三台定义&lt;/dt&gt;&lt;dd&gt;&lt;/dd&gt;&lt;dd&gt;&lt;/dd&gt;&lt;/dl&gt;</v>
      </c>
    </row>
    <row r="3" spans="2:7" x14ac:dyDescent="0.2">
      <c r="B3" s="2" t="s">
        <v>376</v>
      </c>
      <c r="C3" s="2" t="s">
        <v>377</v>
      </c>
      <c r="D3" s="2" t="s">
        <v>21</v>
      </c>
    </row>
    <row r="4" spans="2:7" x14ac:dyDescent="0.2">
      <c r="B4" s="3" t="s">
        <v>624</v>
      </c>
      <c r="C4" s="4" t="s">
        <v>3319</v>
      </c>
      <c r="D4" s="4"/>
    </row>
    <row r="5" spans="2:7" ht="42.75" x14ac:dyDescent="0.2">
      <c r="B5" s="3" t="s">
        <v>378</v>
      </c>
      <c r="C5" s="4" t="s">
        <v>3320</v>
      </c>
      <c r="D5" s="4"/>
    </row>
    <row r="6" spans="2:7" ht="42.75" x14ac:dyDescent="0.2">
      <c r="B6" s="3" t="s">
        <v>1717</v>
      </c>
      <c r="C6" s="4" t="s">
        <v>3321</v>
      </c>
      <c r="D6" s="4"/>
    </row>
    <row r="9" spans="2:7" ht="17.25" x14ac:dyDescent="0.2">
      <c r="B9" s="5" t="s">
        <v>1719</v>
      </c>
    </row>
    <row r="11" spans="2:7" ht="15.75" x14ac:dyDescent="0.2">
      <c r="B11" s="13" t="s">
        <v>1720</v>
      </c>
    </row>
    <row r="13" spans="2:7" x14ac:dyDescent="0.2">
      <c r="B13" s="2" t="s">
        <v>390</v>
      </c>
      <c r="C13" s="2" t="s">
        <v>1818</v>
      </c>
      <c r="D13" s="2" t="s">
        <v>1819</v>
      </c>
    </row>
    <row r="14" spans="2:7" ht="28.5" x14ac:dyDescent="0.2">
      <c r="B14" s="3" t="s">
        <v>3322</v>
      </c>
      <c r="C14" s="4" t="s">
        <v>3323</v>
      </c>
      <c r="D14" s="4" t="s">
        <v>3229</v>
      </c>
    </row>
    <row r="15" spans="2:7" x14ac:dyDescent="0.2">
      <c r="B15" s="3" t="s">
        <v>3324</v>
      </c>
      <c r="C15" s="4" t="s">
        <v>3325</v>
      </c>
      <c r="D15" s="4" t="s">
        <v>3326</v>
      </c>
    </row>
    <row r="16" spans="2:7" ht="28.5" x14ac:dyDescent="0.2">
      <c r="B16" s="3" t="s">
        <v>3327</v>
      </c>
      <c r="C16" s="4" t="s">
        <v>3328</v>
      </c>
      <c r="D16" s="4" t="s">
        <v>3138</v>
      </c>
    </row>
    <row r="17" spans="2:7" ht="28.5" x14ac:dyDescent="0.2">
      <c r="B17" s="3" t="s">
        <v>3329</v>
      </c>
      <c r="C17" s="4" t="s">
        <v>3330</v>
      </c>
      <c r="D17" s="4" t="s">
        <v>3331</v>
      </c>
    </row>
    <row r="18" spans="2:7" ht="28.5" x14ac:dyDescent="0.2">
      <c r="B18" s="3" t="s">
        <v>2556</v>
      </c>
      <c r="C18" s="4" t="s">
        <v>3332</v>
      </c>
      <c r="D18" s="4" t="s">
        <v>3333</v>
      </c>
    </row>
    <row r="21" spans="2:7" ht="17.25" x14ac:dyDescent="0.2">
      <c r="B21" s="5" t="s">
        <v>1733</v>
      </c>
    </row>
    <row r="22" spans="2:7" ht="15" thickBot="1" x14ac:dyDescent="0.25"/>
    <row r="23" spans="2:7" ht="16.5" thickBot="1" x14ac:dyDescent="0.25">
      <c r="B23" s="2" t="s">
        <v>18</v>
      </c>
      <c r="C23" s="2" t="s">
        <v>1818</v>
      </c>
      <c r="D23" s="2" t="s">
        <v>21</v>
      </c>
      <c r="E23" s="12"/>
    </row>
    <row r="24" spans="2:7" ht="29.25" thickBot="1" x14ac:dyDescent="0.25">
      <c r="B24" s="3" t="s">
        <v>201</v>
      </c>
      <c r="C24" s="4" t="s">
        <v>3334</v>
      </c>
      <c r="D24" s="4"/>
      <c r="E24" s="15"/>
      <c r="G24" t="str">
        <f t="shared" ref="G24:G52" si="0">"&lt;dl&gt;&lt;dt&gt;" &amp; B24 &amp; "&lt;/dt&gt;&lt;dd&gt;" &amp; C24 &amp; "&lt;/dd&gt;&lt;dd&gt;" &amp; D24 &amp; "&lt;/dd&gt;&lt;/dl&gt;"</f>
        <v>&lt;dl&gt;&lt;dt&gt;命宫​&lt;/dt&gt;&lt;dd&gt;为人稳重，有上进心，人生发展循序渐进，易获社会地位。&lt;/dd&gt;&lt;dd&gt;&lt;/dd&gt;&lt;/dl&gt;</v>
      </c>
    </row>
    <row r="25" spans="2:7" ht="29.25" thickBot="1" x14ac:dyDescent="0.25">
      <c r="B25" s="3" t="s">
        <v>246</v>
      </c>
      <c r="C25" s="4" t="s">
        <v>3335</v>
      </c>
      <c r="D25" s="4"/>
      <c r="E25" s="15"/>
      <c r="G25" t="str">
        <f t="shared" si="0"/>
        <v>&lt;dl&gt;&lt;dt&gt;兄弟宫​&lt;/dt&gt;&lt;dd&gt;兄弟姐妹或同事中有地位较高者；在团队中能逐步晋升。&lt;/dd&gt;&lt;dd&gt;&lt;/dd&gt;&lt;/dl&gt;</v>
      </c>
    </row>
    <row r="26" spans="2:7" ht="29.25" thickBot="1" x14ac:dyDescent="0.25">
      <c r="B26" s="3" t="s">
        <v>125</v>
      </c>
      <c r="C26" s="4" t="s">
        <v>3336</v>
      </c>
      <c r="D26" s="4"/>
      <c r="E26" s="15"/>
      <c r="G26" t="str">
        <f t="shared" si="0"/>
        <v>&lt;dl&gt;&lt;dt&gt;夫妻宫​&lt;/dt&gt;&lt;dd&gt;配偶社会地位或家庭背景优于自己，或婚姻能提升自身地位。&lt;/dd&gt;&lt;dd&gt;&lt;/dd&gt;&lt;/dl&gt;</v>
      </c>
    </row>
    <row r="27" spans="2:7" ht="29.25" thickBot="1" x14ac:dyDescent="0.25">
      <c r="B27" s="3" t="s">
        <v>128</v>
      </c>
      <c r="C27" s="4" t="s">
        <v>3337</v>
      </c>
      <c r="D27" s="4"/>
      <c r="E27" s="15"/>
      <c r="G27" t="str">
        <f t="shared" si="0"/>
        <v>&lt;dl&gt;&lt;dt&gt;子女宫​&lt;/dt&gt;&lt;dd&gt;子女有出息，能逐步取得成就；合作项目能稳步推进。&lt;/dd&gt;&lt;dd&gt;&lt;/dd&gt;&lt;/dl&gt;</v>
      </c>
    </row>
    <row r="28" spans="2:7" ht="29.25" thickBot="1" x14ac:dyDescent="0.25">
      <c r="B28" s="3" t="s">
        <v>3</v>
      </c>
      <c r="C28" s="4" t="s">
        <v>3338</v>
      </c>
      <c r="D28" s="4"/>
      <c r="E28" s="15"/>
      <c r="G28" t="str">
        <f t="shared" si="0"/>
        <v>&lt;dl&gt;&lt;dt&gt;财帛宫​&lt;/dt&gt;&lt;dd&gt;钱财通过稳步积累或职位晋升而增加，收入有层级性。&lt;/dd&gt;&lt;dd&gt;&lt;/dd&gt;&lt;/dl&gt;</v>
      </c>
    </row>
    <row r="29" spans="2:7" ht="29.25" thickBot="1" x14ac:dyDescent="0.25">
      <c r="B29" s="3" t="s">
        <v>6</v>
      </c>
      <c r="C29" s="4" t="s">
        <v>3339</v>
      </c>
      <c r="D29" s="4"/>
      <c r="E29" s="15"/>
      <c r="G29" t="str">
        <f t="shared" si="0"/>
        <v>&lt;dl&gt;&lt;dt&gt;疾厄宫​&lt;/dt&gt;&lt;dd&gt;病情呈阶段性发展；宜寻访阶梯式（如分级诊疗）的医疗资源。&lt;/dd&gt;&lt;dd&gt;&lt;/dd&gt;&lt;/dl&gt;</v>
      </c>
    </row>
    <row r="30" spans="2:7" ht="28.5" x14ac:dyDescent="0.2">
      <c r="B30" s="3" t="s">
        <v>15</v>
      </c>
      <c r="C30" s="4" t="s">
        <v>3340</v>
      </c>
      <c r="D30" s="4"/>
    </row>
    <row r="31" spans="2:7" ht="28.5" x14ac:dyDescent="0.2">
      <c r="B31" s="3" t="s">
        <v>12</v>
      </c>
      <c r="C31" s="4" t="s">
        <v>3341</v>
      </c>
      <c r="D31" s="4"/>
    </row>
    <row r="32" spans="2:7" ht="28.5" x14ac:dyDescent="0.2">
      <c r="B32" s="3" t="s">
        <v>206</v>
      </c>
      <c r="C32" s="3" t="s">
        <v>3342</v>
      </c>
      <c r="D32" s="4"/>
    </row>
    <row r="33" spans="2:7" ht="29.25" thickBot="1" x14ac:dyDescent="0.25">
      <c r="B33" s="3" t="s">
        <v>0</v>
      </c>
      <c r="C33" s="4" t="s">
        <v>3343</v>
      </c>
      <c r="D33" s="4"/>
    </row>
    <row r="34" spans="2:7" ht="29.25" thickBot="1" x14ac:dyDescent="0.25">
      <c r="B34" s="3" t="s">
        <v>116</v>
      </c>
      <c r="C34" s="4" t="s">
        <v>3344</v>
      </c>
      <c r="D34" s="4"/>
      <c r="E34" s="12"/>
    </row>
    <row r="35" spans="2:7" ht="29.25" thickBot="1" x14ac:dyDescent="0.25">
      <c r="B35" s="3" t="s">
        <v>9</v>
      </c>
      <c r="C35" s="4" t="s">
        <v>3345</v>
      </c>
      <c r="D35" s="4"/>
      <c r="E35" s="15"/>
      <c r="G35" t="str">
        <f t="shared" si="0"/>
        <v>&lt;dl&gt;&lt;dt&gt;父母宫​&lt;/dt&gt;&lt;dd&gt;父母或长辈社会地位较高；易得长辈提携，但需一步步来。&lt;/dd&gt;&lt;dd&gt;&lt;/dd&gt;&lt;/dl&gt;</v>
      </c>
    </row>
    <row r="36" spans="2:7" ht="16.5" thickBot="1" x14ac:dyDescent="0.25">
      <c r="E36" s="15"/>
      <c r="G36" t="str">
        <f t="shared" si="0"/>
        <v>&lt;dl&gt;&lt;dt&gt;&lt;/dt&gt;&lt;dd&gt;&lt;/dd&gt;&lt;dd&gt;&lt;/dd&gt;&lt;/dl&gt;</v>
      </c>
    </row>
    <row r="37" spans="2:7" ht="16.5" thickBot="1" x14ac:dyDescent="0.25">
      <c r="E37" s="15"/>
      <c r="G37" t="str">
        <f t="shared" si="0"/>
        <v>&lt;dl&gt;&lt;dt&gt;&lt;/dt&gt;&lt;dd&gt;&lt;/dd&gt;&lt;dd&gt;&lt;/dd&gt;&lt;/dl&gt;</v>
      </c>
    </row>
    <row r="38" spans="2:7" ht="18" thickBot="1" x14ac:dyDescent="0.25">
      <c r="B38" s="5" t="s">
        <v>734</v>
      </c>
      <c r="E38" s="15"/>
      <c r="G38" t="str">
        <f t="shared" si="0"/>
        <v>&lt;dl&gt;&lt;dt&gt;四、主星组合象义&lt;/dt&gt;&lt;dd&gt;&lt;/dd&gt;&lt;dd&gt;&lt;/dd&gt;&lt;/dl&gt;</v>
      </c>
    </row>
    <row r="39" spans="2:7" ht="16.5" thickBot="1" x14ac:dyDescent="0.25">
      <c r="E39" s="15"/>
      <c r="G39" t="str">
        <f t="shared" si="0"/>
        <v>&lt;dl&gt;&lt;dt&gt;&lt;/dt&gt;&lt;dd&gt;&lt;/dd&gt;&lt;dd&gt;&lt;/dd&gt;&lt;/dl&gt;</v>
      </c>
    </row>
    <row r="40" spans="2:7" ht="16.5" thickBot="1" x14ac:dyDescent="0.25">
      <c r="B40" s="13" t="s">
        <v>3346</v>
      </c>
      <c r="E40" s="15"/>
      <c r="G40" t="str">
        <f t="shared" si="0"/>
        <v>&lt;dl&gt;&lt;dt&gt;1. 增强贵气地位组合&lt;/dt&gt;&lt;dd&gt;&lt;/dd&gt;&lt;dd&gt;&lt;/dd&gt;&lt;/dl&gt;</v>
      </c>
    </row>
    <row r="41" spans="2:7" ht="16.5" thickBot="1" x14ac:dyDescent="0.25">
      <c r="E41" s="15"/>
      <c r="G41" t="str">
        <f t="shared" si="0"/>
        <v>&lt;dl&gt;&lt;dt&gt;&lt;/dt&gt;&lt;dd&gt;&lt;/dd&gt;&lt;dd&gt;&lt;/dd&gt;&lt;/dl&gt;</v>
      </c>
    </row>
    <row r="42" spans="2:7" ht="16.5" thickBot="1" x14ac:dyDescent="0.25">
      <c r="B42" s="2" t="s">
        <v>71</v>
      </c>
      <c r="C42" s="2" t="s">
        <v>1047</v>
      </c>
      <c r="D42" s="2" t="s">
        <v>73</v>
      </c>
      <c r="E42" s="15"/>
      <c r="G42" t="str">
        <f t="shared" si="0"/>
        <v>&lt;dl&gt;&lt;dt&gt;组合​&lt;/dt&gt;&lt;dd&gt;效应​&lt;/dd&gt;&lt;dd&gt;典型案例​&lt;/dd&gt;&lt;/dl&gt;</v>
      </c>
    </row>
    <row r="43" spans="2:7" ht="29.25" thickBot="1" x14ac:dyDescent="0.25">
      <c r="B43" s="3" t="s">
        <v>3347</v>
      </c>
      <c r="C43" s="4" t="s">
        <v>3348</v>
      </c>
      <c r="D43" s="4" t="s">
        <v>3349</v>
      </c>
      <c r="E43" s="15"/>
      <c r="G43" t="str">
        <f t="shared" si="0"/>
        <v>&lt;dl&gt;&lt;dt&gt;三台+紫微​&lt;/dt&gt;&lt;dd&gt;地位尊崇，有明确的权力阶梯，易在政府、大型机构中逐步升至高位。&lt;/dd&gt;&lt;dd&gt;公务员体系内逐级晋升至领导岗位。&lt;/dd&gt;&lt;/dl&gt;</v>
      </c>
    </row>
    <row r="44" spans="2:7" ht="28.5" x14ac:dyDescent="0.2">
      <c r="B44" s="3" t="s">
        <v>3350</v>
      </c>
      <c r="C44" s="4" t="s">
        <v>3351</v>
      </c>
      <c r="D44" s="4" t="s">
        <v>3352</v>
      </c>
    </row>
    <row r="45" spans="2:7" ht="28.5" x14ac:dyDescent="0.2">
      <c r="B45" s="3" t="s">
        <v>3353</v>
      </c>
      <c r="C45" s="4" t="s">
        <v>3354</v>
      </c>
      <c r="D45" s="4" t="s">
        <v>3355</v>
      </c>
    </row>
    <row r="46" spans="2:7" ht="28.5" x14ac:dyDescent="0.2">
      <c r="B46" s="3" t="s">
        <v>3356</v>
      </c>
      <c r="C46" s="4" t="s">
        <v>3357</v>
      </c>
      <c r="D46" s="4" t="s">
        <v>3358</v>
      </c>
    </row>
    <row r="47" spans="2:7" ht="29.25" thickBot="1" x14ac:dyDescent="0.25">
      <c r="B47" s="3" t="s">
        <v>3359</v>
      </c>
      <c r="C47" s="4" t="s">
        <v>3360</v>
      </c>
      <c r="D47" s="4" t="s">
        <v>3361</v>
      </c>
    </row>
    <row r="48" spans="2:7" ht="16.5" thickBot="1" x14ac:dyDescent="0.25">
      <c r="E48" s="12"/>
    </row>
    <row r="49" spans="2:7" ht="16.5" thickBot="1" x14ac:dyDescent="0.25">
      <c r="B49" s="13" t="s">
        <v>3362</v>
      </c>
      <c r="E49" s="15"/>
      <c r="G49" t="str">
        <f t="shared" si="0"/>
        <v>&lt;dl&gt;&lt;dt&gt;2. 专业化与过程性晋升组合&lt;/dt&gt;&lt;dd&gt;&lt;/dd&gt;&lt;dd&gt;&lt;/dd&gt;&lt;/dl&gt;</v>
      </c>
    </row>
    <row r="50" spans="2:7" ht="16.5" thickBot="1" x14ac:dyDescent="0.25">
      <c r="E50" s="15"/>
      <c r="G50" t="str">
        <f t="shared" si="0"/>
        <v>&lt;dl&gt;&lt;dt&gt;&lt;/dt&gt;&lt;dd&gt;&lt;/dd&gt;&lt;dd&gt;&lt;/dd&gt;&lt;/dl&gt;</v>
      </c>
    </row>
    <row r="51" spans="2:7" ht="16.5" thickBot="1" x14ac:dyDescent="0.25">
      <c r="B51" s="2" t="s">
        <v>71</v>
      </c>
      <c r="C51" s="2" t="s">
        <v>1047</v>
      </c>
      <c r="D51" s="2" t="s">
        <v>73</v>
      </c>
      <c r="E51" s="15"/>
      <c r="G51" t="str">
        <f t="shared" si="0"/>
        <v>&lt;dl&gt;&lt;dt&gt;组合​&lt;/dt&gt;&lt;dd&gt;效应​&lt;/dd&gt;&lt;dd&gt;典型案例​&lt;/dd&gt;&lt;/dl&gt;</v>
      </c>
    </row>
    <row r="52" spans="2:7" ht="29.25" thickBot="1" x14ac:dyDescent="0.25">
      <c r="B52" s="3" t="s">
        <v>3363</v>
      </c>
      <c r="C52" s="4" t="s">
        <v>3364</v>
      </c>
      <c r="D52" s="4" t="s">
        <v>3365</v>
      </c>
      <c r="E52" s="15"/>
      <c r="G52" t="str">
        <f t="shared" si="0"/>
        <v>&lt;dl&gt;&lt;dt&gt;三台+天机​&lt;/dt&gt;&lt;dd&gt;通过策划、谋略或技术专长逐步晋升，职位变动有清晰的路径。&lt;/dd&gt;&lt;dd&gt;技术员-&gt;工程师-&gt;高级工程师-&gt;总工程师。&lt;/dd&gt;&lt;/dl&gt;</v>
      </c>
    </row>
    <row r="53" spans="2:7" ht="28.5" x14ac:dyDescent="0.2">
      <c r="B53" s="3" t="s">
        <v>3366</v>
      </c>
      <c r="C53" s="4" t="s">
        <v>3367</v>
      </c>
      <c r="D53" s="4" t="s">
        <v>3368</v>
      </c>
    </row>
    <row r="54" spans="2:7" ht="28.5" x14ac:dyDescent="0.2">
      <c r="B54" s="3" t="s">
        <v>3369</v>
      </c>
      <c r="C54" s="4" t="s">
        <v>3370</v>
      </c>
      <c r="D54" s="4" t="s">
        <v>3371</v>
      </c>
    </row>
    <row r="55" spans="2:7" ht="28.5" x14ac:dyDescent="0.2">
      <c r="B55" s="3" t="s">
        <v>3372</v>
      </c>
      <c r="C55" s="4" t="s">
        <v>3373</v>
      </c>
      <c r="D55" s="4" t="s">
        <v>3374</v>
      </c>
    </row>
    <row r="56" spans="2:7" ht="28.5" x14ac:dyDescent="0.2">
      <c r="B56" s="3" t="s">
        <v>3375</v>
      </c>
      <c r="C56" s="4" t="s">
        <v>3376</v>
      </c>
      <c r="D56" s="4" t="s">
        <v>3377</v>
      </c>
    </row>
    <row r="59" spans="2:7" ht="17.25" x14ac:dyDescent="0.2">
      <c r="B59" s="5" t="s">
        <v>746</v>
      </c>
    </row>
    <row r="61" spans="2:7" x14ac:dyDescent="0.2">
      <c r="B61" s="2" t="s">
        <v>40</v>
      </c>
      <c r="C61" s="2" t="s">
        <v>1414</v>
      </c>
      <c r="D61" s="2" t="s">
        <v>21</v>
      </c>
    </row>
    <row r="62" spans="2:7" ht="28.5" x14ac:dyDescent="0.2">
      <c r="B62" s="3" t="s">
        <v>3378</v>
      </c>
      <c r="C62" s="3" t="s">
        <v>3379</v>
      </c>
      <c r="D62" s="4" t="s">
        <v>3380</v>
      </c>
    </row>
    <row r="63" spans="2:7" ht="28.5" x14ac:dyDescent="0.2">
      <c r="B63" s="3" t="s">
        <v>3381</v>
      </c>
      <c r="C63" s="4" t="s">
        <v>3382</v>
      </c>
      <c r="D63" s="4" t="s">
        <v>3383</v>
      </c>
    </row>
    <row r="64" spans="2:7" ht="28.5" x14ac:dyDescent="0.2">
      <c r="B64" s="3" t="s">
        <v>3384</v>
      </c>
      <c r="C64" s="4" t="s">
        <v>3385</v>
      </c>
      <c r="D64" s="4" t="s">
        <v>3386</v>
      </c>
    </row>
    <row r="65" spans="2:4" ht="28.5" x14ac:dyDescent="0.2">
      <c r="B65" s="3" t="s">
        <v>3387</v>
      </c>
      <c r="C65" s="4" t="s">
        <v>3388</v>
      </c>
      <c r="D65" s="4" t="s">
        <v>3389</v>
      </c>
    </row>
    <row r="66" spans="2:4" ht="28.5" x14ac:dyDescent="0.2">
      <c r="B66" s="3" t="s">
        <v>3390</v>
      </c>
      <c r="C66" s="4" t="s">
        <v>3391</v>
      </c>
      <c r="D66" s="4" t="s">
        <v>3392</v>
      </c>
    </row>
    <row r="67" spans="2:4" ht="28.5" x14ac:dyDescent="0.2">
      <c r="B67" s="3" t="s">
        <v>3393</v>
      </c>
      <c r="C67" s="4" t="s">
        <v>3394</v>
      </c>
      <c r="D67" s="4" t="s">
        <v>3395</v>
      </c>
    </row>
    <row r="68" spans="2:4" ht="28.5" x14ac:dyDescent="0.2">
      <c r="B68" s="3" t="s">
        <v>3396</v>
      </c>
      <c r="C68" s="4" t="s">
        <v>3397</v>
      </c>
      <c r="D68" s="4" t="s">
        <v>3398</v>
      </c>
    </row>
    <row r="69" spans="2:4" ht="28.5" x14ac:dyDescent="0.2">
      <c r="B69" s="3" t="s">
        <v>3399</v>
      </c>
      <c r="C69" s="4" t="s">
        <v>3400</v>
      </c>
      <c r="D69" s="4" t="s">
        <v>3401</v>
      </c>
    </row>
    <row r="70" spans="2:4" ht="28.5" x14ac:dyDescent="0.2">
      <c r="B70" s="3" t="s">
        <v>3402</v>
      </c>
      <c r="C70" s="4" t="s">
        <v>3403</v>
      </c>
      <c r="D70" s="4" t="s">
        <v>3404</v>
      </c>
    </row>
    <row r="71" spans="2:4" ht="28.5" x14ac:dyDescent="0.2">
      <c r="B71" s="3" t="s">
        <v>3405</v>
      </c>
      <c r="C71" s="4" t="s">
        <v>3406</v>
      </c>
      <c r="D71" s="4" t="s">
        <v>3407</v>
      </c>
    </row>
    <row r="74" spans="2:4" ht="17.25" x14ac:dyDescent="0.2">
      <c r="B74" s="5" t="s">
        <v>1805</v>
      </c>
    </row>
    <row r="75" spans="2:4" x14ac:dyDescent="0.2">
      <c r="B75" s="6"/>
    </row>
    <row r="76" spans="2:4" x14ac:dyDescent="0.2">
      <c r="B76" s="7" t="s">
        <v>3408</v>
      </c>
    </row>
    <row r="77" spans="2:4" x14ac:dyDescent="0.2">
      <c r="B77" s="7" t="s">
        <v>3409</v>
      </c>
    </row>
    <row r="78" spans="2:4" x14ac:dyDescent="0.2">
      <c r="B78" s="7" t="s">
        <v>3410</v>
      </c>
    </row>
    <row r="79" spans="2:4" x14ac:dyDescent="0.2">
      <c r="B79" s="7" t="s">
        <v>3411</v>
      </c>
    </row>
    <row r="80" spans="2:4" x14ac:dyDescent="0.2">
      <c r="B80" s="16"/>
    </row>
    <row r="81" spans="2:2" x14ac:dyDescent="0.2">
      <c r="B81" s="6"/>
    </row>
    <row r="82" spans="2:2" x14ac:dyDescent="0.2">
      <c r="B82" s="6"/>
    </row>
  </sheetData>
  <phoneticPr fontId="2" type="noConversion"/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3AF44B-285F-40E0-A1C1-84385AA1FA8B}">
  <dimension ref="B1:G82"/>
  <sheetViews>
    <sheetView zoomScaleNormal="100" workbookViewId="0">
      <selection activeCell="B1" sqref="B1:D79"/>
    </sheetView>
  </sheetViews>
  <sheetFormatPr defaultRowHeight="14.25" x14ac:dyDescent="0.2"/>
  <cols>
    <col min="1" max="1" width="2.75" customWidth="1"/>
    <col min="2" max="2" width="15.625" customWidth="1"/>
    <col min="3" max="3" width="43.125" customWidth="1"/>
    <col min="4" max="4" width="32.75" customWidth="1"/>
  </cols>
  <sheetData>
    <row r="1" spans="2:7" ht="17.25" x14ac:dyDescent="0.2">
      <c r="B1" s="5" t="s">
        <v>3412</v>
      </c>
      <c r="G1" t="str">
        <f>"&lt;dl&gt;&lt;dt&gt;" &amp; B1 &amp; "&lt;/dt&gt;&lt;dd&gt;" &amp; C1 &amp; "&lt;/dd&gt;&lt;dd&gt;" &amp; D1 &amp; "&lt;/dd&gt;&lt;/dl&gt;"</f>
        <v>&lt;dl&gt;&lt;dt&gt;一、八座定义&lt;/dt&gt;&lt;dd&gt;&lt;/dd&gt;&lt;dd&gt;&lt;/dd&gt;&lt;/dl&gt;</v>
      </c>
    </row>
    <row r="3" spans="2:7" x14ac:dyDescent="0.2">
      <c r="B3" s="2" t="s">
        <v>376</v>
      </c>
      <c r="C3" s="2" t="s">
        <v>377</v>
      </c>
      <c r="D3" s="2" t="s">
        <v>21</v>
      </c>
    </row>
    <row r="4" spans="2:7" x14ac:dyDescent="0.2">
      <c r="B4" s="3" t="s">
        <v>624</v>
      </c>
      <c r="C4" s="4" t="s">
        <v>3413</v>
      </c>
      <c r="D4" s="4"/>
    </row>
    <row r="5" spans="2:7" ht="42.75" x14ac:dyDescent="0.2">
      <c r="B5" s="3" t="s">
        <v>378</v>
      </c>
      <c r="C5" s="4" t="s">
        <v>3414</v>
      </c>
      <c r="D5" s="4"/>
    </row>
    <row r="6" spans="2:7" ht="42.75" x14ac:dyDescent="0.2">
      <c r="B6" s="3" t="s">
        <v>1717</v>
      </c>
      <c r="C6" s="4" t="s">
        <v>3415</v>
      </c>
      <c r="D6" s="4"/>
    </row>
    <row r="9" spans="2:7" ht="17.25" x14ac:dyDescent="0.2">
      <c r="B9" s="5" t="s">
        <v>1719</v>
      </c>
    </row>
    <row r="11" spans="2:7" ht="15.75" x14ac:dyDescent="0.2">
      <c r="B11" s="13" t="s">
        <v>1720</v>
      </c>
    </row>
    <row r="13" spans="2:7" x14ac:dyDescent="0.2">
      <c r="B13" s="2" t="s">
        <v>390</v>
      </c>
      <c r="C13" s="2" t="s">
        <v>1818</v>
      </c>
      <c r="D13" s="2" t="s">
        <v>1819</v>
      </c>
    </row>
    <row r="14" spans="2:7" ht="28.5" x14ac:dyDescent="0.2">
      <c r="B14" s="3" t="s">
        <v>3416</v>
      </c>
      <c r="C14" s="4" t="s">
        <v>3417</v>
      </c>
      <c r="D14" s="4" t="s">
        <v>3229</v>
      </c>
    </row>
    <row r="15" spans="2:7" ht="28.5" x14ac:dyDescent="0.2">
      <c r="B15" s="3" t="s">
        <v>3418</v>
      </c>
      <c r="C15" s="4" t="s">
        <v>3419</v>
      </c>
      <c r="D15" s="4" t="s">
        <v>3420</v>
      </c>
    </row>
    <row r="16" spans="2:7" ht="28.5" x14ac:dyDescent="0.2">
      <c r="B16" s="3" t="s">
        <v>3421</v>
      </c>
      <c r="C16" s="4" t="s">
        <v>3422</v>
      </c>
      <c r="D16" s="4" t="s">
        <v>3138</v>
      </c>
    </row>
    <row r="17" spans="2:7" ht="28.5" x14ac:dyDescent="0.2">
      <c r="B17" s="3" t="s">
        <v>3423</v>
      </c>
      <c r="C17" s="4" t="s">
        <v>3424</v>
      </c>
      <c r="D17" s="4" t="s">
        <v>3425</v>
      </c>
    </row>
    <row r="18" spans="2:7" ht="28.5" x14ac:dyDescent="0.2">
      <c r="B18" s="3" t="s">
        <v>3426</v>
      </c>
      <c r="C18" s="4" t="s">
        <v>3427</v>
      </c>
      <c r="D18" s="4" t="s">
        <v>3333</v>
      </c>
    </row>
    <row r="21" spans="2:7" ht="17.25" x14ac:dyDescent="0.2">
      <c r="B21" s="5" t="s">
        <v>1733</v>
      </c>
    </row>
    <row r="22" spans="2:7" ht="15" thickBot="1" x14ac:dyDescent="0.25"/>
    <row r="23" spans="2:7" ht="16.5" thickBot="1" x14ac:dyDescent="0.25">
      <c r="B23" s="2" t="s">
        <v>18</v>
      </c>
      <c r="C23" s="2" t="s">
        <v>1818</v>
      </c>
      <c r="D23" s="2" t="s">
        <v>21</v>
      </c>
      <c r="E23" s="12"/>
    </row>
    <row r="24" spans="2:7" ht="29.25" thickBot="1" x14ac:dyDescent="0.25">
      <c r="B24" s="3" t="s">
        <v>201</v>
      </c>
      <c r="C24" s="4" t="s">
        <v>3428</v>
      </c>
      <c r="D24" s="4"/>
      <c r="E24" s="15"/>
      <c r="G24" t="str">
        <f t="shared" ref="G24:G52" si="0">"&lt;dl&gt;&lt;dt&gt;" &amp; B24 &amp; "&lt;/dt&gt;&lt;dd&gt;" &amp; C24 &amp; "&lt;/dd&gt;&lt;dd&gt;" &amp; D24 &amp; "&lt;/dd&gt;&lt;/dl&gt;"</f>
        <v>&lt;dl&gt;&lt;dt&gt;命宫​&lt;/dt&gt;&lt;dd&gt;为人稳重，安于其位，易获得一定的社会地位并受人尊重。&lt;/dd&gt;&lt;dd&gt;&lt;/dd&gt;&lt;/dl&gt;</v>
      </c>
    </row>
    <row r="25" spans="2:7" ht="29.25" thickBot="1" x14ac:dyDescent="0.25">
      <c r="B25" s="3" t="s">
        <v>246</v>
      </c>
      <c r="C25" s="4" t="s">
        <v>3429</v>
      </c>
      <c r="D25" s="4"/>
      <c r="E25" s="15"/>
      <c r="G25" t="str">
        <f t="shared" si="0"/>
        <v>&lt;dl&gt;&lt;dt&gt;兄弟宫​&lt;/dt&gt;&lt;dd&gt;兄弟姐妹或同事中有人拥有稳定职位；在团队中有固定角色。&lt;/dd&gt;&lt;dd&gt;&lt;/dd&gt;&lt;/dl&gt;</v>
      </c>
    </row>
    <row r="26" spans="2:7" ht="29.25" thickBot="1" x14ac:dyDescent="0.25">
      <c r="B26" s="3" t="s">
        <v>125</v>
      </c>
      <c r="C26" s="4" t="s">
        <v>3430</v>
      </c>
      <c r="D26" s="4"/>
      <c r="E26" s="15"/>
      <c r="G26" t="str">
        <f t="shared" si="0"/>
        <v>&lt;dl&gt;&lt;dt&gt;夫妻宫​&lt;/dt&gt;&lt;dd&gt;配偶有稳定职业或社会地位；婚姻关系安稳，各安其位。&lt;/dd&gt;&lt;dd&gt;&lt;/dd&gt;&lt;/dl&gt;</v>
      </c>
    </row>
    <row r="27" spans="2:7" ht="29.25" thickBot="1" x14ac:dyDescent="0.25">
      <c r="B27" s="3" t="s">
        <v>128</v>
      </c>
      <c r="C27" s="4" t="s">
        <v>3431</v>
      </c>
      <c r="D27" s="4"/>
      <c r="E27" s="15"/>
      <c r="G27" t="str">
        <f t="shared" si="0"/>
        <v>&lt;dl&gt;&lt;dt&gt;子女宫​&lt;/dt&gt;&lt;dd&gt;子女安稳，有固定发展；合作项目有稳定的架构和席位分配。&lt;/dd&gt;&lt;dd&gt;&lt;/dd&gt;&lt;/dl&gt;</v>
      </c>
    </row>
    <row r="28" spans="2:7" ht="29.25" thickBot="1" x14ac:dyDescent="0.25">
      <c r="B28" s="3" t="s">
        <v>3</v>
      </c>
      <c r="C28" s="4" t="s">
        <v>3432</v>
      </c>
      <c r="D28" s="4"/>
      <c r="E28" s="15"/>
      <c r="G28" t="str">
        <f t="shared" si="0"/>
        <v>&lt;dl&gt;&lt;dt&gt;财帛宫​&lt;/dt&gt;&lt;dd&gt;钱财来源稳定，拥有固定资产或稳定的理财座位（如股权）。&lt;/dd&gt;&lt;dd&gt;&lt;/dd&gt;&lt;/dl&gt;</v>
      </c>
    </row>
    <row r="29" spans="2:7" ht="29.25" thickBot="1" x14ac:dyDescent="0.25">
      <c r="B29" s="3" t="s">
        <v>6</v>
      </c>
      <c r="C29" s="4" t="s">
        <v>3433</v>
      </c>
      <c r="D29" s="4"/>
      <c r="E29" s="15"/>
      <c r="G29" t="str">
        <f t="shared" si="0"/>
        <v>&lt;dl&gt;&lt;dt&gt;疾厄宫​&lt;/dt&gt;&lt;dd&gt;病情稳定，有固定的病床或疗养位置；身体需要安稳休养。&lt;/dd&gt;&lt;dd&gt;&lt;/dd&gt;&lt;/dl&gt;</v>
      </c>
    </row>
    <row r="30" spans="2:7" ht="28.5" x14ac:dyDescent="0.2">
      <c r="B30" s="3" t="s">
        <v>15</v>
      </c>
      <c r="C30" s="4" t="s">
        <v>3434</v>
      </c>
      <c r="D30" s="4"/>
    </row>
    <row r="31" spans="2:7" ht="28.5" x14ac:dyDescent="0.2">
      <c r="B31" s="3" t="s">
        <v>12</v>
      </c>
      <c r="C31" s="4" t="s">
        <v>3435</v>
      </c>
      <c r="D31" s="4"/>
    </row>
    <row r="32" spans="2:7" ht="28.5" x14ac:dyDescent="0.2">
      <c r="B32" s="3" t="s">
        <v>206</v>
      </c>
      <c r="C32" s="3" t="s">
        <v>3436</v>
      </c>
      <c r="D32" s="4"/>
    </row>
    <row r="33" spans="2:7" ht="29.25" thickBot="1" x14ac:dyDescent="0.25">
      <c r="B33" s="3" t="s">
        <v>0</v>
      </c>
      <c r="C33" s="3" t="s">
        <v>3437</v>
      </c>
      <c r="D33" s="4"/>
    </row>
    <row r="34" spans="2:7" ht="29.25" thickBot="1" x14ac:dyDescent="0.25">
      <c r="B34" s="3" t="s">
        <v>116</v>
      </c>
      <c r="C34" s="4" t="s">
        <v>3438</v>
      </c>
      <c r="D34" s="4"/>
      <c r="E34" s="12"/>
    </row>
    <row r="35" spans="2:7" ht="29.25" thickBot="1" x14ac:dyDescent="0.25">
      <c r="B35" s="3" t="s">
        <v>9</v>
      </c>
      <c r="C35" s="4" t="s">
        <v>3439</v>
      </c>
      <c r="D35" s="4"/>
      <c r="E35" s="15"/>
      <c r="G35" t="str">
        <f t="shared" si="0"/>
        <v>&lt;dl&gt;&lt;dt&gt;父母宫​&lt;/dt&gt;&lt;dd&gt;父母有稳定职业或社会地位；家庭给予安稳的依靠。&lt;/dd&gt;&lt;dd&gt;&lt;/dd&gt;&lt;/dl&gt;</v>
      </c>
    </row>
    <row r="36" spans="2:7" ht="16.5" thickBot="1" x14ac:dyDescent="0.25">
      <c r="E36" s="15"/>
      <c r="G36" t="str">
        <f t="shared" si="0"/>
        <v>&lt;dl&gt;&lt;dt&gt;&lt;/dt&gt;&lt;dd&gt;&lt;/dd&gt;&lt;dd&gt;&lt;/dd&gt;&lt;/dl&gt;</v>
      </c>
    </row>
    <row r="37" spans="2:7" ht="16.5" thickBot="1" x14ac:dyDescent="0.25">
      <c r="E37" s="15"/>
      <c r="G37" t="str">
        <f t="shared" si="0"/>
        <v>&lt;dl&gt;&lt;dt&gt;&lt;/dt&gt;&lt;dd&gt;&lt;/dd&gt;&lt;dd&gt;&lt;/dd&gt;&lt;/dl&gt;</v>
      </c>
    </row>
    <row r="38" spans="2:7" ht="18" thickBot="1" x14ac:dyDescent="0.25">
      <c r="B38" s="5" t="s">
        <v>734</v>
      </c>
      <c r="E38" s="15"/>
      <c r="G38" t="str">
        <f t="shared" si="0"/>
        <v>&lt;dl&gt;&lt;dt&gt;四、主星组合象义&lt;/dt&gt;&lt;dd&gt;&lt;/dd&gt;&lt;dd&gt;&lt;/dd&gt;&lt;/dl&gt;</v>
      </c>
    </row>
    <row r="39" spans="2:7" ht="16.5" thickBot="1" x14ac:dyDescent="0.25">
      <c r="E39" s="15"/>
      <c r="G39" t="str">
        <f t="shared" si="0"/>
        <v>&lt;dl&gt;&lt;dt&gt;&lt;/dt&gt;&lt;dd&gt;&lt;/dd&gt;&lt;dd&gt;&lt;/dd&gt;&lt;/dl&gt;</v>
      </c>
    </row>
    <row r="40" spans="2:7" ht="16.5" thickBot="1" x14ac:dyDescent="0.25">
      <c r="B40" s="13" t="s">
        <v>3440</v>
      </c>
      <c r="E40" s="15"/>
      <c r="G40" t="str">
        <f t="shared" si="0"/>
        <v>&lt;dl&gt;&lt;dt&gt;1. 增强地位安稳组合&lt;/dt&gt;&lt;dd&gt;&lt;/dd&gt;&lt;dd&gt;&lt;/dd&gt;&lt;/dl&gt;</v>
      </c>
    </row>
    <row r="41" spans="2:7" ht="16.5" thickBot="1" x14ac:dyDescent="0.25">
      <c r="E41" s="15"/>
      <c r="G41" t="str">
        <f t="shared" si="0"/>
        <v>&lt;dl&gt;&lt;dt&gt;&lt;/dt&gt;&lt;dd&gt;&lt;/dd&gt;&lt;dd&gt;&lt;/dd&gt;&lt;/dl&gt;</v>
      </c>
    </row>
    <row r="42" spans="2:7" ht="16.5" thickBot="1" x14ac:dyDescent="0.25">
      <c r="B42" s="2" t="s">
        <v>71</v>
      </c>
      <c r="C42" s="2" t="s">
        <v>1047</v>
      </c>
      <c r="D42" s="2" t="s">
        <v>73</v>
      </c>
      <c r="E42" s="15"/>
      <c r="G42" t="str">
        <f t="shared" si="0"/>
        <v>&lt;dl&gt;&lt;dt&gt;组合​&lt;/dt&gt;&lt;dd&gt;效应​&lt;/dd&gt;&lt;dd&gt;典型案例​&lt;/dd&gt;&lt;/dl&gt;</v>
      </c>
    </row>
    <row r="43" spans="2:7" ht="29.25" thickBot="1" x14ac:dyDescent="0.25">
      <c r="B43" s="3" t="s">
        <v>3441</v>
      </c>
      <c r="C43" s="4" t="s">
        <v>3442</v>
      </c>
      <c r="D43" s="4" t="s">
        <v>3443</v>
      </c>
      <c r="E43" s="15"/>
      <c r="G43" t="str">
        <f t="shared" si="0"/>
        <v>&lt;dl&gt;&lt;dt&gt;八座+紫微​&lt;/dt&gt;&lt;dd&gt;地位尊崇且稳固，拥有权威的座位（如主席位），受人朝拜。&lt;/dd&gt;&lt;dd&gt;企业董事会主席；机构最高领导人。&lt;/dd&gt;&lt;/dl&gt;</v>
      </c>
    </row>
    <row r="44" spans="2:7" ht="28.5" x14ac:dyDescent="0.2">
      <c r="B44" s="3" t="s">
        <v>3444</v>
      </c>
      <c r="C44" s="4" t="s">
        <v>3445</v>
      </c>
      <c r="D44" s="4" t="s">
        <v>3446</v>
      </c>
    </row>
    <row r="45" spans="2:7" ht="28.5" x14ac:dyDescent="0.2">
      <c r="B45" s="3" t="s">
        <v>3447</v>
      </c>
      <c r="C45" s="4" t="s">
        <v>3448</v>
      </c>
      <c r="D45" s="4" t="s">
        <v>3449</v>
      </c>
    </row>
    <row r="46" spans="2:7" ht="28.5" x14ac:dyDescent="0.2">
      <c r="B46" s="3" t="s">
        <v>3450</v>
      </c>
      <c r="C46" s="4" t="s">
        <v>3451</v>
      </c>
      <c r="D46" s="4" t="s">
        <v>3452</v>
      </c>
    </row>
    <row r="47" spans="2:7" ht="15" thickBot="1" x14ac:dyDescent="0.25">
      <c r="B47" s="3" t="s">
        <v>3453</v>
      </c>
      <c r="C47" s="4" t="s">
        <v>3454</v>
      </c>
      <c r="D47" s="4" t="s">
        <v>3455</v>
      </c>
    </row>
    <row r="48" spans="2:7" ht="16.5" thickBot="1" x14ac:dyDescent="0.25">
      <c r="E48" s="12"/>
    </row>
    <row r="49" spans="2:7" ht="16.5" thickBot="1" x14ac:dyDescent="0.25">
      <c r="B49" s="13" t="s">
        <v>3456</v>
      </c>
      <c r="E49" s="15"/>
      <c r="G49" t="str">
        <f t="shared" si="0"/>
        <v>&lt;dl&gt;&lt;dt&gt;2. 专业化与安稳享受组合&lt;/dt&gt;&lt;dd&gt;&lt;/dd&gt;&lt;dd&gt;&lt;/dd&gt;&lt;/dl&gt;</v>
      </c>
    </row>
    <row r="50" spans="2:7" ht="16.5" thickBot="1" x14ac:dyDescent="0.25">
      <c r="E50" s="15"/>
      <c r="G50" t="str">
        <f t="shared" si="0"/>
        <v>&lt;dl&gt;&lt;dt&gt;&lt;/dt&gt;&lt;dd&gt;&lt;/dd&gt;&lt;dd&gt;&lt;/dd&gt;&lt;/dl&gt;</v>
      </c>
    </row>
    <row r="51" spans="2:7" ht="16.5" thickBot="1" x14ac:dyDescent="0.25">
      <c r="B51" s="2" t="s">
        <v>71</v>
      </c>
      <c r="C51" s="2" t="s">
        <v>1047</v>
      </c>
      <c r="D51" s="2" t="s">
        <v>73</v>
      </c>
      <c r="E51" s="15"/>
      <c r="G51" t="str">
        <f t="shared" si="0"/>
        <v>&lt;dl&gt;&lt;dt&gt;组合​&lt;/dt&gt;&lt;dd&gt;效应​&lt;/dd&gt;&lt;dd&gt;典型案例​&lt;/dd&gt;&lt;/dl&gt;</v>
      </c>
    </row>
    <row r="52" spans="2:7" ht="29.25" thickBot="1" x14ac:dyDescent="0.25">
      <c r="B52" s="3" t="s">
        <v>3457</v>
      </c>
      <c r="C52" s="4" t="s">
        <v>3458</v>
      </c>
      <c r="D52" s="4" t="s">
        <v>3459</v>
      </c>
      <c r="E52" s="15"/>
      <c r="G52" t="str">
        <f t="shared" si="0"/>
        <v>&lt;dl&gt;&lt;dt&gt;八座+天同​&lt;/dt&gt;&lt;dd&gt;福气安稳，拥有享受生活的条件和位置，工作轻松有保障。&lt;/dd&gt;&lt;dd&gt;福利待遇优厚的国企职员；退休老干部。&lt;/dd&gt;&lt;/dl&gt;</v>
      </c>
    </row>
    <row r="53" spans="2:7" ht="28.5" x14ac:dyDescent="0.2">
      <c r="B53" s="3" t="s">
        <v>3460</v>
      </c>
      <c r="C53" s="4" t="s">
        <v>3461</v>
      </c>
      <c r="D53" s="4" t="s">
        <v>3462</v>
      </c>
    </row>
    <row r="54" spans="2:7" ht="28.5" x14ac:dyDescent="0.2">
      <c r="B54" s="3" t="s">
        <v>3463</v>
      </c>
      <c r="C54" s="4" t="s">
        <v>3464</v>
      </c>
      <c r="D54" s="4" t="s">
        <v>3465</v>
      </c>
    </row>
    <row r="55" spans="2:7" ht="28.5" x14ac:dyDescent="0.2">
      <c r="B55" s="3" t="s">
        <v>3466</v>
      </c>
      <c r="C55" s="4" t="s">
        <v>3467</v>
      </c>
      <c r="D55" s="4" t="s">
        <v>3468</v>
      </c>
    </row>
    <row r="56" spans="2:7" ht="28.5" x14ac:dyDescent="0.2">
      <c r="B56" s="3" t="s">
        <v>3469</v>
      </c>
      <c r="C56" s="4" t="s">
        <v>3470</v>
      </c>
      <c r="D56" s="4" t="s">
        <v>3471</v>
      </c>
    </row>
    <row r="59" spans="2:7" ht="17.25" x14ac:dyDescent="0.2">
      <c r="B59" s="5" t="s">
        <v>746</v>
      </c>
    </row>
    <row r="61" spans="2:7" x14ac:dyDescent="0.2">
      <c r="B61" s="2" t="s">
        <v>40</v>
      </c>
      <c r="C61" s="2" t="s">
        <v>1414</v>
      </c>
      <c r="D61" s="2" t="s">
        <v>21</v>
      </c>
    </row>
    <row r="62" spans="2:7" ht="42.75" x14ac:dyDescent="0.2">
      <c r="B62" s="3" t="s">
        <v>3472</v>
      </c>
      <c r="C62" s="3" t="s">
        <v>3473</v>
      </c>
      <c r="D62" s="4" t="s">
        <v>3474</v>
      </c>
    </row>
    <row r="63" spans="2:7" ht="28.5" x14ac:dyDescent="0.2">
      <c r="B63" s="3" t="s">
        <v>3475</v>
      </c>
      <c r="C63" s="4" t="s">
        <v>3476</v>
      </c>
      <c r="D63" s="4" t="s">
        <v>3477</v>
      </c>
    </row>
    <row r="64" spans="2:7" ht="28.5" x14ac:dyDescent="0.2">
      <c r="B64" s="3" t="s">
        <v>3478</v>
      </c>
      <c r="C64" s="4" t="s">
        <v>3479</v>
      </c>
      <c r="D64" s="4" t="s">
        <v>3480</v>
      </c>
    </row>
    <row r="65" spans="2:4" ht="28.5" x14ac:dyDescent="0.2">
      <c r="B65" s="3" t="s">
        <v>3481</v>
      </c>
      <c r="C65" s="4" t="s">
        <v>3482</v>
      </c>
      <c r="D65" s="4" t="s">
        <v>3483</v>
      </c>
    </row>
    <row r="66" spans="2:4" x14ac:dyDescent="0.2">
      <c r="B66" s="3" t="s">
        <v>3484</v>
      </c>
      <c r="C66" s="4" t="s">
        <v>3485</v>
      </c>
      <c r="D66" s="4" t="s">
        <v>3486</v>
      </c>
    </row>
    <row r="67" spans="2:4" ht="28.5" x14ac:dyDescent="0.2">
      <c r="B67" s="3" t="s">
        <v>3487</v>
      </c>
      <c r="C67" s="4" t="s">
        <v>3488</v>
      </c>
      <c r="D67" s="4" t="s">
        <v>3489</v>
      </c>
    </row>
    <row r="68" spans="2:4" ht="28.5" x14ac:dyDescent="0.2">
      <c r="B68" s="3" t="s">
        <v>3490</v>
      </c>
      <c r="C68" s="4" t="s">
        <v>3491</v>
      </c>
      <c r="D68" s="4" t="s">
        <v>3492</v>
      </c>
    </row>
    <row r="69" spans="2:4" ht="28.5" x14ac:dyDescent="0.2">
      <c r="B69" s="3" t="s">
        <v>3493</v>
      </c>
      <c r="C69" s="4" t="s">
        <v>3494</v>
      </c>
      <c r="D69" s="4" t="s">
        <v>3495</v>
      </c>
    </row>
    <row r="70" spans="2:4" ht="28.5" x14ac:dyDescent="0.2">
      <c r="B70" s="3" t="s">
        <v>3496</v>
      </c>
      <c r="C70" s="4" t="s">
        <v>3497</v>
      </c>
      <c r="D70" s="4" t="s">
        <v>3498</v>
      </c>
    </row>
    <row r="71" spans="2:4" x14ac:dyDescent="0.2">
      <c r="B71" s="3" t="s">
        <v>3499</v>
      </c>
      <c r="C71" s="4" t="s">
        <v>3500</v>
      </c>
      <c r="D71" s="4" t="s">
        <v>3501</v>
      </c>
    </row>
    <row r="74" spans="2:4" ht="17.25" x14ac:dyDescent="0.2">
      <c r="B74" s="5" t="s">
        <v>1805</v>
      </c>
    </row>
    <row r="75" spans="2:4" x14ac:dyDescent="0.2">
      <c r="B75" s="6"/>
    </row>
    <row r="76" spans="2:4" x14ac:dyDescent="0.2">
      <c r="B76" s="7" t="s">
        <v>3502</v>
      </c>
    </row>
    <row r="77" spans="2:4" x14ac:dyDescent="0.2">
      <c r="B77" s="7" t="s">
        <v>3503</v>
      </c>
    </row>
    <row r="78" spans="2:4" x14ac:dyDescent="0.2">
      <c r="B78" s="7" t="s">
        <v>3504</v>
      </c>
    </row>
    <row r="79" spans="2:4" x14ac:dyDescent="0.2">
      <c r="B79" s="7" t="s">
        <v>3505</v>
      </c>
    </row>
    <row r="80" spans="2:4" x14ac:dyDescent="0.2">
      <c r="B80" s="16"/>
    </row>
    <row r="81" spans="2:2" x14ac:dyDescent="0.2">
      <c r="B81" s="6"/>
    </row>
    <row r="82" spans="2:2" x14ac:dyDescent="0.2">
      <c r="B82" s="6"/>
    </row>
  </sheetData>
  <phoneticPr fontId="2" type="noConversion"/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CC1F8E-85E9-4535-B120-4444CBFF718C}">
  <dimension ref="B1:G82"/>
  <sheetViews>
    <sheetView topLeftCell="A18" zoomScaleNormal="100" workbookViewId="0">
      <selection activeCell="B1" sqref="B1:D79"/>
    </sheetView>
  </sheetViews>
  <sheetFormatPr defaultRowHeight="14.25" x14ac:dyDescent="0.2"/>
  <cols>
    <col min="1" max="1" width="2.75" customWidth="1"/>
    <col min="2" max="2" width="15.625" customWidth="1"/>
    <col min="3" max="3" width="43.125" customWidth="1"/>
    <col min="4" max="4" width="32.75" customWidth="1"/>
  </cols>
  <sheetData>
    <row r="1" spans="2:7" ht="17.25" x14ac:dyDescent="0.2">
      <c r="B1" s="5" t="s">
        <v>3697</v>
      </c>
      <c r="G1" t="str">
        <f>"&lt;dl&gt;&lt;dt&gt;" &amp; B1 &amp; "&lt;/dt&gt;&lt;dd&gt;" &amp; C1 &amp; "&lt;/dd&gt;&lt;dd&gt;" &amp; D1 &amp; "&lt;/dd&gt;&lt;/dl&gt;"</f>
        <v>&lt;dl&gt;&lt;dt&gt;一、天才定义&lt;/dt&gt;&lt;dd&gt;&lt;/dd&gt;&lt;dd&gt;&lt;/dd&gt;&lt;/dl&gt;</v>
      </c>
    </row>
    <row r="3" spans="2:7" x14ac:dyDescent="0.2">
      <c r="B3" s="2" t="s">
        <v>376</v>
      </c>
      <c r="C3" s="2" t="s">
        <v>377</v>
      </c>
      <c r="D3" s="2" t="s">
        <v>21</v>
      </c>
    </row>
    <row r="4" spans="2:7" x14ac:dyDescent="0.2">
      <c r="B4" s="3" t="s">
        <v>624</v>
      </c>
      <c r="C4" s="4" t="s">
        <v>3698</v>
      </c>
      <c r="D4" s="4"/>
    </row>
    <row r="5" spans="2:7" ht="28.5" x14ac:dyDescent="0.2">
      <c r="B5" s="3" t="s">
        <v>378</v>
      </c>
      <c r="C5" s="4" t="s">
        <v>3699</v>
      </c>
      <c r="D5" s="4"/>
    </row>
    <row r="6" spans="2:7" ht="42.75" x14ac:dyDescent="0.2">
      <c r="B6" s="3" t="s">
        <v>1717</v>
      </c>
      <c r="C6" s="4" t="s">
        <v>3700</v>
      </c>
      <c r="D6" s="4"/>
    </row>
    <row r="9" spans="2:7" ht="17.25" x14ac:dyDescent="0.2">
      <c r="B9" s="5" t="s">
        <v>1719</v>
      </c>
    </row>
    <row r="11" spans="2:7" ht="15.75" x14ac:dyDescent="0.2">
      <c r="B11" s="13" t="s">
        <v>1720</v>
      </c>
    </row>
    <row r="13" spans="2:7" x14ac:dyDescent="0.2">
      <c r="B13" s="2" t="s">
        <v>390</v>
      </c>
      <c r="C13" s="2" t="s">
        <v>1818</v>
      </c>
      <c r="D13" s="2" t="s">
        <v>1819</v>
      </c>
    </row>
    <row r="14" spans="2:7" x14ac:dyDescent="0.2">
      <c r="B14" s="3" t="s">
        <v>3701</v>
      </c>
      <c r="C14" s="4" t="s">
        <v>3702</v>
      </c>
      <c r="D14" s="4" t="s">
        <v>2461</v>
      </c>
    </row>
    <row r="15" spans="2:7" x14ac:dyDescent="0.2">
      <c r="B15" s="3" t="s">
        <v>3703</v>
      </c>
      <c r="C15" s="4" t="s">
        <v>3704</v>
      </c>
      <c r="D15" s="4" t="s">
        <v>3705</v>
      </c>
    </row>
    <row r="16" spans="2:7" x14ac:dyDescent="0.2">
      <c r="B16" s="3" t="s">
        <v>3706</v>
      </c>
      <c r="C16" s="4" t="s">
        <v>3707</v>
      </c>
      <c r="D16" s="4" t="s">
        <v>3708</v>
      </c>
    </row>
    <row r="17" spans="2:7" x14ac:dyDescent="0.2">
      <c r="B17" s="3" t="s">
        <v>3709</v>
      </c>
      <c r="C17" s="4" t="s">
        <v>3710</v>
      </c>
      <c r="D17" s="4" t="s">
        <v>3711</v>
      </c>
    </row>
    <row r="18" spans="2:7" x14ac:dyDescent="0.2">
      <c r="B18" s="3" t="s">
        <v>3712</v>
      </c>
      <c r="C18" s="4" t="s">
        <v>3713</v>
      </c>
      <c r="D18" s="4" t="s">
        <v>3714</v>
      </c>
    </row>
    <row r="21" spans="2:7" ht="17.25" x14ac:dyDescent="0.2">
      <c r="B21" s="5" t="s">
        <v>1733</v>
      </c>
    </row>
    <row r="22" spans="2:7" ht="15" thickBot="1" x14ac:dyDescent="0.25"/>
    <row r="23" spans="2:7" ht="16.5" thickBot="1" x14ac:dyDescent="0.25">
      <c r="B23" s="2" t="s">
        <v>18</v>
      </c>
      <c r="C23" s="2" t="s">
        <v>1818</v>
      </c>
      <c r="D23" s="2" t="s">
        <v>21</v>
      </c>
      <c r="E23" s="12"/>
    </row>
    <row r="24" spans="2:7" ht="16.5" thickBot="1" x14ac:dyDescent="0.25">
      <c r="B24" s="3" t="s">
        <v>201</v>
      </c>
      <c r="C24" s="4" t="s">
        <v>3715</v>
      </c>
      <c r="D24" s="4"/>
      <c r="E24" s="15"/>
      <c r="G24" t="str">
        <f t="shared" ref="G24:G52" si="0">"&lt;dl&gt;&lt;dt&gt;" &amp; B24 &amp; "&lt;/dt&gt;&lt;dd&gt;" &amp; C24 &amp; "&lt;/dd&gt;&lt;dd&gt;" &amp; D24 &amp; "&lt;/dd&gt;&lt;/dl&gt;"</f>
        <v>&lt;dl&gt;&lt;dt&gt;命宫​&lt;/dt&gt;&lt;dd&gt;天生聪明，悟性高，学习能力强，多才多艺。&lt;/dd&gt;&lt;dd&gt;&lt;/dd&gt;&lt;/dl&gt;</v>
      </c>
    </row>
    <row r="25" spans="2:7" ht="16.5" thickBot="1" x14ac:dyDescent="0.25">
      <c r="B25" s="3" t="s">
        <v>246</v>
      </c>
      <c r="C25" s="4" t="s">
        <v>3716</v>
      </c>
      <c r="D25" s="4"/>
      <c r="E25" s="15"/>
      <c r="G25" t="str">
        <f t="shared" si="0"/>
        <v>&lt;dl&gt;&lt;dt&gt;兄弟宫​&lt;/dt&gt;&lt;dd&gt;兄弟姐妹聪明有才华；在团队中能与聪明人为伍。&lt;/dd&gt;&lt;dd&gt;&lt;/dd&gt;&lt;/dl&gt;</v>
      </c>
    </row>
    <row r="26" spans="2:7" ht="16.5" thickBot="1" x14ac:dyDescent="0.25">
      <c r="B26" s="3" t="s">
        <v>125</v>
      </c>
      <c r="C26" s="4" t="s">
        <v>3717</v>
      </c>
      <c r="D26" s="4"/>
      <c r="E26" s="15"/>
      <c r="G26" t="str">
        <f t="shared" si="0"/>
        <v>&lt;dl&gt;&lt;dt&gt;夫妻宫​&lt;/dt&gt;&lt;dd&gt;配偶聪明或有特殊才华；婚姻中注重精神交流。&lt;/dd&gt;&lt;dd&gt;&lt;/dd&gt;&lt;/dl&gt;</v>
      </c>
    </row>
    <row r="27" spans="2:7" ht="29.25" thickBot="1" x14ac:dyDescent="0.25">
      <c r="B27" s="3" t="s">
        <v>128</v>
      </c>
      <c r="C27" s="4" t="s">
        <v>3718</v>
      </c>
      <c r="D27" s="4"/>
      <c r="E27" s="15"/>
      <c r="G27" t="str">
        <f t="shared" si="0"/>
        <v>&lt;dl&gt;&lt;dt&gt;子女宫​&lt;/dt&gt;&lt;dd&gt;子女聪明伶俐，有艺术或学术天赋；合作方有创意。&lt;/dd&gt;&lt;dd&gt;&lt;/dd&gt;&lt;/dl&gt;</v>
      </c>
    </row>
    <row r="28" spans="2:7" ht="29.25" thickBot="1" x14ac:dyDescent="0.25">
      <c r="B28" s="3" t="s">
        <v>3</v>
      </c>
      <c r="C28" s="4" t="s">
        <v>3719</v>
      </c>
      <c r="D28" s="4"/>
      <c r="E28" s="15"/>
      <c r="G28" t="str">
        <f t="shared" si="0"/>
        <v>&lt;dl&gt;&lt;dt&gt;财帛宫​&lt;/dt&gt;&lt;dd&gt;以智慧、才华、创意赚钱，适合脑力劳动或技术行业。&lt;/dd&gt;&lt;dd&gt;&lt;/dd&gt;&lt;/dl&gt;</v>
      </c>
    </row>
    <row r="29" spans="2:7" ht="29.25" thickBot="1" x14ac:dyDescent="0.25">
      <c r="B29" s="3" t="s">
        <v>6</v>
      </c>
      <c r="C29" s="4" t="s">
        <v>3720</v>
      </c>
      <c r="D29" s="4"/>
      <c r="E29" s="15"/>
      <c r="G29" t="str">
        <f t="shared" si="0"/>
        <v>&lt;dl&gt;&lt;dt&gt;疾厄宫​&lt;/dt&gt;&lt;dd&gt;头脑聪慧，但易思虑过度导致神经衰弱、失眠等问题。&lt;/dd&gt;&lt;dd&gt;&lt;/dd&gt;&lt;/dl&gt;</v>
      </c>
    </row>
    <row r="30" spans="2:7" x14ac:dyDescent="0.2">
      <c r="B30" s="3" t="s">
        <v>15</v>
      </c>
      <c r="C30" s="4" t="s">
        <v>3721</v>
      </c>
      <c r="D30" s="4"/>
    </row>
    <row r="31" spans="2:7" x14ac:dyDescent="0.2">
      <c r="B31" s="3" t="s">
        <v>12</v>
      </c>
      <c r="C31" s="4" t="s">
        <v>3722</v>
      </c>
      <c r="D31" s="4"/>
    </row>
    <row r="32" spans="2:7" ht="28.5" x14ac:dyDescent="0.2">
      <c r="B32" s="3" t="s">
        <v>206</v>
      </c>
      <c r="C32" s="3" t="s">
        <v>3723</v>
      </c>
      <c r="D32" s="4"/>
    </row>
    <row r="33" spans="2:7" ht="29.25" thickBot="1" x14ac:dyDescent="0.25">
      <c r="B33" s="3" t="s">
        <v>0</v>
      </c>
      <c r="C33" s="4" t="s">
        <v>3724</v>
      </c>
      <c r="D33" s="4"/>
    </row>
    <row r="34" spans="2:7" ht="29.25" thickBot="1" x14ac:dyDescent="0.25">
      <c r="B34" s="3" t="s">
        <v>116</v>
      </c>
      <c r="C34" s="4" t="s">
        <v>3725</v>
      </c>
      <c r="D34" s="4"/>
      <c r="E34" s="12"/>
    </row>
    <row r="35" spans="2:7" ht="29.25" thickBot="1" x14ac:dyDescent="0.25">
      <c r="B35" s="3" t="s">
        <v>9</v>
      </c>
      <c r="C35" s="4" t="s">
        <v>3726</v>
      </c>
      <c r="D35" s="4"/>
      <c r="E35" s="15"/>
      <c r="G35" t="str">
        <f t="shared" si="0"/>
        <v>&lt;dl&gt;&lt;dt&gt;父母宫​&lt;/dt&gt;&lt;dd&gt;父母聪明，重视教育；遗传到良好的智力与学习天赋。&lt;/dd&gt;&lt;dd&gt;&lt;/dd&gt;&lt;/dl&gt;</v>
      </c>
    </row>
    <row r="36" spans="2:7" ht="16.5" thickBot="1" x14ac:dyDescent="0.25">
      <c r="E36" s="15"/>
      <c r="G36" t="str">
        <f t="shared" si="0"/>
        <v>&lt;dl&gt;&lt;dt&gt;&lt;/dt&gt;&lt;dd&gt;&lt;/dd&gt;&lt;dd&gt;&lt;/dd&gt;&lt;/dl&gt;</v>
      </c>
    </row>
    <row r="37" spans="2:7" ht="16.5" thickBot="1" x14ac:dyDescent="0.25">
      <c r="E37" s="15"/>
      <c r="G37" t="str">
        <f t="shared" si="0"/>
        <v>&lt;dl&gt;&lt;dt&gt;&lt;/dt&gt;&lt;dd&gt;&lt;/dd&gt;&lt;dd&gt;&lt;/dd&gt;&lt;/dl&gt;</v>
      </c>
    </row>
    <row r="38" spans="2:7" ht="18" thickBot="1" x14ac:dyDescent="0.25">
      <c r="B38" s="5" t="s">
        <v>734</v>
      </c>
      <c r="E38" s="15"/>
      <c r="G38" t="str">
        <f t="shared" si="0"/>
        <v>&lt;dl&gt;&lt;dt&gt;四、主星组合象义&lt;/dt&gt;&lt;dd&gt;&lt;/dd&gt;&lt;dd&gt;&lt;/dd&gt;&lt;/dl&gt;</v>
      </c>
    </row>
    <row r="39" spans="2:7" ht="16.5" thickBot="1" x14ac:dyDescent="0.25">
      <c r="E39" s="15"/>
      <c r="G39" t="str">
        <f t="shared" si="0"/>
        <v>&lt;dl&gt;&lt;dt&gt;&lt;/dt&gt;&lt;dd&gt;&lt;/dd&gt;&lt;dd&gt;&lt;/dd&gt;&lt;/dl&gt;</v>
      </c>
    </row>
    <row r="40" spans="2:7" ht="16.5" thickBot="1" x14ac:dyDescent="0.25">
      <c r="B40" s="13" t="s">
        <v>3727</v>
      </c>
      <c r="E40" s="15"/>
      <c r="G40" t="str">
        <f t="shared" si="0"/>
        <v>&lt;dl&gt;&lt;dt&gt;1. 增强智慧才华组合&lt;/dt&gt;&lt;dd&gt;&lt;/dd&gt;&lt;dd&gt;&lt;/dd&gt;&lt;/dl&gt;</v>
      </c>
    </row>
    <row r="41" spans="2:7" ht="16.5" thickBot="1" x14ac:dyDescent="0.25">
      <c r="E41" s="15"/>
      <c r="G41" t="str">
        <f t="shared" si="0"/>
        <v>&lt;dl&gt;&lt;dt&gt;&lt;/dt&gt;&lt;dd&gt;&lt;/dd&gt;&lt;dd&gt;&lt;/dd&gt;&lt;/dl&gt;</v>
      </c>
    </row>
    <row r="42" spans="2:7" ht="16.5" thickBot="1" x14ac:dyDescent="0.25">
      <c r="B42" s="2" t="s">
        <v>71</v>
      </c>
      <c r="C42" s="2" t="s">
        <v>1047</v>
      </c>
      <c r="D42" s="2" t="s">
        <v>73</v>
      </c>
      <c r="E42" s="15"/>
      <c r="G42" t="str">
        <f t="shared" si="0"/>
        <v>&lt;dl&gt;&lt;dt&gt;组合​&lt;/dt&gt;&lt;dd&gt;效应​&lt;/dd&gt;&lt;dd&gt;典型案例​&lt;/dd&gt;&lt;/dl&gt;</v>
      </c>
    </row>
    <row r="43" spans="2:7" ht="29.25" thickBot="1" x14ac:dyDescent="0.25">
      <c r="B43" s="3" t="s">
        <v>3728</v>
      </c>
      <c r="C43" s="4" t="s">
        <v>3729</v>
      </c>
      <c r="D43" s="4" t="s">
        <v>3730</v>
      </c>
      <c r="E43" s="15"/>
      <c r="G43" t="str">
        <f t="shared" si="0"/>
        <v>&lt;dl&gt;&lt;dt&gt;天才+紫微​&lt;/dt&gt;&lt;dd&gt;拥有领导型智慧，格局大，有战略眼光，能统筹全局。&lt;/dd&gt;&lt;dd&gt;企业战略家；政府智囊团核心。&lt;/dd&gt;&lt;/dl&gt;</v>
      </c>
    </row>
    <row r="44" spans="2:7" ht="28.5" x14ac:dyDescent="0.2">
      <c r="B44" s="3" t="s">
        <v>3731</v>
      </c>
      <c r="C44" s="4" t="s">
        <v>3732</v>
      </c>
      <c r="D44" s="4" t="s">
        <v>3733</v>
      </c>
    </row>
    <row r="45" spans="2:7" ht="28.5" x14ac:dyDescent="0.2">
      <c r="B45" s="3" t="s">
        <v>3734</v>
      </c>
      <c r="C45" s="3" t="s">
        <v>3735</v>
      </c>
      <c r="D45" s="4" t="s">
        <v>3736</v>
      </c>
    </row>
    <row r="46" spans="2:7" ht="28.5" x14ac:dyDescent="0.2">
      <c r="B46" s="3" t="s">
        <v>3737</v>
      </c>
      <c r="C46" s="4" t="s">
        <v>3738</v>
      </c>
      <c r="D46" s="4" t="s">
        <v>3739</v>
      </c>
    </row>
    <row r="47" spans="2:7" ht="29.25" thickBot="1" x14ac:dyDescent="0.25">
      <c r="B47" s="3" t="s">
        <v>3740</v>
      </c>
      <c r="C47" s="4" t="s">
        <v>3741</v>
      </c>
      <c r="D47" s="4" t="s">
        <v>3742</v>
      </c>
    </row>
    <row r="48" spans="2:7" ht="16.5" thickBot="1" x14ac:dyDescent="0.25">
      <c r="E48" s="12"/>
    </row>
    <row r="49" spans="2:7" ht="16.5" thickBot="1" x14ac:dyDescent="0.25">
      <c r="B49" s="13" t="s">
        <v>3743</v>
      </c>
      <c r="E49" s="15"/>
      <c r="G49" t="str">
        <f t="shared" si="0"/>
        <v>&lt;dl&gt;&lt;dt&gt;2. 专业化与领悟力组合&lt;/dt&gt;&lt;dd&gt;&lt;/dd&gt;&lt;dd&gt;&lt;/dd&gt;&lt;/dl&gt;</v>
      </c>
    </row>
    <row r="50" spans="2:7" ht="16.5" thickBot="1" x14ac:dyDescent="0.25">
      <c r="E50" s="15"/>
      <c r="G50" t="str">
        <f t="shared" si="0"/>
        <v>&lt;dl&gt;&lt;dt&gt;&lt;/dt&gt;&lt;dd&gt;&lt;/dd&gt;&lt;dd&gt;&lt;/dd&gt;&lt;/dl&gt;</v>
      </c>
    </row>
    <row r="51" spans="2:7" ht="16.5" thickBot="1" x14ac:dyDescent="0.25">
      <c r="B51" s="2" t="s">
        <v>71</v>
      </c>
      <c r="C51" s="2" t="s">
        <v>1047</v>
      </c>
      <c r="D51" s="2" t="s">
        <v>73</v>
      </c>
      <c r="E51" s="15"/>
      <c r="G51" t="str">
        <f t="shared" si="0"/>
        <v>&lt;dl&gt;&lt;dt&gt;组合​&lt;/dt&gt;&lt;dd&gt;效应​&lt;/dd&gt;&lt;dd&gt;典型案例​&lt;/dd&gt;&lt;/dl&gt;</v>
      </c>
    </row>
    <row r="52" spans="2:7" ht="29.25" thickBot="1" x14ac:dyDescent="0.25">
      <c r="B52" s="3" t="s">
        <v>3744</v>
      </c>
      <c r="C52" s="4" t="s">
        <v>3745</v>
      </c>
      <c r="D52" s="4" t="s">
        <v>3746</v>
      </c>
      <c r="E52" s="15"/>
      <c r="G52" t="str">
        <f t="shared" si="0"/>
        <v>&lt;dl&gt;&lt;dt&gt;天才+廉贞​&lt;/dt&gt;&lt;dd&gt;才华用于复杂人际、政治或艺术领域，心思缜密，有创作或谋略天赋。&lt;/dd&gt;&lt;dd&gt;政治家；复杂系统设计师；画家。&lt;/dd&gt;&lt;/dl&gt;</v>
      </c>
    </row>
    <row r="53" spans="2:7" ht="28.5" x14ac:dyDescent="0.2">
      <c r="B53" s="3" t="s">
        <v>3747</v>
      </c>
      <c r="C53" s="4" t="s">
        <v>3748</v>
      </c>
      <c r="D53" s="4" t="s">
        <v>3749</v>
      </c>
    </row>
    <row r="54" spans="2:7" ht="28.5" x14ac:dyDescent="0.2">
      <c r="B54" s="3" t="s">
        <v>3750</v>
      </c>
      <c r="C54" s="4" t="s">
        <v>3751</v>
      </c>
      <c r="D54" s="4" t="s">
        <v>3752</v>
      </c>
    </row>
    <row r="55" spans="2:7" ht="28.5" x14ac:dyDescent="0.2">
      <c r="B55" s="3" t="s">
        <v>3753</v>
      </c>
      <c r="C55" s="4" t="s">
        <v>3754</v>
      </c>
      <c r="D55" s="4" t="s">
        <v>3755</v>
      </c>
    </row>
    <row r="56" spans="2:7" ht="28.5" x14ac:dyDescent="0.2">
      <c r="B56" s="3" t="s">
        <v>3756</v>
      </c>
      <c r="C56" s="4" t="s">
        <v>3757</v>
      </c>
      <c r="D56" s="4" t="s">
        <v>3758</v>
      </c>
    </row>
    <row r="59" spans="2:7" ht="17.25" x14ac:dyDescent="0.2">
      <c r="B59" s="5" t="s">
        <v>746</v>
      </c>
    </row>
    <row r="61" spans="2:7" x14ac:dyDescent="0.2">
      <c r="B61" s="2" t="s">
        <v>40</v>
      </c>
      <c r="C61" s="2" t="s">
        <v>1414</v>
      </c>
      <c r="D61" s="2" t="s">
        <v>21</v>
      </c>
    </row>
    <row r="62" spans="2:7" ht="28.5" x14ac:dyDescent="0.2">
      <c r="B62" s="3" t="s">
        <v>3759</v>
      </c>
      <c r="C62" s="3" t="s">
        <v>3760</v>
      </c>
      <c r="D62" s="4" t="s">
        <v>3761</v>
      </c>
    </row>
    <row r="63" spans="2:7" ht="28.5" x14ac:dyDescent="0.2">
      <c r="B63" s="3" t="s">
        <v>3762</v>
      </c>
      <c r="C63" s="3" t="s">
        <v>3763</v>
      </c>
      <c r="D63" s="4" t="s">
        <v>3764</v>
      </c>
    </row>
    <row r="64" spans="2:7" ht="28.5" x14ac:dyDescent="0.2">
      <c r="B64" s="3" t="s">
        <v>3765</v>
      </c>
      <c r="C64" s="4" t="s">
        <v>3766</v>
      </c>
      <c r="D64" s="4" t="s">
        <v>3767</v>
      </c>
    </row>
    <row r="65" spans="2:4" ht="28.5" x14ac:dyDescent="0.2">
      <c r="B65" s="3" t="s">
        <v>3768</v>
      </c>
      <c r="C65" s="4" t="s">
        <v>3769</v>
      </c>
      <c r="D65" s="4" t="s">
        <v>3770</v>
      </c>
    </row>
    <row r="66" spans="2:4" ht="28.5" x14ac:dyDescent="0.2">
      <c r="B66" s="3" t="s">
        <v>3771</v>
      </c>
      <c r="C66" s="4" t="s">
        <v>3772</v>
      </c>
      <c r="D66" s="4" t="s">
        <v>3773</v>
      </c>
    </row>
    <row r="67" spans="2:4" ht="28.5" x14ac:dyDescent="0.2">
      <c r="B67" s="3" t="s">
        <v>3774</v>
      </c>
      <c r="C67" s="4" t="s">
        <v>3775</v>
      </c>
      <c r="D67" s="4" t="s">
        <v>3776</v>
      </c>
    </row>
    <row r="68" spans="2:4" ht="28.5" x14ac:dyDescent="0.2">
      <c r="B68" s="3" t="s">
        <v>3777</v>
      </c>
      <c r="C68" s="4" t="s">
        <v>3778</v>
      </c>
      <c r="D68" s="4" t="s">
        <v>3779</v>
      </c>
    </row>
    <row r="69" spans="2:4" ht="28.5" x14ac:dyDescent="0.2">
      <c r="B69" s="3" t="s">
        <v>1661</v>
      </c>
      <c r="C69" s="4" t="s">
        <v>3780</v>
      </c>
      <c r="D69" s="4" t="s">
        <v>3781</v>
      </c>
    </row>
    <row r="70" spans="2:4" ht="28.5" x14ac:dyDescent="0.2">
      <c r="B70" s="3" t="s">
        <v>3782</v>
      </c>
      <c r="C70" s="4" t="s">
        <v>3783</v>
      </c>
      <c r="D70" s="4" t="s">
        <v>3784</v>
      </c>
    </row>
    <row r="71" spans="2:4" ht="28.5" x14ac:dyDescent="0.2">
      <c r="B71" s="3" t="s">
        <v>3785</v>
      </c>
      <c r="C71" s="4" t="s">
        <v>3786</v>
      </c>
      <c r="D71" s="4" t="s">
        <v>3787</v>
      </c>
    </row>
    <row r="74" spans="2:4" ht="17.25" x14ac:dyDescent="0.2">
      <c r="B74" s="5" t="s">
        <v>1805</v>
      </c>
    </row>
    <row r="75" spans="2:4" x14ac:dyDescent="0.2">
      <c r="B75" s="6"/>
    </row>
    <row r="76" spans="2:4" x14ac:dyDescent="0.2">
      <c r="B76" s="7" t="s">
        <v>3788</v>
      </c>
    </row>
    <row r="77" spans="2:4" x14ac:dyDescent="0.2">
      <c r="B77" s="7" t="s">
        <v>3789</v>
      </c>
    </row>
    <row r="78" spans="2:4" x14ac:dyDescent="0.2">
      <c r="B78" s="7" t="s">
        <v>3790</v>
      </c>
    </row>
    <row r="79" spans="2:4" x14ac:dyDescent="0.2">
      <c r="B79" s="7" t="s">
        <v>3791</v>
      </c>
    </row>
    <row r="80" spans="2:4" x14ac:dyDescent="0.2">
      <c r="B80" s="16"/>
    </row>
    <row r="81" spans="2:2" x14ac:dyDescent="0.2">
      <c r="B81" s="6"/>
    </row>
    <row r="82" spans="2:2" x14ac:dyDescent="0.2">
      <c r="B82" s="6"/>
    </row>
  </sheetData>
  <phoneticPr fontId="2" type="noConversion"/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6A546C-D586-4FF6-A76F-719EA3E02F64}">
  <dimension ref="B1:G82"/>
  <sheetViews>
    <sheetView zoomScaleNormal="100" workbookViewId="0">
      <selection activeCell="B1" sqref="B1:D79"/>
    </sheetView>
  </sheetViews>
  <sheetFormatPr defaultRowHeight="14.25" x14ac:dyDescent="0.2"/>
  <cols>
    <col min="1" max="1" width="2.75" customWidth="1"/>
    <col min="2" max="2" width="15.625" customWidth="1"/>
    <col min="3" max="3" width="43.125" customWidth="1"/>
    <col min="4" max="4" width="32.75" customWidth="1"/>
  </cols>
  <sheetData>
    <row r="1" spans="2:7" ht="17.25" x14ac:dyDescent="0.2">
      <c r="B1" s="5" t="s">
        <v>3792</v>
      </c>
      <c r="G1" t="str">
        <f>"&lt;dl&gt;&lt;dt&gt;" &amp; B1 &amp; "&lt;/dt&gt;&lt;dd&gt;" &amp; C1 &amp; "&lt;/dd&gt;&lt;dd&gt;" &amp; D1 &amp; "&lt;/dd&gt;&lt;/dl&gt;"</f>
        <v>&lt;dl&gt;&lt;dt&gt;一、天官定义&lt;/dt&gt;&lt;dd&gt;&lt;/dd&gt;&lt;dd&gt;&lt;/dd&gt;&lt;/dl&gt;</v>
      </c>
    </row>
    <row r="3" spans="2:7" x14ac:dyDescent="0.2">
      <c r="B3" s="2" t="s">
        <v>376</v>
      </c>
      <c r="C3" s="2" t="s">
        <v>377</v>
      </c>
      <c r="D3" s="2" t="s">
        <v>21</v>
      </c>
    </row>
    <row r="4" spans="2:7" x14ac:dyDescent="0.2">
      <c r="B4" s="3" t="s">
        <v>624</v>
      </c>
      <c r="C4" s="4" t="s">
        <v>3793</v>
      </c>
      <c r="D4" s="4"/>
    </row>
    <row r="5" spans="2:7" ht="42.75" x14ac:dyDescent="0.2">
      <c r="B5" s="3" t="s">
        <v>378</v>
      </c>
      <c r="C5" s="4" t="s">
        <v>3794</v>
      </c>
      <c r="D5" s="4"/>
    </row>
    <row r="6" spans="2:7" ht="42.75" x14ac:dyDescent="0.2">
      <c r="B6" s="3" t="s">
        <v>1717</v>
      </c>
      <c r="C6" s="4" t="s">
        <v>3795</v>
      </c>
      <c r="D6" s="4"/>
    </row>
    <row r="9" spans="2:7" ht="17.25" x14ac:dyDescent="0.2">
      <c r="B9" s="5" t="s">
        <v>1719</v>
      </c>
    </row>
    <row r="11" spans="2:7" ht="15.75" x14ac:dyDescent="0.2">
      <c r="B11" s="13" t="s">
        <v>1720</v>
      </c>
    </row>
    <row r="13" spans="2:7" x14ac:dyDescent="0.2">
      <c r="B13" s="2" t="s">
        <v>390</v>
      </c>
      <c r="C13" s="2" t="s">
        <v>1818</v>
      </c>
      <c r="D13" s="2" t="s">
        <v>1819</v>
      </c>
    </row>
    <row r="14" spans="2:7" ht="28.5" x14ac:dyDescent="0.2">
      <c r="B14" s="3" t="s">
        <v>3796</v>
      </c>
      <c r="C14" s="4" t="s">
        <v>3797</v>
      </c>
      <c r="D14" s="4" t="s">
        <v>3798</v>
      </c>
    </row>
    <row r="15" spans="2:7" ht="28.5" x14ac:dyDescent="0.2">
      <c r="B15" s="3" t="s">
        <v>3799</v>
      </c>
      <c r="C15" s="4" t="s">
        <v>3800</v>
      </c>
      <c r="D15" s="4" t="s">
        <v>3801</v>
      </c>
    </row>
    <row r="16" spans="2:7" ht="28.5" x14ac:dyDescent="0.2">
      <c r="B16" s="3" t="s">
        <v>3802</v>
      </c>
      <c r="C16" s="4" t="s">
        <v>3803</v>
      </c>
      <c r="D16" s="4" t="s">
        <v>3804</v>
      </c>
    </row>
    <row r="17" spans="2:7" x14ac:dyDescent="0.2">
      <c r="B17" s="3" t="s">
        <v>3805</v>
      </c>
      <c r="C17" s="4" t="s">
        <v>3806</v>
      </c>
      <c r="D17" s="4" t="s">
        <v>3807</v>
      </c>
    </row>
    <row r="18" spans="2:7" x14ac:dyDescent="0.2">
      <c r="B18" s="3" t="s">
        <v>3808</v>
      </c>
      <c r="C18" s="4" t="s">
        <v>3809</v>
      </c>
      <c r="D18" s="4" t="s">
        <v>3810</v>
      </c>
    </row>
    <row r="21" spans="2:7" ht="17.25" x14ac:dyDescent="0.2">
      <c r="B21" s="5" t="s">
        <v>1733</v>
      </c>
    </row>
    <row r="22" spans="2:7" ht="15" thickBot="1" x14ac:dyDescent="0.25"/>
    <row r="23" spans="2:7" ht="16.5" thickBot="1" x14ac:dyDescent="0.25">
      <c r="B23" s="2" t="s">
        <v>18</v>
      </c>
      <c r="C23" s="2" t="s">
        <v>1818</v>
      </c>
      <c r="D23" s="2" t="s">
        <v>21</v>
      </c>
      <c r="E23" s="12"/>
    </row>
    <row r="24" spans="2:7" ht="29.25" thickBot="1" x14ac:dyDescent="0.25">
      <c r="B24" s="3" t="s">
        <v>201</v>
      </c>
      <c r="C24" s="4" t="s">
        <v>3811</v>
      </c>
      <c r="D24" s="4"/>
      <c r="E24" s="15"/>
      <c r="G24" t="str">
        <f t="shared" ref="G24:G52" si="0">"&lt;dl&gt;&lt;dt&gt;" &amp; B24 &amp; "&lt;/dt&gt;&lt;dd&gt;" &amp; C24 &amp; "&lt;/dd&gt;&lt;dd&gt;" &amp; D24 &amp; "&lt;/dd&gt;&lt;/dl&gt;"</f>
        <v>&lt;dl&gt;&lt;dt&gt;命宫​&lt;/dt&gt;&lt;dd&gt;有官运，易获得正式职位，为人稳重，遵守规章制度。&lt;/dd&gt;&lt;dd&gt;&lt;/dd&gt;&lt;/dl&gt;</v>
      </c>
    </row>
    <row r="25" spans="2:7" ht="29.25" thickBot="1" x14ac:dyDescent="0.25">
      <c r="B25" s="3" t="s">
        <v>246</v>
      </c>
      <c r="C25" s="4" t="s">
        <v>3812</v>
      </c>
      <c r="D25" s="4"/>
      <c r="E25" s="15"/>
      <c r="G25" t="str">
        <f t="shared" si="0"/>
        <v>&lt;dl&gt;&lt;dt&gt;兄弟宫​&lt;/dt&gt;&lt;dd&gt;兄弟姐妹中有任职公职者；在团队中处于正式编制岗位。&lt;/dd&gt;&lt;dd&gt;&lt;/dd&gt;&lt;/dl&gt;</v>
      </c>
    </row>
    <row r="26" spans="2:7" ht="29.25" thickBot="1" x14ac:dyDescent="0.25">
      <c r="B26" s="3" t="s">
        <v>125</v>
      </c>
      <c r="C26" s="4" t="s">
        <v>3813</v>
      </c>
      <c r="D26" s="4"/>
      <c r="E26" s="15"/>
      <c r="G26" t="str">
        <f t="shared" si="0"/>
        <v>&lt;dl&gt;&lt;dt&gt;夫妻宫​&lt;/dt&gt;&lt;dd&gt;配偶有官方职务或工作稳定；婚姻关系受法律保护。&lt;/dd&gt;&lt;dd&gt;&lt;/dd&gt;&lt;/dl&gt;</v>
      </c>
    </row>
    <row r="27" spans="2:7" ht="29.25" thickBot="1" x14ac:dyDescent="0.25">
      <c r="B27" s="3" t="s">
        <v>128</v>
      </c>
      <c r="C27" s="4" t="s">
        <v>3814</v>
      </c>
      <c r="D27" s="4"/>
      <c r="E27" s="15"/>
      <c r="G27" t="str">
        <f t="shared" si="0"/>
        <v>&lt;dl&gt;&lt;dt&gt;子女宫​&lt;/dt&gt;&lt;dd&gt;子女未来易从事公职；合作项目有正式合同与官方背景。&lt;/dd&gt;&lt;dd&gt;&lt;/dd&gt;&lt;/dl&gt;</v>
      </c>
    </row>
    <row r="28" spans="2:7" ht="29.25" thickBot="1" x14ac:dyDescent="0.25">
      <c r="B28" s="3" t="s">
        <v>3</v>
      </c>
      <c r="C28" s="4" t="s">
        <v>3815</v>
      </c>
      <c r="D28" s="4"/>
      <c r="E28" s="15"/>
      <c r="G28" t="str">
        <f t="shared" si="0"/>
        <v>&lt;dl&gt;&lt;dt&gt;财帛宫​&lt;/dt&gt;&lt;dd&gt;钱财来自稳定薪资、官方补贴或与政府相关的项目。&lt;/dd&gt;&lt;dd&gt;&lt;/dd&gt;&lt;/dl&gt;</v>
      </c>
    </row>
    <row r="29" spans="2:7" ht="29.25" thickBot="1" x14ac:dyDescent="0.25">
      <c r="B29" s="3" t="s">
        <v>6</v>
      </c>
      <c r="C29" s="4" t="s">
        <v>3816</v>
      </c>
      <c r="D29" s="4"/>
      <c r="E29" s="15"/>
      <c r="G29" t="str">
        <f t="shared" si="0"/>
        <v>&lt;dl&gt;&lt;dt&gt;疾厄宫​&lt;/dt&gt;&lt;dd&gt;享受公费医疗或体制内医疗保障；病情需按规程治疗。&lt;/dd&gt;&lt;dd&gt;&lt;/dd&gt;&lt;/dl&gt;</v>
      </c>
    </row>
    <row r="30" spans="2:7" ht="28.5" x14ac:dyDescent="0.2">
      <c r="B30" s="3" t="s">
        <v>15</v>
      </c>
      <c r="C30" s="4" t="s">
        <v>3817</v>
      </c>
      <c r="D30" s="4"/>
    </row>
    <row r="31" spans="2:7" x14ac:dyDescent="0.2">
      <c r="B31" s="3" t="s">
        <v>12</v>
      </c>
      <c r="C31" s="4" t="s">
        <v>3818</v>
      </c>
      <c r="D31" s="4"/>
    </row>
    <row r="32" spans="2:7" ht="28.5" x14ac:dyDescent="0.2">
      <c r="B32" s="3" t="s">
        <v>206</v>
      </c>
      <c r="C32" s="3" t="s">
        <v>3819</v>
      </c>
      <c r="D32" s="4"/>
    </row>
    <row r="33" spans="2:7" ht="29.25" thickBot="1" x14ac:dyDescent="0.25">
      <c r="B33" s="3" t="s">
        <v>0</v>
      </c>
      <c r="C33" s="4" t="s">
        <v>3820</v>
      </c>
      <c r="D33" s="4"/>
    </row>
    <row r="34" spans="2:7" ht="29.25" thickBot="1" x14ac:dyDescent="0.25">
      <c r="B34" s="3" t="s">
        <v>116</v>
      </c>
      <c r="C34" s="4" t="s">
        <v>3821</v>
      </c>
      <c r="D34" s="4"/>
      <c r="E34" s="12"/>
    </row>
    <row r="35" spans="2:7" ht="29.25" thickBot="1" x14ac:dyDescent="0.25">
      <c r="B35" s="3" t="s">
        <v>9</v>
      </c>
      <c r="C35" s="4" t="s">
        <v>3822</v>
      </c>
      <c r="D35" s="4"/>
      <c r="E35" s="15"/>
      <c r="G35" t="str">
        <f t="shared" si="0"/>
        <v>&lt;dl&gt;&lt;dt&gt;父母宫​&lt;/dt&gt;&lt;dd&gt;父母有公职或官方身份；家庭背景正统，重视规矩。&lt;/dd&gt;&lt;dd&gt;&lt;/dd&gt;&lt;/dl&gt;</v>
      </c>
    </row>
    <row r="36" spans="2:7" ht="16.5" thickBot="1" x14ac:dyDescent="0.25">
      <c r="E36" s="15"/>
      <c r="G36" t="str">
        <f t="shared" si="0"/>
        <v>&lt;dl&gt;&lt;dt&gt;&lt;/dt&gt;&lt;dd&gt;&lt;/dd&gt;&lt;dd&gt;&lt;/dd&gt;&lt;/dl&gt;</v>
      </c>
    </row>
    <row r="37" spans="2:7" ht="16.5" thickBot="1" x14ac:dyDescent="0.25">
      <c r="E37" s="15"/>
      <c r="G37" t="str">
        <f t="shared" si="0"/>
        <v>&lt;dl&gt;&lt;dt&gt;&lt;/dt&gt;&lt;dd&gt;&lt;/dd&gt;&lt;dd&gt;&lt;/dd&gt;&lt;/dl&gt;</v>
      </c>
    </row>
    <row r="38" spans="2:7" ht="18" thickBot="1" x14ac:dyDescent="0.25">
      <c r="B38" s="5" t="s">
        <v>734</v>
      </c>
      <c r="E38" s="15"/>
      <c r="G38" t="str">
        <f t="shared" si="0"/>
        <v>&lt;dl&gt;&lt;dt&gt;四、主星组合象义&lt;/dt&gt;&lt;dd&gt;&lt;/dd&gt;&lt;dd&gt;&lt;/dd&gt;&lt;/dl&gt;</v>
      </c>
    </row>
    <row r="39" spans="2:7" ht="16.5" thickBot="1" x14ac:dyDescent="0.25">
      <c r="E39" s="15"/>
      <c r="G39" t="str">
        <f t="shared" si="0"/>
        <v>&lt;dl&gt;&lt;dt&gt;&lt;/dt&gt;&lt;dd&gt;&lt;/dd&gt;&lt;dd&gt;&lt;/dd&gt;&lt;/dl&gt;</v>
      </c>
    </row>
    <row r="40" spans="2:7" ht="16.5" thickBot="1" x14ac:dyDescent="0.25">
      <c r="B40" s="13" t="s">
        <v>3823</v>
      </c>
      <c r="E40" s="15"/>
      <c r="G40" t="str">
        <f t="shared" si="0"/>
        <v>&lt;dl&gt;&lt;dt&gt;1. 增强官贵地位组合&lt;/dt&gt;&lt;dd&gt;&lt;/dd&gt;&lt;dd&gt;&lt;/dd&gt;&lt;/dl&gt;</v>
      </c>
    </row>
    <row r="41" spans="2:7" ht="16.5" thickBot="1" x14ac:dyDescent="0.25">
      <c r="E41" s="15"/>
      <c r="G41" t="str">
        <f t="shared" si="0"/>
        <v>&lt;dl&gt;&lt;dt&gt;&lt;/dt&gt;&lt;dd&gt;&lt;/dd&gt;&lt;dd&gt;&lt;/dd&gt;&lt;/dl&gt;</v>
      </c>
    </row>
    <row r="42" spans="2:7" ht="16.5" thickBot="1" x14ac:dyDescent="0.25">
      <c r="B42" s="2" t="s">
        <v>71</v>
      </c>
      <c r="C42" s="2" t="s">
        <v>1047</v>
      </c>
      <c r="D42" s="2" t="s">
        <v>73</v>
      </c>
      <c r="E42" s="15"/>
      <c r="G42" t="str">
        <f t="shared" si="0"/>
        <v>&lt;dl&gt;&lt;dt&gt;组合​&lt;/dt&gt;&lt;dd&gt;效应​&lt;/dd&gt;&lt;dd&gt;典型案例​&lt;/dd&gt;&lt;/dl&gt;</v>
      </c>
    </row>
    <row r="43" spans="2:7" ht="29.25" thickBot="1" x14ac:dyDescent="0.25">
      <c r="B43" s="3" t="s">
        <v>3824</v>
      </c>
      <c r="C43" s="4" t="s">
        <v>3825</v>
      </c>
      <c r="D43" s="4" t="s">
        <v>3826</v>
      </c>
      <c r="E43" s="15"/>
      <c r="G43" t="str">
        <f t="shared" si="0"/>
        <v>&lt;dl&gt;&lt;dt&gt;天官+紫微​&lt;/dt&gt;&lt;dd&gt;官高权重，在核心权力部门或大型机构担任重要领导职务。&lt;/dd&gt;&lt;dd&gt;政府部长；央企董事长。&lt;/dd&gt;&lt;/dl&gt;</v>
      </c>
    </row>
    <row r="44" spans="2:7" ht="28.5" x14ac:dyDescent="0.2">
      <c r="B44" s="3" t="s">
        <v>3827</v>
      </c>
      <c r="C44" s="4" t="s">
        <v>3828</v>
      </c>
      <c r="D44" s="4" t="s">
        <v>3829</v>
      </c>
    </row>
    <row r="45" spans="2:7" ht="28.5" x14ac:dyDescent="0.2">
      <c r="B45" s="3" t="s">
        <v>3830</v>
      </c>
      <c r="C45" s="4" t="s">
        <v>3831</v>
      </c>
      <c r="D45" s="4" t="s">
        <v>3832</v>
      </c>
    </row>
    <row r="46" spans="2:7" ht="28.5" x14ac:dyDescent="0.2">
      <c r="B46" s="3" t="s">
        <v>3833</v>
      </c>
      <c r="C46" s="4" t="s">
        <v>3834</v>
      </c>
      <c r="D46" s="4" t="s">
        <v>3835</v>
      </c>
    </row>
    <row r="47" spans="2:7" ht="29.25" thickBot="1" x14ac:dyDescent="0.25">
      <c r="B47" s="3" t="s">
        <v>3836</v>
      </c>
      <c r="C47" s="4" t="s">
        <v>3837</v>
      </c>
      <c r="D47" s="4" t="s">
        <v>3838</v>
      </c>
    </row>
    <row r="48" spans="2:7" ht="16.5" thickBot="1" x14ac:dyDescent="0.25">
      <c r="E48" s="12"/>
    </row>
    <row r="49" spans="2:7" ht="16.5" thickBot="1" x14ac:dyDescent="0.25">
      <c r="B49" s="13" t="s">
        <v>3839</v>
      </c>
      <c r="E49" s="15"/>
      <c r="G49" t="str">
        <f t="shared" si="0"/>
        <v>&lt;dl&gt;&lt;dt&gt;2. 专业化与公职组合&lt;/dt&gt;&lt;dd&gt;&lt;/dd&gt;&lt;dd&gt;&lt;/dd&gt;&lt;/dl&gt;</v>
      </c>
    </row>
    <row r="50" spans="2:7" ht="16.5" thickBot="1" x14ac:dyDescent="0.25">
      <c r="E50" s="15"/>
      <c r="G50" t="str">
        <f t="shared" si="0"/>
        <v>&lt;dl&gt;&lt;dt&gt;&lt;/dt&gt;&lt;dd&gt;&lt;/dd&gt;&lt;dd&gt;&lt;/dd&gt;&lt;/dl&gt;</v>
      </c>
    </row>
    <row r="51" spans="2:7" ht="16.5" thickBot="1" x14ac:dyDescent="0.25">
      <c r="B51" s="2" t="s">
        <v>71</v>
      </c>
      <c r="C51" s="2" t="s">
        <v>1047</v>
      </c>
      <c r="D51" s="2" t="s">
        <v>73</v>
      </c>
      <c r="E51" s="15"/>
      <c r="G51" t="str">
        <f t="shared" si="0"/>
        <v>&lt;dl&gt;&lt;dt&gt;组合​&lt;/dt&gt;&lt;dd&gt;效应​&lt;/dd&gt;&lt;dd&gt;典型案例​&lt;/dd&gt;&lt;/dl&gt;</v>
      </c>
    </row>
    <row r="52" spans="2:7" ht="29.25" thickBot="1" x14ac:dyDescent="0.25">
      <c r="B52" s="3" t="s">
        <v>3840</v>
      </c>
      <c r="C52" s="4" t="s">
        <v>3841</v>
      </c>
      <c r="D52" s="4" t="s">
        <v>3842</v>
      </c>
      <c r="E52" s="15"/>
      <c r="G52" t="str">
        <f t="shared" si="0"/>
        <v>&lt;dl&gt;&lt;dt&gt;天官+天机​&lt;/dt&gt;&lt;dd&gt;谋士之官，担任策划、调研、信息技术等部门的公职。&lt;/dd&gt;&lt;dd&gt;政策研究室研究员；统计局官员。&lt;/dd&gt;&lt;/dl&gt;</v>
      </c>
    </row>
    <row r="53" spans="2:7" ht="28.5" x14ac:dyDescent="0.2">
      <c r="B53" s="3" t="s">
        <v>3843</v>
      </c>
      <c r="C53" s="4" t="s">
        <v>3844</v>
      </c>
      <c r="D53" s="4" t="s">
        <v>3845</v>
      </c>
    </row>
    <row r="54" spans="2:7" ht="28.5" x14ac:dyDescent="0.2">
      <c r="B54" s="3" t="s">
        <v>3846</v>
      </c>
      <c r="C54" s="4" t="s">
        <v>3847</v>
      </c>
      <c r="D54" s="4" t="s">
        <v>3848</v>
      </c>
    </row>
    <row r="55" spans="2:7" ht="28.5" x14ac:dyDescent="0.2">
      <c r="B55" s="3" t="s">
        <v>3849</v>
      </c>
      <c r="C55" s="4" t="s">
        <v>3850</v>
      </c>
      <c r="D55" s="4" t="s">
        <v>3851</v>
      </c>
    </row>
    <row r="56" spans="2:7" ht="28.5" x14ac:dyDescent="0.2">
      <c r="B56" s="3" t="s">
        <v>3852</v>
      </c>
      <c r="C56" s="4" t="s">
        <v>3853</v>
      </c>
      <c r="D56" s="4" t="s">
        <v>3854</v>
      </c>
    </row>
    <row r="59" spans="2:7" ht="17.25" x14ac:dyDescent="0.2">
      <c r="B59" s="5" t="s">
        <v>746</v>
      </c>
    </row>
    <row r="61" spans="2:7" x14ac:dyDescent="0.2">
      <c r="B61" s="2" t="s">
        <v>40</v>
      </c>
      <c r="C61" s="2" t="s">
        <v>1414</v>
      </c>
      <c r="D61" s="2" t="s">
        <v>21</v>
      </c>
    </row>
    <row r="62" spans="2:7" ht="28.5" x14ac:dyDescent="0.2">
      <c r="B62" s="3" t="s">
        <v>3855</v>
      </c>
      <c r="C62" s="3" t="s">
        <v>3856</v>
      </c>
      <c r="D62" s="4" t="s">
        <v>3857</v>
      </c>
    </row>
    <row r="63" spans="2:7" ht="28.5" x14ac:dyDescent="0.2">
      <c r="B63" s="3" t="s">
        <v>3858</v>
      </c>
      <c r="C63" s="4" t="s">
        <v>3859</v>
      </c>
      <c r="D63" s="4" t="s">
        <v>3860</v>
      </c>
    </row>
    <row r="64" spans="2:7" ht="28.5" x14ac:dyDescent="0.2">
      <c r="B64" s="3" t="s">
        <v>3861</v>
      </c>
      <c r="C64" s="3" t="s">
        <v>3862</v>
      </c>
      <c r="D64" s="4" t="s">
        <v>3863</v>
      </c>
    </row>
    <row r="65" spans="2:4" ht="28.5" x14ac:dyDescent="0.2">
      <c r="B65" s="3" t="s">
        <v>3864</v>
      </c>
      <c r="C65" s="4" t="s">
        <v>3865</v>
      </c>
      <c r="D65" s="4" t="s">
        <v>3866</v>
      </c>
    </row>
    <row r="66" spans="2:4" ht="28.5" x14ac:dyDescent="0.2">
      <c r="B66" s="3" t="s">
        <v>3867</v>
      </c>
      <c r="C66" s="4" t="s">
        <v>3868</v>
      </c>
      <c r="D66" s="4" t="s">
        <v>3869</v>
      </c>
    </row>
    <row r="67" spans="2:4" ht="28.5" x14ac:dyDescent="0.2">
      <c r="B67" s="3" t="s">
        <v>3870</v>
      </c>
      <c r="C67" s="4" t="s">
        <v>3871</v>
      </c>
      <c r="D67" s="4" t="s">
        <v>3872</v>
      </c>
    </row>
    <row r="68" spans="2:4" ht="28.5" x14ac:dyDescent="0.2">
      <c r="B68" s="3" t="s">
        <v>3873</v>
      </c>
      <c r="C68" s="4" t="s">
        <v>3874</v>
      </c>
      <c r="D68" s="4" t="s">
        <v>3875</v>
      </c>
    </row>
    <row r="69" spans="2:4" ht="28.5" x14ac:dyDescent="0.2">
      <c r="B69" s="3" t="s">
        <v>3876</v>
      </c>
      <c r="C69" s="4" t="s">
        <v>3877</v>
      </c>
      <c r="D69" s="4" t="s">
        <v>3878</v>
      </c>
    </row>
    <row r="70" spans="2:4" ht="28.5" x14ac:dyDescent="0.2">
      <c r="B70" s="3" t="s">
        <v>3879</v>
      </c>
      <c r="C70" s="4" t="s">
        <v>3880</v>
      </c>
      <c r="D70" s="4" t="s">
        <v>3881</v>
      </c>
    </row>
    <row r="71" spans="2:4" ht="28.5" x14ac:dyDescent="0.2">
      <c r="B71" s="3" t="s">
        <v>3882</v>
      </c>
      <c r="C71" s="4" t="s">
        <v>3883</v>
      </c>
      <c r="D71" s="4" t="s">
        <v>3884</v>
      </c>
    </row>
    <row r="74" spans="2:4" ht="17.25" x14ac:dyDescent="0.2">
      <c r="B74" s="5" t="s">
        <v>1805</v>
      </c>
    </row>
    <row r="75" spans="2:4" x14ac:dyDescent="0.2">
      <c r="B75" s="6"/>
    </row>
    <row r="76" spans="2:4" x14ac:dyDescent="0.2">
      <c r="B76" s="7" t="s">
        <v>3885</v>
      </c>
    </row>
    <row r="77" spans="2:4" x14ac:dyDescent="0.2">
      <c r="B77" s="7" t="s">
        <v>3886</v>
      </c>
    </row>
    <row r="78" spans="2:4" x14ac:dyDescent="0.2">
      <c r="B78" s="7" t="s">
        <v>3887</v>
      </c>
    </row>
    <row r="79" spans="2:4" x14ac:dyDescent="0.2">
      <c r="B79" s="7" t="s">
        <v>3888</v>
      </c>
    </row>
    <row r="80" spans="2:4" x14ac:dyDescent="0.2">
      <c r="B80" s="16"/>
    </row>
    <row r="81" spans="2:2" x14ac:dyDescent="0.2">
      <c r="B81" s="6"/>
    </row>
    <row r="82" spans="2:2" x14ac:dyDescent="0.2">
      <c r="B82" s="6"/>
    </row>
  </sheetData>
  <phoneticPr fontId="2" type="noConversion"/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A7F2CB-0E00-4F9E-854B-440DB8470046}">
  <dimension ref="B1:G82"/>
  <sheetViews>
    <sheetView zoomScaleNormal="100" workbookViewId="0">
      <selection activeCell="B1" sqref="B1:D79"/>
    </sheetView>
  </sheetViews>
  <sheetFormatPr defaultRowHeight="14.25" x14ac:dyDescent="0.2"/>
  <cols>
    <col min="1" max="1" width="2.75" customWidth="1"/>
    <col min="2" max="2" width="15.625" customWidth="1"/>
    <col min="3" max="3" width="43.125" customWidth="1"/>
    <col min="4" max="4" width="32.75" customWidth="1"/>
  </cols>
  <sheetData>
    <row r="1" spans="2:7" ht="17.25" x14ac:dyDescent="0.2">
      <c r="B1" s="5" t="s">
        <v>3889</v>
      </c>
      <c r="G1" t="str">
        <f>"&lt;dl&gt;&lt;dt&gt;" &amp; B1 &amp; "&lt;/dt&gt;&lt;dd&gt;" &amp; C1 &amp; "&lt;/dd&gt;&lt;dd&gt;" &amp; D1 &amp; "&lt;/dd&gt;&lt;/dl&gt;"</f>
        <v>&lt;dl&gt;&lt;dt&gt;一、天福定义&lt;/dt&gt;&lt;dd&gt;&lt;/dd&gt;&lt;dd&gt;&lt;/dd&gt;&lt;/dl&gt;</v>
      </c>
    </row>
    <row r="3" spans="2:7" x14ac:dyDescent="0.2">
      <c r="B3" s="2" t="s">
        <v>376</v>
      </c>
      <c r="C3" s="2" t="s">
        <v>377</v>
      </c>
      <c r="D3" s="2" t="s">
        <v>21</v>
      </c>
    </row>
    <row r="4" spans="2:7" x14ac:dyDescent="0.2">
      <c r="B4" s="3" t="s">
        <v>624</v>
      </c>
      <c r="C4" s="4" t="s">
        <v>3890</v>
      </c>
      <c r="D4" s="4"/>
    </row>
    <row r="5" spans="2:7" ht="42.75" x14ac:dyDescent="0.2">
      <c r="B5" s="3" t="s">
        <v>378</v>
      </c>
      <c r="C5" s="4" t="s">
        <v>3891</v>
      </c>
      <c r="D5" s="4"/>
    </row>
    <row r="6" spans="2:7" ht="42.75" x14ac:dyDescent="0.2">
      <c r="B6" s="3" t="s">
        <v>1717</v>
      </c>
      <c r="C6" s="4" t="s">
        <v>3892</v>
      </c>
      <c r="D6" s="4"/>
    </row>
    <row r="9" spans="2:7" ht="17.25" x14ac:dyDescent="0.2">
      <c r="B9" s="5" t="s">
        <v>1719</v>
      </c>
    </row>
    <row r="11" spans="2:7" ht="15.75" x14ac:dyDescent="0.2">
      <c r="B11" s="13" t="s">
        <v>1720</v>
      </c>
    </row>
    <row r="13" spans="2:7" x14ac:dyDescent="0.2">
      <c r="B13" s="2" t="s">
        <v>390</v>
      </c>
      <c r="C13" s="2" t="s">
        <v>1818</v>
      </c>
      <c r="D13" s="2" t="s">
        <v>1819</v>
      </c>
    </row>
    <row r="14" spans="2:7" ht="28.5" x14ac:dyDescent="0.2">
      <c r="B14" s="3" t="s">
        <v>3893</v>
      </c>
      <c r="C14" s="4" t="s">
        <v>3894</v>
      </c>
      <c r="D14" s="4" t="s">
        <v>2371</v>
      </c>
    </row>
    <row r="15" spans="2:7" ht="28.5" x14ac:dyDescent="0.2">
      <c r="B15" s="3" t="s">
        <v>3895</v>
      </c>
      <c r="C15" s="4" t="s">
        <v>3896</v>
      </c>
      <c r="D15" s="4" t="s">
        <v>3897</v>
      </c>
    </row>
    <row r="16" spans="2:7" ht="28.5" x14ac:dyDescent="0.2">
      <c r="B16" s="3" t="s">
        <v>3898</v>
      </c>
      <c r="C16" s="4" t="s">
        <v>3899</v>
      </c>
      <c r="D16" s="4" t="s">
        <v>3900</v>
      </c>
    </row>
    <row r="17" spans="2:7" ht="28.5" x14ac:dyDescent="0.2">
      <c r="B17" s="3" t="s">
        <v>3901</v>
      </c>
      <c r="C17" s="4" t="s">
        <v>3902</v>
      </c>
      <c r="D17" s="4" t="s">
        <v>3333</v>
      </c>
    </row>
    <row r="18" spans="2:7" x14ac:dyDescent="0.2">
      <c r="B18" s="3" t="s">
        <v>3903</v>
      </c>
      <c r="C18" s="4" t="s">
        <v>3904</v>
      </c>
      <c r="D18" s="4" t="s">
        <v>3239</v>
      </c>
    </row>
    <row r="21" spans="2:7" ht="17.25" x14ac:dyDescent="0.2">
      <c r="B21" s="5" t="s">
        <v>1733</v>
      </c>
    </row>
    <row r="22" spans="2:7" ht="15" thickBot="1" x14ac:dyDescent="0.25"/>
    <row r="23" spans="2:7" ht="16.5" thickBot="1" x14ac:dyDescent="0.25">
      <c r="B23" s="2" t="s">
        <v>18</v>
      </c>
      <c r="C23" s="2" t="s">
        <v>1818</v>
      </c>
      <c r="D23" s="2" t="s">
        <v>21</v>
      </c>
      <c r="E23" s="12"/>
    </row>
    <row r="24" spans="2:7" ht="29.25" thickBot="1" x14ac:dyDescent="0.25">
      <c r="B24" s="3" t="s">
        <v>201</v>
      </c>
      <c r="C24" s="4" t="s">
        <v>3905</v>
      </c>
      <c r="D24" s="4"/>
      <c r="E24" s="15"/>
      <c r="G24" t="str">
        <f t="shared" ref="G24:G52" si="0">"&lt;dl&gt;&lt;dt&gt;" &amp; B24 &amp; "&lt;/dt&gt;&lt;dd&gt;" &amp; C24 &amp; "&lt;/dd&gt;&lt;dd&gt;" &amp; D24 &amp; "&lt;/dd&gt;&lt;/dl&gt;"</f>
        <v>&lt;dl&gt;&lt;dt&gt;命宫​&lt;/dt&gt;&lt;dd&gt;天生有福，一生安逸，心态乐观，常得贵人相助，逢凶化吉。&lt;/dd&gt;&lt;dd&gt;&lt;/dd&gt;&lt;/dl&gt;</v>
      </c>
    </row>
    <row r="25" spans="2:7" ht="29.25" thickBot="1" x14ac:dyDescent="0.25">
      <c r="B25" s="3" t="s">
        <v>246</v>
      </c>
      <c r="C25" s="4" t="s">
        <v>3906</v>
      </c>
      <c r="D25" s="4"/>
      <c r="E25" s="15"/>
      <c r="G25" t="str">
        <f t="shared" si="0"/>
        <v>&lt;dl&gt;&lt;dt&gt;兄弟宫​&lt;/dt&gt;&lt;dd&gt;兄弟姐妹有福或能享福；在团队中处境安逸，受照顾。&lt;/dd&gt;&lt;dd&gt;&lt;/dd&gt;&lt;/dl&gt;</v>
      </c>
    </row>
    <row r="26" spans="2:7" ht="29.25" thickBot="1" x14ac:dyDescent="0.25">
      <c r="B26" s="3" t="s">
        <v>125</v>
      </c>
      <c r="C26" s="4" t="s">
        <v>3907</v>
      </c>
      <c r="D26" s="4"/>
      <c r="E26" s="15"/>
      <c r="G26" t="str">
        <f t="shared" si="0"/>
        <v>&lt;dl&gt;&lt;dt&gt;夫妻宫​&lt;/dt&gt;&lt;dd&gt;配偶有福气，能享受婚姻生活；婚姻关系和谐安逸。&lt;/dd&gt;&lt;dd&gt;&lt;/dd&gt;&lt;/dl&gt;</v>
      </c>
    </row>
    <row r="27" spans="2:7" ht="29.25" thickBot="1" x14ac:dyDescent="0.25">
      <c r="B27" s="3" t="s">
        <v>128</v>
      </c>
      <c r="C27" s="4" t="s">
        <v>3908</v>
      </c>
      <c r="D27" s="4"/>
      <c r="E27" s="15"/>
      <c r="G27" t="str">
        <f t="shared" si="0"/>
        <v>&lt;dl&gt;&lt;dt&gt;子女宫​&lt;/dt&gt;&lt;dd&gt;子女有福，少让父母操心；在合作、投资中易获意外之利。&lt;/dd&gt;&lt;dd&gt;&lt;/dd&gt;&lt;/dl&gt;</v>
      </c>
    </row>
    <row r="28" spans="2:7" ht="29.25" thickBot="1" x14ac:dyDescent="0.25">
      <c r="B28" s="3" t="s">
        <v>3</v>
      </c>
      <c r="C28" s="4" t="s">
        <v>3909</v>
      </c>
      <c r="D28" s="4"/>
      <c r="E28" s="15"/>
      <c r="G28" t="str">
        <f t="shared" si="0"/>
        <v>&lt;dl&gt;&lt;dt&gt;财帛宫​&lt;/dt&gt;&lt;dd&gt;钱财来得轻松，易有意外之财，不愁吃穿，消费注重享受。&lt;/dd&gt;&lt;dd&gt;&lt;/dd&gt;&lt;/dl&gt;</v>
      </c>
    </row>
    <row r="29" spans="2:7" ht="29.25" thickBot="1" x14ac:dyDescent="0.25">
      <c r="B29" s="3" t="s">
        <v>6</v>
      </c>
      <c r="C29" s="4" t="s">
        <v>3910</v>
      </c>
      <c r="D29" s="4"/>
      <c r="E29" s="15"/>
      <c r="G29" t="str">
        <f t="shared" si="0"/>
        <v>&lt;dl&gt;&lt;dt&gt;疾厄宫​&lt;/dt&gt;&lt;dd&gt;身体健康，少病少灾，即使生病也易遇良医，康复快。&lt;/dd&gt;&lt;dd&gt;&lt;/dd&gt;&lt;/dl&gt;</v>
      </c>
    </row>
    <row r="30" spans="2:7" x14ac:dyDescent="0.2">
      <c r="B30" s="3" t="s">
        <v>15</v>
      </c>
      <c r="C30" s="4" t="s">
        <v>3911</v>
      </c>
      <c r="D30" s="4"/>
    </row>
    <row r="31" spans="2:7" ht="28.5" x14ac:dyDescent="0.2">
      <c r="B31" s="3" t="s">
        <v>12</v>
      </c>
      <c r="C31" s="4" t="s">
        <v>3912</v>
      </c>
      <c r="D31" s="4"/>
    </row>
    <row r="32" spans="2:7" ht="28.5" x14ac:dyDescent="0.2">
      <c r="B32" s="3" t="s">
        <v>206</v>
      </c>
      <c r="C32" s="4" t="s">
        <v>3913</v>
      </c>
      <c r="D32" s="4"/>
    </row>
    <row r="33" spans="2:7" ht="29.25" thickBot="1" x14ac:dyDescent="0.25">
      <c r="B33" s="3" t="s">
        <v>0</v>
      </c>
      <c r="C33" s="4" t="s">
        <v>3914</v>
      </c>
      <c r="D33" s="4"/>
    </row>
    <row r="34" spans="2:7" ht="29.25" thickBot="1" x14ac:dyDescent="0.25">
      <c r="B34" s="3" t="s">
        <v>116</v>
      </c>
      <c r="C34" s="3" t="s">
        <v>3915</v>
      </c>
      <c r="D34" s="4"/>
      <c r="E34" s="12"/>
    </row>
    <row r="35" spans="2:7" ht="29.25" thickBot="1" x14ac:dyDescent="0.25">
      <c r="B35" s="3" t="s">
        <v>9</v>
      </c>
      <c r="C35" s="4" t="s">
        <v>3916</v>
      </c>
      <c r="D35" s="4"/>
      <c r="E35" s="15"/>
      <c r="G35" t="str">
        <f t="shared" si="0"/>
        <v>&lt;dl&gt;&lt;dt&gt;父母宫​&lt;/dt&gt;&lt;dd&gt;父母有福，家境不错，得父母福荫，童年生活安逸。&lt;/dd&gt;&lt;dd&gt;&lt;/dd&gt;&lt;/dl&gt;</v>
      </c>
    </row>
    <row r="36" spans="2:7" ht="16.5" thickBot="1" x14ac:dyDescent="0.25">
      <c r="E36" s="15"/>
      <c r="G36" t="str">
        <f t="shared" si="0"/>
        <v>&lt;dl&gt;&lt;dt&gt;&lt;/dt&gt;&lt;dd&gt;&lt;/dd&gt;&lt;dd&gt;&lt;/dd&gt;&lt;/dl&gt;</v>
      </c>
    </row>
    <row r="37" spans="2:7" ht="16.5" thickBot="1" x14ac:dyDescent="0.25">
      <c r="E37" s="15"/>
      <c r="G37" t="str">
        <f t="shared" si="0"/>
        <v>&lt;dl&gt;&lt;dt&gt;&lt;/dt&gt;&lt;dd&gt;&lt;/dd&gt;&lt;dd&gt;&lt;/dd&gt;&lt;/dl&gt;</v>
      </c>
    </row>
    <row r="38" spans="2:7" ht="18" thickBot="1" x14ac:dyDescent="0.25">
      <c r="B38" s="5" t="s">
        <v>734</v>
      </c>
      <c r="E38" s="15"/>
      <c r="G38" t="str">
        <f t="shared" si="0"/>
        <v>&lt;dl&gt;&lt;dt&gt;四、主星组合象义&lt;/dt&gt;&lt;dd&gt;&lt;/dd&gt;&lt;dd&gt;&lt;/dd&gt;&lt;/dl&gt;</v>
      </c>
    </row>
    <row r="39" spans="2:7" ht="16.5" thickBot="1" x14ac:dyDescent="0.25">
      <c r="E39" s="15"/>
      <c r="G39" t="str">
        <f t="shared" si="0"/>
        <v>&lt;dl&gt;&lt;dt&gt;&lt;/dt&gt;&lt;dd&gt;&lt;/dd&gt;&lt;dd&gt;&lt;/dd&gt;&lt;/dl&gt;</v>
      </c>
    </row>
    <row r="40" spans="2:7" ht="16.5" thickBot="1" x14ac:dyDescent="0.25">
      <c r="B40" s="13" t="s">
        <v>3917</v>
      </c>
      <c r="E40" s="15"/>
      <c r="G40" t="str">
        <f t="shared" si="0"/>
        <v>&lt;dl&gt;&lt;dt&gt;1. 增强福气享受组合&lt;/dt&gt;&lt;dd&gt;&lt;/dd&gt;&lt;dd&gt;&lt;/dd&gt;&lt;/dl&gt;</v>
      </c>
    </row>
    <row r="41" spans="2:7" ht="16.5" thickBot="1" x14ac:dyDescent="0.25">
      <c r="E41" s="15"/>
      <c r="G41" t="str">
        <f t="shared" si="0"/>
        <v>&lt;dl&gt;&lt;dt&gt;&lt;/dt&gt;&lt;dd&gt;&lt;/dd&gt;&lt;dd&gt;&lt;/dd&gt;&lt;/dl&gt;</v>
      </c>
    </row>
    <row r="42" spans="2:7" ht="16.5" thickBot="1" x14ac:dyDescent="0.25">
      <c r="B42" s="2" t="s">
        <v>71</v>
      </c>
      <c r="C42" s="2" t="s">
        <v>1047</v>
      </c>
      <c r="D42" s="2" t="s">
        <v>73</v>
      </c>
      <c r="E42" s="15"/>
      <c r="G42" t="str">
        <f t="shared" si="0"/>
        <v>&lt;dl&gt;&lt;dt&gt;组合​&lt;/dt&gt;&lt;dd&gt;效应​&lt;/dd&gt;&lt;dd&gt;典型案例​&lt;/dd&gt;&lt;/dl&gt;</v>
      </c>
    </row>
    <row r="43" spans="2:7" ht="29.25" thickBot="1" x14ac:dyDescent="0.25">
      <c r="B43" s="3" t="s">
        <v>3918</v>
      </c>
      <c r="C43" s="4" t="s">
        <v>3919</v>
      </c>
      <c r="D43" s="4" t="s">
        <v>3920</v>
      </c>
      <c r="E43" s="15"/>
      <c r="G43" t="str">
        <f t="shared" si="0"/>
        <v>&lt;dl&gt;&lt;dt&gt;天福+紫微​&lt;/dt&gt;&lt;dd&gt;有帝王之福，生活尊贵奢华，受人服侍，一生大方向顺遂。&lt;/dd&gt;&lt;dd&gt;世家子弟，一生无忧；大型企业高管，享受顶级待遇。&lt;/dd&gt;&lt;/dl&gt;</v>
      </c>
    </row>
    <row r="44" spans="2:7" ht="28.5" x14ac:dyDescent="0.2">
      <c r="B44" s="3" t="s">
        <v>3921</v>
      </c>
      <c r="C44" s="4" t="s">
        <v>3922</v>
      </c>
      <c r="D44" s="4" t="s">
        <v>3923</v>
      </c>
    </row>
    <row r="45" spans="2:7" ht="28.5" x14ac:dyDescent="0.2">
      <c r="B45" s="3" t="s">
        <v>3924</v>
      </c>
      <c r="C45" s="3" t="s">
        <v>3925</v>
      </c>
      <c r="D45" s="4" t="s">
        <v>3926</v>
      </c>
    </row>
    <row r="46" spans="2:7" ht="28.5" x14ac:dyDescent="0.2">
      <c r="B46" s="3" t="s">
        <v>3927</v>
      </c>
      <c r="C46" s="4" t="s">
        <v>3928</v>
      </c>
      <c r="D46" s="4" t="s">
        <v>3929</v>
      </c>
    </row>
    <row r="47" spans="2:7" ht="29.25" thickBot="1" x14ac:dyDescent="0.25">
      <c r="B47" s="3" t="s">
        <v>3930</v>
      </c>
      <c r="C47" s="4" t="s">
        <v>3931</v>
      </c>
      <c r="D47" s="4" t="s">
        <v>3932</v>
      </c>
    </row>
    <row r="48" spans="2:7" ht="16.5" thickBot="1" x14ac:dyDescent="0.25">
      <c r="E48" s="12"/>
    </row>
    <row r="49" spans="2:7" ht="16.5" thickBot="1" x14ac:dyDescent="0.25">
      <c r="B49" s="13" t="s">
        <v>3933</v>
      </c>
      <c r="E49" s="15"/>
      <c r="G49" t="str">
        <f t="shared" si="0"/>
        <v>&lt;dl&gt;&lt;dt&gt;2. 专业化与福气组合&lt;/dt&gt;&lt;dd&gt;&lt;/dd&gt;&lt;dd&gt;&lt;/dd&gt;&lt;/dl&gt;</v>
      </c>
    </row>
    <row r="50" spans="2:7" ht="16.5" thickBot="1" x14ac:dyDescent="0.25">
      <c r="E50" s="15"/>
      <c r="G50" t="str">
        <f t="shared" si="0"/>
        <v>&lt;dl&gt;&lt;dt&gt;&lt;/dt&gt;&lt;dd&gt;&lt;/dd&gt;&lt;dd&gt;&lt;/dd&gt;&lt;/dl&gt;</v>
      </c>
    </row>
    <row r="51" spans="2:7" ht="16.5" thickBot="1" x14ac:dyDescent="0.25">
      <c r="B51" s="2" t="s">
        <v>71</v>
      </c>
      <c r="C51" s="2" t="s">
        <v>1047</v>
      </c>
      <c r="D51" s="2" t="s">
        <v>73</v>
      </c>
      <c r="E51" s="15"/>
      <c r="G51" t="str">
        <f t="shared" si="0"/>
        <v>&lt;dl&gt;&lt;dt&gt;组合​&lt;/dt&gt;&lt;dd&gt;效应​&lt;/dd&gt;&lt;dd&gt;典型案例​&lt;/dd&gt;&lt;/dl&gt;</v>
      </c>
    </row>
    <row r="52" spans="2:7" ht="29.25" thickBot="1" x14ac:dyDescent="0.25">
      <c r="B52" s="3" t="s">
        <v>3934</v>
      </c>
      <c r="C52" s="4" t="s">
        <v>3935</v>
      </c>
      <c r="D52" s="4" t="s">
        <v>3936</v>
      </c>
      <c r="E52" s="15"/>
      <c r="G52" t="str">
        <f t="shared" si="0"/>
        <v>&lt;dl&gt;&lt;dt&gt;天福+天机​&lt;/dt&gt;&lt;dd&gt;福气体现在心智的安逸与灵活，享受思考、学习、旅行的乐趣。&lt;/dd&gt;&lt;dd&gt;周游世界的学者；以创意为生的自由职业者。&lt;/dd&gt;&lt;/dl&gt;</v>
      </c>
    </row>
    <row r="53" spans="2:7" ht="28.5" x14ac:dyDescent="0.2">
      <c r="B53" s="3" t="s">
        <v>3937</v>
      </c>
      <c r="C53" s="4" t="s">
        <v>3938</v>
      </c>
      <c r="D53" s="4" t="s">
        <v>3939</v>
      </c>
    </row>
    <row r="54" spans="2:7" ht="28.5" x14ac:dyDescent="0.2">
      <c r="B54" s="3" t="s">
        <v>3940</v>
      </c>
      <c r="C54" s="4" t="s">
        <v>3941</v>
      </c>
      <c r="D54" s="4" t="s">
        <v>3942</v>
      </c>
    </row>
    <row r="55" spans="2:7" ht="28.5" x14ac:dyDescent="0.2">
      <c r="B55" s="3" t="s">
        <v>3943</v>
      </c>
      <c r="C55" s="4" t="s">
        <v>3944</v>
      </c>
      <c r="D55" s="4" t="s">
        <v>3945</v>
      </c>
    </row>
    <row r="56" spans="2:7" ht="28.5" x14ac:dyDescent="0.2">
      <c r="B56" s="3" t="s">
        <v>3946</v>
      </c>
      <c r="C56" s="4" t="s">
        <v>3947</v>
      </c>
      <c r="D56" s="4" t="s">
        <v>3948</v>
      </c>
    </row>
    <row r="59" spans="2:7" ht="17.25" x14ac:dyDescent="0.2">
      <c r="B59" s="5" t="s">
        <v>746</v>
      </c>
    </row>
    <row r="61" spans="2:7" x14ac:dyDescent="0.2">
      <c r="B61" s="2" t="s">
        <v>40</v>
      </c>
      <c r="C61" s="2" t="s">
        <v>1414</v>
      </c>
      <c r="D61" s="2" t="s">
        <v>21</v>
      </c>
    </row>
    <row r="62" spans="2:7" ht="28.5" x14ac:dyDescent="0.2">
      <c r="B62" s="3" t="s">
        <v>3949</v>
      </c>
      <c r="C62" s="3" t="s">
        <v>3950</v>
      </c>
      <c r="D62" s="4" t="s">
        <v>3951</v>
      </c>
    </row>
    <row r="63" spans="2:7" ht="28.5" x14ac:dyDescent="0.2">
      <c r="B63" s="3" t="s">
        <v>3952</v>
      </c>
      <c r="C63" s="3" t="s">
        <v>3953</v>
      </c>
      <c r="D63" s="4" t="s">
        <v>3954</v>
      </c>
    </row>
    <row r="64" spans="2:7" ht="28.5" x14ac:dyDescent="0.2">
      <c r="B64" s="3" t="s">
        <v>3955</v>
      </c>
      <c r="C64" s="4" t="s">
        <v>3956</v>
      </c>
      <c r="D64" s="4" t="s">
        <v>3957</v>
      </c>
    </row>
    <row r="65" spans="2:4" ht="28.5" x14ac:dyDescent="0.2">
      <c r="B65" s="3" t="s">
        <v>3958</v>
      </c>
      <c r="C65" s="4" t="s">
        <v>3959</v>
      </c>
      <c r="D65" s="4" t="s">
        <v>3960</v>
      </c>
    </row>
    <row r="66" spans="2:4" ht="28.5" x14ac:dyDescent="0.2">
      <c r="B66" s="3" t="s">
        <v>3961</v>
      </c>
      <c r="C66" s="3" t="s">
        <v>3962</v>
      </c>
      <c r="D66" s="4" t="s">
        <v>3963</v>
      </c>
    </row>
    <row r="67" spans="2:4" ht="28.5" x14ac:dyDescent="0.2">
      <c r="B67" s="3" t="s">
        <v>3964</v>
      </c>
      <c r="C67" s="4" t="s">
        <v>3965</v>
      </c>
      <c r="D67" s="4" t="s">
        <v>3966</v>
      </c>
    </row>
    <row r="68" spans="2:4" ht="28.5" x14ac:dyDescent="0.2">
      <c r="B68" s="3" t="s">
        <v>3967</v>
      </c>
      <c r="C68" s="4" t="s">
        <v>3968</v>
      </c>
      <c r="D68" s="4" t="s">
        <v>3969</v>
      </c>
    </row>
    <row r="69" spans="2:4" ht="28.5" x14ac:dyDescent="0.2">
      <c r="B69" s="3" t="s">
        <v>3970</v>
      </c>
      <c r="C69" s="4" t="s">
        <v>3971</v>
      </c>
      <c r="D69" s="4" t="s">
        <v>3972</v>
      </c>
    </row>
    <row r="70" spans="2:4" ht="28.5" x14ac:dyDescent="0.2">
      <c r="B70" s="3" t="s">
        <v>3973</v>
      </c>
      <c r="C70" s="4" t="s">
        <v>3974</v>
      </c>
      <c r="D70" s="4" t="s">
        <v>3975</v>
      </c>
    </row>
    <row r="71" spans="2:4" ht="28.5" x14ac:dyDescent="0.2">
      <c r="B71" s="3" t="s">
        <v>3976</v>
      </c>
      <c r="C71" s="4" t="s">
        <v>3977</v>
      </c>
      <c r="D71" s="4" t="s">
        <v>3978</v>
      </c>
    </row>
    <row r="74" spans="2:4" ht="17.25" x14ac:dyDescent="0.2">
      <c r="B74" s="5" t="s">
        <v>1805</v>
      </c>
    </row>
    <row r="75" spans="2:4" x14ac:dyDescent="0.2">
      <c r="B75" s="6"/>
    </row>
    <row r="76" spans="2:4" x14ac:dyDescent="0.2">
      <c r="B76" s="7" t="s">
        <v>3979</v>
      </c>
    </row>
    <row r="77" spans="2:4" x14ac:dyDescent="0.2">
      <c r="B77" s="7" t="s">
        <v>3980</v>
      </c>
    </row>
    <row r="78" spans="2:4" x14ac:dyDescent="0.2">
      <c r="B78" s="7" t="s">
        <v>3981</v>
      </c>
    </row>
    <row r="79" spans="2:4" x14ac:dyDescent="0.2">
      <c r="B79" s="7" t="s">
        <v>3982</v>
      </c>
    </row>
    <row r="80" spans="2:4" x14ac:dyDescent="0.2">
      <c r="B80" s="16"/>
    </row>
    <row r="81" spans="2:2" x14ac:dyDescent="0.2">
      <c r="B81" s="6"/>
    </row>
    <row r="82" spans="2:2" x14ac:dyDescent="0.2">
      <c r="B82" s="6"/>
    </row>
  </sheetData>
  <phoneticPr fontId="2" type="noConversion"/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31DDE5-5456-4F25-8F5B-BFFC17122DD0}">
  <dimension ref="B1:G82"/>
  <sheetViews>
    <sheetView zoomScaleNormal="100" workbookViewId="0">
      <selection activeCell="C10" sqref="C10"/>
    </sheetView>
  </sheetViews>
  <sheetFormatPr defaultRowHeight="14.25" x14ac:dyDescent="0.2"/>
  <cols>
    <col min="1" max="1" width="2.75" customWidth="1"/>
    <col min="2" max="2" width="15.625" customWidth="1"/>
    <col min="3" max="3" width="43.125" customWidth="1"/>
    <col min="4" max="4" width="32.75" customWidth="1"/>
  </cols>
  <sheetData>
    <row r="1" spans="2:7" ht="17.25" x14ac:dyDescent="0.2">
      <c r="B1" s="5" t="s">
        <v>3983</v>
      </c>
      <c r="G1" t="str">
        <f>"&lt;dl&gt;&lt;dt&gt;" &amp; B1 &amp; "&lt;/dt&gt;&lt;dd&gt;" &amp; C1 &amp; "&lt;/dd&gt;&lt;dd&gt;" &amp; D1 &amp; "&lt;/dd&gt;&lt;/dl&gt;"</f>
        <v>&lt;dl&gt;&lt;dt&gt;一、龙池定义&lt;/dt&gt;&lt;dd&gt;&lt;/dd&gt;&lt;dd&gt;&lt;/dd&gt;&lt;/dl&gt;</v>
      </c>
    </row>
    <row r="3" spans="2:7" x14ac:dyDescent="0.2">
      <c r="B3" s="2" t="s">
        <v>376</v>
      </c>
      <c r="C3" s="2" t="s">
        <v>377</v>
      </c>
      <c r="D3" s="2" t="s">
        <v>21</v>
      </c>
    </row>
    <row r="4" spans="2:7" x14ac:dyDescent="0.2">
      <c r="B4" s="3" t="s">
        <v>624</v>
      </c>
      <c r="C4" s="4" t="s">
        <v>3984</v>
      </c>
      <c r="D4" s="4"/>
    </row>
    <row r="5" spans="2:7" ht="42.75" x14ac:dyDescent="0.2">
      <c r="B5" s="3" t="s">
        <v>378</v>
      </c>
      <c r="C5" s="4" t="s">
        <v>3985</v>
      </c>
      <c r="D5" s="4"/>
    </row>
    <row r="6" spans="2:7" ht="42.75" x14ac:dyDescent="0.2">
      <c r="B6" s="3" t="s">
        <v>1717</v>
      </c>
      <c r="C6" s="4" t="s">
        <v>3986</v>
      </c>
      <c r="D6" s="4"/>
    </row>
    <row r="9" spans="2:7" ht="17.25" x14ac:dyDescent="0.2">
      <c r="B9" s="5" t="s">
        <v>1719</v>
      </c>
    </row>
    <row r="11" spans="2:7" ht="15.75" x14ac:dyDescent="0.2">
      <c r="B11" s="13" t="s">
        <v>1720</v>
      </c>
    </row>
    <row r="13" spans="2:7" x14ac:dyDescent="0.2">
      <c r="B13" s="2" t="s">
        <v>390</v>
      </c>
      <c r="C13" s="2" t="s">
        <v>1818</v>
      </c>
      <c r="D13" s="2" t="s">
        <v>1819</v>
      </c>
    </row>
    <row r="14" spans="2:7" ht="28.5" x14ac:dyDescent="0.2">
      <c r="B14" s="3" t="s">
        <v>2082</v>
      </c>
      <c r="C14" s="4" t="s">
        <v>3987</v>
      </c>
      <c r="D14" s="4" t="s">
        <v>2371</v>
      </c>
    </row>
    <row r="15" spans="2:7" x14ac:dyDescent="0.2">
      <c r="B15" s="3" t="s">
        <v>3988</v>
      </c>
      <c r="C15" s="4" t="s">
        <v>3989</v>
      </c>
      <c r="D15" s="4" t="s">
        <v>3990</v>
      </c>
    </row>
    <row r="16" spans="2:7" ht="28.5" x14ac:dyDescent="0.2">
      <c r="B16" s="3" t="s">
        <v>3991</v>
      </c>
      <c r="C16" s="4" t="s">
        <v>3992</v>
      </c>
      <c r="D16" s="4" t="s">
        <v>3993</v>
      </c>
    </row>
    <row r="17" spans="2:7" ht="28.5" x14ac:dyDescent="0.2">
      <c r="B17" s="3" t="s">
        <v>3994</v>
      </c>
      <c r="C17" s="4" t="s">
        <v>3995</v>
      </c>
      <c r="D17" s="4" t="s">
        <v>3996</v>
      </c>
    </row>
    <row r="18" spans="2:7" x14ac:dyDescent="0.2">
      <c r="B18" s="3" t="s">
        <v>3997</v>
      </c>
      <c r="C18" s="4" t="s">
        <v>3998</v>
      </c>
      <c r="D18" s="4" t="s">
        <v>3999</v>
      </c>
    </row>
    <row r="21" spans="2:7" ht="17.25" x14ac:dyDescent="0.2">
      <c r="B21" s="5" t="s">
        <v>1733</v>
      </c>
    </row>
    <row r="22" spans="2:7" ht="15" thickBot="1" x14ac:dyDescent="0.25"/>
    <row r="23" spans="2:7" ht="16.5" thickBot="1" x14ac:dyDescent="0.25">
      <c r="B23" s="2" t="s">
        <v>18</v>
      </c>
      <c r="C23" s="2" t="s">
        <v>1818</v>
      </c>
      <c r="D23" s="2" t="s">
        <v>21</v>
      </c>
      <c r="E23" s="12"/>
    </row>
    <row r="24" spans="2:7" ht="29.25" thickBot="1" x14ac:dyDescent="0.25">
      <c r="B24" s="3" t="s">
        <v>201</v>
      </c>
      <c r="C24" s="4" t="s">
        <v>4000</v>
      </c>
      <c r="D24" s="4"/>
      <c r="E24" s="15"/>
      <c r="G24" t="str">
        <f t="shared" ref="G24:G52" si="0">"&lt;dl&gt;&lt;dt&gt;" &amp; B24 &amp; "&lt;/dt&gt;&lt;dd&gt;" &amp; C24 &amp; "&lt;/dd&gt;&lt;dd&gt;" &amp; D24 &amp; "&lt;/dd&gt;&lt;/dl&gt;"</f>
        <v>&lt;dl&gt;&lt;dt&gt;命宫​&lt;/dt&gt;&lt;dd&gt;天生有艺术气质或特殊才华，为人清雅，品味不俗。&lt;/dd&gt;&lt;dd&gt;&lt;/dd&gt;&lt;/dl&gt;</v>
      </c>
    </row>
    <row r="25" spans="2:7" ht="16.5" thickBot="1" x14ac:dyDescent="0.25">
      <c r="B25" s="3" t="s">
        <v>246</v>
      </c>
      <c r="C25" s="4" t="s">
        <v>4001</v>
      </c>
      <c r="D25" s="4"/>
      <c r="E25" s="15"/>
      <c r="G25" t="str">
        <f t="shared" si="0"/>
        <v>&lt;dl&gt;&lt;dt&gt;兄弟宫​&lt;/dt&gt;&lt;dd&gt;兄弟姐妹有才华；在团队中与有才艺之人共事。&lt;/dd&gt;&lt;dd&gt;&lt;/dd&gt;&lt;/dl&gt;</v>
      </c>
    </row>
    <row r="26" spans="2:7" ht="29.25" thickBot="1" x14ac:dyDescent="0.25">
      <c r="B26" s="3" t="s">
        <v>125</v>
      </c>
      <c r="C26" s="4" t="s">
        <v>4002</v>
      </c>
      <c r="D26" s="4"/>
      <c r="E26" s="15"/>
      <c r="G26" t="str">
        <f t="shared" si="0"/>
        <v>&lt;dl&gt;&lt;dt&gt;夫妻宫​&lt;/dt&gt;&lt;dd&gt;配偶有才华或艺术气质，婚姻生活注重精神交流与情趣。&lt;/dd&gt;&lt;dd&gt;&lt;/dd&gt;&lt;/dl&gt;</v>
      </c>
    </row>
    <row r="27" spans="2:7" ht="29.25" thickBot="1" x14ac:dyDescent="0.25">
      <c r="B27" s="3" t="s">
        <v>128</v>
      </c>
      <c r="C27" s="4" t="s">
        <v>4003</v>
      </c>
      <c r="D27" s="4"/>
      <c r="E27" s="15"/>
      <c r="G27" t="str">
        <f t="shared" si="0"/>
        <v>&lt;dl&gt;&lt;dt&gt;子女宫​&lt;/dt&gt;&lt;dd&gt;子女聪明有艺术天赋；合作项目具有创意与技术含量。&lt;/dd&gt;&lt;dd&gt;&lt;/dd&gt;&lt;/dl&gt;</v>
      </c>
    </row>
    <row r="28" spans="2:7" ht="29.25" thickBot="1" x14ac:dyDescent="0.25">
      <c r="B28" s="3" t="s">
        <v>3</v>
      </c>
      <c r="C28" s="4" t="s">
        <v>4004</v>
      </c>
      <c r="D28" s="4"/>
      <c r="E28" s="15"/>
      <c r="G28" t="str">
        <f t="shared" si="0"/>
        <v>&lt;dl&gt;&lt;dt&gt;财帛宫​&lt;/dt&gt;&lt;dd&gt;以才华、技艺赚钱，适合从事专业性强、有技术门槛的行业。&lt;/dd&gt;&lt;dd&gt;&lt;/dd&gt;&lt;/dl&gt;</v>
      </c>
    </row>
    <row r="29" spans="2:7" ht="29.25" thickBot="1" x14ac:dyDescent="0.25">
      <c r="B29" s="3" t="s">
        <v>6</v>
      </c>
      <c r="C29" s="4" t="s">
        <v>4005</v>
      </c>
      <c r="D29" s="4"/>
      <c r="E29" s="15"/>
      <c r="G29" t="str">
        <f t="shared" si="0"/>
        <v>&lt;dl&gt;&lt;dt&gt;疾厄宫​&lt;/dt&gt;&lt;dd&gt;气质清雅，但易有因思虑、用脑过度导致的神经衰弱。&lt;/dd&gt;&lt;dd&gt;&lt;/dd&gt;&lt;/dl&gt;</v>
      </c>
    </row>
    <row r="30" spans="2:7" ht="28.5" x14ac:dyDescent="0.2">
      <c r="B30" s="3" t="s">
        <v>15</v>
      </c>
      <c r="C30" s="4" t="s">
        <v>4006</v>
      </c>
      <c r="D30" s="4"/>
    </row>
    <row r="31" spans="2:7" ht="28.5" x14ac:dyDescent="0.2">
      <c r="B31" s="3" t="s">
        <v>12</v>
      </c>
      <c r="C31" s="4" t="s">
        <v>4007</v>
      </c>
      <c r="D31" s="4"/>
    </row>
    <row r="32" spans="2:7" ht="28.5" x14ac:dyDescent="0.2">
      <c r="B32" s="3" t="s">
        <v>206</v>
      </c>
      <c r="C32" s="3" t="s">
        <v>4008</v>
      </c>
      <c r="D32" s="4"/>
    </row>
    <row r="33" spans="2:7" ht="29.25" thickBot="1" x14ac:dyDescent="0.25">
      <c r="B33" s="3" t="s">
        <v>0</v>
      </c>
      <c r="C33" s="4" t="s">
        <v>4009</v>
      </c>
      <c r="D33" s="4"/>
    </row>
    <row r="34" spans="2:7" ht="16.5" thickBot="1" x14ac:dyDescent="0.25">
      <c r="B34" s="3" t="s">
        <v>116</v>
      </c>
      <c r="C34" s="4" t="s">
        <v>4010</v>
      </c>
      <c r="D34" s="4"/>
      <c r="E34" s="12"/>
    </row>
    <row r="35" spans="2:7" ht="29.25" thickBot="1" x14ac:dyDescent="0.25">
      <c r="B35" s="3" t="s">
        <v>9</v>
      </c>
      <c r="C35" s="4" t="s">
        <v>4011</v>
      </c>
      <c r="D35" s="4"/>
      <c r="E35" s="15"/>
      <c r="G35" t="str">
        <f t="shared" si="0"/>
        <v>&lt;dl&gt;&lt;dt&gt;父母宫​&lt;/dt&gt;&lt;dd&gt;父母有才华或重视教育；遗传到良好的艺术或学术天赋。&lt;/dd&gt;&lt;dd&gt;&lt;/dd&gt;&lt;/dl&gt;</v>
      </c>
    </row>
    <row r="36" spans="2:7" ht="16.5" thickBot="1" x14ac:dyDescent="0.25">
      <c r="E36" s="15"/>
      <c r="G36" t="str">
        <f t="shared" si="0"/>
        <v>&lt;dl&gt;&lt;dt&gt;&lt;/dt&gt;&lt;dd&gt;&lt;/dd&gt;&lt;dd&gt;&lt;/dd&gt;&lt;/dl&gt;</v>
      </c>
    </row>
    <row r="37" spans="2:7" ht="16.5" thickBot="1" x14ac:dyDescent="0.25">
      <c r="E37" s="15"/>
      <c r="G37" t="str">
        <f t="shared" si="0"/>
        <v>&lt;dl&gt;&lt;dt&gt;&lt;/dt&gt;&lt;dd&gt;&lt;/dd&gt;&lt;dd&gt;&lt;/dd&gt;&lt;/dl&gt;</v>
      </c>
    </row>
    <row r="38" spans="2:7" ht="18" thickBot="1" x14ac:dyDescent="0.25">
      <c r="B38" s="5" t="s">
        <v>734</v>
      </c>
      <c r="E38" s="15"/>
      <c r="G38" t="str">
        <f t="shared" si="0"/>
        <v>&lt;dl&gt;&lt;dt&gt;四、主星组合象义&lt;/dt&gt;&lt;dd&gt;&lt;/dd&gt;&lt;dd&gt;&lt;/dd&gt;&lt;/dl&gt;</v>
      </c>
    </row>
    <row r="39" spans="2:7" ht="16.5" thickBot="1" x14ac:dyDescent="0.25">
      <c r="E39" s="15"/>
      <c r="G39" t="str">
        <f t="shared" si="0"/>
        <v>&lt;dl&gt;&lt;dt&gt;&lt;/dt&gt;&lt;dd&gt;&lt;/dd&gt;&lt;dd&gt;&lt;/dd&gt;&lt;/dl&gt;</v>
      </c>
    </row>
    <row r="40" spans="2:7" ht="16.5" thickBot="1" x14ac:dyDescent="0.25">
      <c r="B40" s="13" t="s">
        <v>4012</v>
      </c>
      <c r="E40" s="15"/>
      <c r="G40" t="str">
        <f t="shared" si="0"/>
        <v>&lt;dl&gt;&lt;dt&gt;1. 增强才华清贵组合&lt;/dt&gt;&lt;dd&gt;&lt;/dd&gt;&lt;dd&gt;&lt;/dd&gt;&lt;/dl&gt;</v>
      </c>
    </row>
    <row r="41" spans="2:7" ht="16.5" thickBot="1" x14ac:dyDescent="0.25">
      <c r="E41" s="15"/>
      <c r="G41" t="str">
        <f t="shared" si="0"/>
        <v>&lt;dl&gt;&lt;dt&gt;&lt;/dt&gt;&lt;dd&gt;&lt;/dd&gt;&lt;dd&gt;&lt;/dd&gt;&lt;/dl&gt;</v>
      </c>
    </row>
    <row r="42" spans="2:7" ht="16.5" thickBot="1" x14ac:dyDescent="0.25">
      <c r="B42" s="2" t="s">
        <v>71</v>
      </c>
      <c r="C42" s="2" t="s">
        <v>1047</v>
      </c>
      <c r="D42" s="2" t="s">
        <v>73</v>
      </c>
      <c r="E42" s="15"/>
      <c r="G42" t="str">
        <f t="shared" si="0"/>
        <v>&lt;dl&gt;&lt;dt&gt;组合​&lt;/dt&gt;&lt;dd&gt;效应​&lt;/dd&gt;&lt;dd&gt;典型案例​&lt;/dd&gt;&lt;/dl&gt;</v>
      </c>
    </row>
    <row r="43" spans="2:7" ht="29.25" thickBot="1" x14ac:dyDescent="0.25">
      <c r="B43" s="3" t="s">
        <v>4013</v>
      </c>
      <c r="C43" s="4" t="s">
        <v>4014</v>
      </c>
      <c r="D43" s="4" t="s">
        <v>4015</v>
      </c>
      <c r="E43" s="15"/>
      <c r="G43" t="str">
        <f t="shared" si="0"/>
        <v>&lt;dl&gt;&lt;dt&gt;龙池+紫微​&lt;/dt&gt;&lt;dd&gt;帝王之侧的才华，技艺达到权威水平，或在大型机构担任技术权威。&lt;/dd&gt;&lt;dd&gt;宫廷乐师；国家级工艺美术大师；央企总工程师。&lt;/dd&gt;&lt;/dl&gt;</v>
      </c>
    </row>
    <row r="44" spans="2:7" ht="28.5" x14ac:dyDescent="0.2">
      <c r="B44" s="3" t="s">
        <v>4016</v>
      </c>
      <c r="C44" s="4" t="s">
        <v>4017</v>
      </c>
      <c r="D44" s="4" t="s">
        <v>4018</v>
      </c>
    </row>
    <row r="45" spans="2:7" ht="28.5" x14ac:dyDescent="0.2">
      <c r="B45" s="3" t="s">
        <v>4019</v>
      </c>
      <c r="C45" s="4" t="s">
        <v>4020</v>
      </c>
      <c r="D45" s="4" t="s">
        <v>4021</v>
      </c>
    </row>
    <row r="46" spans="2:7" ht="28.5" x14ac:dyDescent="0.2">
      <c r="B46" s="3" t="s">
        <v>4022</v>
      </c>
      <c r="C46" s="4" t="s">
        <v>4023</v>
      </c>
      <c r="D46" s="4" t="s">
        <v>4024</v>
      </c>
    </row>
    <row r="47" spans="2:7" ht="29.25" thickBot="1" x14ac:dyDescent="0.25">
      <c r="B47" s="3" t="s">
        <v>4025</v>
      </c>
      <c r="C47" s="4" t="s">
        <v>4026</v>
      </c>
      <c r="D47" s="4" t="s">
        <v>4027</v>
      </c>
    </row>
    <row r="48" spans="2:7" ht="16.5" thickBot="1" x14ac:dyDescent="0.25">
      <c r="E48" s="12"/>
    </row>
    <row r="49" spans="2:7" ht="16.5" thickBot="1" x14ac:dyDescent="0.25">
      <c r="B49" s="13" t="s">
        <v>4028</v>
      </c>
      <c r="E49" s="15"/>
      <c r="G49" t="str">
        <f t="shared" si="0"/>
        <v>&lt;dl&gt;&lt;dt&gt;2. 专业化与技艺组合&lt;/dt&gt;&lt;dd&gt;&lt;/dd&gt;&lt;dd&gt;&lt;/dd&gt;&lt;/dl&gt;</v>
      </c>
    </row>
    <row r="50" spans="2:7" ht="16.5" thickBot="1" x14ac:dyDescent="0.25">
      <c r="E50" s="15"/>
      <c r="G50" t="str">
        <f t="shared" si="0"/>
        <v>&lt;dl&gt;&lt;dt&gt;&lt;/dt&gt;&lt;dd&gt;&lt;/dd&gt;&lt;dd&gt;&lt;/dd&gt;&lt;/dl&gt;</v>
      </c>
    </row>
    <row r="51" spans="2:7" ht="16.5" thickBot="1" x14ac:dyDescent="0.25">
      <c r="B51" s="2" t="s">
        <v>71</v>
      </c>
      <c r="C51" s="2" t="s">
        <v>1047</v>
      </c>
      <c r="D51" s="2" t="s">
        <v>73</v>
      </c>
      <c r="E51" s="15"/>
      <c r="G51" t="str">
        <f t="shared" si="0"/>
        <v>&lt;dl&gt;&lt;dt&gt;组合​&lt;/dt&gt;&lt;dd&gt;效应​&lt;/dd&gt;&lt;dd&gt;典型案例​&lt;/dd&gt;&lt;/dl&gt;</v>
      </c>
    </row>
    <row r="52" spans="2:7" ht="29.25" thickBot="1" x14ac:dyDescent="0.25">
      <c r="B52" s="3" t="s">
        <v>4029</v>
      </c>
      <c r="C52" s="4" t="s">
        <v>4030</v>
      </c>
      <c r="D52" s="4" t="s">
        <v>4031</v>
      </c>
      <c r="E52" s="15"/>
      <c r="G52" t="str">
        <f t="shared" si="0"/>
        <v>&lt;dl&gt;&lt;dt&gt;龙池+天机​&lt;/dt&gt;&lt;dd&gt;灵动之才，思维敏捷，才华体现在策划、编程、精密计算等领域。&lt;/dd&gt;&lt;dd&gt;软件算法专家；战略顾问；围棋国手。&lt;/dd&gt;&lt;/dl&gt;</v>
      </c>
    </row>
    <row r="53" spans="2:7" ht="28.5" x14ac:dyDescent="0.2">
      <c r="B53" s="3" t="s">
        <v>4032</v>
      </c>
      <c r="C53" s="4" t="s">
        <v>4033</v>
      </c>
      <c r="D53" s="4" t="s">
        <v>4034</v>
      </c>
    </row>
    <row r="54" spans="2:7" ht="28.5" x14ac:dyDescent="0.2">
      <c r="B54" s="3" t="s">
        <v>4035</v>
      </c>
      <c r="C54" s="4" t="s">
        <v>4036</v>
      </c>
      <c r="D54" s="4" t="s">
        <v>4037</v>
      </c>
    </row>
    <row r="55" spans="2:7" ht="28.5" x14ac:dyDescent="0.2">
      <c r="B55" s="3" t="s">
        <v>4038</v>
      </c>
      <c r="C55" s="4" t="s">
        <v>4039</v>
      </c>
      <c r="D55" s="4" t="s">
        <v>4040</v>
      </c>
    </row>
    <row r="56" spans="2:7" ht="28.5" x14ac:dyDescent="0.2">
      <c r="B56" s="3" t="s">
        <v>4041</v>
      </c>
      <c r="C56" s="4" t="s">
        <v>4042</v>
      </c>
      <c r="D56" s="4" t="s">
        <v>4043</v>
      </c>
    </row>
    <row r="59" spans="2:7" ht="17.25" x14ac:dyDescent="0.2">
      <c r="B59" s="5" t="s">
        <v>746</v>
      </c>
    </row>
    <row r="61" spans="2:7" x14ac:dyDescent="0.2">
      <c r="B61" s="2" t="s">
        <v>40</v>
      </c>
      <c r="C61" s="2" t="s">
        <v>1414</v>
      </c>
      <c r="D61" s="2" t="s">
        <v>21</v>
      </c>
    </row>
    <row r="62" spans="2:7" ht="28.5" x14ac:dyDescent="0.2">
      <c r="B62" s="3" t="s">
        <v>4044</v>
      </c>
      <c r="C62" s="3" t="s">
        <v>4045</v>
      </c>
      <c r="D62" s="4" t="s">
        <v>4046</v>
      </c>
    </row>
    <row r="63" spans="2:7" ht="28.5" x14ac:dyDescent="0.2">
      <c r="B63" s="3" t="s">
        <v>4047</v>
      </c>
      <c r="C63" s="3" t="s">
        <v>4048</v>
      </c>
      <c r="D63" s="4" t="s">
        <v>4049</v>
      </c>
    </row>
    <row r="64" spans="2:7" ht="28.5" x14ac:dyDescent="0.2">
      <c r="B64" s="3" t="s">
        <v>4050</v>
      </c>
      <c r="C64" s="4" t="s">
        <v>4051</v>
      </c>
      <c r="D64" s="4" t="s">
        <v>4052</v>
      </c>
    </row>
    <row r="65" spans="2:4" ht="28.5" x14ac:dyDescent="0.2">
      <c r="B65" s="3" t="s">
        <v>4053</v>
      </c>
      <c r="C65" s="4" t="s">
        <v>4054</v>
      </c>
      <c r="D65" s="4" t="s">
        <v>4055</v>
      </c>
    </row>
    <row r="66" spans="2:4" ht="28.5" x14ac:dyDescent="0.2">
      <c r="B66" s="3" t="s">
        <v>4056</v>
      </c>
      <c r="C66" s="3" t="s">
        <v>4057</v>
      </c>
      <c r="D66" s="4" t="s">
        <v>4058</v>
      </c>
    </row>
    <row r="67" spans="2:4" ht="28.5" x14ac:dyDescent="0.2">
      <c r="B67" s="3" t="s">
        <v>4059</v>
      </c>
      <c r="C67" s="4" t="s">
        <v>4060</v>
      </c>
      <c r="D67" s="4" t="s">
        <v>4061</v>
      </c>
    </row>
    <row r="68" spans="2:4" ht="28.5" x14ac:dyDescent="0.2">
      <c r="B68" s="3" t="s">
        <v>4062</v>
      </c>
      <c r="C68" s="4" t="s">
        <v>4063</v>
      </c>
      <c r="D68" s="4" t="s">
        <v>4064</v>
      </c>
    </row>
    <row r="69" spans="2:4" ht="28.5" x14ac:dyDescent="0.2">
      <c r="B69" s="3" t="s">
        <v>4065</v>
      </c>
      <c r="C69" s="4" t="s">
        <v>4066</v>
      </c>
      <c r="D69" s="4" t="s">
        <v>4067</v>
      </c>
    </row>
    <row r="70" spans="2:4" ht="28.5" x14ac:dyDescent="0.2">
      <c r="B70" s="3" t="s">
        <v>4068</v>
      </c>
      <c r="C70" s="4" t="s">
        <v>4069</v>
      </c>
      <c r="D70" s="4" t="s">
        <v>4070</v>
      </c>
    </row>
    <row r="71" spans="2:4" ht="28.5" x14ac:dyDescent="0.2">
      <c r="B71" s="3" t="s">
        <v>4071</v>
      </c>
      <c r="C71" s="4" t="s">
        <v>4072</v>
      </c>
      <c r="D71" s="4" t="s">
        <v>4073</v>
      </c>
    </row>
    <row r="74" spans="2:4" ht="17.25" x14ac:dyDescent="0.2">
      <c r="B74" s="5" t="s">
        <v>1805</v>
      </c>
    </row>
    <row r="75" spans="2:4" x14ac:dyDescent="0.2">
      <c r="B75" s="6"/>
    </row>
    <row r="76" spans="2:4" x14ac:dyDescent="0.2">
      <c r="B76" s="7" t="s">
        <v>4074</v>
      </c>
    </row>
    <row r="77" spans="2:4" x14ac:dyDescent="0.2">
      <c r="B77" s="7" t="s">
        <v>4075</v>
      </c>
    </row>
    <row r="78" spans="2:4" x14ac:dyDescent="0.2">
      <c r="B78" s="7" t="s">
        <v>4076</v>
      </c>
    </row>
    <row r="79" spans="2:4" x14ac:dyDescent="0.2">
      <c r="B79" s="7" t="s">
        <v>4077</v>
      </c>
    </row>
    <row r="80" spans="2:4" x14ac:dyDescent="0.2">
      <c r="B80" s="16"/>
    </row>
    <row r="81" spans="2:2" x14ac:dyDescent="0.2">
      <c r="B81" s="6"/>
    </row>
    <row r="82" spans="2:2" x14ac:dyDescent="0.2">
      <c r="B82" s="6"/>
    </row>
  </sheetData>
  <phoneticPr fontId="2" type="noConversion"/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6CDF23-15F3-4594-B49F-2784AB8DE4ED}">
  <dimension ref="B1:G82"/>
  <sheetViews>
    <sheetView zoomScaleNormal="100" workbookViewId="0">
      <selection activeCell="C7" sqref="C7"/>
    </sheetView>
  </sheetViews>
  <sheetFormatPr defaultRowHeight="14.25" x14ac:dyDescent="0.2"/>
  <cols>
    <col min="1" max="1" width="2.75" customWidth="1"/>
    <col min="2" max="2" width="15.625" customWidth="1"/>
    <col min="3" max="3" width="43.125" customWidth="1"/>
    <col min="4" max="4" width="32.75" customWidth="1"/>
  </cols>
  <sheetData>
    <row r="1" spans="2:7" ht="17.25" x14ac:dyDescent="0.2">
      <c r="B1" s="5" t="s">
        <v>4078</v>
      </c>
      <c r="G1" t="str">
        <f>"&lt;dl&gt;&lt;dt&gt;" &amp; B1 &amp; "&lt;/dt&gt;&lt;dd&gt;" &amp; C1 &amp; "&lt;/dd&gt;&lt;dd&gt;" &amp; D1 &amp; "&lt;/dd&gt;&lt;/dl&gt;"</f>
        <v>&lt;dl&gt;&lt;dt&gt;一、凤阁定义&lt;/dt&gt;&lt;dd&gt;&lt;/dd&gt;&lt;dd&gt;&lt;/dd&gt;&lt;/dl&gt;</v>
      </c>
    </row>
    <row r="3" spans="2:7" x14ac:dyDescent="0.2">
      <c r="B3" s="2" t="s">
        <v>376</v>
      </c>
      <c r="C3" s="2" t="s">
        <v>377</v>
      </c>
      <c r="D3" s="2" t="s">
        <v>21</v>
      </c>
    </row>
    <row r="4" spans="2:7" x14ac:dyDescent="0.2">
      <c r="B4" s="3" t="s">
        <v>624</v>
      </c>
      <c r="C4" s="4" t="s">
        <v>4079</v>
      </c>
      <c r="D4" s="4"/>
    </row>
    <row r="5" spans="2:7" ht="42.75" x14ac:dyDescent="0.2">
      <c r="B5" s="3" t="s">
        <v>378</v>
      </c>
      <c r="C5" s="4" t="s">
        <v>4080</v>
      </c>
      <c r="D5" s="4"/>
    </row>
    <row r="6" spans="2:7" ht="42.75" x14ac:dyDescent="0.2">
      <c r="B6" s="3" t="s">
        <v>1717</v>
      </c>
      <c r="C6" s="4" t="s">
        <v>4081</v>
      </c>
      <c r="D6" s="4"/>
    </row>
    <row r="9" spans="2:7" ht="17.25" x14ac:dyDescent="0.2">
      <c r="B9" s="5" t="s">
        <v>1719</v>
      </c>
    </row>
    <row r="11" spans="2:7" ht="15.75" x14ac:dyDescent="0.2">
      <c r="B11" s="13" t="s">
        <v>1720</v>
      </c>
    </row>
    <row r="13" spans="2:7" x14ac:dyDescent="0.2">
      <c r="B13" s="2" t="s">
        <v>390</v>
      </c>
      <c r="C13" s="2" t="s">
        <v>1818</v>
      </c>
      <c r="D13" s="2" t="s">
        <v>1819</v>
      </c>
    </row>
    <row r="14" spans="2:7" ht="28.5" x14ac:dyDescent="0.2">
      <c r="B14" s="3" t="s">
        <v>4082</v>
      </c>
      <c r="C14" s="4" t="s">
        <v>4083</v>
      </c>
      <c r="D14" s="4" t="s">
        <v>4084</v>
      </c>
    </row>
    <row r="15" spans="2:7" ht="28.5" x14ac:dyDescent="0.2">
      <c r="B15" s="3" t="s">
        <v>4085</v>
      </c>
      <c r="C15" s="4" t="s">
        <v>4086</v>
      </c>
      <c r="D15" s="4" t="s">
        <v>4087</v>
      </c>
    </row>
    <row r="16" spans="2:7" ht="28.5" x14ac:dyDescent="0.2">
      <c r="B16" s="3" t="s">
        <v>4088</v>
      </c>
      <c r="C16" s="4" t="s">
        <v>4089</v>
      </c>
      <c r="D16" s="4" t="s">
        <v>4090</v>
      </c>
    </row>
    <row r="17" spans="2:7" ht="28.5" x14ac:dyDescent="0.2">
      <c r="B17" s="3" t="s">
        <v>4091</v>
      </c>
      <c r="C17" s="4" t="s">
        <v>4092</v>
      </c>
      <c r="D17" s="4" t="s">
        <v>4093</v>
      </c>
    </row>
    <row r="18" spans="2:7" x14ac:dyDescent="0.2">
      <c r="B18" s="3" t="s">
        <v>4094</v>
      </c>
      <c r="C18" s="4" t="s">
        <v>4095</v>
      </c>
      <c r="D18" s="4" t="s">
        <v>4096</v>
      </c>
    </row>
    <row r="21" spans="2:7" ht="17.25" x14ac:dyDescent="0.2">
      <c r="B21" s="5" t="s">
        <v>1733</v>
      </c>
    </row>
    <row r="22" spans="2:7" ht="15" thickBot="1" x14ac:dyDescent="0.25"/>
    <row r="23" spans="2:7" ht="16.5" thickBot="1" x14ac:dyDescent="0.25">
      <c r="B23" s="2" t="s">
        <v>18</v>
      </c>
      <c r="C23" s="2" t="s">
        <v>1818</v>
      </c>
      <c r="D23" s="2" t="s">
        <v>21</v>
      </c>
      <c r="E23" s="12"/>
    </row>
    <row r="24" spans="2:7" ht="29.25" thickBot="1" x14ac:dyDescent="0.25">
      <c r="B24" s="3" t="s">
        <v>201</v>
      </c>
      <c r="C24" s="4" t="s">
        <v>4097</v>
      </c>
      <c r="D24" s="4"/>
      <c r="E24" s="15"/>
      <c r="G24" t="str">
        <f t="shared" ref="G24:G52" si="0">"&lt;dl&gt;&lt;dt&gt;" &amp; B24 &amp; "&lt;/dt&gt;&lt;dd&gt;" &amp; C24 &amp; "&lt;/dd&gt;&lt;dd&gt;" &amp; D24 &amp; "&lt;/dd&gt;&lt;/dl&gt;"</f>
        <v>&lt;dl&gt;&lt;dt&gt;命宫​&lt;/dt&gt;&lt;dd&gt;相貌端正，气质优雅，注重外表与礼仪，有艺术天赋。&lt;/dd&gt;&lt;dd&gt;&lt;/dd&gt;&lt;/dl&gt;</v>
      </c>
    </row>
    <row r="25" spans="2:7" ht="29.25" thickBot="1" x14ac:dyDescent="0.25">
      <c r="B25" s="3" t="s">
        <v>246</v>
      </c>
      <c r="C25" s="4" t="s">
        <v>4098</v>
      </c>
      <c r="D25" s="4"/>
      <c r="E25" s="15"/>
      <c r="G25" t="str">
        <f t="shared" si="0"/>
        <v>&lt;dl&gt;&lt;dt&gt;兄弟宫​&lt;/dt&gt;&lt;dd&gt;兄弟姐妹外貌好或有品味；在团队中负责形象、设计工作。&lt;/dd&gt;&lt;dd&gt;&lt;/dd&gt;&lt;/dl&gt;</v>
      </c>
    </row>
    <row r="26" spans="2:7" ht="16.5" thickBot="1" x14ac:dyDescent="0.25">
      <c r="B26" s="3" t="s">
        <v>125</v>
      </c>
      <c r="C26" s="4" t="s">
        <v>4099</v>
      </c>
      <c r="D26" s="4"/>
      <c r="E26" s="15"/>
      <c r="G26" t="str">
        <f t="shared" si="0"/>
        <v>&lt;dl&gt;&lt;dt&gt;夫妻宫​&lt;/dt&gt;&lt;dd&gt;配偶相貌出众，或注重生活情调与家居布置。&lt;/dd&gt;&lt;dd&gt;&lt;/dd&gt;&lt;/dl&gt;</v>
      </c>
    </row>
    <row r="27" spans="2:7" ht="16.5" thickBot="1" x14ac:dyDescent="0.25">
      <c r="B27" s="3" t="s">
        <v>128</v>
      </c>
      <c r="C27" s="4" t="s">
        <v>4100</v>
      </c>
      <c r="D27" s="4"/>
      <c r="E27" s="15"/>
      <c r="G27" t="str">
        <f t="shared" si="0"/>
        <v>&lt;dl&gt;&lt;dt&gt;子女宫​&lt;/dt&gt;&lt;dd&gt;子女长相可爱；合作项目具有美观性或设计感。&lt;/dd&gt;&lt;dd&gt;&lt;/dd&gt;&lt;/dl&gt;</v>
      </c>
    </row>
    <row r="28" spans="2:7" ht="29.25" thickBot="1" x14ac:dyDescent="0.25">
      <c r="B28" s="3" t="s">
        <v>3</v>
      </c>
      <c r="C28" s="4" t="s">
        <v>4101</v>
      </c>
      <c r="D28" s="4"/>
      <c r="E28" s="15"/>
      <c r="G28" t="str">
        <f t="shared" si="0"/>
        <v>&lt;dl&gt;&lt;dt&gt;财帛宫​&lt;/dt&gt;&lt;dd&gt;钱财用于装饰、美容、艺术消费，或通过设计、美容行业赚钱。&lt;/dd&gt;&lt;dd&gt;&lt;/dd&gt;&lt;/dl&gt;</v>
      </c>
    </row>
    <row r="29" spans="2:7" ht="29.25" thickBot="1" x14ac:dyDescent="0.25">
      <c r="B29" s="3" t="s">
        <v>6</v>
      </c>
      <c r="C29" s="4" t="s">
        <v>4102</v>
      </c>
      <c r="D29" s="4"/>
      <c r="E29" s="15"/>
      <c r="G29" t="str">
        <f t="shared" si="0"/>
        <v>&lt;dl&gt;&lt;dt&gt;疾厄宫​&lt;/dt&gt;&lt;dd&gt;注重身体保养与美容，气质好，但易有皮肤、外貌相关的小疾。&lt;/dd&gt;&lt;dd&gt;&lt;/dd&gt;&lt;/dl&gt;</v>
      </c>
    </row>
    <row r="30" spans="2:7" x14ac:dyDescent="0.2">
      <c r="B30" s="3" t="s">
        <v>15</v>
      </c>
      <c r="C30" s="4" t="s">
        <v>4103</v>
      </c>
      <c r="D30" s="4"/>
    </row>
    <row r="31" spans="2:7" ht="28.5" x14ac:dyDescent="0.2">
      <c r="B31" s="3" t="s">
        <v>12</v>
      </c>
      <c r="C31" s="4" t="s">
        <v>4104</v>
      </c>
      <c r="D31" s="4"/>
    </row>
    <row r="32" spans="2:7" ht="28.5" x14ac:dyDescent="0.2">
      <c r="B32" s="3" t="s">
        <v>206</v>
      </c>
      <c r="C32" s="3" t="s">
        <v>4105</v>
      </c>
      <c r="D32" s="4"/>
    </row>
    <row r="33" spans="2:7" ht="29.25" thickBot="1" x14ac:dyDescent="0.25">
      <c r="B33" s="3" t="s">
        <v>0</v>
      </c>
      <c r="C33" s="4" t="s">
        <v>4106</v>
      </c>
      <c r="D33" s="4"/>
    </row>
    <row r="34" spans="2:7" ht="16.5" thickBot="1" x14ac:dyDescent="0.25">
      <c r="B34" s="3" t="s">
        <v>116</v>
      </c>
      <c r="C34" s="4" t="s">
        <v>4107</v>
      </c>
      <c r="D34" s="4"/>
      <c r="E34" s="12"/>
    </row>
    <row r="35" spans="2:7" ht="29.25" thickBot="1" x14ac:dyDescent="0.25">
      <c r="B35" s="3" t="s">
        <v>9</v>
      </c>
      <c r="C35" s="4" t="s">
        <v>4108</v>
      </c>
      <c r="D35" s="4"/>
      <c r="E35" s="15"/>
      <c r="G35" t="str">
        <f t="shared" si="0"/>
        <v>&lt;dl&gt;&lt;dt&gt;父母宫​&lt;/dt&gt;&lt;dd&gt;父母相貌好或有品味；家庭环境布置优雅，重视形象教育。&lt;/dd&gt;&lt;dd&gt;&lt;/dd&gt;&lt;/dl&gt;</v>
      </c>
    </row>
    <row r="36" spans="2:7" ht="16.5" thickBot="1" x14ac:dyDescent="0.25">
      <c r="E36" s="15"/>
      <c r="G36" t="str">
        <f t="shared" si="0"/>
        <v>&lt;dl&gt;&lt;dt&gt;&lt;/dt&gt;&lt;dd&gt;&lt;/dd&gt;&lt;dd&gt;&lt;/dd&gt;&lt;/dl&gt;</v>
      </c>
    </row>
    <row r="37" spans="2:7" ht="16.5" thickBot="1" x14ac:dyDescent="0.25">
      <c r="E37" s="15"/>
      <c r="G37" t="str">
        <f t="shared" si="0"/>
        <v>&lt;dl&gt;&lt;dt&gt;&lt;/dt&gt;&lt;dd&gt;&lt;/dd&gt;&lt;dd&gt;&lt;/dd&gt;&lt;/dl&gt;</v>
      </c>
    </row>
    <row r="38" spans="2:7" ht="18" thickBot="1" x14ac:dyDescent="0.25">
      <c r="B38" s="5" t="s">
        <v>734</v>
      </c>
      <c r="E38" s="15"/>
      <c r="G38" t="str">
        <f t="shared" si="0"/>
        <v>&lt;dl&gt;&lt;dt&gt;四、主星组合象义&lt;/dt&gt;&lt;dd&gt;&lt;/dd&gt;&lt;dd&gt;&lt;/dd&gt;&lt;/dl&gt;</v>
      </c>
    </row>
    <row r="39" spans="2:7" ht="16.5" thickBot="1" x14ac:dyDescent="0.25">
      <c r="E39" s="15"/>
      <c r="G39" t="str">
        <f t="shared" si="0"/>
        <v>&lt;dl&gt;&lt;dt&gt;&lt;/dt&gt;&lt;dd&gt;&lt;/dd&gt;&lt;dd&gt;&lt;/dd&gt;&lt;/dl&gt;</v>
      </c>
    </row>
    <row r="40" spans="2:7" ht="16.5" thickBot="1" x14ac:dyDescent="0.25">
      <c r="B40" s="13" t="s">
        <v>4109</v>
      </c>
      <c r="E40" s="15"/>
      <c r="G40" t="str">
        <f t="shared" si="0"/>
        <v>&lt;dl&gt;&lt;dt&gt;1. 增强外貌品味组合&lt;/dt&gt;&lt;dd&gt;&lt;/dd&gt;&lt;dd&gt;&lt;/dd&gt;&lt;/dl&gt;</v>
      </c>
    </row>
    <row r="41" spans="2:7" ht="16.5" thickBot="1" x14ac:dyDescent="0.25">
      <c r="E41" s="15"/>
      <c r="G41" t="str">
        <f t="shared" si="0"/>
        <v>&lt;dl&gt;&lt;dt&gt;&lt;/dt&gt;&lt;dd&gt;&lt;/dd&gt;&lt;dd&gt;&lt;/dd&gt;&lt;/dl&gt;</v>
      </c>
    </row>
    <row r="42" spans="2:7" ht="16.5" thickBot="1" x14ac:dyDescent="0.25">
      <c r="B42" s="2" t="s">
        <v>71</v>
      </c>
      <c r="C42" s="2" t="s">
        <v>1047</v>
      </c>
      <c r="D42" s="2" t="s">
        <v>73</v>
      </c>
      <c r="E42" s="15"/>
      <c r="G42" t="str">
        <f t="shared" si="0"/>
        <v>&lt;dl&gt;&lt;dt&gt;组合​&lt;/dt&gt;&lt;dd&gt;效应​&lt;/dd&gt;&lt;dd&gt;典型案例​&lt;/dd&gt;&lt;/dl&gt;</v>
      </c>
    </row>
    <row r="43" spans="2:7" ht="29.25" thickBot="1" x14ac:dyDescent="0.25">
      <c r="B43" s="3" t="s">
        <v>4110</v>
      </c>
      <c r="C43" s="4" t="s">
        <v>4111</v>
      </c>
      <c r="D43" s="4" t="s">
        <v>4112</v>
      </c>
      <c r="E43" s="15"/>
      <c r="G43" t="str">
        <f t="shared" si="0"/>
        <v>&lt;dl&gt;&lt;dt&gt;凤阁+紫微​&lt;/dt&gt;&lt;dd&gt;尊贵之美，相貌堂堂，有威仪，或从事权威性、大型的建筑设计。&lt;/dd&gt;&lt;dd&gt;帝王之相；国家大剧院的设计师；大型地产项目总规划。&lt;/dd&gt;&lt;/dl&gt;</v>
      </c>
    </row>
    <row r="44" spans="2:7" ht="28.5" x14ac:dyDescent="0.2">
      <c r="B44" s="3" t="s">
        <v>4113</v>
      </c>
      <c r="C44" s="4" t="s">
        <v>4114</v>
      </c>
      <c r="D44" s="4" t="s">
        <v>4115</v>
      </c>
    </row>
    <row r="45" spans="2:7" ht="28.5" x14ac:dyDescent="0.2">
      <c r="B45" s="3" t="s">
        <v>4116</v>
      </c>
      <c r="C45" s="4" t="s">
        <v>4117</v>
      </c>
      <c r="D45" s="4" t="s">
        <v>4118</v>
      </c>
    </row>
    <row r="46" spans="2:7" ht="28.5" x14ac:dyDescent="0.2">
      <c r="B46" s="3" t="s">
        <v>4119</v>
      </c>
      <c r="C46" s="4" t="s">
        <v>4120</v>
      </c>
      <c r="D46" s="4" t="s">
        <v>4121</v>
      </c>
    </row>
    <row r="47" spans="2:7" ht="29.25" thickBot="1" x14ac:dyDescent="0.25">
      <c r="B47" s="3" t="s">
        <v>4122</v>
      </c>
      <c r="C47" s="4" t="s">
        <v>4123</v>
      </c>
      <c r="D47" s="4" t="s">
        <v>4124</v>
      </c>
    </row>
    <row r="48" spans="2:7" ht="16.5" thickBot="1" x14ac:dyDescent="0.25">
      <c r="E48" s="12"/>
    </row>
    <row r="49" spans="2:7" ht="16.5" thickBot="1" x14ac:dyDescent="0.25">
      <c r="B49" s="13" t="s">
        <v>4125</v>
      </c>
      <c r="E49" s="15"/>
      <c r="G49" t="str">
        <f t="shared" si="0"/>
        <v>&lt;dl&gt;&lt;dt&gt;2. 专业化与艺术组合&lt;/dt&gt;&lt;dd&gt;&lt;/dd&gt;&lt;dd&gt;&lt;/dd&gt;&lt;/dl&gt;</v>
      </c>
    </row>
    <row r="50" spans="2:7" ht="16.5" thickBot="1" x14ac:dyDescent="0.25">
      <c r="E50" s="15"/>
      <c r="G50" t="str">
        <f t="shared" si="0"/>
        <v>&lt;dl&gt;&lt;dt&gt;&lt;/dt&gt;&lt;dd&gt;&lt;/dd&gt;&lt;dd&gt;&lt;/dd&gt;&lt;/dl&gt;</v>
      </c>
    </row>
    <row r="51" spans="2:7" ht="16.5" thickBot="1" x14ac:dyDescent="0.25">
      <c r="B51" s="2" t="s">
        <v>71</v>
      </c>
      <c r="C51" s="2" t="s">
        <v>1047</v>
      </c>
      <c r="D51" s="2" t="s">
        <v>73</v>
      </c>
      <c r="E51" s="15"/>
      <c r="G51" t="str">
        <f t="shared" si="0"/>
        <v>&lt;dl&gt;&lt;dt&gt;组合​&lt;/dt&gt;&lt;dd&gt;效应​&lt;/dd&gt;&lt;dd&gt;典型案例​&lt;/dd&gt;&lt;/dl&gt;</v>
      </c>
    </row>
    <row r="52" spans="2:7" ht="29.25" thickBot="1" x14ac:dyDescent="0.25">
      <c r="B52" s="3" t="s">
        <v>4126</v>
      </c>
      <c r="C52" s="4" t="s">
        <v>4127</v>
      </c>
      <c r="D52" s="4" t="s">
        <v>4128</v>
      </c>
      <c r="E52" s="15"/>
      <c r="G52" t="str">
        <f t="shared" si="0"/>
        <v>&lt;dl&gt;&lt;dt&gt;凤阁+天机​&lt;/dt&gt;&lt;dd&gt;灵动精巧之美，形象机敏，或从事时尚、广告、新媒体等需要快速审美的行业。&lt;/dd&gt;&lt;dd&gt;时尚买手；广告创意总监；UI/UX设计师。&lt;/dd&gt;&lt;/dl&gt;</v>
      </c>
    </row>
    <row r="53" spans="2:7" ht="28.5" x14ac:dyDescent="0.2">
      <c r="B53" s="3" t="s">
        <v>4129</v>
      </c>
      <c r="C53" s="4" t="s">
        <v>4130</v>
      </c>
      <c r="D53" s="4" t="s">
        <v>4131</v>
      </c>
    </row>
    <row r="54" spans="2:7" ht="28.5" x14ac:dyDescent="0.2">
      <c r="B54" s="3" t="s">
        <v>4132</v>
      </c>
      <c r="C54" s="4" t="s">
        <v>4133</v>
      </c>
      <c r="D54" s="4" t="s">
        <v>4134</v>
      </c>
    </row>
    <row r="55" spans="2:7" ht="28.5" x14ac:dyDescent="0.2">
      <c r="B55" s="3" t="s">
        <v>4135</v>
      </c>
      <c r="C55" s="4" t="s">
        <v>4136</v>
      </c>
      <c r="D55" s="4" t="s">
        <v>4137</v>
      </c>
    </row>
    <row r="56" spans="2:7" ht="28.5" x14ac:dyDescent="0.2">
      <c r="B56" s="3" t="s">
        <v>4138</v>
      </c>
      <c r="C56" s="4" t="s">
        <v>4139</v>
      </c>
      <c r="D56" s="4" t="s">
        <v>4140</v>
      </c>
    </row>
    <row r="59" spans="2:7" ht="17.25" x14ac:dyDescent="0.2">
      <c r="B59" s="5" t="s">
        <v>746</v>
      </c>
    </row>
    <row r="61" spans="2:7" x14ac:dyDescent="0.2">
      <c r="B61" s="2" t="s">
        <v>40</v>
      </c>
      <c r="C61" s="2" t="s">
        <v>1414</v>
      </c>
      <c r="D61" s="2" t="s">
        <v>21</v>
      </c>
    </row>
    <row r="62" spans="2:7" ht="28.5" x14ac:dyDescent="0.2">
      <c r="B62" s="3" t="s">
        <v>4141</v>
      </c>
      <c r="C62" s="3" t="s">
        <v>4142</v>
      </c>
      <c r="D62" s="4" t="s">
        <v>4143</v>
      </c>
    </row>
    <row r="63" spans="2:7" ht="28.5" x14ac:dyDescent="0.2">
      <c r="B63" s="3" t="s">
        <v>4144</v>
      </c>
      <c r="C63" s="3" t="s">
        <v>4145</v>
      </c>
      <c r="D63" s="4" t="s">
        <v>4146</v>
      </c>
    </row>
    <row r="64" spans="2:7" ht="28.5" x14ac:dyDescent="0.2">
      <c r="B64" s="3" t="s">
        <v>4147</v>
      </c>
      <c r="C64" s="4" t="s">
        <v>4148</v>
      </c>
      <c r="D64" s="4" t="s">
        <v>4149</v>
      </c>
    </row>
    <row r="65" spans="2:4" ht="28.5" x14ac:dyDescent="0.2">
      <c r="B65" s="3" t="s">
        <v>4150</v>
      </c>
      <c r="C65" s="4" t="s">
        <v>4151</v>
      </c>
      <c r="D65" s="4" t="s">
        <v>4152</v>
      </c>
    </row>
    <row r="66" spans="2:4" ht="28.5" x14ac:dyDescent="0.2">
      <c r="B66" s="3" t="s">
        <v>4153</v>
      </c>
      <c r="C66" s="3" t="s">
        <v>4154</v>
      </c>
      <c r="D66" s="4" t="s">
        <v>4155</v>
      </c>
    </row>
    <row r="67" spans="2:4" ht="28.5" x14ac:dyDescent="0.2">
      <c r="B67" s="3" t="s">
        <v>4156</v>
      </c>
      <c r="C67" s="4" t="s">
        <v>4157</v>
      </c>
      <c r="D67" s="4" t="s">
        <v>4158</v>
      </c>
    </row>
    <row r="68" spans="2:4" ht="28.5" x14ac:dyDescent="0.2">
      <c r="B68" s="3" t="s">
        <v>4159</v>
      </c>
      <c r="C68" s="4" t="s">
        <v>4160</v>
      </c>
      <c r="D68" s="4" t="s">
        <v>4161</v>
      </c>
    </row>
    <row r="69" spans="2:4" ht="28.5" x14ac:dyDescent="0.2">
      <c r="B69" s="3" t="s">
        <v>4162</v>
      </c>
      <c r="C69" s="4" t="s">
        <v>4163</v>
      </c>
      <c r="D69" s="4" t="s">
        <v>4164</v>
      </c>
    </row>
    <row r="70" spans="2:4" ht="28.5" x14ac:dyDescent="0.2">
      <c r="B70" s="3" t="s">
        <v>4165</v>
      </c>
      <c r="C70" s="4" t="s">
        <v>4166</v>
      </c>
      <c r="D70" s="4" t="s">
        <v>4167</v>
      </c>
    </row>
    <row r="71" spans="2:4" ht="28.5" x14ac:dyDescent="0.2">
      <c r="B71" s="3" t="s">
        <v>4168</v>
      </c>
      <c r="C71" s="4" t="s">
        <v>4169</v>
      </c>
      <c r="D71" s="4" t="s">
        <v>4170</v>
      </c>
    </row>
    <row r="74" spans="2:4" ht="17.25" x14ac:dyDescent="0.2">
      <c r="B74" s="5" t="s">
        <v>1805</v>
      </c>
    </row>
    <row r="75" spans="2:4" x14ac:dyDescent="0.2">
      <c r="B75" s="6"/>
    </row>
    <row r="76" spans="2:4" x14ac:dyDescent="0.2">
      <c r="B76" s="7" t="s">
        <v>4171</v>
      </c>
    </row>
    <row r="77" spans="2:4" x14ac:dyDescent="0.2">
      <c r="B77" s="7" t="s">
        <v>4172</v>
      </c>
    </row>
    <row r="78" spans="2:4" x14ac:dyDescent="0.2">
      <c r="B78" s="7" t="s">
        <v>4173</v>
      </c>
    </row>
    <row r="79" spans="2:4" x14ac:dyDescent="0.2">
      <c r="B79" s="7" t="s">
        <v>4174</v>
      </c>
    </row>
    <row r="80" spans="2:4" x14ac:dyDescent="0.2">
      <c r="B80" s="16"/>
    </row>
    <row r="81" spans="2:2" x14ac:dyDescent="0.2">
      <c r="B81" s="6"/>
    </row>
    <row r="82" spans="2:2" x14ac:dyDescent="0.2">
      <c r="B82" s="6"/>
    </row>
  </sheetData>
  <phoneticPr fontId="2" type="noConversion"/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80E9F0-CB2B-49E2-A2C6-E6408F9486EE}">
  <dimension ref="B1:G82"/>
  <sheetViews>
    <sheetView zoomScaleNormal="100" workbookViewId="0">
      <selection activeCell="D5" sqref="D5"/>
    </sheetView>
  </sheetViews>
  <sheetFormatPr defaultRowHeight="14.25" x14ac:dyDescent="0.2"/>
  <cols>
    <col min="1" max="1" width="2.75" customWidth="1"/>
    <col min="2" max="2" width="15.625" customWidth="1"/>
    <col min="3" max="3" width="43.125" customWidth="1"/>
    <col min="4" max="4" width="32.75" customWidth="1"/>
  </cols>
  <sheetData>
    <row r="1" spans="2:7" ht="17.25" x14ac:dyDescent="0.2">
      <c r="B1" s="5" t="s">
        <v>4175</v>
      </c>
      <c r="G1" t="str">
        <f>"&lt;dl&gt;&lt;dt&gt;" &amp; B1 &amp; "&lt;/dt&gt;&lt;dd&gt;" &amp; C1 &amp; "&lt;/dd&gt;&lt;dd&gt;" &amp; D1 &amp; "&lt;/dd&gt;&lt;/dl&gt;"</f>
        <v>&lt;dl&gt;&lt;dt&gt;一、孤辰定义&lt;/dt&gt;&lt;dd&gt;&lt;/dd&gt;&lt;dd&gt;&lt;/dd&gt;&lt;/dl&gt;</v>
      </c>
    </row>
    <row r="3" spans="2:7" x14ac:dyDescent="0.2">
      <c r="B3" s="2" t="s">
        <v>376</v>
      </c>
      <c r="C3" s="2" t="s">
        <v>377</v>
      </c>
      <c r="D3" s="2" t="s">
        <v>21</v>
      </c>
    </row>
    <row r="4" spans="2:7" x14ac:dyDescent="0.2">
      <c r="B4" s="3" t="s">
        <v>624</v>
      </c>
      <c r="C4" s="4" t="s">
        <v>4176</v>
      </c>
      <c r="D4" s="4"/>
    </row>
    <row r="5" spans="2:7" ht="42.75" x14ac:dyDescent="0.2">
      <c r="B5" s="3" t="s">
        <v>378</v>
      </c>
      <c r="C5" s="4" t="s">
        <v>4177</v>
      </c>
      <c r="D5" s="4"/>
    </row>
    <row r="6" spans="2:7" ht="42.75" x14ac:dyDescent="0.2">
      <c r="B6" s="3" t="s">
        <v>1717</v>
      </c>
      <c r="C6" s="4" t="s">
        <v>4178</v>
      </c>
      <c r="D6" s="4"/>
    </row>
    <row r="9" spans="2:7" ht="17.25" x14ac:dyDescent="0.2">
      <c r="B9" s="5" t="s">
        <v>1719</v>
      </c>
    </row>
    <row r="11" spans="2:7" ht="15.75" x14ac:dyDescent="0.2">
      <c r="B11" s="13" t="s">
        <v>1720</v>
      </c>
    </row>
    <row r="13" spans="2:7" x14ac:dyDescent="0.2">
      <c r="B13" s="2" t="s">
        <v>390</v>
      </c>
      <c r="C13" s="2" t="s">
        <v>1818</v>
      </c>
      <c r="D13" s="2" t="s">
        <v>1819</v>
      </c>
    </row>
    <row r="14" spans="2:7" x14ac:dyDescent="0.2">
      <c r="B14" s="3" t="s">
        <v>4179</v>
      </c>
      <c r="C14" s="4" t="s">
        <v>4180</v>
      </c>
      <c r="D14" s="4" t="s">
        <v>2371</v>
      </c>
    </row>
    <row r="15" spans="2:7" ht="28.5" x14ac:dyDescent="0.2">
      <c r="B15" s="3" t="s">
        <v>4181</v>
      </c>
      <c r="C15" s="4" t="s">
        <v>4182</v>
      </c>
      <c r="D15" s="4" t="s">
        <v>4183</v>
      </c>
    </row>
    <row r="16" spans="2:7" ht="28.5" x14ac:dyDescent="0.2">
      <c r="B16" s="3" t="s">
        <v>4184</v>
      </c>
      <c r="C16" s="4" t="s">
        <v>4185</v>
      </c>
      <c r="D16" s="4" t="s">
        <v>4186</v>
      </c>
    </row>
    <row r="17" spans="2:7" ht="28.5" x14ac:dyDescent="0.2">
      <c r="B17" s="3" t="s">
        <v>4187</v>
      </c>
      <c r="C17" s="4" t="s">
        <v>4188</v>
      </c>
      <c r="D17" s="4" t="s">
        <v>4189</v>
      </c>
    </row>
    <row r="18" spans="2:7" x14ac:dyDescent="0.2">
      <c r="B18" s="3" t="s">
        <v>4190</v>
      </c>
      <c r="C18" s="4" t="s">
        <v>4191</v>
      </c>
      <c r="D18" s="4" t="s">
        <v>4192</v>
      </c>
    </row>
    <row r="21" spans="2:7" ht="17.25" x14ac:dyDescent="0.2">
      <c r="B21" s="5" t="s">
        <v>1733</v>
      </c>
    </row>
    <row r="22" spans="2:7" ht="15" thickBot="1" x14ac:dyDescent="0.25"/>
    <row r="23" spans="2:7" ht="16.5" thickBot="1" x14ac:dyDescent="0.25">
      <c r="B23" s="2" t="s">
        <v>18</v>
      </c>
      <c r="C23" s="2" t="s">
        <v>1818</v>
      </c>
      <c r="D23" s="2" t="s">
        <v>21</v>
      </c>
      <c r="E23" s="12"/>
    </row>
    <row r="24" spans="2:7" ht="29.25" thickBot="1" x14ac:dyDescent="0.25">
      <c r="B24" s="3" t="s">
        <v>201</v>
      </c>
      <c r="C24" s="4" t="s">
        <v>4193</v>
      </c>
      <c r="D24" s="4"/>
      <c r="E24" s="15"/>
      <c r="G24" t="str">
        <f t="shared" ref="G24:G52" si="0">"&lt;dl&gt;&lt;dt&gt;" &amp; B24 &amp; "&lt;/dt&gt;&lt;dd&gt;" &amp; C24 &amp; "&lt;/dd&gt;&lt;dd&gt;" &amp; D24 &amp; "&lt;/dd&gt;&lt;/dl&gt;"</f>
        <v>&lt;dl&gt;&lt;dt&gt;命宫​&lt;/dt&gt;&lt;dd&gt;性格孤高，不喜迎合，一生心态上常有孤独感，朋友少。&lt;/dd&gt;&lt;dd&gt;&lt;/dd&gt;&lt;/dl&gt;</v>
      </c>
    </row>
    <row r="25" spans="2:7" ht="29.25" thickBot="1" x14ac:dyDescent="0.25">
      <c r="B25" s="3" t="s">
        <v>246</v>
      </c>
      <c r="C25" s="4" t="s">
        <v>4194</v>
      </c>
      <c r="D25" s="4"/>
      <c r="E25" s="15"/>
      <c r="G25" t="str">
        <f t="shared" si="0"/>
        <v>&lt;dl&gt;&lt;dt&gt;兄弟宫​&lt;/dt&gt;&lt;dd&gt;与兄弟姐妹缘薄，感情疏远，或各自独立发展，少有助力。&lt;/dd&gt;&lt;dd&gt;&lt;/dd&gt;&lt;/dl&gt;</v>
      </c>
    </row>
    <row r="26" spans="2:7" ht="29.25" thickBot="1" x14ac:dyDescent="0.25">
      <c r="B26" s="3" t="s">
        <v>125</v>
      </c>
      <c r="C26" s="4" t="s">
        <v>4195</v>
      </c>
      <c r="D26" s="4"/>
      <c r="E26" s="15"/>
      <c r="G26" t="str">
        <f t="shared" si="0"/>
        <v>&lt;dl&gt;&lt;dt&gt;夫妻宫​&lt;/dt&gt;&lt;dd&gt;配偶性格孤僻，或夫妻聚少离多，沟通不畅，易感孤独。&lt;/dd&gt;&lt;dd&gt;&lt;/dd&gt;&lt;/dl&gt;</v>
      </c>
    </row>
    <row r="27" spans="2:7" ht="29.25" thickBot="1" x14ac:dyDescent="0.25">
      <c r="B27" s="3" t="s">
        <v>128</v>
      </c>
      <c r="C27" s="4" t="s">
        <v>4196</v>
      </c>
      <c r="D27" s="4"/>
      <c r="E27" s="15"/>
      <c r="G27" t="str">
        <f t="shared" si="0"/>
        <v>&lt;dl&gt;&lt;dt&gt;子女宫​&lt;/dt&gt;&lt;dd&gt;子女数目少，或与子女缘分浅，子女长大后远离自己。&lt;/dd&gt;&lt;dd&gt;&lt;/dd&gt;&lt;/dl&gt;</v>
      </c>
    </row>
    <row r="28" spans="2:7" ht="29.25" thickBot="1" x14ac:dyDescent="0.25">
      <c r="B28" s="3" t="s">
        <v>3</v>
      </c>
      <c r="C28" s="4" t="s">
        <v>4197</v>
      </c>
      <c r="D28" s="4"/>
      <c r="E28" s="15"/>
      <c r="G28" t="str">
        <f t="shared" si="0"/>
        <v>&lt;dl&gt;&lt;dt&gt;财帛宫​&lt;/dt&gt;&lt;dd&gt;喜欢独立经营，不喜与人合伙求财，钱财来源多靠一己之力。&lt;/dd&gt;&lt;dd&gt;&lt;/dd&gt;&lt;/dl&gt;</v>
      </c>
    </row>
    <row r="29" spans="2:7" ht="29.25" thickBot="1" x14ac:dyDescent="0.25">
      <c r="B29" s="3" t="s">
        <v>6</v>
      </c>
      <c r="C29" s="4" t="s">
        <v>4198</v>
      </c>
      <c r="D29" s="4"/>
      <c r="E29" s="15"/>
      <c r="G29" t="str">
        <f t="shared" si="0"/>
        <v>&lt;dl&gt;&lt;dt&gt;疾厄宫​&lt;/dt&gt;&lt;dd&gt;易有孤僻导致的情绪病，如抑郁症、自闭倾向，或喜静不喜动。&lt;/dd&gt;&lt;dd&gt;&lt;/dd&gt;&lt;/dl&gt;</v>
      </c>
    </row>
    <row r="30" spans="2:7" x14ac:dyDescent="0.2">
      <c r="B30" s="3" t="s">
        <v>15</v>
      </c>
      <c r="C30" s="4" t="s">
        <v>4199</v>
      </c>
      <c r="D30" s="4"/>
    </row>
    <row r="31" spans="2:7" ht="28.5" x14ac:dyDescent="0.2">
      <c r="B31" s="3" t="s">
        <v>12</v>
      </c>
      <c r="C31" s="4" t="s">
        <v>4200</v>
      </c>
      <c r="D31" s="4"/>
    </row>
    <row r="32" spans="2:7" ht="28.5" x14ac:dyDescent="0.2">
      <c r="B32" s="3" t="s">
        <v>206</v>
      </c>
      <c r="C32" s="4" t="s">
        <v>4201</v>
      </c>
      <c r="D32" s="4"/>
    </row>
    <row r="33" spans="2:7" ht="29.25" thickBot="1" x14ac:dyDescent="0.25">
      <c r="B33" s="3" t="s">
        <v>0</v>
      </c>
      <c r="C33" s="4" t="s">
        <v>4202</v>
      </c>
      <c r="D33" s="4"/>
    </row>
    <row r="34" spans="2:7" ht="29.25" thickBot="1" x14ac:dyDescent="0.25">
      <c r="B34" s="3" t="s">
        <v>116</v>
      </c>
      <c r="C34" s="3" t="s">
        <v>4203</v>
      </c>
      <c r="D34" s="4"/>
      <c r="E34" s="12"/>
    </row>
    <row r="35" spans="2:7" ht="29.25" thickBot="1" x14ac:dyDescent="0.25">
      <c r="B35" s="3" t="s">
        <v>9</v>
      </c>
      <c r="C35" s="4" t="s">
        <v>4204</v>
      </c>
      <c r="D35" s="4"/>
      <c r="E35" s="15"/>
      <c r="G35" t="str">
        <f t="shared" si="0"/>
        <v>&lt;dl&gt;&lt;dt&gt;父母宫​&lt;/dt&gt;&lt;dd&gt;与父母缘分较淡，可能早年离家，或与父母有代沟、疏离。&lt;/dd&gt;&lt;dd&gt;&lt;/dd&gt;&lt;/dl&gt;</v>
      </c>
    </row>
    <row r="36" spans="2:7" ht="16.5" thickBot="1" x14ac:dyDescent="0.25">
      <c r="E36" s="15"/>
      <c r="G36" t="str">
        <f t="shared" si="0"/>
        <v>&lt;dl&gt;&lt;dt&gt;&lt;/dt&gt;&lt;dd&gt;&lt;/dd&gt;&lt;dd&gt;&lt;/dd&gt;&lt;/dl&gt;</v>
      </c>
    </row>
    <row r="37" spans="2:7" ht="16.5" thickBot="1" x14ac:dyDescent="0.25">
      <c r="E37" s="15"/>
      <c r="G37" t="str">
        <f t="shared" si="0"/>
        <v>&lt;dl&gt;&lt;dt&gt;&lt;/dt&gt;&lt;dd&gt;&lt;/dd&gt;&lt;dd&gt;&lt;/dd&gt;&lt;/dl&gt;</v>
      </c>
    </row>
    <row r="38" spans="2:7" ht="18" thickBot="1" x14ac:dyDescent="0.25">
      <c r="B38" s="5" t="s">
        <v>734</v>
      </c>
      <c r="E38" s="15"/>
      <c r="G38" t="str">
        <f t="shared" si="0"/>
        <v>&lt;dl&gt;&lt;dt&gt;四、主星组合象义&lt;/dt&gt;&lt;dd&gt;&lt;/dd&gt;&lt;dd&gt;&lt;/dd&gt;&lt;/dl&gt;</v>
      </c>
    </row>
    <row r="39" spans="2:7" ht="16.5" thickBot="1" x14ac:dyDescent="0.25">
      <c r="E39" s="15"/>
      <c r="G39" t="str">
        <f t="shared" si="0"/>
        <v>&lt;dl&gt;&lt;dt&gt;&lt;/dt&gt;&lt;dd&gt;&lt;/dd&gt;&lt;dd&gt;&lt;/dd&gt;&lt;/dl&gt;</v>
      </c>
    </row>
    <row r="40" spans="2:7" ht="16.5" thickBot="1" x14ac:dyDescent="0.25">
      <c r="B40" s="13" t="s">
        <v>4205</v>
      </c>
      <c r="E40" s="15"/>
      <c r="G40" t="str">
        <f t="shared" si="0"/>
        <v>&lt;dl&gt;&lt;dt&gt;1. 增强孤独倾向组合&lt;/dt&gt;&lt;dd&gt;&lt;/dd&gt;&lt;dd&gt;&lt;/dd&gt;&lt;/dl&gt;</v>
      </c>
    </row>
    <row r="41" spans="2:7" ht="16.5" thickBot="1" x14ac:dyDescent="0.25">
      <c r="E41" s="15"/>
      <c r="G41" t="str">
        <f t="shared" si="0"/>
        <v>&lt;dl&gt;&lt;dt&gt;&lt;/dt&gt;&lt;dd&gt;&lt;/dd&gt;&lt;dd&gt;&lt;/dd&gt;&lt;/dl&gt;</v>
      </c>
    </row>
    <row r="42" spans="2:7" ht="16.5" thickBot="1" x14ac:dyDescent="0.25">
      <c r="B42" s="2" t="s">
        <v>71</v>
      </c>
      <c r="C42" s="2" t="s">
        <v>1047</v>
      </c>
      <c r="D42" s="2" t="s">
        <v>73</v>
      </c>
      <c r="E42" s="15"/>
      <c r="G42" t="str">
        <f t="shared" si="0"/>
        <v>&lt;dl&gt;&lt;dt&gt;组合​&lt;/dt&gt;&lt;dd&gt;效应​&lt;/dd&gt;&lt;dd&gt;典型案例​&lt;/dd&gt;&lt;/dl&gt;</v>
      </c>
    </row>
    <row r="43" spans="2:7" ht="16.5" thickBot="1" x14ac:dyDescent="0.25">
      <c r="B43" s="3" t="s">
        <v>4206</v>
      </c>
      <c r="C43" s="4" t="s">
        <v>4207</v>
      </c>
      <c r="D43" s="4" t="s">
        <v>4208</v>
      </c>
      <c r="E43" s="15"/>
      <c r="G43" t="str">
        <f t="shared" si="0"/>
        <v>&lt;dl&gt;&lt;dt&gt;孤辰+紫微​&lt;/dt&gt;&lt;dd&gt;孤高的帝王，位高权重但内心孤独，高处不胜寒。&lt;/dd&gt;&lt;dd&gt;孤独的领导者；离群索居的权威学者。&lt;/dd&gt;&lt;/dl&gt;</v>
      </c>
    </row>
    <row r="44" spans="2:7" ht="28.5" x14ac:dyDescent="0.2">
      <c r="B44" s="3" t="s">
        <v>4209</v>
      </c>
      <c r="C44" s="4" t="s">
        <v>4210</v>
      </c>
      <c r="D44" s="4" t="s">
        <v>4211</v>
      </c>
    </row>
    <row r="45" spans="2:7" ht="28.5" x14ac:dyDescent="0.2">
      <c r="B45" s="3" t="s">
        <v>4212</v>
      </c>
      <c r="C45" s="4" t="s">
        <v>4213</v>
      </c>
      <c r="D45" s="4" t="s">
        <v>4214</v>
      </c>
    </row>
    <row r="46" spans="2:7" ht="28.5" x14ac:dyDescent="0.2">
      <c r="B46" s="3" t="s">
        <v>4215</v>
      </c>
      <c r="C46" s="4" t="s">
        <v>4216</v>
      </c>
      <c r="D46" s="4" t="s">
        <v>4217</v>
      </c>
    </row>
    <row r="47" spans="2:7" ht="29.25" thickBot="1" x14ac:dyDescent="0.25">
      <c r="B47" s="3" t="s">
        <v>4218</v>
      </c>
      <c r="C47" s="4" t="s">
        <v>4219</v>
      </c>
      <c r="D47" s="4" t="s">
        <v>4220</v>
      </c>
    </row>
    <row r="48" spans="2:7" ht="29.25" thickBot="1" x14ac:dyDescent="0.25">
      <c r="B48" s="3" t="s">
        <v>4221</v>
      </c>
      <c r="C48" s="4" t="s">
        <v>4222</v>
      </c>
      <c r="D48" s="4" t="s">
        <v>4223</v>
      </c>
      <c r="E48" s="12"/>
    </row>
    <row r="49" spans="2:7" ht="29.25" thickBot="1" x14ac:dyDescent="0.25">
      <c r="B49" s="3" t="s">
        <v>4224</v>
      </c>
      <c r="C49" s="4" t="s">
        <v>4225</v>
      </c>
      <c r="D49" s="4" t="s">
        <v>4226</v>
      </c>
      <c r="E49" s="15"/>
      <c r="G49" t="str">
        <f t="shared" si="0"/>
        <v>&lt;dl&gt;&lt;dt&gt;孤辰+天府​&lt;/dt&gt;&lt;dd&gt;孤独的守成者，享受一个人的富足与安稳，不喜被打扰。&lt;/dd&gt;&lt;dd&gt;独自管理庞大资产的富翁；喜欢宅在家里的收藏家。&lt;/dd&gt;&lt;/dl&gt;</v>
      </c>
    </row>
    <row r="50" spans="2:7" ht="29.25" thickBot="1" x14ac:dyDescent="0.25">
      <c r="B50" s="3" t="s">
        <v>4227</v>
      </c>
      <c r="C50" s="4" t="s">
        <v>4228</v>
      </c>
      <c r="D50" s="4" t="s">
        <v>4229</v>
      </c>
      <c r="E50" s="15"/>
      <c r="G50" t="str">
        <f t="shared" si="0"/>
        <v>&lt;dl&gt;&lt;dt&gt;孤辰+太阴​&lt;/dt&gt;&lt;dd&gt;孤独的隐士，内心细腻敏感，喜静，逃避喧嚣人群。&lt;/dd&gt;&lt;dd&gt;隐居的作家；夜间独自工作的程序员。&lt;/dd&gt;&lt;/dl&gt;</v>
      </c>
    </row>
    <row r="51" spans="2:7" ht="29.25" thickBot="1" x14ac:dyDescent="0.25">
      <c r="B51" s="3" t="s">
        <v>4230</v>
      </c>
      <c r="C51" s="4" t="s">
        <v>4231</v>
      </c>
      <c r="D51" s="4" t="s">
        <v>4232</v>
      </c>
      <c r="E51" s="15"/>
      <c r="G51" t="str">
        <f t="shared" si="0"/>
        <v>&lt;dl&gt;&lt;dt&gt;孤辰+贪狼​&lt;/dt&gt;&lt;dd&gt;孤独的欲望者，外表热闹，内心空虚，狂欢后的孤独感更甚。&lt;/dd&gt;&lt;dd&gt;在社交场合活跃，回家后倍感孤单的人。&lt;/dd&gt;&lt;/dl&gt;</v>
      </c>
    </row>
    <row r="52" spans="2:7" ht="29.25" thickBot="1" x14ac:dyDescent="0.25">
      <c r="B52" s="3" t="s">
        <v>4233</v>
      </c>
      <c r="C52" s="4" t="s">
        <v>4234</v>
      </c>
      <c r="D52" s="4" t="s">
        <v>4235</v>
      </c>
      <c r="E52" s="15"/>
      <c r="G52" t="str">
        <f t="shared" si="0"/>
        <v>&lt;dl&gt;&lt;dt&gt;孤辰+巨门​&lt;/dt&gt;&lt;dd&gt;孤独的暗星，因口舌是非或思想阴暗而主动疏离人群。&lt;/dd&gt;&lt;dd&gt;因言论被孤立者；喜欢研究神秘学的独行者。&lt;/dd&gt;&lt;/dl&gt;</v>
      </c>
    </row>
    <row r="53" spans="2:7" ht="28.5" x14ac:dyDescent="0.2">
      <c r="B53" s="3" t="s">
        <v>4236</v>
      </c>
      <c r="C53" s="4" t="s">
        <v>4237</v>
      </c>
      <c r="D53" s="4" t="s">
        <v>4238</v>
      </c>
    </row>
    <row r="54" spans="2:7" ht="28.5" x14ac:dyDescent="0.2">
      <c r="B54" s="3" t="s">
        <v>4239</v>
      </c>
      <c r="C54" s="4" t="s">
        <v>4240</v>
      </c>
      <c r="D54" s="4" t="s">
        <v>4241</v>
      </c>
    </row>
    <row r="55" spans="2:7" ht="28.5" x14ac:dyDescent="0.2">
      <c r="B55" s="3" t="s">
        <v>4242</v>
      </c>
      <c r="C55" s="4" t="s">
        <v>4243</v>
      </c>
      <c r="D55" s="4" t="s">
        <v>4244</v>
      </c>
    </row>
    <row r="56" spans="2:7" ht="28.5" x14ac:dyDescent="0.2">
      <c r="B56" s="3" t="s">
        <v>4245</v>
      </c>
      <c r="C56" s="4" t="s">
        <v>4246</v>
      </c>
      <c r="D56" s="4" t="s">
        <v>4247</v>
      </c>
    </row>
    <row r="59" spans="2:7" ht="17.25" x14ac:dyDescent="0.2">
      <c r="B59" s="5" t="s">
        <v>746</v>
      </c>
    </row>
    <row r="61" spans="2:7" x14ac:dyDescent="0.2">
      <c r="B61" s="2" t="s">
        <v>40</v>
      </c>
      <c r="C61" s="2" t="s">
        <v>1414</v>
      </c>
      <c r="D61" s="2" t="s">
        <v>21</v>
      </c>
    </row>
    <row r="62" spans="2:7" ht="28.5" x14ac:dyDescent="0.2">
      <c r="B62" s="3" t="s">
        <v>4248</v>
      </c>
      <c r="C62" s="3" t="s">
        <v>4249</v>
      </c>
      <c r="D62" s="4" t="s">
        <v>4250</v>
      </c>
    </row>
    <row r="63" spans="2:7" ht="28.5" x14ac:dyDescent="0.2">
      <c r="B63" s="3" t="s">
        <v>4251</v>
      </c>
      <c r="C63" s="4" t="s">
        <v>4252</v>
      </c>
      <c r="D63" s="4" t="s">
        <v>4253</v>
      </c>
    </row>
    <row r="64" spans="2:7" ht="28.5" x14ac:dyDescent="0.2">
      <c r="B64" s="3" t="s">
        <v>4254</v>
      </c>
      <c r="C64" s="4" t="s">
        <v>4255</v>
      </c>
      <c r="D64" s="4" t="s">
        <v>4256</v>
      </c>
    </row>
    <row r="65" spans="2:4" ht="28.5" x14ac:dyDescent="0.2">
      <c r="B65" s="3" t="s">
        <v>4257</v>
      </c>
      <c r="C65" s="4" t="s">
        <v>4258</v>
      </c>
      <c r="D65" s="4" t="s">
        <v>4259</v>
      </c>
    </row>
    <row r="66" spans="2:4" ht="28.5" x14ac:dyDescent="0.2">
      <c r="B66" s="3" t="s">
        <v>4260</v>
      </c>
      <c r="C66" s="4" t="s">
        <v>4261</v>
      </c>
      <c r="D66" s="4" t="s">
        <v>4262</v>
      </c>
    </row>
    <row r="67" spans="2:4" ht="28.5" x14ac:dyDescent="0.2">
      <c r="B67" s="3" t="s">
        <v>4263</v>
      </c>
      <c r="C67" s="4" t="s">
        <v>4264</v>
      </c>
      <c r="D67" s="4" t="s">
        <v>4265</v>
      </c>
    </row>
    <row r="68" spans="2:4" x14ac:dyDescent="0.2">
      <c r="B68" s="3" t="s">
        <v>4266</v>
      </c>
      <c r="C68" s="4" t="s">
        <v>4267</v>
      </c>
      <c r="D68" s="4" t="s">
        <v>4268</v>
      </c>
    </row>
    <row r="69" spans="2:4" ht="28.5" x14ac:dyDescent="0.2">
      <c r="B69" s="3" t="s">
        <v>4269</v>
      </c>
      <c r="C69" s="4" t="s">
        <v>4270</v>
      </c>
      <c r="D69" s="4" t="s">
        <v>4271</v>
      </c>
    </row>
    <row r="70" spans="2:4" ht="28.5" x14ac:dyDescent="0.2">
      <c r="B70" s="3" t="s">
        <v>4272</v>
      </c>
      <c r="C70" s="4" t="s">
        <v>4273</v>
      </c>
      <c r="D70" s="4" t="s">
        <v>4274</v>
      </c>
    </row>
    <row r="71" spans="2:4" ht="28.5" x14ac:dyDescent="0.2">
      <c r="B71" s="3" t="s">
        <v>4275</v>
      </c>
      <c r="C71" s="4" t="s">
        <v>4276</v>
      </c>
      <c r="D71" s="4" t="s">
        <v>4277</v>
      </c>
    </row>
    <row r="74" spans="2:4" ht="17.25" x14ac:dyDescent="0.2">
      <c r="B74" s="5" t="s">
        <v>1805</v>
      </c>
    </row>
    <row r="75" spans="2:4" x14ac:dyDescent="0.2">
      <c r="B75" s="6"/>
    </row>
    <row r="76" spans="2:4" x14ac:dyDescent="0.2">
      <c r="B76" s="7" t="s">
        <v>4278</v>
      </c>
    </row>
    <row r="77" spans="2:4" x14ac:dyDescent="0.2">
      <c r="B77" s="7" t="s">
        <v>4279</v>
      </c>
    </row>
    <row r="78" spans="2:4" x14ac:dyDescent="0.2">
      <c r="B78" s="7" t="s">
        <v>4280</v>
      </c>
    </row>
    <row r="79" spans="2:4" x14ac:dyDescent="0.2">
      <c r="B79" s="7" t="s">
        <v>4281</v>
      </c>
    </row>
    <row r="80" spans="2:4" x14ac:dyDescent="0.2">
      <c r="B80" s="16"/>
    </row>
    <row r="81" spans="2:2" x14ac:dyDescent="0.2">
      <c r="B81" s="6"/>
    </row>
    <row r="82" spans="2:2" x14ac:dyDescent="0.2">
      <c r="B82" s="6"/>
    </row>
  </sheetData>
  <phoneticPr fontId="2" type="noConversion"/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6FC477-FDE0-4A0E-B897-8E5A6FE5C5AA}">
  <dimension ref="B1:G82"/>
  <sheetViews>
    <sheetView zoomScaleNormal="100" workbookViewId="0">
      <selection activeCell="B1" sqref="B1:D79"/>
    </sheetView>
  </sheetViews>
  <sheetFormatPr defaultRowHeight="14.25" x14ac:dyDescent="0.2"/>
  <cols>
    <col min="1" max="1" width="2.75" customWidth="1"/>
    <col min="2" max="2" width="15.625" customWidth="1"/>
    <col min="3" max="3" width="43.125" customWidth="1"/>
    <col min="4" max="4" width="32.75" customWidth="1"/>
  </cols>
  <sheetData>
    <row r="1" spans="2:7" ht="17.25" x14ac:dyDescent="0.2">
      <c r="B1" s="5" t="s">
        <v>4282</v>
      </c>
      <c r="G1" t="str">
        <f>"&lt;dl&gt;&lt;dt&gt;" &amp; B1 &amp; "&lt;/dt&gt;&lt;dd&gt;" &amp; C1 &amp; "&lt;/dd&gt;&lt;dd&gt;" &amp; D1 &amp; "&lt;/dd&gt;&lt;/dl&gt;"</f>
        <v>&lt;dl&gt;&lt;dt&gt;一、寡宿定义&lt;/dt&gt;&lt;dd&gt;&lt;/dd&gt;&lt;dd&gt;&lt;/dd&gt;&lt;/dl&gt;</v>
      </c>
    </row>
    <row r="3" spans="2:7" x14ac:dyDescent="0.2">
      <c r="B3" s="2" t="s">
        <v>376</v>
      </c>
      <c r="C3" s="2" t="s">
        <v>377</v>
      </c>
      <c r="D3" s="2" t="s">
        <v>21</v>
      </c>
    </row>
    <row r="4" spans="2:7" x14ac:dyDescent="0.2">
      <c r="B4" s="3" t="s">
        <v>624</v>
      </c>
      <c r="C4" s="4" t="s">
        <v>4283</v>
      </c>
      <c r="D4" s="4"/>
    </row>
    <row r="5" spans="2:7" ht="42.75" x14ac:dyDescent="0.2">
      <c r="B5" s="3" t="s">
        <v>378</v>
      </c>
      <c r="C5" s="4" t="s">
        <v>4284</v>
      </c>
      <c r="D5" s="4"/>
    </row>
    <row r="6" spans="2:7" ht="42.75" x14ac:dyDescent="0.2">
      <c r="B6" s="3" t="s">
        <v>1717</v>
      </c>
      <c r="C6" s="4" t="s">
        <v>4285</v>
      </c>
      <c r="D6" s="4"/>
    </row>
    <row r="9" spans="2:7" ht="17.25" x14ac:dyDescent="0.2">
      <c r="B9" s="5" t="s">
        <v>1719</v>
      </c>
    </row>
    <row r="11" spans="2:7" ht="15.75" x14ac:dyDescent="0.2">
      <c r="B11" s="13" t="s">
        <v>1720</v>
      </c>
    </row>
    <row r="13" spans="2:7" x14ac:dyDescent="0.2">
      <c r="B13" s="2" t="s">
        <v>390</v>
      </c>
      <c r="C13" s="2" t="s">
        <v>1818</v>
      </c>
      <c r="D13" s="2" t="s">
        <v>1819</v>
      </c>
    </row>
    <row r="14" spans="2:7" ht="28.5" x14ac:dyDescent="0.2">
      <c r="B14" s="3" t="s">
        <v>4286</v>
      </c>
      <c r="C14" s="4" t="s">
        <v>4287</v>
      </c>
      <c r="D14" s="4" t="s">
        <v>4288</v>
      </c>
    </row>
    <row r="15" spans="2:7" ht="28.5" x14ac:dyDescent="0.2">
      <c r="B15" s="3" t="s">
        <v>4289</v>
      </c>
      <c r="C15" s="4" t="s">
        <v>4290</v>
      </c>
      <c r="D15" s="4" t="s">
        <v>4291</v>
      </c>
    </row>
    <row r="16" spans="2:7" x14ac:dyDescent="0.2">
      <c r="B16" s="3" t="s">
        <v>4292</v>
      </c>
      <c r="C16" s="4" t="s">
        <v>4293</v>
      </c>
      <c r="D16" s="4" t="s">
        <v>4294</v>
      </c>
    </row>
    <row r="17" spans="2:7" x14ac:dyDescent="0.2">
      <c r="B17" s="3" t="s">
        <v>4295</v>
      </c>
      <c r="C17" s="4" t="s">
        <v>4296</v>
      </c>
      <c r="D17" s="4" t="s">
        <v>4189</v>
      </c>
    </row>
    <row r="18" spans="2:7" ht="28.5" x14ac:dyDescent="0.2">
      <c r="B18" s="3" t="s">
        <v>4297</v>
      </c>
      <c r="C18" s="4" t="s">
        <v>4298</v>
      </c>
      <c r="D18" s="4" t="s">
        <v>4299</v>
      </c>
    </row>
    <row r="21" spans="2:7" ht="17.25" x14ac:dyDescent="0.2">
      <c r="B21" s="5" t="s">
        <v>1733</v>
      </c>
    </row>
    <row r="22" spans="2:7" ht="15" thickBot="1" x14ac:dyDescent="0.25"/>
    <row r="23" spans="2:7" ht="16.5" thickBot="1" x14ac:dyDescent="0.25">
      <c r="B23" s="2" t="s">
        <v>18</v>
      </c>
      <c r="C23" s="2" t="s">
        <v>1818</v>
      </c>
      <c r="D23" s="2" t="s">
        <v>21</v>
      </c>
      <c r="E23" s="12"/>
    </row>
    <row r="24" spans="2:7" ht="29.25" thickBot="1" x14ac:dyDescent="0.25">
      <c r="B24" s="3" t="s">
        <v>201</v>
      </c>
      <c r="C24" s="4" t="s">
        <v>4300</v>
      </c>
      <c r="D24" s="4"/>
      <c r="E24" s="15"/>
      <c r="G24" t="str">
        <f t="shared" ref="G24:G52" si="0">"&lt;dl&gt;&lt;dt&gt;" &amp; B24 &amp; "&lt;/dt&gt;&lt;dd&gt;" &amp; C24 &amp; "&lt;/dd&gt;&lt;dd&gt;" &amp; D24 &amp; "&lt;/dd&gt;&lt;/dl&gt;"</f>
        <v>&lt;dl&gt;&lt;dt&gt;命宫​&lt;/dt&gt;&lt;dd&gt;性格孤僻，喜静，一生易处于独居或心理上的孤寡状态。&lt;/dd&gt;&lt;dd&gt;&lt;/dd&gt;&lt;/dl&gt;</v>
      </c>
    </row>
    <row r="25" spans="2:7" ht="29.25" thickBot="1" x14ac:dyDescent="0.25">
      <c r="B25" s="3" t="s">
        <v>246</v>
      </c>
      <c r="C25" s="4" t="s">
        <v>4301</v>
      </c>
      <c r="D25" s="4"/>
      <c r="E25" s="15"/>
      <c r="G25" t="str">
        <f t="shared" si="0"/>
        <v>&lt;dl&gt;&lt;dt&gt;兄弟宫​&lt;/dt&gt;&lt;dd&gt;兄弟姐妹稀少，或各自独立，关系冷淡，少有往来。&lt;/dd&gt;&lt;dd&gt;&lt;/dd&gt;&lt;/dl&gt;</v>
      </c>
    </row>
    <row r="26" spans="2:7" ht="29.25" thickBot="1" x14ac:dyDescent="0.25">
      <c r="B26" s="3" t="s">
        <v>125</v>
      </c>
      <c r="C26" s="4" t="s">
        <v>4302</v>
      </c>
      <c r="D26" s="4"/>
      <c r="E26" s="15"/>
      <c r="G26" t="str">
        <f t="shared" si="0"/>
        <v>&lt;dl&gt;&lt;dt&gt;夫妻宫​&lt;/dt&gt;&lt;dd&gt;配偶常不在身边（如异地），或晚婚、婚姻关系冷淡，易独身。&lt;/dd&gt;&lt;dd&gt;&lt;/dd&gt;&lt;/dl&gt;</v>
      </c>
    </row>
    <row r="27" spans="2:7" ht="29.25" thickBot="1" x14ac:dyDescent="0.25">
      <c r="B27" s="3" t="s">
        <v>128</v>
      </c>
      <c r="C27" s="4" t="s">
        <v>4303</v>
      </c>
      <c r="D27" s="4"/>
      <c r="E27" s="15"/>
      <c r="G27" t="str">
        <f t="shared" si="0"/>
        <v>&lt;dl&gt;&lt;dt&gt;子女宫​&lt;/dt&gt;&lt;dd&gt;子女数目少，或无子女，与子女缘分浅，子女远离。&lt;/dd&gt;&lt;dd&gt;&lt;/dd&gt;&lt;/dl&gt;</v>
      </c>
    </row>
    <row r="28" spans="2:7" ht="29.25" thickBot="1" x14ac:dyDescent="0.25">
      <c r="B28" s="3" t="s">
        <v>3</v>
      </c>
      <c r="C28" s="4" t="s">
        <v>4304</v>
      </c>
      <c r="D28" s="4"/>
      <c r="E28" s="15"/>
      <c r="G28" t="str">
        <f t="shared" si="0"/>
        <v>&lt;dl&gt;&lt;dt&gt;财帛宫​&lt;/dt&gt;&lt;dd&gt;钱财需独自打理，不适宜与人合伙，易因独立经营得财或破财。&lt;/dd&gt;&lt;dd&gt;&lt;/dd&gt;&lt;/dl&gt;</v>
      </c>
    </row>
    <row r="29" spans="2:7" ht="16.5" thickBot="1" x14ac:dyDescent="0.25">
      <c r="B29" s="3" t="s">
        <v>6</v>
      </c>
      <c r="C29" s="4" t="s">
        <v>4305</v>
      </c>
      <c r="D29" s="4"/>
      <c r="E29" s="15"/>
      <c r="G29" t="str">
        <f t="shared" si="0"/>
        <v>&lt;dl&gt;&lt;dt&gt;疾厄宫​&lt;/dt&gt;&lt;dd&gt;体质偏寒，易有孤僻导致的慢性病，或喜静养。&lt;/dd&gt;&lt;dd&gt;&lt;/dd&gt;&lt;/dl&gt;</v>
      </c>
    </row>
    <row r="30" spans="2:7" ht="28.5" x14ac:dyDescent="0.2">
      <c r="B30" s="3" t="s">
        <v>15</v>
      </c>
      <c r="C30" s="4" t="s">
        <v>4306</v>
      </c>
      <c r="D30" s="4"/>
    </row>
    <row r="31" spans="2:7" ht="28.5" x14ac:dyDescent="0.2">
      <c r="B31" s="3" t="s">
        <v>12</v>
      </c>
      <c r="C31" s="4" t="s">
        <v>4307</v>
      </c>
      <c r="D31" s="4"/>
    </row>
    <row r="32" spans="2:7" ht="28.5" x14ac:dyDescent="0.2">
      <c r="B32" s="3" t="s">
        <v>206</v>
      </c>
      <c r="C32" s="4" t="s">
        <v>4308</v>
      </c>
      <c r="D32" s="4"/>
    </row>
    <row r="33" spans="2:7" ht="29.25" thickBot="1" x14ac:dyDescent="0.25">
      <c r="B33" s="3" t="s">
        <v>0</v>
      </c>
      <c r="C33" s="3" t="s">
        <v>4309</v>
      </c>
      <c r="D33" s="4"/>
    </row>
    <row r="34" spans="2:7" ht="16.5" thickBot="1" x14ac:dyDescent="0.25">
      <c r="B34" s="3" t="s">
        <v>116</v>
      </c>
      <c r="C34" s="4" t="s">
        <v>4310</v>
      </c>
      <c r="D34" s="4"/>
      <c r="E34" s="12"/>
    </row>
    <row r="35" spans="2:7" ht="29.25" thickBot="1" x14ac:dyDescent="0.25">
      <c r="B35" s="3" t="s">
        <v>9</v>
      </c>
      <c r="C35" s="4" t="s">
        <v>4311</v>
      </c>
      <c r="D35" s="4"/>
      <c r="E35" s="15"/>
      <c r="G35" t="str">
        <f t="shared" si="0"/>
        <v>&lt;dl&gt;&lt;dt&gt;父母宫​&lt;/dt&gt;&lt;dd&gt;与父母缘分较淡，可能早年离家独立，或父母一方早逝/不在身边。&lt;/dd&gt;&lt;dd&gt;&lt;/dd&gt;&lt;/dl&gt;</v>
      </c>
    </row>
    <row r="36" spans="2:7" ht="16.5" thickBot="1" x14ac:dyDescent="0.25">
      <c r="E36" s="15"/>
      <c r="G36" t="str">
        <f t="shared" si="0"/>
        <v>&lt;dl&gt;&lt;dt&gt;&lt;/dt&gt;&lt;dd&gt;&lt;/dd&gt;&lt;dd&gt;&lt;/dd&gt;&lt;/dl&gt;</v>
      </c>
    </row>
    <row r="37" spans="2:7" ht="16.5" thickBot="1" x14ac:dyDescent="0.25">
      <c r="E37" s="15"/>
      <c r="G37" t="str">
        <f t="shared" si="0"/>
        <v>&lt;dl&gt;&lt;dt&gt;&lt;/dt&gt;&lt;dd&gt;&lt;/dd&gt;&lt;dd&gt;&lt;/dd&gt;&lt;/dl&gt;</v>
      </c>
    </row>
    <row r="38" spans="2:7" ht="18" thickBot="1" x14ac:dyDescent="0.25">
      <c r="B38" s="5" t="s">
        <v>734</v>
      </c>
      <c r="E38" s="15"/>
      <c r="G38" t="str">
        <f t="shared" si="0"/>
        <v>&lt;dl&gt;&lt;dt&gt;四、主星组合象义&lt;/dt&gt;&lt;dd&gt;&lt;/dd&gt;&lt;dd&gt;&lt;/dd&gt;&lt;/dl&gt;</v>
      </c>
    </row>
    <row r="39" spans="2:7" ht="16.5" thickBot="1" x14ac:dyDescent="0.25">
      <c r="E39" s="15"/>
      <c r="G39" t="str">
        <f t="shared" si="0"/>
        <v>&lt;dl&gt;&lt;dt&gt;&lt;/dt&gt;&lt;dd&gt;&lt;/dd&gt;&lt;dd&gt;&lt;/dd&gt;&lt;/dl&gt;</v>
      </c>
    </row>
    <row r="40" spans="2:7" ht="16.5" thickBot="1" x14ac:dyDescent="0.25">
      <c r="B40" s="13" t="s">
        <v>4312</v>
      </c>
      <c r="E40" s="15"/>
      <c r="G40" t="str">
        <f t="shared" si="0"/>
        <v>&lt;dl&gt;&lt;dt&gt;1. 增强孤寡倾向组合&lt;/dt&gt;&lt;dd&gt;&lt;/dd&gt;&lt;dd&gt;&lt;/dd&gt;&lt;/dl&gt;</v>
      </c>
    </row>
    <row r="41" spans="2:7" ht="16.5" thickBot="1" x14ac:dyDescent="0.25">
      <c r="E41" s="15"/>
      <c r="G41" t="str">
        <f t="shared" si="0"/>
        <v>&lt;dl&gt;&lt;dt&gt;&lt;/dt&gt;&lt;dd&gt;&lt;/dd&gt;&lt;dd&gt;&lt;/dd&gt;&lt;/dl&gt;</v>
      </c>
    </row>
    <row r="42" spans="2:7" ht="16.5" thickBot="1" x14ac:dyDescent="0.25">
      <c r="B42" s="2" t="s">
        <v>71</v>
      </c>
      <c r="C42" s="2" t="s">
        <v>1047</v>
      </c>
      <c r="D42" s="2" t="s">
        <v>73</v>
      </c>
      <c r="E42" s="15"/>
      <c r="G42" t="str">
        <f t="shared" si="0"/>
        <v>&lt;dl&gt;&lt;dt&gt;组合​&lt;/dt&gt;&lt;dd&gt;效应​&lt;/dd&gt;&lt;dd&gt;典型案例​&lt;/dd&gt;&lt;/dl&gt;</v>
      </c>
    </row>
    <row r="43" spans="2:7" ht="29.25" thickBot="1" x14ac:dyDescent="0.25">
      <c r="B43" s="3" t="s">
        <v>4313</v>
      </c>
      <c r="C43" s="4" t="s">
        <v>4314</v>
      </c>
      <c r="D43" s="4" t="s">
        <v>4315</v>
      </c>
      <c r="E43" s="15"/>
      <c r="G43" t="str">
        <f t="shared" si="0"/>
        <v>&lt;dl&gt;&lt;dt&gt;寡宿+紫微​&lt;/dt&gt;&lt;dd&gt;孤君在野，虽有权势但身边无人，晚年孤独。&lt;/dd&gt;&lt;dd&gt;独居的退休高官；没有子嗣的企业创始人。&lt;/dd&gt;&lt;/dl&gt;</v>
      </c>
    </row>
    <row r="44" spans="2:7" ht="28.5" x14ac:dyDescent="0.2">
      <c r="B44" s="3" t="s">
        <v>4316</v>
      </c>
      <c r="C44" s="4" t="s">
        <v>4317</v>
      </c>
      <c r="D44" s="4" t="s">
        <v>4318</v>
      </c>
    </row>
    <row r="45" spans="2:7" ht="28.5" x14ac:dyDescent="0.2">
      <c r="B45" s="3" t="s">
        <v>4319</v>
      </c>
      <c r="C45" s="4" t="s">
        <v>4320</v>
      </c>
      <c r="D45" s="4" t="s">
        <v>4321</v>
      </c>
    </row>
    <row r="46" spans="2:7" ht="28.5" x14ac:dyDescent="0.2">
      <c r="B46" s="3" t="s">
        <v>4322</v>
      </c>
      <c r="C46" s="4" t="s">
        <v>4323</v>
      </c>
      <c r="D46" s="4" t="s">
        <v>4324</v>
      </c>
    </row>
    <row r="47" spans="2:7" ht="29.25" thickBot="1" x14ac:dyDescent="0.25">
      <c r="B47" s="3" t="s">
        <v>4325</v>
      </c>
      <c r="C47" s="4" t="s">
        <v>4326</v>
      </c>
      <c r="D47" s="4" t="s">
        <v>4327</v>
      </c>
    </row>
    <row r="48" spans="2:7" ht="29.25" thickBot="1" x14ac:dyDescent="0.25">
      <c r="B48" s="3" t="s">
        <v>4328</v>
      </c>
      <c r="C48" s="4" t="s">
        <v>4329</v>
      </c>
      <c r="D48" s="4" t="s">
        <v>4330</v>
      </c>
      <c r="E48" s="12"/>
    </row>
    <row r="49" spans="2:7" ht="29.25" thickBot="1" x14ac:dyDescent="0.25">
      <c r="B49" s="3" t="s">
        <v>4331</v>
      </c>
      <c r="C49" s="4" t="s">
        <v>4332</v>
      </c>
      <c r="D49" s="4" t="s">
        <v>4333</v>
      </c>
      <c r="E49" s="15"/>
      <c r="G49" t="str">
        <f t="shared" si="0"/>
        <v>&lt;dl&gt;&lt;dt&gt;寡宿+天府​&lt;/dt&gt;&lt;dd&gt;独守财库，财富丰厚但独自享用，家庭人丁不旺。&lt;/dd&gt;&lt;dd&gt;拥有多处房产的独居者；守财的单身富翁。&lt;/dd&gt;&lt;/dl&gt;</v>
      </c>
    </row>
    <row r="50" spans="2:7" ht="29.25" thickBot="1" x14ac:dyDescent="0.25">
      <c r="B50" s="3" t="s">
        <v>4334</v>
      </c>
      <c r="C50" s="4" t="s">
        <v>4335</v>
      </c>
      <c r="D50" s="4" t="s">
        <v>4336</v>
      </c>
      <c r="E50" s="15"/>
      <c r="G50" t="str">
        <f t="shared" si="0"/>
        <v>&lt;dl&gt;&lt;dt&gt;寡宿+太阴​&lt;/dt&gt;&lt;dd&gt;独居隐士，喜欢安静、私密的个人空间，逃避人群。&lt;/dd&gt;&lt;dd&gt;隐居山林的作家；夜间独自工作的程序员。&lt;/dd&gt;&lt;/dl&gt;</v>
      </c>
    </row>
    <row r="51" spans="2:7" ht="29.25" thickBot="1" x14ac:dyDescent="0.25">
      <c r="B51" s="3" t="s">
        <v>4337</v>
      </c>
      <c r="C51" s="4" t="s">
        <v>4338</v>
      </c>
      <c r="D51" s="4" t="s">
        <v>4339</v>
      </c>
      <c r="E51" s="15"/>
      <c r="G51" t="str">
        <f t="shared" si="0"/>
        <v>&lt;dl&gt;&lt;dt&gt;寡宿+贪狼​&lt;/dt&gt;&lt;dd&gt;独酌，表面交际广泛，内心空虚，最终常回归独处。&lt;/dd&gt;&lt;dd&gt;社交达人回家后面对空房；沉迷个人嗜好的独身者。&lt;/dd&gt;&lt;/dl&gt;</v>
      </c>
    </row>
    <row r="52" spans="2:7" ht="29.25" thickBot="1" x14ac:dyDescent="0.25">
      <c r="B52" s="3" t="s">
        <v>4340</v>
      </c>
      <c r="C52" s="4" t="s">
        <v>4341</v>
      </c>
      <c r="D52" s="4" t="s">
        <v>4342</v>
      </c>
      <c r="E52" s="15"/>
      <c r="G52" t="str">
        <f t="shared" si="0"/>
        <v>&lt;dl&gt;&lt;dt&gt;寡宿+巨门​&lt;/dt&gt;&lt;dd&gt;独暗，因是非、口角而与家人朋友疏远，主动选择隔离。&lt;/dd&gt;&lt;dd&gt;与家人吵架后独居；因言论被孤立而离群索居。&lt;/dd&gt;&lt;/dl&gt;</v>
      </c>
    </row>
    <row r="53" spans="2:7" ht="28.5" x14ac:dyDescent="0.2">
      <c r="B53" s="3" t="s">
        <v>4343</v>
      </c>
      <c r="C53" s="4" t="s">
        <v>4344</v>
      </c>
      <c r="D53" s="4" t="s">
        <v>4345</v>
      </c>
    </row>
    <row r="54" spans="2:7" ht="28.5" x14ac:dyDescent="0.2">
      <c r="B54" s="3" t="s">
        <v>4346</v>
      </c>
      <c r="C54" s="4" t="s">
        <v>4347</v>
      </c>
      <c r="D54" s="4" t="s">
        <v>4348</v>
      </c>
    </row>
    <row r="55" spans="2:7" ht="28.5" x14ac:dyDescent="0.2">
      <c r="B55" s="3" t="s">
        <v>4349</v>
      </c>
      <c r="C55" s="4" t="s">
        <v>4350</v>
      </c>
      <c r="D55" s="4" t="s">
        <v>4244</v>
      </c>
    </row>
    <row r="56" spans="2:7" ht="28.5" x14ac:dyDescent="0.2">
      <c r="B56" s="3" t="s">
        <v>4351</v>
      </c>
      <c r="C56" s="4" t="s">
        <v>4352</v>
      </c>
      <c r="D56" s="4" t="s">
        <v>4247</v>
      </c>
    </row>
    <row r="59" spans="2:7" ht="17.25" x14ac:dyDescent="0.2">
      <c r="B59" s="5" t="s">
        <v>746</v>
      </c>
    </row>
    <row r="61" spans="2:7" x14ac:dyDescent="0.2">
      <c r="B61" s="2" t="s">
        <v>40</v>
      </c>
      <c r="C61" s="2" t="s">
        <v>1414</v>
      </c>
      <c r="D61" s="2" t="s">
        <v>21</v>
      </c>
    </row>
    <row r="62" spans="2:7" ht="28.5" x14ac:dyDescent="0.2">
      <c r="B62" s="3" t="s">
        <v>4353</v>
      </c>
      <c r="C62" s="3" t="s">
        <v>4354</v>
      </c>
      <c r="D62" s="4" t="s">
        <v>4355</v>
      </c>
    </row>
    <row r="63" spans="2:7" ht="28.5" x14ac:dyDescent="0.2">
      <c r="B63" s="3" t="s">
        <v>4356</v>
      </c>
      <c r="C63" s="4" t="s">
        <v>4357</v>
      </c>
      <c r="D63" s="4" t="s">
        <v>4358</v>
      </c>
    </row>
    <row r="64" spans="2:7" ht="28.5" x14ac:dyDescent="0.2">
      <c r="B64" s="3" t="s">
        <v>4359</v>
      </c>
      <c r="C64" s="4" t="s">
        <v>4360</v>
      </c>
      <c r="D64" s="4" t="s">
        <v>4361</v>
      </c>
    </row>
    <row r="65" spans="2:4" ht="28.5" x14ac:dyDescent="0.2">
      <c r="B65" s="3" t="s">
        <v>4362</v>
      </c>
      <c r="C65" s="4" t="s">
        <v>4363</v>
      </c>
      <c r="D65" s="4" t="s">
        <v>4364</v>
      </c>
    </row>
    <row r="66" spans="2:4" ht="28.5" x14ac:dyDescent="0.2">
      <c r="B66" s="3" t="s">
        <v>4365</v>
      </c>
      <c r="C66" s="4" t="s">
        <v>4366</v>
      </c>
      <c r="D66" s="4" t="s">
        <v>4367</v>
      </c>
    </row>
    <row r="67" spans="2:4" ht="28.5" x14ac:dyDescent="0.2">
      <c r="B67" s="3" t="s">
        <v>4368</v>
      </c>
      <c r="C67" s="4" t="s">
        <v>4369</v>
      </c>
      <c r="D67" s="4" t="s">
        <v>4370</v>
      </c>
    </row>
    <row r="68" spans="2:4" ht="28.5" x14ac:dyDescent="0.2">
      <c r="B68" s="3" t="s">
        <v>4371</v>
      </c>
      <c r="C68" s="4" t="s">
        <v>4372</v>
      </c>
      <c r="D68" s="4" t="s">
        <v>4373</v>
      </c>
    </row>
    <row r="69" spans="2:4" ht="28.5" x14ac:dyDescent="0.2">
      <c r="B69" s="3" t="s">
        <v>4374</v>
      </c>
      <c r="C69" s="4" t="s">
        <v>4375</v>
      </c>
      <c r="D69" s="4" t="s">
        <v>4376</v>
      </c>
    </row>
    <row r="70" spans="2:4" ht="28.5" x14ac:dyDescent="0.2">
      <c r="B70" s="3" t="s">
        <v>4377</v>
      </c>
      <c r="C70" s="4" t="s">
        <v>4378</v>
      </c>
      <c r="D70" s="4" t="s">
        <v>4379</v>
      </c>
    </row>
    <row r="71" spans="2:4" ht="28.5" x14ac:dyDescent="0.2">
      <c r="B71" s="3" t="s">
        <v>4380</v>
      </c>
      <c r="C71" s="4" t="s">
        <v>4381</v>
      </c>
      <c r="D71" s="4" t="s">
        <v>4382</v>
      </c>
    </row>
    <row r="74" spans="2:4" ht="17.25" x14ac:dyDescent="0.2">
      <c r="B74" s="5" t="s">
        <v>1805</v>
      </c>
    </row>
    <row r="75" spans="2:4" x14ac:dyDescent="0.2">
      <c r="B75" s="6"/>
    </row>
    <row r="76" spans="2:4" x14ac:dyDescent="0.2">
      <c r="B76" s="7" t="s">
        <v>4383</v>
      </c>
    </row>
    <row r="77" spans="2:4" x14ac:dyDescent="0.2">
      <c r="B77" s="7" t="s">
        <v>4384</v>
      </c>
    </row>
    <row r="78" spans="2:4" x14ac:dyDescent="0.2">
      <c r="B78" s="7" t="s">
        <v>4385</v>
      </c>
    </row>
    <row r="79" spans="2:4" x14ac:dyDescent="0.2">
      <c r="B79" s="7" t="s">
        <v>4386</v>
      </c>
    </row>
    <row r="80" spans="2:4" x14ac:dyDescent="0.2">
      <c r="B80" s="16"/>
    </row>
    <row r="81" spans="2:2" x14ac:dyDescent="0.2">
      <c r="B81" s="6"/>
    </row>
    <row r="82" spans="2:2" x14ac:dyDescent="0.2">
      <c r="B82" s="6"/>
    </row>
  </sheetData>
  <phoneticPr fontId="2" type="noConversion"/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D7AA20-A6D9-42B5-ABB0-B31991DF44E4}">
  <dimension ref="B1:G82"/>
  <sheetViews>
    <sheetView zoomScaleNormal="100" workbookViewId="0">
      <selection activeCell="B1" sqref="B1:D79"/>
    </sheetView>
  </sheetViews>
  <sheetFormatPr defaultRowHeight="14.25" x14ac:dyDescent="0.2"/>
  <cols>
    <col min="1" max="1" width="2.75" customWidth="1"/>
    <col min="2" max="2" width="15.625" customWidth="1"/>
    <col min="3" max="3" width="43.125" customWidth="1"/>
    <col min="4" max="4" width="32.75" customWidth="1"/>
  </cols>
  <sheetData>
    <row r="1" spans="2:7" ht="17.25" x14ac:dyDescent="0.2">
      <c r="B1" s="5" t="s">
        <v>4387</v>
      </c>
      <c r="G1" t="str">
        <f>"&lt;dl&gt;&lt;dt&gt;" &amp; B1 &amp; "&lt;/dt&gt;&lt;dd&gt;" &amp; C1 &amp; "&lt;/dd&gt;&lt;dd&gt;" &amp; D1 &amp; "&lt;/dd&gt;&lt;/dl&gt;"</f>
        <v>&lt;dl&gt;&lt;dt&gt;一、破碎定义&lt;/dt&gt;&lt;dd&gt;&lt;/dd&gt;&lt;dd&gt;&lt;/dd&gt;&lt;/dl&gt;</v>
      </c>
    </row>
    <row r="3" spans="2:7" x14ac:dyDescent="0.2">
      <c r="B3" s="2" t="s">
        <v>376</v>
      </c>
      <c r="C3" s="2" t="s">
        <v>377</v>
      </c>
      <c r="D3" s="2" t="s">
        <v>21</v>
      </c>
    </row>
    <row r="4" spans="2:7" x14ac:dyDescent="0.2">
      <c r="B4" s="3" t="s">
        <v>624</v>
      </c>
      <c r="C4" s="4" t="s">
        <v>4388</v>
      </c>
      <c r="D4" s="4"/>
    </row>
    <row r="5" spans="2:7" ht="42.75" x14ac:dyDescent="0.2">
      <c r="B5" s="3" t="s">
        <v>378</v>
      </c>
      <c r="C5" s="4" t="s">
        <v>4389</v>
      </c>
      <c r="D5" s="4"/>
    </row>
    <row r="6" spans="2:7" ht="42.75" x14ac:dyDescent="0.2">
      <c r="B6" s="3" t="s">
        <v>1717</v>
      </c>
      <c r="C6" s="4" t="s">
        <v>4390</v>
      </c>
      <c r="D6" s="4"/>
    </row>
    <row r="9" spans="2:7" ht="17.25" x14ac:dyDescent="0.2">
      <c r="B9" s="5" t="s">
        <v>1719</v>
      </c>
    </row>
    <row r="11" spans="2:7" ht="15.75" x14ac:dyDescent="0.2">
      <c r="B11" s="13" t="s">
        <v>1720</v>
      </c>
    </row>
    <row r="13" spans="2:7" x14ac:dyDescent="0.2">
      <c r="B13" s="2" t="s">
        <v>390</v>
      </c>
      <c r="C13" s="2" t="s">
        <v>1818</v>
      </c>
      <c r="D13" s="2" t="s">
        <v>1819</v>
      </c>
    </row>
    <row r="14" spans="2:7" ht="28.5" x14ac:dyDescent="0.2">
      <c r="B14" s="3" t="s">
        <v>1682</v>
      </c>
      <c r="C14" s="4" t="s">
        <v>4391</v>
      </c>
      <c r="D14" s="4" t="s">
        <v>4392</v>
      </c>
    </row>
    <row r="15" spans="2:7" ht="28.5" x14ac:dyDescent="0.2">
      <c r="B15" s="3" t="s">
        <v>4393</v>
      </c>
      <c r="C15" s="4" t="s">
        <v>4394</v>
      </c>
      <c r="D15" s="4" t="s">
        <v>4395</v>
      </c>
    </row>
    <row r="16" spans="2:7" ht="28.5" x14ac:dyDescent="0.2">
      <c r="B16" s="3" t="s">
        <v>4396</v>
      </c>
      <c r="C16" s="4" t="s">
        <v>4397</v>
      </c>
      <c r="D16" s="4" t="s">
        <v>4398</v>
      </c>
    </row>
    <row r="17" spans="2:7" x14ac:dyDescent="0.2">
      <c r="B17" s="3" t="s">
        <v>4399</v>
      </c>
      <c r="C17" s="4" t="s">
        <v>4400</v>
      </c>
      <c r="D17" s="4" t="s">
        <v>4401</v>
      </c>
    </row>
    <row r="18" spans="2:7" x14ac:dyDescent="0.2">
      <c r="B18" s="3" t="s">
        <v>4402</v>
      </c>
      <c r="C18" s="4" t="s">
        <v>4403</v>
      </c>
      <c r="D18" s="4" t="s">
        <v>4404</v>
      </c>
    </row>
    <row r="21" spans="2:7" ht="17.25" x14ac:dyDescent="0.2">
      <c r="B21" s="5" t="s">
        <v>1733</v>
      </c>
    </row>
    <row r="22" spans="2:7" ht="15" thickBot="1" x14ac:dyDescent="0.25"/>
    <row r="23" spans="2:7" ht="16.5" thickBot="1" x14ac:dyDescent="0.25">
      <c r="B23" s="2" t="s">
        <v>18</v>
      </c>
      <c r="C23" s="2" t="s">
        <v>1818</v>
      </c>
      <c r="D23" s="2" t="s">
        <v>21</v>
      </c>
      <c r="E23" s="12"/>
    </row>
    <row r="24" spans="2:7" ht="29.25" thickBot="1" x14ac:dyDescent="0.25">
      <c r="B24" s="3" t="s">
        <v>201</v>
      </c>
      <c r="C24" s="4" t="s">
        <v>4405</v>
      </c>
      <c r="D24" s="4"/>
      <c r="E24" s="15"/>
      <c r="G24" t="str">
        <f t="shared" ref="G24:G52" si="0">"&lt;dl&gt;&lt;dt&gt;" &amp; B24 &amp; "&lt;/dt&gt;&lt;dd&gt;" &amp; C24 &amp; "&lt;/dd&gt;&lt;dd&gt;" &amp; D24 &amp; "&lt;/dd&gt;&lt;/dl&gt;"</f>
        <v>&lt;dl&gt;&lt;dt&gt;命宫​&lt;/dt&gt;&lt;dd&gt;性格挑剔，做事易有头无尾，人生多波折，计划常半途而废。&lt;/dd&gt;&lt;dd&gt;&lt;/dd&gt;&lt;/dl&gt;</v>
      </c>
    </row>
    <row r="25" spans="2:7" ht="16.5" thickBot="1" x14ac:dyDescent="0.25">
      <c r="B25" s="3" t="s">
        <v>246</v>
      </c>
      <c r="C25" s="4" t="s">
        <v>4406</v>
      </c>
      <c r="D25" s="4"/>
      <c r="E25" s="15"/>
      <c r="G25" t="str">
        <f t="shared" si="0"/>
        <v>&lt;dl&gt;&lt;dt&gt;兄弟宫​&lt;/dt&gt;&lt;dd&gt;与兄弟姐妹关系易有裂痕，或助力分散、不持久。&lt;/dd&gt;&lt;dd&gt;&lt;/dd&gt;&lt;/dl&gt;</v>
      </c>
    </row>
    <row r="26" spans="2:7" ht="29.25" thickBot="1" x14ac:dyDescent="0.25">
      <c r="B26" s="3" t="s">
        <v>125</v>
      </c>
      <c r="C26" s="4" t="s">
        <v>4407</v>
      </c>
      <c r="D26" s="4"/>
      <c r="E26" s="15"/>
      <c r="G26" t="str">
        <f t="shared" si="0"/>
        <v>&lt;dl&gt;&lt;dt&gt;夫妻宫​&lt;/dt&gt;&lt;dd&gt;感情易破裂，争吵多，婚姻不美，或配偶身体不佳。&lt;/dd&gt;&lt;dd&gt;&lt;/dd&gt;&lt;/dl&gt;</v>
      </c>
    </row>
    <row r="27" spans="2:7" ht="16.5" thickBot="1" x14ac:dyDescent="0.25">
      <c r="B27" s="3" t="s">
        <v>128</v>
      </c>
      <c r="C27" s="4" t="s">
        <v>4408</v>
      </c>
      <c r="D27" s="4"/>
      <c r="E27" s="15"/>
      <c r="G27" t="str">
        <f t="shared" si="0"/>
        <v>&lt;dl&gt;&lt;dt&gt;子女宫​&lt;/dt&gt;&lt;dd&gt;子女缘薄，或子女身体易有损伤，合作易破局。&lt;/dd&gt;&lt;dd&gt;&lt;/dd&gt;&lt;/dl&gt;</v>
      </c>
    </row>
    <row r="28" spans="2:7" ht="16.5" thickBot="1" x14ac:dyDescent="0.25">
      <c r="B28" s="3" t="s">
        <v>3</v>
      </c>
      <c r="C28" s="4" t="s">
        <v>4409</v>
      </c>
      <c r="D28" s="4"/>
      <c r="E28" s="15"/>
      <c r="G28" t="str">
        <f t="shared" si="0"/>
        <v>&lt;dl&gt;&lt;dt&gt;财帛宫​&lt;/dt&gt;&lt;dd&gt;钱财损耗大，破财频繁，或因琐碎小事不断花钱。&lt;/dd&gt;&lt;dd&gt;&lt;/dd&gt;&lt;/dl&gt;</v>
      </c>
    </row>
    <row r="29" spans="2:7" ht="29.25" thickBot="1" x14ac:dyDescent="0.25">
      <c r="B29" s="3" t="s">
        <v>6</v>
      </c>
      <c r="C29" s="4" t="s">
        <v>4410</v>
      </c>
      <c r="D29" s="4"/>
      <c r="E29" s="15"/>
      <c r="G29" t="str">
        <f t="shared" si="0"/>
        <v>&lt;dl&gt;&lt;dt&gt;疾厄宫​&lt;/dt&gt;&lt;dd&gt;身体易有破损（如手术、外伤），或慢性消耗性疾病。&lt;/dd&gt;&lt;dd&gt;&lt;/dd&gt;&lt;/dl&gt;</v>
      </c>
    </row>
    <row r="30" spans="2:7" ht="28.5" x14ac:dyDescent="0.2">
      <c r="B30" s="3" t="s">
        <v>15</v>
      </c>
      <c r="C30" s="4" t="s">
        <v>4411</v>
      </c>
      <c r="D30" s="4"/>
    </row>
    <row r="31" spans="2:7" x14ac:dyDescent="0.2">
      <c r="B31" s="3" t="s">
        <v>12</v>
      </c>
      <c r="C31" s="4" t="s">
        <v>4412</v>
      </c>
      <c r="D31" s="4"/>
    </row>
    <row r="32" spans="2:7" x14ac:dyDescent="0.2">
      <c r="B32" s="3" t="s">
        <v>206</v>
      </c>
      <c r="C32" s="4" t="s">
        <v>4413</v>
      </c>
      <c r="D32" s="4"/>
    </row>
    <row r="33" spans="2:7" ht="29.25" thickBot="1" x14ac:dyDescent="0.25">
      <c r="B33" s="3" t="s">
        <v>0</v>
      </c>
      <c r="C33" s="4" t="s">
        <v>4414</v>
      </c>
      <c r="D33" s="4"/>
    </row>
    <row r="34" spans="2:7" ht="29.25" thickBot="1" x14ac:dyDescent="0.25">
      <c r="B34" s="3" t="s">
        <v>116</v>
      </c>
      <c r="C34" s="3" t="s">
        <v>4415</v>
      </c>
      <c r="D34" s="4"/>
      <c r="E34" s="12"/>
    </row>
    <row r="35" spans="2:7" ht="29.25" thickBot="1" x14ac:dyDescent="0.25">
      <c r="B35" s="3" t="s">
        <v>9</v>
      </c>
      <c r="C35" s="4" t="s">
        <v>4416</v>
      </c>
      <c r="D35" s="4"/>
      <c r="E35" s="15"/>
      <c r="G35" t="str">
        <f t="shared" si="0"/>
        <v>&lt;dl&gt;&lt;dt&gt;父母宫​&lt;/dt&gt;&lt;dd&gt;与父母缘分浅，或父母健康有损，得到遗产不完整。&lt;/dd&gt;&lt;dd&gt;&lt;/dd&gt;&lt;/dl&gt;</v>
      </c>
    </row>
    <row r="36" spans="2:7" ht="16.5" thickBot="1" x14ac:dyDescent="0.25">
      <c r="E36" s="15"/>
      <c r="G36" t="str">
        <f t="shared" si="0"/>
        <v>&lt;dl&gt;&lt;dt&gt;&lt;/dt&gt;&lt;dd&gt;&lt;/dd&gt;&lt;dd&gt;&lt;/dd&gt;&lt;/dl&gt;</v>
      </c>
    </row>
    <row r="37" spans="2:7" ht="16.5" thickBot="1" x14ac:dyDescent="0.25">
      <c r="E37" s="15"/>
      <c r="G37" t="str">
        <f t="shared" si="0"/>
        <v>&lt;dl&gt;&lt;dt&gt;&lt;/dt&gt;&lt;dd&gt;&lt;/dd&gt;&lt;dd&gt;&lt;/dd&gt;&lt;/dl&gt;</v>
      </c>
    </row>
    <row r="38" spans="2:7" ht="18" thickBot="1" x14ac:dyDescent="0.25">
      <c r="B38" s="5" t="s">
        <v>734</v>
      </c>
      <c r="E38" s="15"/>
      <c r="G38" t="str">
        <f t="shared" si="0"/>
        <v>&lt;dl&gt;&lt;dt&gt;四、主星组合象义&lt;/dt&gt;&lt;dd&gt;&lt;/dd&gt;&lt;dd&gt;&lt;/dd&gt;&lt;/dl&gt;</v>
      </c>
    </row>
    <row r="39" spans="2:7" ht="16.5" thickBot="1" x14ac:dyDescent="0.25">
      <c r="E39" s="15"/>
      <c r="G39" t="str">
        <f t="shared" si="0"/>
        <v>&lt;dl&gt;&lt;dt&gt;&lt;/dt&gt;&lt;dd&gt;&lt;/dd&gt;&lt;dd&gt;&lt;/dd&gt;&lt;/dl&gt;</v>
      </c>
    </row>
    <row r="40" spans="2:7" ht="16.5" thickBot="1" x14ac:dyDescent="0.25">
      <c r="B40" s="13" t="s">
        <v>4417</v>
      </c>
      <c r="E40" s="15"/>
      <c r="G40" t="str">
        <f t="shared" si="0"/>
        <v>&lt;dl&gt;&lt;dt&gt;1. 增强破坏损耗组合&lt;/dt&gt;&lt;dd&gt;&lt;/dd&gt;&lt;dd&gt;&lt;/dd&gt;&lt;/dl&gt;</v>
      </c>
    </row>
    <row r="41" spans="2:7" ht="16.5" thickBot="1" x14ac:dyDescent="0.25">
      <c r="E41" s="15"/>
      <c r="G41" t="str">
        <f t="shared" si="0"/>
        <v>&lt;dl&gt;&lt;dt&gt;&lt;/dt&gt;&lt;dd&gt;&lt;/dd&gt;&lt;dd&gt;&lt;/dd&gt;&lt;/dl&gt;</v>
      </c>
    </row>
    <row r="42" spans="2:7" ht="16.5" thickBot="1" x14ac:dyDescent="0.25">
      <c r="B42" s="2" t="s">
        <v>71</v>
      </c>
      <c r="C42" s="2" t="s">
        <v>1047</v>
      </c>
      <c r="D42" s="2" t="s">
        <v>73</v>
      </c>
      <c r="E42" s="15"/>
      <c r="G42" t="str">
        <f t="shared" si="0"/>
        <v>&lt;dl&gt;&lt;dt&gt;组合​&lt;/dt&gt;&lt;dd&gt;效应​&lt;/dd&gt;&lt;dd&gt;典型案例​&lt;/dd&gt;&lt;/dl&gt;</v>
      </c>
    </row>
    <row r="43" spans="2:7" ht="29.25" thickBot="1" x14ac:dyDescent="0.25">
      <c r="B43" s="3" t="s">
        <v>4418</v>
      </c>
      <c r="C43" s="4" t="s">
        <v>4419</v>
      </c>
      <c r="D43" s="4" t="s">
        <v>4420</v>
      </c>
      <c r="E43" s="15"/>
      <c r="G43" t="str">
        <f t="shared" si="0"/>
        <v>&lt;dl&gt;&lt;dt&gt;破碎+紫微​&lt;/dt&gt;&lt;dd&gt;权威破损，地位、名誉易受损，或大型计划/机构出现瓦解危机。&lt;/dd&gt;&lt;dd&gt;企业帝国崩塌；重要项目流产。&lt;/dd&gt;&lt;/dl&gt;</v>
      </c>
    </row>
    <row r="44" spans="2:7" ht="28.5" x14ac:dyDescent="0.2">
      <c r="B44" s="3" t="s">
        <v>4421</v>
      </c>
      <c r="C44" s="4" t="s">
        <v>4422</v>
      </c>
      <c r="D44" s="4" t="s">
        <v>4423</v>
      </c>
    </row>
    <row r="45" spans="2:7" ht="28.5" x14ac:dyDescent="0.2">
      <c r="B45" s="3" t="s">
        <v>4424</v>
      </c>
      <c r="C45" s="4" t="s">
        <v>4425</v>
      </c>
      <c r="D45" s="4" t="s">
        <v>4426</v>
      </c>
    </row>
    <row r="46" spans="2:7" ht="28.5" x14ac:dyDescent="0.2">
      <c r="B46" s="3" t="s">
        <v>4427</v>
      </c>
      <c r="C46" s="4" t="s">
        <v>4428</v>
      </c>
      <c r="D46" s="4" t="s">
        <v>4429</v>
      </c>
    </row>
    <row r="47" spans="2:7" ht="29.25" thickBot="1" x14ac:dyDescent="0.25">
      <c r="B47" s="3" t="s">
        <v>4430</v>
      </c>
      <c r="C47" s="4" t="s">
        <v>4431</v>
      </c>
      <c r="D47" s="4" t="s">
        <v>4432</v>
      </c>
    </row>
    <row r="48" spans="2:7" ht="29.25" thickBot="1" x14ac:dyDescent="0.25">
      <c r="B48" s="3" t="s">
        <v>4433</v>
      </c>
      <c r="C48" s="4" t="s">
        <v>4434</v>
      </c>
      <c r="D48" s="4" t="s">
        <v>4435</v>
      </c>
      <c r="E48" s="12"/>
    </row>
    <row r="49" spans="2:7" ht="29.25" thickBot="1" x14ac:dyDescent="0.25">
      <c r="B49" s="3" t="s">
        <v>4436</v>
      </c>
      <c r="C49" s="4" t="s">
        <v>4437</v>
      </c>
      <c r="D49" s="4" t="s">
        <v>4438</v>
      </c>
      <c r="E49" s="15"/>
      <c r="G49" t="str">
        <f t="shared" si="0"/>
        <v>&lt;dl&gt;&lt;dt&gt;破碎+天府​&lt;/dt&gt;&lt;dd&gt;库藏破损，积蓄被消耗，收藏品损坏，稳定的局面被打破。&lt;/dd&gt;&lt;dd&gt;因意外耗光存款；传家宝被打碎。&lt;/dd&gt;&lt;/dl&gt;</v>
      </c>
    </row>
    <row r="50" spans="2:7" ht="29.25" thickBot="1" x14ac:dyDescent="0.25">
      <c r="B50" s="3" t="s">
        <v>4439</v>
      </c>
      <c r="C50" s="4" t="s">
        <v>4440</v>
      </c>
      <c r="D50" s="4" t="s">
        <v>4441</v>
      </c>
      <c r="E50" s="15"/>
      <c r="G50" t="str">
        <f t="shared" si="0"/>
        <v>&lt;dl&gt;&lt;dt&gt;破碎+太阴​&lt;/dt&gt;&lt;dd&gt;阴柔破损，女性关系不利，内心安全感被破坏，房屋漏水等。&lt;/dd&gt;&lt;dd&gt;母女关系紧张；房屋因水管破裂被淹。&lt;/dd&gt;&lt;/dl&gt;</v>
      </c>
    </row>
    <row r="51" spans="2:7" ht="16.5" thickBot="1" x14ac:dyDescent="0.25">
      <c r="B51" s="3" t="s">
        <v>4442</v>
      </c>
      <c r="C51" s="4" t="s">
        <v>4443</v>
      </c>
      <c r="D51" s="4" t="s">
        <v>4444</v>
      </c>
      <c r="E51" s="15"/>
      <c r="G51" t="str">
        <f t="shared" si="0"/>
        <v>&lt;dl&gt;&lt;dt&gt;破碎+贪狼​&lt;/dt&gt;&lt;dd&gt;欲望破损，所求不得，桃花破裂，嗜好带来损耗。&lt;/dd&gt;&lt;dd&gt;恋情突然告吹；沉迷赌博破财。&lt;/dd&gt;&lt;/dl&gt;</v>
      </c>
    </row>
    <row r="52" spans="2:7" ht="29.25" thickBot="1" x14ac:dyDescent="0.25">
      <c r="B52" s="3" t="s">
        <v>4445</v>
      </c>
      <c r="C52" s="4" t="s">
        <v>4446</v>
      </c>
      <c r="D52" s="4" t="s">
        <v>4447</v>
      </c>
      <c r="E52" s="15"/>
      <c r="G52" t="str">
        <f t="shared" si="0"/>
        <v>&lt;dl&gt;&lt;dt&gt;破碎+巨门​&lt;/dt&gt;&lt;dd&gt;口舌破损，因是非争吵导致关系破裂，合同、文书出问题。&lt;/dd&gt;&lt;dd&gt;因诽谤官司缠身；重要文件丢失部分。&lt;/dd&gt;&lt;/dl&gt;</v>
      </c>
    </row>
    <row r="53" spans="2:7" ht="28.5" x14ac:dyDescent="0.2">
      <c r="B53" s="3" t="s">
        <v>4448</v>
      </c>
      <c r="C53" s="4" t="s">
        <v>4449</v>
      </c>
      <c r="D53" s="4" t="s">
        <v>4450</v>
      </c>
    </row>
    <row r="54" spans="2:7" ht="28.5" x14ac:dyDescent="0.2">
      <c r="B54" s="3" t="s">
        <v>4451</v>
      </c>
      <c r="C54" s="4" t="s">
        <v>4452</v>
      </c>
      <c r="D54" s="4" t="s">
        <v>4453</v>
      </c>
    </row>
    <row r="55" spans="2:7" ht="28.5" x14ac:dyDescent="0.2">
      <c r="B55" s="3" t="s">
        <v>4454</v>
      </c>
      <c r="C55" s="3" t="s">
        <v>4455</v>
      </c>
      <c r="D55" s="4" t="s">
        <v>4456</v>
      </c>
    </row>
    <row r="56" spans="2:7" ht="28.5" x14ac:dyDescent="0.2">
      <c r="B56" s="3" t="s">
        <v>4457</v>
      </c>
      <c r="C56" s="3" t="s">
        <v>4458</v>
      </c>
      <c r="D56" s="4" t="s">
        <v>4459</v>
      </c>
    </row>
    <row r="59" spans="2:7" ht="17.25" x14ac:dyDescent="0.2">
      <c r="B59" s="5" t="s">
        <v>746</v>
      </c>
    </row>
    <row r="61" spans="2:7" x14ac:dyDescent="0.2">
      <c r="B61" s="2" t="s">
        <v>40</v>
      </c>
      <c r="C61" s="2" t="s">
        <v>1414</v>
      </c>
      <c r="D61" s="2" t="s">
        <v>21</v>
      </c>
    </row>
    <row r="62" spans="2:7" ht="28.5" x14ac:dyDescent="0.2">
      <c r="B62" s="3" t="s">
        <v>4460</v>
      </c>
      <c r="C62" s="3" t="s">
        <v>4461</v>
      </c>
      <c r="D62" s="4" t="s">
        <v>4462</v>
      </c>
    </row>
    <row r="63" spans="2:7" ht="28.5" x14ac:dyDescent="0.2">
      <c r="B63" s="3" t="s">
        <v>4463</v>
      </c>
      <c r="C63" s="4" t="s">
        <v>4464</v>
      </c>
      <c r="D63" s="4" t="s">
        <v>4465</v>
      </c>
    </row>
    <row r="64" spans="2:7" ht="28.5" x14ac:dyDescent="0.2">
      <c r="B64" s="3" t="s">
        <v>4466</v>
      </c>
      <c r="C64" s="4" t="s">
        <v>4467</v>
      </c>
      <c r="D64" s="4" t="s">
        <v>4468</v>
      </c>
    </row>
    <row r="65" spans="2:4" ht="28.5" x14ac:dyDescent="0.2">
      <c r="B65" s="3" t="s">
        <v>4469</v>
      </c>
      <c r="C65" s="4" t="s">
        <v>4470</v>
      </c>
      <c r="D65" s="4" t="s">
        <v>4471</v>
      </c>
    </row>
    <row r="66" spans="2:4" ht="28.5" x14ac:dyDescent="0.2">
      <c r="B66" s="3" t="s">
        <v>4472</v>
      </c>
      <c r="C66" s="4" t="s">
        <v>4473</v>
      </c>
      <c r="D66" s="4" t="s">
        <v>4474</v>
      </c>
    </row>
    <row r="67" spans="2:4" ht="28.5" x14ac:dyDescent="0.2">
      <c r="B67" s="3" t="s">
        <v>4475</v>
      </c>
      <c r="C67" s="4" t="s">
        <v>4476</v>
      </c>
      <c r="D67" s="4" t="s">
        <v>4477</v>
      </c>
    </row>
    <row r="68" spans="2:4" ht="28.5" x14ac:dyDescent="0.2">
      <c r="B68" s="3" t="s">
        <v>4478</v>
      </c>
      <c r="C68" s="4" t="s">
        <v>4479</v>
      </c>
      <c r="D68" s="4" t="s">
        <v>4480</v>
      </c>
    </row>
    <row r="69" spans="2:4" ht="28.5" x14ac:dyDescent="0.2">
      <c r="B69" s="3" t="s">
        <v>4481</v>
      </c>
      <c r="C69" s="4" t="s">
        <v>4482</v>
      </c>
      <c r="D69" s="4" t="s">
        <v>4483</v>
      </c>
    </row>
    <row r="70" spans="2:4" x14ac:dyDescent="0.2">
      <c r="B70" s="3" t="s">
        <v>4484</v>
      </c>
      <c r="C70" s="4" t="s">
        <v>4485</v>
      </c>
      <c r="D70" s="4" t="s">
        <v>4486</v>
      </c>
    </row>
    <row r="71" spans="2:4" ht="28.5" x14ac:dyDescent="0.2">
      <c r="B71" s="3" t="s">
        <v>4487</v>
      </c>
      <c r="C71" s="4" t="s">
        <v>4488</v>
      </c>
      <c r="D71" s="4" t="s">
        <v>4489</v>
      </c>
    </row>
    <row r="74" spans="2:4" ht="17.25" x14ac:dyDescent="0.2">
      <c r="B74" s="5" t="s">
        <v>1805</v>
      </c>
    </row>
    <row r="75" spans="2:4" x14ac:dyDescent="0.2">
      <c r="B75" s="6"/>
    </row>
    <row r="76" spans="2:4" x14ac:dyDescent="0.2">
      <c r="B76" s="7" t="s">
        <v>4490</v>
      </c>
    </row>
    <row r="77" spans="2:4" x14ac:dyDescent="0.2">
      <c r="B77" s="7" t="s">
        <v>4491</v>
      </c>
    </row>
    <row r="78" spans="2:4" x14ac:dyDescent="0.2">
      <c r="B78" s="7" t="s">
        <v>4492</v>
      </c>
    </row>
    <row r="79" spans="2:4" x14ac:dyDescent="0.2">
      <c r="B79" s="7" t="s">
        <v>4493</v>
      </c>
    </row>
    <row r="80" spans="2:4" x14ac:dyDescent="0.2">
      <c r="B80" s="16"/>
    </row>
    <row r="81" spans="2:2" x14ac:dyDescent="0.2">
      <c r="B81" s="6"/>
    </row>
    <row r="82" spans="2:2" x14ac:dyDescent="0.2">
      <c r="B82" s="6"/>
    </row>
  </sheetData>
  <phoneticPr fontId="2" type="noConversion"/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5E793E-DE52-4AE7-929B-AC95346BB464}">
  <dimension ref="B1:G82"/>
  <sheetViews>
    <sheetView zoomScaleNormal="100" workbookViewId="0">
      <selection activeCell="B1" sqref="B1:D81"/>
    </sheetView>
  </sheetViews>
  <sheetFormatPr defaultRowHeight="14.25" x14ac:dyDescent="0.2"/>
  <cols>
    <col min="1" max="1" width="2.75" customWidth="1"/>
    <col min="2" max="2" width="15.625" customWidth="1"/>
    <col min="3" max="3" width="43.125" customWidth="1"/>
    <col min="4" max="4" width="32.75" customWidth="1"/>
  </cols>
  <sheetData>
    <row r="1" spans="2:7" ht="17.25" x14ac:dyDescent="0.2">
      <c r="B1" s="5" t="s">
        <v>4603</v>
      </c>
      <c r="G1" t="str">
        <f>"&lt;dl&gt;&lt;dt&gt;" &amp; B1 &amp; "&lt;/dt&gt;&lt;dd&gt;" &amp; C1 &amp; "&lt;/dd&gt;&lt;dd&gt;" &amp; D1 &amp; "&lt;/dd&gt;&lt;/dl&gt;"</f>
        <v>&lt;dl&gt;&lt;dt&gt;一、天德定义&lt;/dt&gt;&lt;dd&gt;&lt;/dd&gt;&lt;dd&gt;&lt;/dd&gt;&lt;/dl&gt;</v>
      </c>
    </row>
    <row r="3" spans="2:7" x14ac:dyDescent="0.2">
      <c r="B3" s="2" t="s">
        <v>376</v>
      </c>
      <c r="C3" s="2" t="s">
        <v>377</v>
      </c>
      <c r="D3" s="2" t="s">
        <v>21</v>
      </c>
    </row>
    <row r="4" spans="2:7" x14ac:dyDescent="0.2">
      <c r="B4" s="3" t="s">
        <v>624</v>
      </c>
      <c r="C4" s="4" t="s">
        <v>4604</v>
      </c>
      <c r="D4" s="4"/>
    </row>
    <row r="5" spans="2:7" ht="57" x14ac:dyDescent="0.2">
      <c r="B5" s="3" t="s">
        <v>378</v>
      </c>
      <c r="C5" s="4" t="s">
        <v>4605</v>
      </c>
      <c r="D5" s="4"/>
    </row>
    <row r="6" spans="2:7" ht="42.75" x14ac:dyDescent="0.2">
      <c r="B6" s="3" t="s">
        <v>1717</v>
      </c>
      <c r="C6" s="4" t="s">
        <v>4606</v>
      </c>
      <c r="D6" s="4"/>
    </row>
    <row r="9" spans="2:7" ht="17.25" x14ac:dyDescent="0.2">
      <c r="B9" s="5" t="s">
        <v>1719</v>
      </c>
    </row>
    <row r="11" spans="2:7" ht="15.75" x14ac:dyDescent="0.2">
      <c r="B11" s="13" t="s">
        <v>1720</v>
      </c>
    </row>
    <row r="13" spans="2:7" x14ac:dyDescent="0.2">
      <c r="B13" s="2" t="s">
        <v>390</v>
      </c>
      <c r="C13" s="2" t="s">
        <v>1818</v>
      </c>
      <c r="D13" s="2" t="s">
        <v>1819</v>
      </c>
    </row>
    <row r="14" spans="2:7" ht="28.5" x14ac:dyDescent="0.2">
      <c r="B14" s="3" t="s">
        <v>4607</v>
      </c>
      <c r="C14" s="4" t="s">
        <v>4608</v>
      </c>
      <c r="D14" s="4" t="s">
        <v>4609</v>
      </c>
    </row>
    <row r="15" spans="2:7" ht="28.5" x14ac:dyDescent="0.2">
      <c r="B15" s="3" t="s">
        <v>4610</v>
      </c>
      <c r="C15" s="4" t="s">
        <v>4611</v>
      </c>
      <c r="D15" s="4" t="s">
        <v>4612</v>
      </c>
    </row>
    <row r="16" spans="2:7" ht="28.5" x14ac:dyDescent="0.2">
      <c r="B16" s="3" t="s">
        <v>4613</v>
      </c>
      <c r="C16" s="4" t="s">
        <v>4614</v>
      </c>
      <c r="D16" s="4" t="s">
        <v>4615</v>
      </c>
    </row>
    <row r="17" spans="2:7" ht="28.5" x14ac:dyDescent="0.2">
      <c r="B17" s="3" t="s">
        <v>4616</v>
      </c>
      <c r="C17" s="4" t="s">
        <v>4617</v>
      </c>
      <c r="D17" s="4" t="s">
        <v>4506</v>
      </c>
    </row>
    <row r="18" spans="2:7" ht="28.5" x14ac:dyDescent="0.2">
      <c r="B18" s="3" t="s">
        <v>4618</v>
      </c>
      <c r="C18" s="4" t="s">
        <v>4619</v>
      </c>
      <c r="D18" s="4" t="s">
        <v>4620</v>
      </c>
    </row>
    <row r="21" spans="2:7" ht="17.25" x14ac:dyDescent="0.2">
      <c r="B21" s="5" t="s">
        <v>1733</v>
      </c>
    </row>
    <row r="22" spans="2:7" ht="15" thickBot="1" x14ac:dyDescent="0.25"/>
    <row r="23" spans="2:7" ht="16.5" thickBot="1" x14ac:dyDescent="0.25">
      <c r="B23" s="2" t="s">
        <v>18</v>
      </c>
      <c r="C23" s="2" t="s">
        <v>1818</v>
      </c>
      <c r="D23" s="2" t="s">
        <v>21</v>
      </c>
      <c r="E23" s="12"/>
    </row>
    <row r="24" spans="2:7" ht="29.25" thickBot="1" x14ac:dyDescent="0.25">
      <c r="B24" s="3" t="s">
        <v>201</v>
      </c>
      <c r="C24" s="4" t="s">
        <v>4621</v>
      </c>
      <c r="D24" s="4"/>
      <c r="E24" s="15"/>
      <c r="G24" t="str">
        <f t="shared" ref="G24:G52" si="0">"&lt;dl&gt;&lt;dt&gt;" &amp; B24 &amp; "&lt;/dt&gt;&lt;dd&gt;" &amp; C24 &amp; "&lt;/dd&gt;&lt;dd&gt;" &amp; D24 &amp; "&lt;/dd&gt;&lt;/dl&gt;"</f>
        <v>&lt;dl&gt;&lt;dt&gt;命宫​&lt;/dt&gt;&lt;dd&gt;一生多得天佑，心地仁慈，乐善好施，危难时常有转机，有惊无险。&lt;/dd&gt;&lt;dd&gt;&lt;/dd&gt;&lt;/dl&gt;</v>
      </c>
    </row>
    <row r="25" spans="2:7" ht="29.25" thickBot="1" x14ac:dyDescent="0.25">
      <c r="B25" s="3" t="s">
        <v>246</v>
      </c>
      <c r="C25" s="4" t="s">
        <v>4622</v>
      </c>
      <c r="D25" s="4"/>
      <c r="E25" s="15"/>
      <c r="G25" t="str">
        <f t="shared" si="0"/>
        <v>&lt;dl&gt;&lt;dt&gt;兄弟宫​&lt;/dt&gt;&lt;dd&gt;兄弟姐妹友善，能得手足帮助，或同辈中多善良之人相助。&lt;/dd&gt;&lt;dd&gt;&lt;/dd&gt;&lt;/dl&gt;</v>
      </c>
    </row>
    <row r="26" spans="2:7" ht="29.25" thickBot="1" x14ac:dyDescent="0.25">
      <c r="B26" s="3" t="s">
        <v>125</v>
      </c>
      <c r="C26" s="4" t="s">
        <v>4623</v>
      </c>
      <c r="D26" s="4"/>
      <c r="E26" s="15"/>
      <c r="G26" t="str">
        <f t="shared" si="0"/>
        <v>&lt;dl&gt;&lt;dt&gt;夫妻宫​&lt;/dt&gt;&lt;dd&gt;配偶心地善良，是福星，婚姻能化解自身灾厄，感情和睦。&lt;/dd&gt;&lt;dd&gt;&lt;/dd&gt;&lt;/dl&gt;</v>
      </c>
    </row>
    <row r="27" spans="2:7" ht="29.25" thickBot="1" x14ac:dyDescent="0.25">
      <c r="B27" s="3" t="s">
        <v>128</v>
      </c>
      <c r="C27" s="4" t="s">
        <v>4624</v>
      </c>
      <c r="D27" s="4"/>
      <c r="E27" s="15"/>
      <c r="G27" t="str">
        <f t="shared" si="0"/>
        <v>&lt;dl&gt;&lt;dt&gt;子女宫​&lt;/dt&gt;&lt;dd&gt;子女孝顺有福，能为自己带来福气；合作方诚信善良，合作顺利。&lt;/dd&gt;&lt;dd&gt;&lt;/dd&gt;&lt;/dl&gt;</v>
      </c>
    </row>
    <row r="28" spans="2:7" ht="29.25" thickBot="1" x14ac:dyDescent="0.25">
      <c r="B28" s="3" t="s">
        <v>3</v>
      </c>
      <c r="C28" s="4" t="s">
        <v>4625</v>
      </c>
      <c r="D28" s="4"/>
      <c r="E28" s="15"/>
      <c r="G28" t="str">
        <f t="shared" si="0"/>
        <v>&lt;dl&gt;&lt;dt&gt;财帛宫​&lt;/dt&gt;&lt;dd&gt;钱财来得平稳正当，不易因意外破财，常有意外之财或馈赠。&lt;/dd&gt;&lt;dd&gt;&lt;/dd&gt;&lt;/dl&gt;</v>
      </c>
    </row>
    <row r="29" spans="2:7" ht="29.25" thickBot="1" x14ac:dyDescent="0.25">
      <c r="B29" s="3" t="s">
        <v>6</v>
      </c>
      <c r="C29" s="4" t="s">
        <v>4626</v>
      </c>
      <c r="D29" s="4"/>
      <c r="E29" s="15"/>
      <c r="G29" t="str">
        <f t="shared" si="0"/>
        <v>&lt;dl&gt;&lt;dt&gt;疾厄宫​&lt;/dt&gt;&lt;dd&gt;身体健康，抵抗力强，即使患病也易遇良医或找到良方，转危为安。&lt;/dd&gt;&lt;dd&gt;&lt;/dd&gt;&lt;/dl&gt;</v>
      </c>
    </row>
    <row r="30" spans="2:7" ht="28.5" x14ac:dyDescent="0.2">
      <c r="B30" s="3" t="s">
        <v>15</v>
      </c>
      <c r="C30" s="3" t="s">
        <v>4627</v>
      </c>
      <c r="D30" s="4"/>
    </row>
    <row r="31" spans="2:7" ht="28.5" x14ac:dyDescent="0.2">
      <c r="B31" s="3" t="s">
        <v>12</v>
      </c>
      <c r="C31" s="4" t="s">
        <v>4628</v>
      </c>
      <c r="D31" s="4"/>
    </row>
    <row r="32" spans="2:7" ht="28.5" x14ac:dyDescent="0.2">
      <c r="B32" s="3" t="s">
        <v>206</v>
      </c>
      <c r="C32" s="4" t="s">
        <v>4629</v>
      </c>
      <c r="D32" s="4"/>
    </row>
    <row r="33" spans="2:7" ht="29.25" thickBot="1" x14ac:dyDescent="0.25">
      <c r="B33" s="3" t="s">
        <v>0</v>
      </c>
      <c r="C33" s="4" t="s">
        <v>4630</v>
      </c>
      <c r="D33" s="4"/>
    </row>
    <row r="34" spans="2:7" ht="29.25" thickBot="1" x14ac:dyDescent="0.25">
      <c r="B34" s="3" t="s">
        <v>116</v>
      </c>
      <c r="C34" s="3" t="s">
        <v>4631</v>
      </c>
      <c r="D34" s="4"/>
      <c r="E34" s="12"/>
    </row>
    <row r="35" spans="2:7" ht="29.25" thickBot="1" x14ac:dyDescent="0.25">
      <c r="B35" s="3" t="s">
        <v>9</v>
      </c>
      <c r="C35" s="4" t="s">
        <v>4632</v>
      </c>
      <c r="D35" s="4"/>
      <c r="E35" s="15"/>
      <c r="G35" t="str">
        <f t="shared" si="0"/>
        <v>&lt;dl&gt;&lt;dt&gt;父母宫​&lt;/dt&gt;&lt;dd&gt;父母仁慈有德，得长辈荫庇，家庭有福气，能化解家庭危机。&lt;/dd&gt;&lt;dd&gt;&lt;/dd&gt;&lt;/dl&gt;</v>
      </c>
    </row>
    <row r="36" spans="2:7" ht="16.5" thickBot="1" x14ac:dyDescent="0.25">
      <c r="E36" s="15"/>
      <c r="G36" t="str">
        <f t="shared" si="0"/>
        <v>&lt;dl&gt;&lt;dt&gt;&lt;/dt&gt;&lt;dd&gt;&lt;/dd&gt;&lt;dd&gt;&lt;/dd&gt;&lt;/dl&gt;</v>
      </c>
    </row>
    <row r="37" spans="2:7" ht="16.5" thickBot="1" x14ac:dyDescent="0.25">
      <c r="E37" s="15"/>
      <c r="G37" t="str">
        <f t="shared" si="0"/>
        <v>&lt;dl&gt;&lt;dt&gt;&lt;/dt&gt;&lt;dd&gt;&lt;/dd&gt;&lt;dd&gt;&lt;/dd&gt;&lt;/dl&gt;</v>
      </c>
    </row>
    <row r="38" spans="2:7" ht="18" thickBot="1" x14ac:dyDescent="0.25">
      <c r="B38" s="5" t="s">
        <v>734</v>
      </c>
      <c r="E38" s="15"/>
      <c r="G38" t="str">
        <f t="shared" si="0"/>
        <v>&lt;dl&gt;&lt;dt&gt;四、主星组合象义&lt;/dt&gt;&lt;dd&gt;&lt;/dd&gt;&lt;dd&gt;&lt;/dd&gt;&lt;/dl&gt;</v>
      </c>
    </row>
    <row r="39" spans="2:7" ht="16.5" thickBot="1" x14ac:dyDescent="0.25">
      <c r="E39" s="15"/>
      <c r="G39" t="str">
        <f t="shared" si="0"/>
        <v>&lt;dl&gt;&lt;dt&gt;&lt;/dt&gt;&lt;dd&gt;&lt;/dd&gt;&lt;dd&gt;&lt;/dd&gt;&lt;/dl&gt;</v>
      </c>
    </row>
    <row r="40" spans="2:7" ht="16.5" thickBot="1" x14ac:dyDescent="0.25">
      <c r="B40" s="13" t="s">
        <v>4633</v>
      </c>
      <c r="E40" s="15"/>
      <c r="G40" t="str">
        <f t="shared" si="0"/>
        <v>&lt;dl&gt;&lt;dt&gt;1. 增强福德贵人组合&lt;/dt&gt;&lt;dd&gt;&lt;/dd&gt;&lt;dd&gt;&lt;/dd&gt;&lt;/dl&gt;</v>
      </c>
    </row>
    <row r="41" spans="2:7" ht="16.5" thickBot="1" x14ac:dyDescent="0.25">
      <c r="E41" s="15"/>
      <c r="G41" t="str">
        <f t="shared" si="0"/>
        <v>&lt;dl&gt;&lt;dt&gt;&lt;/dt&gt;&lt;dd&gt;&lt;/dd&gt;&lt;dd&gt;&lt;/dd&gt;&lt;/dl&gt;</v>
      </c>
    </row>
    <row r="42" spans="2:7" ht="16.5" thickBot="1" x14ac:dyDescent="0.25">
      <c r="B42" s="2" t="s">
        <v>71</v>
      </c>
      <c r="C42" s="2" t="s">
        <v>1047</v>
      </c>
      <c r="D42" s="2" t="s">
        <v>73</v>
      </c>
      <c r="E42" s="15"/>
      <c r="G42" t="str">
        <f t="shared" si="0"/>
        <v>&lt;dl&gt;&lt;dt&gt;组合​&lt;/dt&gt;&lt;dd&gt;效应​&lt;/dd&gt;&lt;dd&gt;典型案例​&lt;/dd&gt;&lt;/dl&gt;</v>
      </c>
    </row>
    <row r="43" spans="2:7" ht="29.25" thickBot="1" x14ac:dyDescent="0.25">
      <c r="B43" s="3" t="s">
        <v>4634</v>
      </c>
      <c r="C43" s="4" t="s">
        <v>4635</v>
      </c>
      <c r="D43" s="4" t="s">
        <v>4636</v>
      </c>
      <c r="E43" s="15"/>
      <c r="G43" t="str">
        <f t="shared" si="0"/>
        <v>&lt;dl&gt;&lt;dt&gt;天德+紫微​&lt;/dt&gt;&lt;dd&gt;天佑帝星，得最高级别的天道护佑，能化解重大社会性、政治性危机。&lt;/dd&gt;&lt;dd&gt;政权更迭中得以保全；大型企业危机中因政策转向而获救。&lt;/dd&gt;&lt;/dl&gt;</v>
      </c>
    </row>
    <row r="44" spans="2:7" ht="28.5" x14ac:dyDescent="0.2">
      <c r="B44" s="3" t="s">
        <v>4637</v>
      </c>
      <c r="C44" s="4" t="s">
        <v>4638</v>
      </c>
      <c r="D44" s="4" t="s">
        <v>4639</v>
      </c>
    </row>
    <row r="45" spans="2:7" ht="28.5" x14ac:dyDescent="0.2">
      <c r="B45" s="3" t="s">
        <v>4640</v>
      </c>
      <c r="C45" s="4" t="s">
        <v>4641</v>
      </c>
      <c r="D45" s="4" t="s">
        <v>4642</v>
      </c>
    </row>
    <row r="46" spans="2:7" ht="28.5" x14ac:dyDescent="0.2">
      <c r="B46" s="3" t="s">
        <v>4643</v>
      </c>
      <c r="C46" s="4" t="s">
        <v>4644</v>
      </c>
      <c r="D46" s="4" t="s">
        <v>4645</v>
      </c>
    </row>
    <row r="47" spans="2:7" ht="29.25" thickBot="1" x14ac:dyDescent="0.25">
      <c r="B47" s="3" t="s">
        <v>4646</v>
      </c>
      <c r="C47" s="4" t="s">
        <v>4647</v>
      </c>
      <c r="D47" s="4" t="s">
        <v>4648</v>
      </c>
    </row>
    <row r="48" spans="2:7" ht="29.25" thickBot="1" x14ac:dyDescent="0.25">
      <c r="B48" s="3" t="s">
        <v>4649</v>
      </c>
      <c r="C48" s="4" t="s">
        <v>4650</v>
      </c>
      <c r="D48" s="4" t="s">
        <v>4651</v>
      </c>
      <c r="E48" s="12"/>
    </row>
    <row r="49" spans="2:7" ht="29.25" thickBot="1" x14ac:dyDescent="0.25">
      <c r="B49" s="3" t="s">
        <v>4652</v>
      </c>
      <c r="C49" s="4" t="s">
        <v>4653</v>
      </c>
      <c r="D49" s="4" t="s">
        <v>4654</v>
      </c>
      <c r="E49" s="15"/>
      <c r="G49" t="str">
        <f t="shared" si="0"/>
        <v>&lt;dl&gt;&lt;dt&gt;天德+天府​&lt;/dt&gt;&lt;dd&gt;天佑库星，财富与产业得保，避免盗抢、火灾等损失，得稳健人士帮助。&lt;/dd&gt;&lt;dd&gt;仓库火灾中重要货物奇迹般无损；经济动荡时得保守投资者支持。&lt;/dd&gt;&lt;/dl&gt;</v>
      </c>
    </row>
    <row r="50" spans="2:7" ht="29.25" thickBot="1" x14ac:dyDescent="0.25">
      <c r="B50" s="3" t="s">
        <v>4655</v>
      </c>
      <c r="C50" s="4" t="s">
        <v>4656</v>
      </c>
      <c r="D50" s="4" t="s">
        <v>4657</v>
      </c>
      <c r="E50" s="15"/>
      <c r="G50" t="str">
        <f t="shared" si="0"/>
        <v>&lt;dl&gt;&lt;dt&gt;天德+太阴​&lt;/dt&gt;&lt;dd&gt;天佑阴星，避免水险、女性相关灾祸，得女性或幕后贵人暗中相助。&lt;/dd&gt;&lt;dd&gt;乘船遇风浪安全脱险；房产纠纷得女性调解人圆满解决。&lt;/dd&gt;&lt;/dl&gt;</v>
      </c>
    </row>
    <row r="51" spans="2:7" ht="29.25" thickBot="1" x14ac:dyDescent="0.25">
      <c r="B51" s="3" t="s">
        <v>4658</v>
      </c>
      <c r="C51" s="4" t="s">
        <v>4659</v>
      </c>
      <c r="D51" s="4" t="s">
        <v>4660</v>
      </c>
      <c r="E51" s="15"/>
      <c r="G51" t="str">
        <f t="shared" si="0"/>
        <v>&lt;dl&gt;&lt;dt&gt;天德+贪狼​&lt;/dt&gt;&lt;dd&gt;天佑桃花，化解因欲望、交际引发的祸端，得艺术或娱乐界贵人帮助。&lt;/dd&gt;&lt;dd&gt;酒局中避免被陷害；艺术创作瓶颈时灵感自然涌现。&lt;/dd&gt;&lt;/dl&gt;</v>
      </c>
    </row>
    <row r="52" spans="2:7" ht="29.25" thickBot="1" x14ac:dyDescent="0.25">
      <c r="B52" s="3" t="s">
        <v>4661</v>
      </c>
      <c r="C52" s="4" t="s">
        <v>4662</v>
      </c>
      <c r="D52" s="4" t="s">
        <v>4663</v>
      </c>
      <c r="E52" s="15"/>
      <c r="G52" t="str">
        <f t="shared" si="0"/>
        <v>&lt;dl&gt;&lt;dt&gt;天德+巨门​&lt;/dt&gt;&lt;dd&gt;天佑暗星，化解口舌是非、合同陷阱，得律师、教师或沟通专家帮助。&lt;/dd&gt;&lt;dd&gt;被诽谤时谣言不攻自破；签约前发现隐藏条款而避免损失。&lt;/dd&gt;&lt;/dl&gt;</v>
      </c>
    </row>
    <row r="53" spans="2:7" ht="28.5" x14ac:dyDescent="0.2">
      <c r="B53" s="3" t="s">
        <v>4664</v>
      </c>
      <c r="C53" s="4" t="s">
        <v>4665</v>
      </c>
      <c r="D53" s="4" t="s">
        <v>4666</v>
      </c>
    </row>
    <row r="54" spans="2:7" ht="28.5" x14ac:dyDescent="0.2">
      <c r="B54" s="3" t="s">
        <v>4667</v>
      </c>
      <c r="C54" s="4" t="s">
        <v>4668</v>
      </c>
      <c r="D54" s="4" t="s">
        <v>4669</v>
      </c>
    </row>
    <row r="55" spans="2:7" ht="28.5" x14ac:dyDescent="0.2">
      <c r="B55" s="3" t="s">
        <v>4670</v>
      </c>
      <c r="C55" s="4" t="s">
        <v>4671</v>
      </c>
      <c r="D55" s="4" t="s">
        <v>4672</v>
      </c>
    </row>
    <row r="56" spans="2:7" ht="28.5" x14ac:dyDescent="0.2">
      <c r="B56" s="3" t="s">
        <v>4673</v>
      </c>
      <c r="C56" s="4" t="s">
        <v>4674</v>
      </c>
      <c r="D56" s="4" t="s">
        <v>4675</v>
      </c>
    </row>
    <row r="59" spans="2:7" ht="17.25" x14ac:dyDescent="0.2">
      <c r="B59" s="5" t="s">
        <v>746</v>
      </c>
    </row>
    <row r="61" spans="2:7" x14ac:dyDescent="0.2">
      <c r="B61" s="2" t="s">
        <v>40</v>
      </c>
      <c r="C61" s="2" t="s">
        <v>1414</v>
      </c>
      <c r="D61" s="2" t="s">
        <v>21</v>
      </c>
    </row>
    <row r="62" spans="2:7" ht="28.5" x14ac:dyDescent="0.2">
      <c r="B62" s="3" t="s">
        <v>4676</v>
      </c>
      <c r="C62" s="3" t="s">
        <v>4677</v>
      </c>
      <c r="D62" s="4" t="s">
        <v>4678</v>
      </c>
    </row>
    <row r="63" spans="2:7" ht="28.5" x14ac:dyDescent="0.2">
      <c r="B63" s="3" t="s">
        <v>4679</v>
      </c>
      <c r="C63" s="3" t="s">
        <v>4680</v>
      </c>
      <c r="D63" s="4" t="s">
        <v>4681</v>
      </c>
    </row>
    <row r="64" spans="2:7" ht="28.5" x14ac:dyDescent="0.2">
      <c r="B64" s="3" t="s">
        <v>4682</v>
      </c>
      <c r="C64" s="3" t="s">
        <v>4683</v>
      </c>
      <c r="D64" s="4" t="s">
        <v>4684</v>
      </c>
    </row>
    <row r="65" spans="2:4" ht="28.5" x14ac:dyDescent="0.2">
      <c r="B65" s="3" t="s">
        <v>4685</v>
      </c>
      <c r="C65" s="3" t="s">
        <v>4686</v>
      </c>
      <c r="D65" s="4" t="s">
        <v>4687</v>
      </c>
    </row>
    <row r="66" spans="2:4" ht="28.5" x14ac:dyDescent="0.2">
      <c r="B66" s="3" t="s">
        <v>4688</v>
      </c>
      <c r="C66" s="3" t="s">
        <v>4689</v>
      </c>
      <c r="D66" s="4" t="s">
        <v>4690</v>
      </c>
    </row>
    <row r="67" spans="2:4" ht="28.5" x14ac:dyDescent="0.2">
      <c r="B67" s="3" t="s">
        <v>4691</v>
      </c>
      <c r="C67" s="3" t="s">
        <v>4692</v>
      </c>
      <c r="D67" s="4" t="s">
        <v>4693</v>
      </c>
    </row>
    <row r="68" spans="2:4" ht="28.5" x14ac:dyDescent="0.2">
      <c r="B68" s="3" t="s">
        <v>4694</v>
      </c>
      <c r="C68" s="3" t="s">
        <v>4695</v>
      </c>
      <c r="D68" s="4" t="s">
        <v>4696</v>
      </c>
    </row>
    <row r="69" spans="2:4" ht="28.5" x14ac:dyDescent="0.2">
      <c r="B69" s="3" t="s">
        <v>4697</v>
      </c>
      <c r="C69" s="3" t="s">
        <v>4698</v>
      </c>
      <c r="D69" s="4" t="s">
        <v>4699</v>
      </c>
    </row>
    <row r="70" spans="2:4" ht="28.5" x14ac:dyDescent="0.2">
      <c r="B70" s="3" t="s">
        <v>4700</v>
      </c>
      <c r="C70" s="3" t="s">
        <v>4701</v>
      </c>
      <c r="D70" s="4" t="s">
        <v>4702</v>
      </c>
    </row>
    <row r="71" spans="2:4" ht="28.5" x14ac:dyDescent="0.2">
      <c r="B71" s="3" t="s">
        <v>4703</v>
      </c>
      <c r="C71" s="3" t="s">
        <v>4704</v>
      </c>
      <c r="D71" s="4" t="s">
        <v>4705</v>
      </c>
    </row>
    <row r="72" spans="2:4" ht="28.5" x14ac:dyDescent="0.2">
      <c r="B72" s="3" t="s">
        <v>4706</v>
      </c>
      <c r="C72" s="3" t="s">
        <v>4707</v>
      </c>
      <c r="D72" s="4" t="s">
        <v>4708</v>
      </c>
    </row>
    <row r="73" spans="2:4" ht="28.5" x14ac:dyDescent="0.2">
      <c r="B73" s="3" t="s">
        <v>4709</v>
      </c>
      <c r="C73" s="3" t="s">
        <v>4710</v>
      </c>
      <c r="D73" s="4" t="s">
        <v>4711</v>
      </c>
    </row>
    <row r="76" spans="2:4" ht="17.25" x14ac:dyDescent="0.2">
      <c r="B76" s="5" t="s">
        <v>1805</v>
      </c>
    </row>
    <row r="77" spans="2:4" x14ac:dyDescent="0.2">
      <c r="B77" s="6"/>
    </row>
    <row r="78" spans="2:4" x14ac:dyDescent="0.2">
      <c r="B78" s="7" t="s">
        <v>4712</v>
      </c>
    </row>
    <row r="79" spans="2:4" x14ac:dyDescent="0.2">
      <c r="B79" s="7" t="s">
        <v>4713</v>
      </c>
    </row>
    <row r="80" spans="2:4" x14ac:dyDescent="0.2">
      <c r="B80" s="7" t="s">
        <v>4714</v>
      </c>
    </row>
    <row r="81" spans="2:2" x14ac:dyDescent="0.2">
      <c r="B81" s="7" t="s">
        <v>4715</v>
      </c>
    </row>
    <row r="82" spans="2:2" x14ac:dyDescent="0.2">
      <c r="B82" s="6"/>
    </row>
  </sheetData>
  <phoneticPr fontId="2" type="noConversion"/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05BA95-1385-4709-9741-419D4F26AED1}">
  <dimension ref="B1:G82"/>
  <sheetViews>
    <sheetView zoomScaleNormal="100" workbookViewId="0">
      <selection activeCell="C8" sqref="C8"/>
    </sheetView>
  </sheetViews>
  <sheetFormatPr defaultRowHeight="14.25" x14ac:dyDescent="0.2"/>
  <cols>
    <col min="1" max="1" width="2.75" customWidth="1"/>
    <col min="2" max="2" width="15.625" customWidth="1"/>
    <col min="3" max="3" width="43.125" customWidth="1"/>
    <col min="4" max="4" width="32.75" customWidth="1"/>
  </cols>
  <sheetData>
    <row r="1" spans="2:7" ht="17.25" x14ac:dyDescent="0.2">
      <c r="B1" s="5" t="s">
        <v>4494</v>
      </c>
      <c r="G1" t="str">
        <f>"&lt;dl&gt;&lt;dt&gt;" &amp; B1 &amp; "&lt;/dt&gt;&lt;dd&gt;" &amp; C1 &amp; "&lt;/dd&gt;&lt;dd&gt;" &amp; D1 &amp; "&lt;/dd&gt;&lt;/dl&gt;"</f>
        <v>&lt;dl&gt;&lt;dt&gt;一、龙德定义&lt;/dt&gt;&lt;dd&gt;&lt;/dd&gt;&lt;dd&gt;&lt;/dd&gt;&lt;/dl&gt;</v>
      </c>
    </row>
    <row r="3" spans="2:7" x14ac:dyDescent="0.2">
      <c r="B3" s="2" t="s">
        <v>376</v>
      </c>
      <c r="C3" s="2" t="s">
        <v>377</v>
      </c>
      <c r="D3" s="2" t="s">
        <v>21</v>
      </c>
    </row>
    <row r="4" spans="2:7" x14ac:dyDescent="0.2">
      <c r="B4" s="3" t="s">
        <v>624</v>
      </c>
      <c r="C4" s="4" t="s">
        <v>4495</v>
      </c>
      <c r="D4" s="4"/>
    </row>
    <row r="5" spans="2:7" ht="57" x14ac:dyDescent="0.2">
      <c r="B5" s="3" t="s">
        <v>378</v>
      </c>
      <c r="C5" s="4" t="s">
        <v>4496</v>
      </c>
      <c r="D5" s="4"/>
    </row>
    <row r="6" spans="2:7" ht="42.75" x14ac:dyDescent="0.2">
      <c r="B6" s="3" t="s">
        <v>1717</v>
      </c>
      <c r="C6" s="4" t="s">
        <v>4497</v>
      </c>
      <c r="D6" s="4"/>
    </row>
    <row r="9" spans="2:7" ht="17.25" x14ac:dyDescent="0.2">
      <c r="B9" s="5" t="s">
        <v>1719</v>
      </c>
    </row>
    <row r="11" spans="2:7" ht="15.75" x14ac:dyDescent="0.2">
      <c r="B11" s="13" t="s">
        <v>1720</v>
      </c>
    </row>
    <row r="13" spans="2:7" x14ac:dyDescent="0.2">
      <c r="B13" s="2" t="s">
        <v>390</v>
      </c>
      <c r="C13" s="2" t="s">
        <v>1818</v>
      </c>
      <c r="D13" s="2" t="s">
        <v>1819</v>
      </c>
    </row>
    <row r="14" spans="2:7" ht="28.5" x14ac:dyDescent="0.2">
      <c r="B14" s="3" t="s">
        <v>4498</v>
      </c>
      <c r="C14" s="4" t="s">
        <v>4499</v>
      </c>
      <c r="D14" s="4" t="s">
        <v>4500</v>
      </c>
    </row>
    <row r="15" spans="2:7" ht="28.5" x14ac:dyDescent="0.2">
      <c r="B15" s="3" t="s">
        <v>4501</v>
      </c>
      <c r="C15" s="4" t="s">
        <v>4502</v>
      </c>
      <c r="D15" s="4" t="s">
        <v>4503</v>
      </c>
    </row>
    <row r="16" spans="2:7" ht="28.5" x14ac:dyDescent="0.2">
      <c r="B16" s="3" t="s">
        <v>4504</v>
      </c>
      <c r="C16" s="4" t="s">
        <v>4505</v>
      </c>
      <c r="D16" s="4" t="s">
        <v>4506</v>
      </c>
    </row>
    <row r="17" spans="2:7" x14ac:dyDescent="0.2">
      <c r="B17" s="3" t="s">
        <v>4507</v>
      </c>
      <c r="C17" s="4" t="s">
        <v>4508</v>
      </c>
      <c r="D17" s="4" t="s">
        <v>3333</v>
      </c>
    </row>
    <row r="18" spans="2:7" x14ac:dyDescent="0.2">
      <c r="B18" s="3" t="s">
        <v>4509</v>
      </c>
      <c r="C18" s="4" t="s">
        <v>4510</v>
      </c>
      <c r="D18" s="4" t="s">
        <v>4511</v>
      </c>
    </row>
    <row r="21" spans="2:7" ht="17.25" x14ac:dyDescent="0.2">
      <c r="B21" s="5" t="s">
        <v>1733</v>
      </c>
    </row>
    <row r="22" spans="2:7" ht="15" thickBot="1" x14ac:dyDescent="0.25"/>
    <row r="23" spans="2:7" ht="16.5" thickBot="1" x14ac:dyDescent="0.25">
      <c r="B23" s="2" t="s">
        <v>18</v>
      </c>
      <c r="C23" s="2" t="s">
        <v>1818</v>
      </c>
      <c r="D23" s="2" t="s">
        <v>21</v>
      </c>
      <c r="E23" s="12"/>
    </row>
    <row r="24" spans="2:7" ht="29.25" thickBot="1" x14ac:dyDescent="0.25">
      <c r="B24" s="3" t="s">
        <v>201</v>
      </c>
      <c r="C24" s="4" t="s">
        <v>4512</v>
      </c>
      <c r="D24" s="4"/>
      <c r="E24" s="15"/>
      <c r="G24" t="str">
        <f t="shared" ref="G24:G52" si="0">"&lt;dl&gt;&lt;dt&gt;" &amp; B24 &amp; "&lt;/dt&gt;&lt;dd&gt;" &amp; C24 &amp; "&lt;/dd&gt;&lt;dd&gt;" &amp; D24 &amp; "&lt;/dd&gt;&lt;/dl&gt;"</f>
        <v>&lt;dl&gt;&lt;dt&gt;命宫​&lt;/dt&gt;&lt;dd&gt;一生有贵人扶持，逢凶化吉，心地善良，有阴德，社会评价高。&lt;/dd&gt;&lt;dd&gt;&lt;/dd&gt;&lt;/dl&gt;</v>
      </c>
    </row>
    <row r="25" spans="2:7" ht="29.25" thickBot="1" x14ac:dyDescent="0.25">
      <c r="B25" s="3" t="s">
        <v>246</v>
      </c>
      <c r="C25" s="4" t="s">
        <v>4513</v>
      </c>
      <c r="D25" s="4"/>
      <c r="E25" s="15"/>
      <c r="G25" t="str">
        <f t="shared" si="0"/>
        <v>&lt;dl&gt;&lt;dt&gt;兄弟宫​&lt;/dt&gt;&lt;dd&gt;兄弟姐妹中有贵人，或能得到同辈、同事的有力帮助。&lt;/dd&gt;&lt;dd&gt;&lt;/dd&gt;&lt;/dl&gt;</v>
      </c>
    </row>
    <row r="26" spans="2:7" ht="29.25" thickBot="1" x14ac:dyDescent="0.25">
      <c r="B26" s="3" t="s">
        <v>125</v>
      </c>
      <c r="C26" s="4" t="s">
        <v>4514</v>
      </c>
      <c r="D26" s="4"/>
      <c r="E26" s="15"/>
      <c r="G26" t="str">
        <f t="shared" si="0"/>
        <v>&lt;dl&gt;&lt;dt&gt;夫妻宫​&lt;/dt&gt;&lt;dd&gt;配偶是贵人，或能通过婚姻得到配偶家族的庇护与提携。&lt;/dd&gt;&lt;dd&gt;&lt;/dd&gt;&lt;/dl&gt;</v>
      </c>
    </row>
    <row r="27" spans="2:7" ht="29.25" thickBot="1" x14ac:dyDescent="0.25">
      <c r="B27" s="3" t="s">
        <v>128</v>
      </c>
      <c r="C27" s="4" t="s">
        <v>4515</v>
      </c>
      <c r="D27" s="4"/>
      <c r="E27" s="15"/>
      <c r="G27" t="str">
        <f t="shared" si="0"/>
        <v>&lt;dl&gt;&lt;dt&gt;子女宫​&lt;/dt&gt;&lt;dd&gt;子女有出息，能成为自己的依靠；合作方是贵人，项目顺利。&lt;/dd&gt;&lt;dd&gt;&lt;/dd&gt;&lt;/dl&gt;</v>
      </c>
    </row>
    <row r="28" spans="2:7" ht="29.25" thickBot="1" x14ac:dyDescent="0.25">
      <c r="B28" s="3" t="s">
        <v>3</v>
      </c>
      <c r="C28" s="4" t="s">
        <v>4516</v>
      </c>
      <c r="D28" s="4"/>
      <c r="E28" s="15"/>
      <c r="G28" t="str">
        <f t="shared" si="0"/>
        <v>&lt;dl&gt;&lt;dt&gt;财帛宫​&lt;/dt&gt;&lt;dd&gt;钱财来得正当且顺利，易因贵人提供机会而获利，避免财务纠纷。&lt;/dd&gt;&lt;dd&gt;&lt;/dd&gt;&lt;/dl&gt;</v>
      </c>
    </row>
    <row r="29" spans="2:7" ht="29.25" thickBot="1" x14ac:dyDescent="0.25">
      <c r="B29" s="3" t="s">
        <v>6</v>
      </c>
      <c r="C29" s="4" t="s">
        <v>4517</v>
      </c>
      <c r="D29" s="4"/>
      <c r="E29" s="15"/>
      <c r="G29" t="str">
        <f t="shared" si="0"/>
        <v>&lt;dl&gt;&lt;dt&gt;疾厄宫​&lt;/dt&gt;&lt;dd&gt;遇重病危难时能得良医或转机，化解病灾，身体康复能力强。&lt;/dd&gt;&lt;dd&gt;&lt;/dd&gt;&lt;/dl&gt;</v>
      </c>
    </row>
    <row r="30" spans="2:7" ht="28.5" x14ac:dyDescent="0.2">
      <c r="B30" s="3" t="s">
        <v>15</v>
      </c>
      <c r="C30" s="3" t="s">
        <v>4518</v>
      </c>
      <c r="D30" s="4"/>
    </row>
    <row r="31" spans="2:7" ht="28.5" x14ac:dyDescent="0.2">
      <c r="B31" s="3" t="s">
        <v>12</v>
      </c>
      <c r="C31" s="4" t="s">
        <v>4519</v>
      </c>
      <c r="D31" s="4"/>
    </row>
    <row r="32" spans="2:7" ht="28.5" x14ac:dyDescent="0.2">
      <c r="B32" s="3" t="s">
        <v>206</v>
      </c>
      <c r="C32" s="4" t="s">
        <v>4520</v>
      </c>
      <c r="D32" s="4"/>
    </row>
    <row r="33" spans="2:7" ht="29.25" thickBot="1" x14ac:dyDescent="0.25">
      <c r="B33" s="3" t="s">
        <v>0</v>
      </c>
      <c r="C33" s="4" t="s">
        <v>4521</v>
      </c>
      <c r="D33" s="4"/>
    </row>
    <row r="34" spans="2:7" ht="29.25" thickBot="1" x14ac:dyDescent="0.25">
      <c r="B34" s="3" t="s">
        <v>116</v>
      </c>
      <c r="C34" s="4" t="s">
        <v>4522</v>
      </c>
      <c r="D34" s="4"/>
      <c r="E34" s="12"/>
    </row>
    <row r="35" spans="2:7" ht="29.25" thickBot="1" x14ac:dyDescent="0.25">
      <c r="B35" s="3" t="s">
        <v>9</v>
      </c>
      <c r="C35" s="4" t="s">
        <v>4523</v>
      </c>
      <c r="D35" s="4"/>
      <c r="E35" s="15"/>
      <c r="G35" t="str">
        <f t="shared" si="0"/>
        <v>&lt;dl&gt;&lt;dt&gt;父母宫​&lt;/dt&gt;&lt;dd&gt;父母是贵人，得长辈荫庇，或父母有德，能化解家庭危机。&lt;/dd&gt;&lt;dd&gt;&lt;/dd&gt;&lt;/dl&gt;</v>
      </c>
    </row>
    <row r="36" spans="2:7" ht="16.5" thickBot="1" x14ac:dyDescent="0.25">
      <c r="E36" s="15"/>
      <c r="G36" t="str">
        <f t="shared" si="0"/>
        <v>&lt;dl&gt;&lt;dt&gt;&lt;/dt&gt;&lt;dd&gt;&lt;/dd&gt;&lt;dd&gt;&lt;/dd&gt;&lt;/dl&gt;</v>
      </c>
    </row>
    <row r="37" spans="2:7" ht="16.5" thickBot="1" x14ac:dyDescent="0.25">
      <c r="E37" s="15"/>
      <c r="G37" t="str">
        <f t="shared" si="0"/>
        <v>&lt;dl&gt;&lt;dt&gt;&lt;/dt&gt;&lt;dd&gt;&lt;/dd&gt;&lt;dd&gt;&lt;/dd&gt;&lt;/dl&gt;</v>
      </c>
    </row>
    <row r="38" spans="2:7" ht="18" thickBot="1" x14ac:dyDescent="0.25">
      <c r="B38" s="5" t="s">
        <v>734</v>
      </c>
      <c r="E38" s="15"/>
      <c r="G38" t="str">
        <f t="shared" si="0"/>
        <v>&lt;dl&gt;&lt;dt&gt;四、主星组合象义&lt;/dt&gt;&lt;dd&gt;&lt;/dd&gt;&lt;dd&gt;&lt;/dd&gt;&lt;/dl&gt;</v>
      </c>
    </row>
    <row r="39" spans="2:7" ht="16.5" thickBot="1" x14ac:dyDescent="0.25">
      <c r="E39" s="15"/>
      <c r="G39" t="str">
        <f t="shared" si="0"/>
        <v>&lt;dl&gt;&lt;dt&gt;&lt;/dt&gt;&lt;dd&gt;&lt;/dd&gt;&lt;dd&gt;&lt;/dd&gt;&lt;/dl&gt;</v>
      </c>
    </row>
    <row r="40" spans="2:7" ht="16.5" thickBot="1" x14ac:dyDescent="0.25">
      <c r="B40" s="13" t="s">
        <v>4524</v>
      </c>
      <c r="E40" s="15"/>
      <c r="G40" t="str">
        <f t="shared" si="0"/>
        <v>&lt;dl&gt;&lt;dt&gt;1. 增强贵气福报组合&lt;/dt&gt;&lt;dd&gt;&lt;/dd&gt;&lt;dd&gt;&lt;/dd&gt;&lt;/dl&gt;</v>
      </c>
    </row>
    <row r="41" spans="2:7" ht="16.5" thickBot="1" x14ac:dyDescent="0.25">
      <c r="E41" s="15"/>
      <c r="G41" t="str">
        <f t="shared" si="0"/>
        <v>&lt;dl&gt;&lt;dt&gt;&lt;/dt&gt;&lt;dd&gt;&lt;/dd&gt;&lt;dd&gt;&lt;/dd&gt;&lt;/dl&gt;</v>
      </c>
    </row>
    <row r="42" spans="2:7" ht="16.5" thickBot="1" x14ac:dyDescent="0.25">
      <c r="B42" s="2" t="s">
        <v>71</v>
      </c>
      <c r="C42" s="2" t="s">
        <v>1047</v>
      </c>
      <c r="D42" s="2" t="s">
        <v>73</v>
      </c>
      <c r="E42" s="15"/>
      <c r="G42" t="str">
        <f t="shared" si="0"/>
        <v>&lt;dl&gt;&lt;dt&gt;组合​&lt;/dt&gt;&lt;dd&gt;效应​&lt;/dd&gt;&lt;dd&gt;典型案例​&lt;/dd&gt;&lt;/dl&gt;</v>
      </c>
    </row>
    <row r="43" spans="2:7" ht="29.25" thickBot="1" x14ac:dyDescent="0.25">
      <c r="B43" s="3" t="s">
        <v>4525</v>
      </c>
      <c r="C43" s="4" t="s">
        <v>4526</v>
      </c>
      <c r="D43" s="4" t="s">
        <v>4527</v>
      </c>
      <c r="E43" s="15"/>
      <c r="G43" t="str">
        <f t="shared" si="0"/>
        <v>&lt;dl&gt;&lt;dt&gt;龙德+紫微​&lt;/dt&gt;&lt;dd&gt;帝王之德，得最高层级贵人（如政府高官、大企业主）扶持，化解重大危机。&lt;/dd&gt;&lt;dd&gt;企业危机时得到政策支持；惹上官司时遇到公正的大法官。&lt;/dd&gt;&lt;/dl&gt;</v>
      </c>
    </row>
    <row r="44" spans="2:7" ht="28.5" x14ac:dyDescent="0.2">
      <c r="B44" s="3" t="s">
        <v>4528</v>
      </c>
      <c r="C44" s="4" t="s">
        <v>4529</v>
      </c>
      <c r="D44" s="4" t="s">
        <v>4530</v>
      </c>
    </row>
    <row r="45" spans="2:7" ht="28.5" x14ac:dyDescent="0.2">
      <c r="B45" s="3" t="s">
        <v>4531</v>
      </c>
      <c r="C45" s="4" t="s">
        <v>4532</v>
      </c>
      <c r="D45" s="4" t="s">
        <v>4533</v>
      </c>
    </row>
    <row r="46" spans="2:7" ht="28.5" x14ac:dyDescent="0.2">
      <c r="B46" s="3" t="s">
        <v>4534</v>
      </c>
      <c r="C46" s="4" t="s">
        <v>4535</v>
      </c>
      <c r="D46" s="4" t="s">
        <v>4536</v>
      </c>
    </row>
    <row r="47" spans="2:7" ht="29.25" thickBot="1" x14ac:dyDescent="0.25">
      <c r="B47" s="3" t="s">
        <v>4537</v>
      </c>
      <c r="C47" s="4" t="s">
        <v>4538</v>
      </c>
      <c r="D47" s="4" t="s">
        <v>4539</v>
      </c>
    </row>
    <row r="48" spans="2:7" ht="29.25" thickBot="1" x14ac:dyDescent="0.25">
      <c r="B48" s="3" t="s">
        <v>4540</v>
      </c>
      <c r="C48" s="4" t="s">
        <v>4541</v>
      </c>
      <c r="D48" s="4" t="s">
        <v>4542</v>
      </c>
      <c r="E48" s="12"/>
    </row>
    <row r="49" spans="2:7" ht="29.25" thickBot="1" x14ac:dyDescent="0.25">
      <c r="B49" s="3" t="s">
        <v>4543</v>
      </c>
      <c r="C49" s="4" t="s">
        <v>4544</v>
      </c>
      <c r="D49" s="4" t="s">
        <v>4545</v>
      </c>
      <c r="E49" s="15"/>
      <c r="G49" t="str">
        <f t="shared" si="0"/>
        <v>&lt;dl&gt;&lt;dt&gt;龙德+天府​&lt;/dt&gt;&lt;dd&gt;库藏之德，得财力雄厚或保守稳健的贵人支持，化解经济与信任危机。&lt;/dd&gt;&lt;dd&gt;经济危机时得大财团注资；被怀疑时得资深人士担保。&lt;/dd&gt;&lt;/dl&gt;</v>
      </c>
    </row>
    <row r="50" spans="2:7" ht="29.25" thickBot="1" x14ac:dyDescent="0.25">
      <c r="B50" s="3" t="s">
        <v>4546</v>
      </c>
      <c r="C50" s="4" t="s">
        <v>4547</v>
      </c>
      <c r="D50" s="4" t="s">
        <v>4548</v>
      </c>
      <c r="E50" s="15"/>
      <c r="G50" t="str">
        <f t="shared" si="0"/>
        <v>&lt;dl&gt;&lt;dt&gt;龙德+太阴​&lt;/dt&gt;&lt;dd&gt;阴柔之德，得女性、幕后、地产相关贵人帮助，化解暗中的麻烦。&lt;/dd&gt;&lt;dd&gt;房产纠纷得女性调解人解决；幕后操作遇阻时得关键人物疏通。&lt;/dd&gt;&lt;/dl&gt;</v>
      </c>
    </row>
    <row r="51" spans="2:7" ht="29.25" thickBot="1" x14ac:dyDescent="0.25">
      <c r="B51" s="3" t="s">
        <v>4549</v>
      </c>
      <c r="C51" s="4" t="s">
        <v>4550</v>
      </c>
      <c r="D51" s="4" t="s">
        <v>4551</v>
      </c>
      <c r="E51" s="15"/>
      <c r="G51" t="str">
        <f t="shared" si="0"/>
        <v>&lt;dl&gt;&lt;dt&gt;龙德+贪狼​&lt;/dt&gt;&lt;dd&gt;欲望之德，得交际、艺术、娱乐界贵人帮助，化解桃花与欲望引发的麻烦。&lt;/dd&gt;&lt;dd&gt;桃色纠纷得圈内大佬摆平；艺术创作瓶颈得大师点拨。&lt;/dd&gt;&lt;/dl&gt;</v>
      </c>
    </row>
    <row r="52" spans="2:7" ht="29.25" thickBot="1" x14ac:dyDescent="0.25">
      <c r="B52" s="3" t="s">
        <v>4552</v>
      </c>
      <c r="C52" s="4" t="s">
        <v>4553</v>
      </c>
      <c r="D52" s="4" t="s">
        <v>4554</v>
      </c>
      <c r="E52" s="15"/>
      <c r="G52" t="str">
        <f t="shared" si="0"/>
        <v>&lt;dl&gt;&lt;dt&gt;龙德+巨门​&lt;/dt&gt;&lt;dd&gt;口舌之德，得律师、教师、沟通专家帮助，化解是非口舌与合同纠纷。&lt;/dd&gt;&lt;dd&gt;被诽谤时得名律师辩护；合同陷阱得资深法务指出。&lt;/dd&gt;&lt;/dl&gt;</v>
      </c>
    </row>
    <row r="53" spans="2:7" ht="28.5" x14ac:dyDescent="0.2">
      <c r="B53" s="3" t="s">
        <v>4555</v>
      </c>
      <c r="C53" s="4" t="s">
        <v>4556</v>
      </c>
      <c r="D53" s="4" t="s">
        <v>4557</v>
      </c>
    </row>
    <row r="54" spans="2:7" ht="28.5" x14ac:dyDescent="0.2">
      <c r="B54" s="3" t="s">
        <v>4558</v>
      </c>
      <c r="C54" s="4" t="s">
        <v>4559</v>
      </c>
      <c r="D54" s="4" t="s">
        <v>4560</v>
      </c>
    </row>
    <row r="55" spans="2:7" ht="28.5" x14ac:dyDescent="0.2">
      <c r="B55" s="3" t="s">
        <v>4561</v>
      </c>
      <c r="C55" s="4" t="s">
        <v>4562</v>
      </c>
      <c r="D55" s="4" t="s">
        <v>4563</v>
      </c>
    </row>
    <row r="56" spans="2:7" ht="28.5" x14ac:dyDescent="0.2">
      <c r="B56" s="3" t="s">
        <v>4564</v>
      </c>
      <c r="C56" s="4" t="s">
        <v>4565</v>
      </c>
      <c r="D56" s="4" t="s">
        <v>4566</v>
      </c>
    </row>
    <row r="59" spans="2:7" ht="17.25" x14ac:dyDescent="0.2">
      <c r="B59" s="5" t="s">
        <v>746</v>
      </c>
    </row>
    <row r="61" spans="2:7" x14ac:dyDescent="0.2">
      <c r="B61" s="2" t="s">
        <v>40</v>
      </c>
      <c r="C61" s="2" t="s">
        <v>1414</v>
      </c>
      <c r="D61" s="2" t="s">
        <v>21</v>
      </c>
    </row>
    <row r="62" spans="2:7" ht="28.5" x14ac:dyDescent="0.2">
      <c r="B62" s="3" t="s">
        <v>4525</v>
      </c>
      <c r="C62" s="3" t="s">
        <v>4567</v>
      </c>
      <c r="D62" s="4" t="s">
        <v>4568</v>
      </c>
    </row>
    <row r="63" spans="2:7" ht="28.5" x14ac:dyDescent="0.2">
      <c r="B63" s="3" t="s">
        <v>4569</v>
      </c>
      <c r="C63" s="3" t="s">
        <v>4570</v>
      </c>
      <c r="D63" s="4" t="s">
        <v>4571</v>
      </c>
    </row>
    <row r="64" spans="2:7" ht="28.5" x14ac:dyDescent="0.2">
      <c r="B64" s="3" t="s">
        <v>4572</v>
      </c>
      <c r="C64" s="3" t="s">
        <v>4573</v>
      </c>
      <c r="D64" s="4" t="s">
        <v>4574</v>
      </c>
    </row>
    <row r="65" spans="2:4" ht="28.5" x14ac:dyDescent="0.2">
      <c r="B65" s="3" t="s">
        <v>4575</v>
      </c>
      <c r="C65" s="3" t="s">
        <v>4576</v>
      </c>
      <c r="D65" s="4" t="s">
        <v>4577</v>
      </c>
    </row>
    <row r="66" spans="2:4" ht="28.5" x14ac:dyDescent="0.2">
      <c r="B66" s="3" t="s">
        <v>4578</v>
      </c>
      <c r="C66" s="3" t="s">
        <v>4579</v>
      </c>
      <c r="D66" s="4" t="s">
        <v>4580</v>
      </c>
    </row>
    <row r="67" spans="2:4" ht="28.5" x14ac:dyDescent="0.2">
      <c r="B67" s="3" t="s">
        <v>4581</v>
      </c>
      <c r="C67" s="3" t="s">
        <v>4582</v>
      </c>
      <c r="D67" s="4" t="s">
        <v>4583</v>
      </c>
    </row>
    <row r="68" spans="2:4" ht="28.5" x14ac:dyDescent="0.2">
      <c r="B68" s="3" t="s">
        <v>4584</v>
      </c>
      <c r="C68" s="3" t="s">
        <v>4585</v>
      </c>
      <c r="D68" s="4" t="s">
        <v>4586</v>
      </c>
    </row>
    <row r="69" spans="2:4" ht="28.5" x14ac:dyDescent="0.2">
      <c r="B69" s="3" t="s">
        <v>4587</v>
      </c>
      <c r="C69" s="3" t="s">
        <v>4588</v>
      </c>
      <c r="D69" s="4" t="s">
        <v>4589</v>
      </c>
    </row>
    <row r="70" spans="2:4" ht="28.5" x14ac:dyDescent="0.2">
      <c r="B70" s="3" t="s">
        <v>4590</v>
      </c>
      <c r="C70" s="3" t="s">
        <v>4591</v>
      </c>
      <c r="D70" s="4" t="s">
        <v>4592</v>
      </c>
    </row>
    <row r="71" spans="2:4" ht="28.5" x14ac:dyDescent="0.2">
      <c r="B71" s="3" t="s">
        <v>4593</v>
      </c>
      <c r="C71" s="3" t="s">
        <v>4594</v>
      </c>
      <c r="D71" s="4" t="s">
        <v>4595</v>
      </c>
    </row>
    <row r="72" spans="2:4" ht="28.5" x14ac:dyDescent="0.2">
      <c r="B72" s="3" t="s">
        <v>4596</v>
      </c>
      <c r="C72" s="3" t="s">
        <v>4597</v>
      </c>
      <c r="D72" s="4" t="s">
        <v>4598</v>
      </c>
    </row>
    <row r="75" spans="2:4" ht="17.25" x14ac:dyDescent="0.2">
      <c r="B75" s="5" t="s">
        <v>1805</v>
      </c>
    </row>
    <row r="76" spans="2:4" x14ac:dyDescent="0.2">
      <c r="B76" s="6"/>
    </row>
    <row r="77" spans="2:4" x14ac:dyDescent="0.2">
      <c r="B77" s="7" t="s">
        <v>4599</v>
      </c>
    </row>
    <row r="78" spans="2:4" x14ac:dyDescent="0.2">
      <c r="B78" s="7" t="s">
        <v>4600</v>
      </c>
    </row>
    <row r="79" spans="2:4" x14ac:dyDescent="0.2">
      <c r="B79" s="7" t="s">
        <v>4601</v>
      </c>
    </row>
    <row r="80" spans="2:4" x14ac:dyDescent="0.2">
      <c r="B80" s="7" t="s">
        <v>4602</v>
      </c>
    </row>
    <row r="81" spans="2:2" x14ac:dyDescent="0.2">
      <c r="B81" s="6"/>
    </row>
    <row r="82" spans="2:2" x14ac:dyDescent="0.2">
      <c r="B82" s="6"/>
    </row>
  </sheetData>
  <phoneticPr fontId="2" type="noConversion"/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AD7F6B-1E37-4BBC-9D2D-33E28D646E7A}">
  <dimension ref="B1:G82"/>
  <sheetViews>
    <sheetView zoomScaleNormal="100" workbookViewId="0">
      <selection activeCell="B1" sqref="B1:D81"/>
    </sheetView>
  </sheetViews>
  <sheetFormatPr defaultRowHeight="14.25" x14ac:dyDescent="0.2"/>
  <cols>
    <col min="1" max="1" width="2.75" customWidth="1"/>
    <col min="2" max="2" width="15.625" customWidth="1"/>
    <col min="3" max="3" width="43.125" customWidth="1"/>
    <col min="4" max="4" width="32.75" customWidth="1"/>
  </cols>
  <sheetData>
    <row r="1" spans="2:7" ht="17.25" x14ac:dyDescent="0.2">
      <c r="B1" s="5" t="s">
        <v>4716</v>
      </c>
      <c r="G1" t="str">
        <f>"&lt;dl&gt;&lt;dt&gt;" &amp; B1 &amp; "&lt;/dt&gt;&lt;dd&gt;" &amp; C1 &amp; "&lt;/dd&gt;&lt;dd&gt;" &amp; D1 &amp; "&lt;/dd&gt;&lt;/dl&gt;"</f>
        <v>&lt;dl&gt;&lt;dt&gt;一、月德定义&lt;/dt&gt;&lt;dd&gt;&lt;/dd&gt;&lt;dd&gt;&lt;/dd&gt;&lt;/dl&gt;</v>
      </c>
    </row>
    <row r="3" spans="2:7" x14ac:dyDescent="0.2">
      <c r="B3" s="2" t="s">
        <v>376</v>
      </c>
      <c r="C3" s="2" t="s">
        <v>377</v>
      </c>
      <c r="D3" s="2" t="s">
        <v>21</v>
      </c>
    </row>
    <row r="4" spans="2:7" x14ac:dyDescent="0.2">
      <c r="B4" s="3" t="s">
        <v>624</v>
      </c>
      <c r="C4" s="4" t="s">
        <v>4717</v>
      </c>
      <c r="D4" s="4"/>
    </row>
    <row r="5" spans="2:7" ht="57" x14ac:dyDescent="0.2">
      <c r="B5" s="3" t="s">
        <v>378</v>
      </c>
      <c r="C5" s="4" t="s">
        <v>4718</v>
      </c>
      <c r="D5" s="4"/>
    </row>
    <row r="6" spans="2:7" ht="42.75" x14ac:dyDescent="0.2">
      <c r="B6" s="3" t="s">
        <v>1717</v>
      </c>
      <c r="C6" s="4" t="s">
        <v>4719</v>
      </c>
      <c r="D6" s="4"/>
    </row>
    <row r="9" spans="2:7" ht="17.25" x14ac:dyDescent="0.2">
      <c r="B9" s="5" t="s">
        <v>1719</v>
      </c>
    </row>
    <row r="11" spans="2:7" ht="15.75" x14ac:dyDescent="0.2">
      <c r="B11" s="13" t="s">
        <v>1720</v>
      </c>
    </row>
    <row r="13" spans="2:7" x14ac:dyDescent="0.2">
      <c r="B13" s="2" t="s">
        <v>390</v>
      </c>
      <c r="C13" s="2" t="s">
        <v>1818</v>
      </c>
      <c r="D13" s="2" t="s">
        <v>1819</v>
      </c>
    </row>
    <row r="14" spans="2:7" ht="28.5" x14ac:dyDescent="0.2">
      <c r="B14" s="3" t="s">
        <v>4720</v>
      </c>
      <c r="C14" s="4" t="s">
        <v>4721</v>
      </c>
      <c r="D14" s="4" t="s">
        <v>4722</v>
      </c>
    </row>
    <row r="15" spans="2:7" ht="28.5" x14ac:dyDescent="0.2">
      <c r="B15" s="3" t="s">
        <v>4723</v>
      </c>
      <c r="C15" s="4" t="s">
        <v>4724</v>
      </c>
      <c r="D15" s="4" t="s">
        <v>4725</v>
      </c>
    </row>
    <row r="16" spans="2:7" ht="28.5" x14ac:dyDescent="0.2">
      <c r="B16" s="3" t="s">
        <v>4726</v>
      </c>
      <c r="C16" s="4" t="s">
        <v>4727</v>
      </c>
      <c r="D16" s="4" t="s">
        <v>4728</v>
      </c>
    </row>
    <row r="17" spans="2:7" ht="28.5" x14ac:dyDescent="0.2">
      <c r="B17" s="3" t="s">
        <v>4729</v>
      </c>
      <c r="C17" s="4" t="s">
        <v>4730</v>
      </c>
      <c r="D17" s="4" t="s">
        <v>4731</v>
      </c>
    </row>
    <row r="18" spans="2:7" x14ac:dyDescent="0.2">
      <c r="B18" s="3" t="s">
        <v>4732</v>
      </c>
      <c r="C18" s="4" t="s">
        <v>4733</v>
      </c>
      <c r="D18" s="4" t="s">
        <v>4734</v>
      </c>
    </row>
    <row r="21" spans="2:7" ht="17.25" x14ac:dyDescent="0.2">
      <c r="B21" s="5" t="s">
        <v>1733</v>
      </c>
    </row>
    <row r="22" spans="2:7" ht="15" thickBot="1" x14ac:dyDescent="0.25"/>
    <row r="23" spans="2:7" ht="16.5" thickBot="1" x14ac:dyDescent="0.25">
      <c r="B23" s="2" t="s">
        <v>18</v>
      </c>
      <c r="C23" s="2" t="s">
        <v>1818</v>
      </c>
      <c r="D23" s="2" t="s">
        <v>21</v>
      </c>
      <c r="E23" s="12"/>
    </row>
    <row r="24" spans="2:7" ht="29.25" thickBot="1" x14ac:dyDescent="0.25">
      <c r="B24" s="3" t="s">
        <v>201</v>
      </c>
      <c r="C24" s="4" t="s">
        <v>4735</v>
      </c>
      <c r="D24" s="4"/>
      <c r="E24" s="15"/>
      <c r="G24" t="str">
        <f t="shared" ref="G24:G52" si="0">"&lt;dl&gt;&lt;dt&gt;" &amp; B24 &amp; "&lt;/dt&gt;&lt;dd&gt;" &amp; C24 &amp; "&lt;/dd&gt;&lt;dd&gt;" &amp; D24 &amp; "&lt;/dd&gt;&lt;/dl&gt;"</f>
        <v>&lt;dl&gt;&lt;dt&gt;命宫​&lt;/dt&gt;&lt;dd&gt;为人温和善良，人缘佳，一生多得女性及亲友助力，逢凶化吉。&lt;/dd&gt;&lt;dd&gt;&lt;/dd&gt;&lt;/dl&gt;</v>
      </c>
    </row>
    <row r="25" spans="2:7" ht="16.5" thickBot="1" x14ac:dyDescent="0.25">
      <c r="B25" s="3" t="s">
        <v>246</v>
      </c>
      <c r="C25" s="4" t="s">
        <v>4736</v>
      </c>
      <c r="D25" s="4"/>
      <c r="E25" s="15"/>
      <c r="G25" t="str">
        <f t="shared" si="0"/>
        <v>&lt;dl&gt;&lt;dt&gt;兄弟宫​&lt;/dt&gt;&lt;dd&gt;兄弟姐妹关系和睦，能互相扶持，朋友如同手足。&lt;/dd&gt;&lt;dd&gt;&lt;/dd&gt;&lt;/dl&gt;</v>
      </c>
    </row>
    <row r="26" spans="2:7" ht="29.25" thickBot="1" x14ac:dyDescent="0.25">
      <c r="B26" s="3" t="s">
        <v>125</v>
      </c>
      <c r="C26" s="4" t="s">
        <v>4737</v>
      </c>
      <c r="D26" s="4"/>
      <c r="E26" s="15"/>
      <c r="G26" t="str">
        <f t="shared" si="0"/>
        <v>&lt;dl&gt;&lt;dt&gt;夫妻宫​&lt;/dt&gt;&lt;dd&gt;配偶温柔体贴，婚姻生活和谐，能化解感情中的矛盾。&lt;/dd&gt;&lt;dd&gt;&lt;/dd&gt;&lt;/dl&gt;</v>
      </c>
    </row>
    <row r="27" spans="2:7" ht="29.25" thickBot="1" x14ac:dyDescent="0.25">
      <c r="B27" s="3" t="s">
        <v>128</v>
      </c>
      <c r="C27" s="4" t="s">
        <v>4738</v>
      </c>
      <c r="D27" s="4"/>
      <c r="E27" s="15"/>
      <c r="G27" t="str">
        <f t="shared" si="0"/>
        <v>&lt;dl&gt;&lt;dt&gt;子女宫​&lt;/dt&gt;&lt;dd&gt;子女孝顺，家庭和睦；与合作方关系良好，项目推进顺利。&lt;/dd&gt;&lt;dd&gt;&lt;/dd&gt;&lt;/dl&gt;</v>
      </c>
    </row>
    <row r="28" spans="2:7" ht="29.25" thickBot="1" x14ac:dyDescent="0.25">
      <c r="B28" s="3" t="s">
        <v>3</v>
      </c>
      <c r="C28" s="4" t="s">
        <v>4739</v>
      </c>
      <c r="D28" s="4"/>
      <c r="E28" s="15"/>
      <c r="G28" t="str">
        <f t="shared" si="0"/>
        <v>&lt;dl&gt;&lt;dt&gt;财帛宫​&lt;/dt&gt;&lt;dd&gt;钱财多来自正途及人际合作，不易因纠纷破财，常有馈赠。&lt;/dd&gt;&lt;dd&gt;&lt;/dd&gt;&lt;/dl&gt;</v>
      </c>
    </row>
    <row r="29" spans="2:7" ht="29.25" thickBot="1" x14ac:dyDescent="0.25">
      <c r="B29" s="3" t="s">
        <v>6</v>
      </c>
      <c r="C29" s="4" t="s">
        <v>4740</v>
      </c>
      <c r="D29" s="4"/>
      <c r="E29" s="15"/>
      <c r="G29" t="str">
        <f t="shared" si="0"/>
        <v>&lt;dl&gt;&lt;dt&gt;疾厄宫​&lt;/dt&gt;&lt;dd&gt;身体健康，情绪稳定，慢性病易得良医良药调养而好转。&lt;/dd&gt;&lt;dd&gt;&lt;/dd&gt;&lt;/dl&gt;</v>
      </c>
    </row>
    <row r="30" spans="2:7" ht="28.5" x14ac:dyDescent="0.2">
      <c r="B30" s="3" t="s">
        <v>15</v>
      </c>
      <c r="C30" s="4" t="s">
        <v>4741</v>
      </c>
      <c r="D30" s="4"/>
    </row>
    <row r="31" spans="2:7" ht="28.5" x14ac:dyDescent="0.2">
      <c r="B31" s="3" t="s">
        <v>12</v>
      </c>
      <c r="C31" s="3" t="s">
        <v>4742</v>
      </c>
      <c r="D31" s="4"/>
    </row>
    <row r="32" spans="2:7" ht="28.5" x14ac:dyDescent="0.2">
      <c r="B32" s="3" t="s">
        <v>206</v>
      </c>
      <c r="C32" s="4" t="s">
        <v>4743</v>
      </c>
      <c r="D32" s="4"/>
    </row>
    <row r="33" spans="2:7" ht="15" thickBot="1" x14ac:dyDescent="0.25">
      <c r="B33" s="3" t="s">
        <v>0</v>
      </c>
      <c r="C33" s="4" t="s">
        <v>4744</v>
      </c>
      <c r="D33" s="4"/>
    </row>
    <row r="34" spans="2:7" ht="29.25" thickBot="1" x14ac:dyDescent="0.25">
      <c r="B34" s="3" t="s">
        <v>116</v>
      </c>
      <c r="C34" s="3" t="s">
        <v>4745</v>
      </c>
      <c r="D34" s="4"/>
      <c r="E34" s="12"/>
    </row>
    <row r="35" spans="2:7" ht="29.25" thickBot="1" x14ac:dyDescent="0.25">
      <c r="B35" s="3" t="s">
        <v>9</v>
      </c>
      <c r="C35" s="4" t="s">
        <v>4746</v>
      </c>
      <c r="D35" s="4"/>
      <c r="E35" s="15"/>
      <c r="G35" t="str">
        <f t="shared" si="0"/>
        <v>&lt;dl&gt;&lt;dt&gt;父母宫​&lt;/dt&gt;&lt;dd&gt;与父母关系融洽，得长辈疼爱荫庇，家庭充满温情。&lt;/dd&gt;&lt;dd&gt;&lt;/dd&gt;&lt;/dl&gt;</v>
      </c>
    </row>
    <row r="36" spans="2:7" ht="16.5" thickBot="1" x14ac:dyDescent="0.25">
      <c r="E36" s="15"/>
      <c r="G36" t="str">
        <f t="shared" si="0"/>
        <v>&lt;dl&gt;&lt;dt&gt;&lt;/dt&gt;&lt;dd&gt;&lt;/dd&gt;&lt;dd&gt;&lt;/dd&gt;&lt;/dl&gt;</v>
      </c>
    </row>
    <row r="37" spans="2:7" ht="16.5" thickBot="1" x14ac:dyDescent="0.25">
      <c r="E37" s="15"/>
      <c r="G37" t="str">
        <f t="shared" si="0"/>
        <v>&lt;dl&gt;&lt;dt&gt;&lt;/dt&gt;&lt;dd&gt;&lt;/dd&gt;&lt;dd&gt;&lt;/dd&gt;&lt;/dl&gt;</v>
      </c>
    </row>
    <row r="38" spans="2:7" ht="18" thickBot="1" x14ac:dyDescent="0.25">
      <c r="B38" s="5" t="s">
        <v>734</v>
      </c>
      <c r="E38" s="15"/>
      <c r="G38" t="str">
        <f t="shared" si="0"/>
        <v>&lt;dl&gt;&lt;dt&gt;四、主星组合象义&lt;/dt&gt;&lt;dd&gt;&lt;/dd&gt;&lt;dd&gt;&lt;/dd&gt;&lt;/dl&gt;</v>
      </c>
    </row>
    <row r="39" spans="2:7" ht="16.5" thickBot="1" x14ac:dyDescent="0.25">
      <c r="E39" s="15"/>
      <c r="G39" t="str">
        <f t="shared" si="0"/>
        <v>&lt;dl&gt;&lt;dt&gt;&lt;/dt&gt;&lt;dd&gt;&lt;/dd&gt;&lt;dd&gt;&lt;/dd&gt;&lt;/dl&gt;</v>
      </c>
    </row>
    <row r="40" spans="2:7" ht="16.5" thickBot="1" x14ac:dyDescent="0.25">
      <c r="B40" s="13" t="s">
        <v>4747</v>
      </c>
      <c r="E40" s="15"/>
      <c r="G40" t="str">
        <f t="shared" si="0"/>
        <v>&lt;dl&gt;&lt;dt&gt;1. 增强人缘福泽组合&lt;/dt&gt;&lt;dd&gt;&lt;/dd&gt;&lt;dd&gt;&lt;/dd&gt;&lt;/dl&gt;</v>
      </c>
    </row>
    <row r="41" spans="2:7" ht="16.5" thickBot="1" x14ac:dyDescent="0.25">
      <c r="E41" s="15"/>
      <c r="G41" t="str">
        <f t="shared" si="0"/>
        <v>&lt;dl&gt;&lt;dt&gt;&lt;/dt&gt;&lt;dd&gt;&lt;/dd&gt;&lt;dd&gt;&lt;/dd&gt;&lt;/dl&gt;</v>
      </c>
    </row>
    <row r="42" spans="2:7" ht="16.5" thickBot="1" x14ac:dyDescent="0.25">
      <c r="B42" s="2" t="s">
        <v>71</v>
      </c>
      <c r="C42" s="2" t="s">
        <v>1047</v>
      </c>
      <c r="D42" s="2" t="s">
        <v>73</v>
      </c>
      <c r="E42" s="15"/>
      <c r="G42" t="str">
        <f t="shared" si="0"/>
        <v>&lt;dl&gt;&lt;dt&gt;组合​&lt;/dt&gt;&lt;dd&gt;效应​&lt;/dd&gt;&lt;dd&gt;典型案例​&lt;/dd&gt;&lt;/dl&gt;</v>
      </c>
    </row>
    <row r="43" spans="2:7" ht="29.25" thickBot="1" x14ac:dyDescent="0.25">
      <c r="B43" s="3" t="s">
        <v>4748</v>
      </c>
      <c r="C43" s="4" t="s">
        <v>4749</v>
      </c>
      <c r="D43" s="4" t="s">
        <v>4750</v>
      </c>
      <c r="E43" s="15"/>
      <c r="G43" t="str">
        <f t="shared" si="0"/>
        <v>&lt;dl&gt;&lt;dt&gt;月德+紫微​&lt;/dt&gt;&lt;dd&gt;仁德之君，因仁慈与亲和力获得众人拥戴，化解权力斗争中的危机。&lt;/dd&gt;&lt;dd&gt;领导因体恤下属而避免内部叛乱；帝王因施行仁政得民心。&lt;/dd&gt;&lt;/dl&gt;</v>
      </c>
    </row>
    <row r="44" spans="2:7" ht="28.5" x14ac:dyDescent="0.2">
      <c r="B44" s="3" t="s">
        <v>4751</v>
      </c>
      <c r="C44" s="4" t="s">
        <v>4752</v>
      </c>
      <c r="D44" s="4" t="s">
        <v>4753</v>
      </c>
    </row>
    <row r="45" spans="2:7" ht="28.5" x14ac:dyDescent="0.2">
      <c r="B45" s="3" t="s">
        <v>4754</v>
      </c>
      <c r="C45" s="4" t="s">
        <v>4755</v>
      </c>
      <c r="D45" s="4" t="s">
        <v>4756</v>
      </c>
    </row>
    <row r="46" spans="2:7" ht="28.5" x14ac:dyDescent="0.2">
      <c r="B46" s="3" t="s">
        <v>4757</v>
      </c>
      <c r="C46" s="4" t="s">
        <v>4758</v>
      </c>
      <c r="D46" s="4" t="s">
        <v>4759</v>
      </c>
    </row>
    <row r="47" spans="2:7" ht="29.25" thickBot="1" x14ac:dyDescent="0.25">
      <c r="B47" s="3" t="s">
        <v>4760</v>
      </c>
      <c r="C47" s="4" t="s">
        <v>4761</v>
      </c>
      <c r="D47" s="4" t="s">
        <v>4762</v>
      </c>
    </row>
    <row r="48" spans="2:7" ht="29.25" thickBot="1" x14ac:dyDescent="0.25">
      <c r="B48" s="3" t="s">
        <v>4763</v>
      </c>
      <c r="C48" s="4" t="s">
        <v>4764</v>
      </c>
      <c r="D48" s="4" t="s">
        <v>4765</v>
      </c>
      <c r="E48" s="12"/>
    </row>
    <row r="49" spans="2:7" ht="29.25" thickBot="1" x14ac:dyDescent="0.25">
      <c r="B49" s="3" t="s">
        <v>4766</v>
      </c>
      <c r="C49" s="4" t="s">
        <v>4767</v>
      </c>
      <c r="D49" s="4" t="s">
        <v>4768</v>
      </c>
      <c r="E49" s="15"/>
      <c r="G49" t="str">
        <f t="shared" si="0"/>
        <v>&lt;dl&gt;&lt;dt&gt;月德+天府​&lt;/dt&gt;&lt;dd&gt;库容之德，因包容、慷慨获得稳定的人际支持，化解利益分配矛盾。&lt;/dd&gt;&lt;dd&gt;家族企业因和睦而长久；因乐于分享赢得合作伙伴信任。&lt;/dd&gt;&lt;/dl&gt;</v>
      </c>
    </row>
    <row r="50" spans="2:7" ht="29.25" thickBot="1" x14ac:dyDescent="0.25">
      <c r="B50" s="3" t="s">
        <v>4769</v>
      </c>
      <c r="C50" s="3" t="s">
        <v>4770</v>
      </c>
      <c r="D50" s="4" t="s">
        <v>4771</v>
      </c>
      <c r="E50" s="15"/>
      <c r="G50" t="str">
        <f t="shared" si="0"/>
        <v>&lt;dl&gt;&lt;dt&gt;月德+太阴​&lt;/dt&gt;&lt;dd&gt;阴德相济，女性缘佳，通过体贴、关怀积累深厚阴德，化解暗昧之忧。&lt;/dd&gt;&lt;dd&gt;因照顾家人而得福报；通过女性朋友解决幕后麻烦。&lt;/dd&gt;&lt;/dl&gt;</v>
      </c>
    </row>
    <row r="51" spans="2:7" ht="29.25" thickBot="1" x14ac:dyDescent="0.25">
      <c r="B51" s="3" t="s">
        <v>4772</v>
      </c>
      <c r="C51" s="4" t="s">
        <v>4773</v>
      </c>
      <c r="D51" s="4" t="s">
        <v>4774</v>
      </c>
      <c r="E51" s="15"/>
      <c r="G51" t="str">
        <f t="shared" si="0"/>
        <v>&lt;dl&gt;&lt;dt&gt;月德+贪狼​&lt;/dt&gt;&lt;dd&gt;圆融之德，将交际手腕用于正途，化解桃花劫，在娱乐界得人缘。&lt;/dd&gt;&lt;dd&gt;艺术家因人格魅力获得支持；巧妙回避酒色陷阱。&lt;/dd&gt;&lt;/dl&gt;</v>
      </c>
    </row>
    <row r="52" spans="2:7" ht="29.25" thickBot="1" x14ac:dyDescent="0.25">
      <c r="B52" s="3" t="s">
        <v>4775</v>
      </c>
      <c r="C52" s="3" t="s">
        <v>4776</v>
      </c>
      <c r="D52" s="4" t="s">
        <v>4777</v>
      </c>
      <c r="E52" s="15"/>
      <c r="G52" t="str">
        <f t="shared" si="0"/>
        <v>&lt;dl&gt;&lt;dt&gt;月德+巨门​&lt;/dt&gt;&lt;dd&gt;化口为和，以温和言语化解是非口舌，变争执为沟通。&lt;/dd&gt;&lt;dd&gt;调解员成功平息纠纷；用真诚道歉化解误会。&lt;/dd&gt;&lt;/dl&gt;</v>
      </c>
    </row>
    <row r="53" spans="2:7" ht="28.5" x14ac:dyDescent="0.2">
      <c r="B53" s="3" t="s">
        <v>4778</v>
      </c>
      <c r="C53" s="4" t="s">
        <v>4779</v>
      </c>
      <c r="D53" s="4" t="s">
        <v>4780</v>
      </c>
    </row>
    <row r="54" spans="2:7" ht="28.5" x14ac:dyDescent="0.2">
      <c r="B54" s="3" t="s">
        <v>4781</v>
      </c>
      <c r="C54" s="4" t="s">
        <v>4782</v>
      </c>
      <c r="D54" s="4" t="s">
        <v>4783</v>
      </c>
    </row>
    <row r="55" spans="2:7" ht="28.5" x14ac:dyDescent="0.2">
      <c r="B55" s="3" t="s">
        <v>4784</v>
      </c>
      <c r="C55" s="4" t="s">
        <v>4785</v>
      </c>
      <c r="D55" s="4" t="s">
        <v>4786</v>
      </c>
    </row>
    <row r="56" spans="2:7" ht="28.5" x14ac:dyDescent="0.2">
      <c r="B56" s="3" t="s">
        <v>4787</v>
      </c>
      <c r="C56" s="4" t="s">
        <v>4788</v>
      </c>
      <c r="D56" s="4" t="s">
        <v>4789</v>
      </c>
    </row>
    <row r="59" spans="2:7" ht="17.25" x14ac:dyDescent="0.2">
      <c r="B59" s="5" t="s">
        <v>746</v>
      </c>
    </row>
    <row r="61" spans="2:7" x14ac:dyDescent="0.2">
      <c r="B61" s="2" t="s">
        <v>40</v>
      </c>
      <c r="C61" s="2" t="s">
        <v>1414</v>
      </c>
      <c r="D61" s="2" t="s">
        <v>21</v>
      </c>
    </row>
    <row r="62" spans="2:7" ht="28.5" x14ac:dyDescent="0.2">
      <c r="B62" s="3" t="s">
        <v>4790</v>
      </c>
      <c r="C62" s="3" t="s">
        <v>4791</v>
      </c>
      <c r="D62" s="4" t="s">
        <v>4792</v>
      </c>
    </row>
    <row r="63" spans="2:7" ht="28.5" x14ac:dyDescent="0.2">
      <c r="B63" s="3" t="s">
        <v>4793</v>
      </c>
      <c r="C63" s="3" t="s">
        <v>4794</v>
      </c>
      <c r="D63" s="4" t="s">
        <v>4795</v>
      </c>
    </row>
    <row r="64" spans="2:7" ht="28.5" x14ac:dyDescent="0.2">
      <c r="B64" s="3" t="s">
        <v>4796</v>
      </c>
      <c r="C64" s="3" t="s">
        <v>4797</v>
      </c>
      <c r="D64" s="4" t="s">
        <v>4798</v>
      </c>
    </row>
    <row r="65" spans="2:4" ht="28.5" x14ac:dyDescent="0.2">
      <c r="B65" s="3" t="s">
        <v>4799</v>
      </c>
      <c r="C65" s="3" t="s">
        <v>4800</v>
      </c>
      <c r="D65" s="4" t="s">
        <v>4801</v>
      </c>
    </row>
    <row r="66" spans="2:4" ht="28.5" x14ac:dyDescent="0.2">
      <c r="B66" s="3" t="s">
        <v>4802</v>
      </c>
      <c r="C66" s="3" t="s">
        <v>4803</v>
      </c>
      <c r="D66" s="4" t="s">
        <v>4804</v>
      </c>
    </row>
    <row r="67" spans="2:4" ht="28.5" x14ac:dyDescent="0.2">
      <c r="B67" s="3" t="s">
        <v>4805</v>
      </c>
      <c r="C67" s="3" t="s">
        <v>4806</v>
      </c>
      <c r="D67" s="4" t="s">
        <v>4807</v>
      </c>
    </row>
    <row r="68" spans="2:4" ht="28.5" x14ac:dyDescent="0.2">
      <c r="B68" s="3" t="s">
        <v>4808</v>
      </c>
      <c r="C68" s="3" t="s">
        <v>4809</v>
      </c>
      <c r="D68" s="4" t="s">
        <v>4810</v>
      </c>
    </row>
    <row r="69" spans="2:4" ht="28.5" x14ac:dyDescent="0.2">
      <c r="B69" s="3" t="s">
        <v>4811</v>
      </c>
      <c r="C69" s="3" t="s">
        <v>4812</v>
      </c>
      <c r="D69" s="4" t="s">
        <v>4813</v>
      </c>
    </row>
    <row r="70" spans="2:4" ht="28.5" x14ac:dyDescent="0.2">
      <c r="B70" s="3" t="s">
        <v>4814</v>
      </c>
      <c r="C70" s="3" t="s">
        <v>4815</v>
      </c>
      <c r="D70" s="4" t="s">
        <v>4816</v>
      </c>
    </row>
    <row r="71" spans="2:4" ht="28.5" x14ac:dyDescent="0.2">
      <c r="B71" s="3" t="s">
        <v>4817</v>
      </c>
      <c r="C71" s="3" t="s">
        <v>4818</v>
      </c>
      <c r="D71" s="4" t="s">
        <v>4819</v>
      </c>
    </row>
    <row r="72" spans="2:4" ht="28.5" x14ac:dyDescent="0.2">
      <c r="B72" s="3" t="s">
        <v>4820</v>
      </c>
      <c r="C72" s="3" t="s">
        <v>4821</v>
      </c>
      <c r="D72" s="4" t="s">
        <v>4822</v>
      </c>
    </row>
    <row r="73" spans="2:4" ht="28.5" x14ac:dyDescent="0.2">
      <c r="B73" s="3" t="s">
        <v>4823</v>
      </c>
      <c r="C73" s="3" t="s">
        <v>4824</v>
      </c>
      <c r="D73" s="4" t="s">
        <v>4825</v>
      </c>
    </row>
    <row r="76" spans="2:4" ht="17.25" x14ac:dyDescent="0.2">
      <c r="B76" s="5" t="s">
        <v>1805</v>
      </c>
    </row>
    <row r="77" spans="2:4" x14ac:dyDescent="0.2">
      <c r="B77" s="6"/>
    </row>
    <row r="78" spans="2:4" x14ac:dyDescent="0.2">
      <c r="B78" s="7" t="s">
        <v>4826</v>
      </c>
    </row>
    <row r="79" spans="2:4" x14ac:dyDescent="0.2">
      <c r="B79" s="7" t="s">
        <v>4827</v>
      </c>
    </row>
    <row r="80" spans="2:4" x14ac:dyDescent="0.2">
      <c r="B80" s="7" t="s">
        <v>4828</v>
      </c>
    </row>
    <row r="81" spans="2:2" x14ac:dyDescent="0.2">
      <c r="B81" s="7" t="s">
        <v>4829</v>
      </c>
    </row>
    <row r="82" spans="2:2" x14ac:dyDescent="0.2">
      <c r="B82" s="6"/>
    </row>
  </sheetData>
  <phoneticPr fontId="2" type="noConversion"/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54240C-E546-46B0-A57D-CDB14CB39DD2}">
  <dimension ref="B1:G82"/>
  <sheetViews>
    <sheetView zoomScaleNormal="100" workbookViewId="0">
      <selection activeCell="B1" sqref="B1:D80"/>
    </sheetView>
  </sheetViews>
  <sheetFormatPr defaultRowHeight="14.25" x14ac:dyDescent="0.2"/>
  <cols>
    <col min="1" max="1" width="2.75" customWidth="1"/>
    <col min="2" max="2" width="15.625" customWidth="1"/>
    <col min="3" max="3" width="43.125" customWidth="1"/>
    <col min="4" max="4" width="32.75" customWidth="1"/>
  </cols>
  <sheetData>
    <row r="1" spans="2:7" ht="17.25" x14ac:dyDescent="0.2">
      <c r="B1" s="5" t="s">
        <v>4830</v>
      </c>
      <c r="G1" t="str">
        <f>"&lt;dl&gt;&lt;dt&gt;" &amp; B1 &amp; "&lt;/dt&gt;&lt;dd&gt;" &amp; C1 &amp; "&lt;/dd&gt;&lt;dd&gt;" &amp; D1 &amp; "&lt;/dd&gt;&lt;/dl&gt;"</f>
        <v>&lt;dl&gt;&lt;dt&gt;一、天空定义&lt;/dt&gt;&lt;dd&gt;&lt;/dd&gt;&lt;dd&gt;&lt;/dd&gt;&lt;/dl&gt;</v>
      </c>
    </row>
    <row r="3" spans="2:7" x14ac:dyDescent="0.2">
      <c r="B3" s="2" t="s">
        <v>376</v>
      </c>
      <c r="C3" s="2" t="s">
        <v>377</v>
      </c>
      <c r="D3" s="2" t="s">
        <v>21</v>
      </c>
    </row>
    <row r="4" spans="2:7" x14ac:dyDescent="0.2">
      <c r="B4" s="3" t="s">
        <v>624</v>
      </c>
      <c r="C4" s="4" t="s">
        <v>4831</v>
      </c>
      <c r="D4" s="4"/>
    </row>
    <row r="5" spans="2:7" ht="57" x14ac:dyDescent="0.2">
      <c r="B5" s="3" t="s">
        <v>378</v>
      </c>
      <c r="C5" s="4" t="s">
        <v>4832</v>
      </c>
      <c r="D5" s="4"/>
    </row>
    <row r="6" spans="2:7" ht="57" x14ac:dyDescent="0.2">
      <c r="B6" s="3" t="s">
        <v>1717</v>
      </c>
      <c r="C6" s="4" t="s">
        <v>4833</v>
      </c>
      <c r="D6" s="4"/>
    </row>
    <row r="9" spans="2:7" ht="17.25" x14ac:dyDescent="0.2">
      <c r="B9" s="5" t="s">
        <v>1719</v>
      </c>
    </row>
    <row r="11" spans="2:7" ht="15.75" x14ac:dyDescent="0.2">
      <c r="B11" s="13" t="s">
        <v>1720</v>
      </c>
    </row>
    <row r="13" spans="2:7" x14ac:dyDescent="0.2">
      <c r="B13" s="2" t="s">
        <v>390</v>
      </c>
      <c r="C13" s="2" t="s">
        <v>1818</v>
      </c>
      <c r="D13" s="2" t="s">
        <v>1819</v>
      </c>
    </row>
    <row r="14" spans="2:7" ht="28.5" x14ac:dyDescent="0.2">
      <c r="B14" s="3" t="s">
        <v>4834</v>
      </c>
      <c r="C14" s="4" t="s">
        <v>4835</v>
      </c>
      <c r="D14" s="4" t="s">
        <v>2371</v>
      </c>
    </row>
    <row r="15" spans="2:7" ht="28.5" x14ac:dyDescent="0.2">
      <c r="B15" s="3" t="s">
        <v>4836</v>
      </c>
      <c r="C15" s="4" t="s">
        <v>4837</v>
      </c>
      <c r="D15" s="4" t="s">
        <v>4838</v>
      </c>
    </row>
    <row r="16" spans="2:7" ht="28.5" x14ac:dyDescent="0.2">
      <c r="B16" s="3" t="s">
        <v>4839</v>
      </c>
      <c r="C16" s="4" t="s">
        <v>4840</v>
      </c>
      <c r="D16" s="4" t="s">
        <v>4841</v>
      </c>
    </row>
    <row r="17" spans="2:7" x14ac:dyDescent="0.2">
      <c r="B17" s="3" t="s">
        <v>4842</v>
      </c>
      <c r="C17" s="4" t="s">
        <v>4843</v>
      </c>
      <c r="D17" s="4" t="s">
        <v>4401</v>
      </c>
    </row>
    <row r="18" spans="2:7" ht="28.5" x14ac:dyDescent="0.2">
      <c r="B18" s="3" t="s">
        <v>4844</v>
      </c>
      <c r="C18" s="4" t="s">
        <v>4845</v>
      </c>
      <c r="D18" s="4" t="s">
        <v>4846</v>
      </c>
    </row>
    <row r="21" spans="2:7" ht="17.25" x14ac:dyDescent="0.2">
      <c r="B21" s="5" t="s">
        <v>1733</v>
      </c>
    </row>
    <row r="22" spans="2:7" ht="15" thickBot="1" x14ac:dyDescent="0.25"/>
    <row r="23" spans="2:7" ht="16.5" thickBot="1" x14ac:dyDescent="0.25">
      <c r="B23" s="2" t="s">
        <v>18</v>
      </c>
      <c r="C23" s="2" t="s">
        <v>1818</v>
      </c>
      <c r="D23" s="2" t="s">
        <v>21</v>
      </c>
      <c r="E23" s="12"/>
    </row>
    <row r="24" spans="2:7" ht="29.25" thickBot="1" x14ac:dyDescent="0.25">
      <c r="B24" s="3" t="s">
        <v>201</v>
      </c>
      <c r="C24" s="4" t="s">
        <v>4847</v>
      </c>
      <c r="D24" s="4"/>
      <c r="E24" s="15"/>
      <c r="G24" t="str">
        <f t="shared" ref="G24:G52" si="0">"&lt;dl&gt;&lt;dt&gt;" &amp; B24 &amp; "&lt;/dt&gt;&lt;dd&gt;" &amp; C24 &amp; "&lt;/dd&gt;&lt;dd&gt;" &amp; D24 &amp; "&lt;/dd&gt;&lt;/dl&gt;"</f>
        <v>&lt;dl&gt;&lt;dt&gt;命宫​&lt;/dt&gt;&lt;dd&gt;思想独特，有创意，但易脱离现实；人生际遇大起大落，有成有败。&lt;/dd&gt;&lt;dd&gt;&lt;/dd&gt;&lt;/dl&gt;</v>
      </c>
    </row>
    <row r="25" spans="2:7" ht="29.25" thickBot="1" x14ac:dyDescent="0.25">
      <c r="B25" s="3" t="s">
        <v>246</v>
      </c>
      <c r="C25" s="4" t="s">
        <v>4848</v>
      </c>
      <c r="D25" s="4"/>
      <c r="E25" s="15"/>
      <c r="G25" t="str">
        <f t="shared" si="0"/>
        <v>&lt;dl&gt;&lt;dt&gt;兄弟宫​&lt;/dt&gt;&lt;dd&gt;与兄弟姐妹缘分较薄，或关系疏远、想法难以沟通。&lt;/dd&gt;&lt;dd&gt;&lt;/dd&gt;&lt;/dl&gt;</v>
      </c>
    </row>
    <row r="26" spans="2:7" ht="29.25" thickBot="1" x14ac:dyDescent="0.25">
      <c r="B26" s="3" t="s">
        <v>125</v>
      </c>
      <c r="C26" s="4" t="s">
        <v>4849</v>
      </c>
      <c r="D26" s="4"/>
      <c r="E26" s="15"/>
      <c r="G26" t="str">
        <f t="shared" si="0"/>
        <v>&lt;dl&gt;&lt;dt&gt;夫妻宫​&lt;/dt&gt;&lt;dd&gt;感情易有空虚感，配偶或自己精神需求高，婚姻中易有精神层面的隔阂。&lt;/dd&gt;&lt;dd&gt;&lt;/dd&gt;&lt;/dl&gt;</v>
      </c>
    </row>
    <row r="27" spans="2:7" ht="16.5" thickBot="1" x14ac:dyDescent="0.25">
      <c r="B27" s="3" t="s">
        <v>128</v>
      </c>
      <c r="C27" s="4" t="s">
        <v>4850</v>
      </c>
      <c r="D27" s="4"/>
      <c r="E27" s="15"/>
      <c r="G27" t="str">
        <f t="shared" si="0"/>
        <v>&lt;dl&gt;&lt;dt&gt;子女宫​&lt;/dt&gt;&lt;dd&gt;子女缘薄，或子女想法独特；合作计划易落空。&lt;/dd&gt;&lt;dd&gt;&lt;/dd&gt;&lt;/dl&gt;</v>
      </c>
    </row>
    <row r="28" spans="2:7" ht="29.25" thickBot="1" x14ac:dyDescent="0.25">
      <c r="B28" s="3" t="s">
        <v>3</v>
      </c>
      <c r="C28" s="4" t="s">
        <v>4851</v>
      </c>
      <c r="D28" s="4"/>
      <c r="E28" s="15"/>
      <c r="G28" t="str">
        <f t="shared" si="0"/>
        <v>&lt;dl&gt;&lt;dt&gt;财帛宫​&lt;/dt&gt;&lt;dd&gt;钱财不易积聚，左手进右手出，易有意外破耗，或投资易成泡影。&lt;/dd&gt;&lt;dd&gt;&lt;/dd&gt;&lt;/dl&gt;</v>
      </c>
    </row>
    <row r="29" spans="2:7" ht="29.25" thickBot="1" x14ac:dyDescent="0.25">
      <c r="B29" s="3" t="s">
        <v>6</v>
      </c>
      <c r="C29" s="4" t="s">
        <v>4852</v>
      </c>
      <c r="D29" s="4"/>
      <c r="E29" s="15"/>
      <c r="G29" t="str">
        <f t="shared" si="0"/>
        <v>&lt;dl&gt;&lt;dt&gt;疾厄宫​&lt;/dt&gt;&lt;dd&gt;身体易有虚弱、气血不足之症，或患难以诊断的疑难杂症。&lt;/dd&gt;&lt;dd&gt;&lt;/dd&gt;&lt;/dl&gt;</v>
      </c>
    </row>
    <row r="30" spans="2:7" ht="28.5" x14ac:dyDescent="0.2">
      <c r="B30" s="3" t="s">
        <v>15</v>
      </c>
      <c r="C30" s="4" t="s">
        <v>4853</v>
      </c>
      <c r="D30" s="4"/>
    </row>
    <row r="31" spans="2:7" ht="28.5" x14ac:dyDescent="0.2">
      <c r="B31" s="3" t="s">
        <v>12</v>
      </c>
      <c r="C31" s="4" t="s">
        <v>4854</v>
      </c>
      <c r="D31" s="4"/>
    </row>
    <row r="32" spans="2:7" ht="28.5" x14ac:dyDescent="0.2">
      <c r="B32" s="3" t="s">
        <v>206</v>
      </c>
      <c r="C32" s="4" t="s">
        <v>4855</v>
      </c>
      <c r="D32" s="4"/>
    </row>
    <row r="33" spans="2:7" ht="29.25" thickBot="1" x14ac:dyDescent="0.25">
      <c r="B33" s="3" t="s">
        <v>0</v>
      </c>
      <c r="C33" s="4" t="s">
        <v>4856</v>
      </c>
      <c r="D33" s="4"/>
    </row>
    <row r="34" spans="2:7" ht="29.25" thickBot="1" x14ac:dyDescent="0.25">
      <c r="B34" s="3" t="s">
        <v>116</v>
      </c>
      <c r="C34" s="3" t="s">
        <v>4857</v>
      </c>
      <c r="D34" s="4"/>
      <c r="E34" s="12"/>
    </row>
    <row r="35" spans="2:7" ht="29.25" thickBot="1" x14ac:dyDescent="0.25">
      <c r="B35" s="3" t="s">
        <v>9</v>
      </c>
      <c r="C35" s="4" t="s">
        <v>4858</v>
      </c>
      <c r="D35" s="4"/>
      <c r="E35" s="15"/>
      <c r="G35" t="str">
        <f t="shared" si="0"/>
        <v>&lt;dl&gt;&lt;dt&gt;父母宫​&lt;/dt&gt;&lt;dd&gt;与父母缘分较浅，或父母思想独特，对自己管束少。&lt;/dd&gt;&lt;dd&gt;&lt;/dd&gt;&lt;/dl&gt;</v>
      </c>
    </row>
    <row r="36" spans="2:7" ht="16.5" thickBot="1" x14ac:dyDescent="0.25">
      <c r="E36" s="15"/>
      <c r="G36" t="str">
        <f t="shared" si="0"/>
        <v>&lt;dl&gt;&lt;dt&gt;&lt;/dt&gt;&lt;dd&gt;&lt;/dd&gt;&lt;dd&gt;&lt;/dd&gt;&lt;/dl&gt;</v>
      </c>
    </row>
    <row r="37" spans="2:7" ht="16.5" thickBot="1" x14ac:dyDescent="0.25">
      <c r="E37" s="15"/>
      <c r="G37" t="str">
        <f t="shared" si="0"/>
        <v>&lt;dl&gt;&lt;dt&gt;&lt;/dt&gt;&lt;dd&gt;&lt;/dd&gt;&lt;dd&gt;&lt;/dd&gt;&lt;/dl&gt;</v>
      </c>
    </row>
    <row r="38" spans="2:7" ht="18" thickBot="1" x14ac:dyDescent="0.25">
      <c r="B38" s="5" t="s">
        <v>734</v>
      </c>
      <c r="E38" s="15"/>
      <c r="G38" t="str">
        <f t="shared" si="0"/>
        <v>&lt;dl&gt;&lt;dt&gt;四、主星组合象义&lt;/dt&gt;&lt;dd&gt;&lt;/dd&gt;&lt;dd&gt;&lt;/dd&gt;&lt;/dl&gt;</v>
      </c>
    </row>
    <row r="39" spans="2:7" ht="16.5" thickBot="1" x14ac:dyDescent="0.25">
      <c r="E39" s="15"/>
      <c r="G39" t="str">
        <f t="shared" si="0"/>
        <v>&lt;dl&gt;&lt;dt&gt;&lt;/dt&gt;&lt;dd&gt;&lt;/dd&gt;&lt;dd&gt;&lt;/dd&gt;&lt;/dl&gt;</v>
      </c>
    </row>
    <row r="40" spans="2:7" ht="16.5" thickBot="1" x14ac:dyDescent="0.25">
      <c r="B40" s="13" t="s">
        <v>4859</v>
      </c>
      <c r="E40" s="15"/>
      <c r="G40" t="str">
        <f t="shared" si="0"/>
        <v>&lt;dl&gt;&lt;dt&gt;1. 增强空性/灵感组合&lt;/dt&gt;&lt;dd&gt;&lt;/dd&gt;&lt;dd&gt;&lt;/dd&gt;&lt;/dl&gt;</v>
      </c>
    </row>
    <row r="41" spans="2:7" ht="16.5" thickBot="1" x14ac:dyDescent="0.25">
      <c r="E41" s="15"/>
      <c r="G41" t="str">
        <f t="shared" si="0"/>
        <v>&lt;dl&gt;&lt;dt&gt;&lt;/dt&gt;&lt;dd&gt;&lt;/dd&gt;&lt;dd&gt;&lt;/dd&gt;&lt;/dl&gt;</v>
      </c>
    </row>
    <row r="42" spans="2:7" ht="16.5" thickBot="1" x14ac:dyDescent="0.25">
      <c r="B42" s="2" t="s">
        <v>71</v>
      </c>
      <c r="C42" s="2" t="s">
        <v>1047</v>
      </c>
      <c r="D42" s="2" t="s">
        <v>73</v>
      </c>
      <c r="E42" s="15"/>
      <c r="G42" t="str">
        <f t="shared" si="0"/>
        <v>&lt;dl&gt;&lt;dt&gt;组合​&lt;/dt&gt;&lt;dd&gt;效应​&lt;/dd&gt;&lt;dd&gt;典型案例​&lt;/dd&gt;&lt;/dl&gt;</v>
      </c>
    </row>
    <row r="43" spans="2:7" ht="29.25" thickBot="1" x14ac:dyDescent="0.25">
      <c r="B43" s="3" t="s">
        <v>4860</v>
      </c>
      <c r="C43" s="4" t="s">
        <v>4861</v>
      </c>
      <c r="D43" s="4" t="s">
        <v>4862</v>
      </c>
      <c r="E43" s="15"/>
      <c r="G43" t="str">
        <f t="shared" si="0"/>
        <v>&lt;dl&gt;&lt;dt&gt;天空+紫微​&lt;/dt&gt;&lt;dd&gt;帝星悬空，理想过高，不切实际，追求虚名，或能在精神领域成为领袖。&lt;/dd&gt;&lt;dd&gt;好高骛远，制定无法实现的宏伟计划；成为思想家、精神导师。&lt;/dd&gt;&lt;/dl&gt;</v>
      </c>
    </row>
    <row r="44" spans="2:7" ht="28.5" x14ac:dyDescent="0.2">
      <c r="B44" s="3" t="s">
        <v>4863</v>
      </c>
      <c r="C44" s="4" t="s">
        <v>4864</v>
      </c>
      <c r="D44" s="4" t="s">
        <v>4865</v>
      </c>
    </row>
    <row r="45" spans="2:7" ht="28.5" x14ac:dyDescent="0.2">
      <c r="B45" s="3" t="s">
        <v>4866</v>
      </c>
      <c r="C45" s="4" t="s">
        <v>4867</v>
      </c>
      <c r="D45" s="4" t="s">
        <v>4868</v>
      </c>
    </row>
    <row r="46" spans="2:7" ht="28.5" x14ac:dyDescent="0.2">
      <c r="B46" s="3" t="s">
        <v>4869</v>
      </c>
      <c r="C46" s="4" t="s">
        <v>4870</v>
      </c>
      <c r="D46" s="4" t="s">
        <v>4871</v>
      </c>
    </row>
    <row r="47" spans="2:7" ht="29.25" thickBot="1" x14ac:dyDescent="0.25">
      <c r="B47" s="3" t="s">
        <v>4872</v>
      </c>
      <c r="C47" s="4" t="s">
        <v>4873</v>
      </c>
      <c r="D47" s="4" t="s">
        <v>4874</v>
      </c>
    </row>
    <row r="48" spans="2:7" ht="29.25" thickBot="1" x14ac:dyDescent="0.25">
      <c r="B48" s="3" t="s">
        <v>4875</v>
      </c>
      <c r="C48" s="4" t="s">
        <v>4876</v>
      </c>
      <c r="D48" s="4" t="s">
        <v>4877</v>
      </c>
      <c r="E48" s="12"/>
    </row>
    <row r="49" spans="2:7" ht="29.25" thickBot="1" x14ac:dyDescent="0.25">
      <c r="B49" s="3" t="s">
        <v>4878</v>
      </c>
      <c r="C49" s="4" t="s">
        <v>4879</v>
      </c>
      <c r="D49" s="4" t="s">
        <v>4880</v>
      </c>
      <c r="E49" s="15"/>
      <c r="G49" t="str">
        <f t="shared" si="0"/>
        <v>&lt;dl&gt;&lt;dt&gt;天空+天府​&lt;/dt&gt;&lt;dd&gt;库星悬空，库存虚空，积蓄难聚，稳定局面下隐藏危机。&lt;/dd&gt;&lt;dd&gt;看似富裕却负债累累；稳定的工作突然消失。&lt;/dd&gt;&lt;/dl&gt;</v>
      </c>
    </row>
    <row r="50" spans="2:7" ht="29.25" thickBot="1" x14ac:dyDescent="0.25">
      <c r="B50" s="3" t="s">
        <v>4881</v>
      </c>
      <c r="C50" s="3" t="s">
        <v>4882</v>
      </c>
      <c r="D50" s="4" t="s">
        <v>4883</v>
      </c>
      <c r="E50" s="15"/>
      <c r="G50" t="str">
        <f t="shared" si="0"/>
        <v>&lt;dl&gt;&lt;dt&gt;天空+太阴​&lt;/dt&gt;&lt;dd&gt;阴空相济，想象力丰富，艺术灵感强，但情绪易感空虚、忧郁。&lt;/dd&gt;&lt;dd&gt;诗人、艺术家，创作源于空虚感；夜晚常感孤独。&lt;/dd&gt;&lt;/dl&gt;</v>
      </c>
    </row>
    <row r="51" spans="2:7" ht="29.25" thickBot="1" x14ac:dyDescent="0.25">
      <c r="B51" s="3" t="s">
        <v>4884</v>
      </c>
      <c r="C51" s="4" t="s">
        <v>4885</v>
      </c>
      <c r="D51" s="4" t="s">
        <v>4886</v>
      </c>
      <c r="E51" s="15"/>
      <c r="G51" t="str">
        <f t="shared" si="0"/>
        <v>&lt;dl&gt;&lt;dt&gt;天空+贪狼​&lt;/dt&gt;&lt;dd&gt;欲望悬空，所求不得，桃花成空，嗜好转为精神追求。&lt;/dd&gt;&lt;dd&gt;拼命追求某人却得不到；将物欲转化为对宗教的虔诚。&lt;/dd&gt;&lt;/dl&gt;</v>
      </c>
    </row>
    <row r="52" spans="2:7" ht="29.25" thickBot="1" x14ac:dyDescent="0.25">
      <c r="B52" s="3" t="s">
        <v>4887</v>
      </c>
      <c r="C52" s="4" t="s">
        <v>4888</v>
      </c>
      <c r="D52" s="4" t="s">
        <v>4889</v>
      </c>
      <c r="E52" s="15"/>
      <c r="G52" t="str">
        <f t="shared" si="0"/>
        <v>&lt;dl&gt;&lt;dt&gt;天空+巨门​&lt;/dt&gt;&lt;dd&gt;暗星悬空，是非落空，流言自散，或思考深邃的哲学问题。&lt;/dd&gt;&lt;dd&gt;诽谤之言无人相信；沉迷于研究虚无的宇宙真理。&lt;/dd&gt;&lt;/dl&gt;</v>
      </c>
    </row>
    <row r="53" spans="2:7" x14ac:dyDescent="0.2">
      <c r="B53" s="3" t="s">
        <v>4890</v>
      </c>
      <c r="C53" s="4" t="s">
        <v>4891</v>
      </c>
      <c r="D53" s="4" t="s">
        <v>4892</v>
      </c>
    </row>
    <row r="54" spans="2:7" ht="28.5" x14ac:dyDescent="0.2">
      <c r="B54" s="3" t="s">
        <v>4893</v>
      </c>
      <c r="C54" s="4" t="s">
        <v>4894</v>
      </c>
      <c r="D54" s="4" t="s">
        <v>4895</v>
      </c>
    </row>
    <row r="55" spans="2:7" ht="28.5" x14ac:dyDescent="0.2">
      <c r="B55" s="3" t="s">
        <v>4896</v>
      </c>
      <c r="C55" s="4" t="s">
        <v>4897</v>
      </c>
      <c r="D55" s="4" t="s">
        <v>4898</v>
      </c>
    </row>
    <row r="56" spans="2:7" ht="28.5" x14ac:dyDescent="0.2">
      <c r="B56" s="3" t="s">
        <v>4899</v>
      </c>
      <c r="C56" s="4" t="s">
        <v>4900</v>
      </c>
      <c r="D56" s="4" t="s">
        <v>4901</v>
      </c>
    </row>
    <row r="59" spans="2:7" ht="17.25" x14ac:dyDescent="0.2">
      <c r="B59" s="5" t="s">
        <v>746</v>
      </c>
    </row>
    <row r="61" spans="2:7" x14ac:dyDescent="0.2">
      <c r="B61" s="2" t="s">
        <v>40</v>
      </c>
      <c r="C61" s="2" t="s">
        <v>1414</v>
      </c>
      <c r="D61" s="2" t="s">
        <v>21</v>
      </c>
    </row>
    <row r="62" spans="2:7" ht="28.5" x14ac:dyDescent="0.2">
      <c r="B62" s="3" t="s">
        <v>4902</v>
      </c>
      <c r="C62" s="3" t="s">
        <v>4903</v>
      </c>
      <c r="D62" s="4" t="s">
        <v>4904</v>
      </c>
    </row>
    <row r="63" spans="2:7" ht="28.5" x14ac:dyDescent="0.2">
      <c r="B63" s="3" t="s">
        <v>4905</v>
      </c>
      <c r="C63" s="3" t="s">
        <v>4906</v>
      </c>
      <c r="D63" s="4" t="s">
        <v>4907</v>
      </c>
    </row>
    <row r="64" spans="2:7" ht="28.5" x14ac:dyDescent="0.2">
      <c r="B64" s="3" t="s">
        <v>4908</v>
      </c>
      <c r="C64" s="3" t="s">
        <v>4909</v>
      </c>
      <c r="D64" s="4" t="s">
        <v>4910</v>
      </c>
    </row>
    <row r="65" spans="2:4" ht="28.5" x14ac:dyDescent="0.2">
      <c r="B65" s="3" t="s">
        <v>4911</v>
      </c>
      <c r="C65" s="3" t="s">
        <v>4912</v>
      </c>
      <c r="D65" s="4" t="s">
        <v>4913</v>
      </c>
    </row>
    <row r="66" spans="2:4" ht="28.5" x14ac:dyDescent="0.2">
      <c r="B66" s="3" t="s">
        <v>4914</v>
      </c>
      <c r="C66" s="3" t="s">
        <v>4915</v>
      </c>
      <c r="D66" s="4" t="s">
        <v>4916</v>
      </c>
    </row>
    <row r="67" spans="2:4" ht="28.5" x14ac:dyDescent="0.2">
      <c r="B67" s="3" t="s">
        <v>4917</v>
      </c>
      <c r="C67" s="3" t="s">
        <v>4918</v>
      </c>
      <c r="D67" s="4" t="s">
        <v>4919</v>
      </c>
    </row>
    <row r="68" spans="2:4" ht="28.5" x14ac:dyDescent="0.2">
      <c r="B68" s="3" t="s">
        <v>4920</v>
      </c>
      <c r="C68" s="3" t="s">
        <v>4921</v>
      </c>
      <c r="D68" s="4" t="s">
        <v>4922</v>
      </c>
    </row>
    <row r="69" spans="2:4" ht="28.5" x14ac:dyDescent="0.2">
      <c r="B69" s="3" t="s">
        <v>4923</v>
      </c>
      <c r="C69" s="3" t="s">
        <v>4924</v>
      </c>
      <c r="D69" s="4" t="s">
        <v>4925</v>
      </c>
    </row>
    <row r="70" spans="2:4" ht="28.5" x14ac:dyDescent="0.2">
      <c r="B70" s="3" t="s">
        <v>4926</v>
      </c>
      <c r="C70" s="3" t="s">
        <v>4927</v>
      </c>
      <c r="D70" s="4" t="s">
        <v>4928</v>
      </c>
    </row>
    <row r="71" spans="2:4" ht="28.5" x14ac:dyDescent="0.2">
      <c r="B71" s="3" t="s">
        <v>4929</v>
      </c>
      <c r="C71" s="3" t="s">
        <v>4930</v>
      </c>
      <c r="D71" s="4" t="s">
        <v>4931</v>
      </c>
    </row>
    <row r="72" spans="2:4" ht="28.5" x14ac:dyDescent="0.2">
      <c r="B72" s="3" t="s">
        <v>4932</v>
      </c>
      <c r="C72" s="3" t="s">
        <v>4933</v>
      </c>
      <c r="D72" s="4" t="s">
        <v>4934</v>
      </c>
    </row>
    <row r="75" spans="2:4" ht="17.25" x14ac:dyDescent="0.2">
      <c r="B75" s="5" t="s">
        <v>1805</v>
      </c>
    </row>
    <row r="76" spans="2:4" x14ac:dyDescent="0.2">
      <c r="B76" s="6"/>
    </row>
    <row r="77" spans="2:4" x14ac:dyDescent="0.2">
      <c r="B77" s="7" t="s">
        <v>4935</v>
      </c>
    </row>
    <row r="78" spans="2:4" x14ac:dyDescent="0.2">
      <c r="B78" s="7" t="s">
        <v>4936</v>
      </c>
    </row>
    <row r="79" spans="2:4" x14ac:dyDescent="0.2">
      <c r="B79" s="7" t="s">
        <v>4937</v>
      </c>
    </row>
    <row r="80" spans="2:4" x14ac:dyDescent="0.2">
      <c r="B80" s="7" t="s">
        <v>4938</v>
      </c>
    </row>
    <row r="81" spans="2:2" x14ac:dyDescent="0.2">
      <c r="B81" s="6"/>
    </row>
    <row r="82" spans="2:2" x14ac:dyDescent="0.2">
      <c r="B82" s="6"/>
    </row>
  </sheetData>
  <phoneticPr fontId="2" type="noConversion"/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6438E6-0B3F-4D0B-9AAC-E67982A25330}">
  <dimension ref="B1:G82"/>
  <sheetViews>
    <sheetView zoomScaleNormal="100" workbookViewId="0">
      <selection activeCell="B1" sqref="B1:E1048576"/>
    </sheetView>
  </sheetViews>
  <sheetFormatPr defaultRowHeight="14.25" x14ac:dyDescent="0.2"/>
  <cols>
    <col min="1" max="1" width="2.75" customWidth="1"/>
    <col min="2" max="2" width="15.625" customWidth="1"/>
    <col min="3" max="3" width="43.125" customWidth="1"/>
    <col min="4" max="4" width="32.75" customWidth="1"/>
  </cols>
  <sheetData>
    <row r="1" spans="2:7" x14ac:dyDescent="0.2">
      <c r="G1" t="str">
        <f>"&lt;dl&gt;&lt;dt&gt;" &amp; B1 &amp; "&lt;/dt&gt;&lt;dd&gt;" &amp; C1 &amp; "&lt;/dd&gt;&lt;dd&gt;" &amp; D1 &amp; "&lt;/dd&gt;&lt;/dl&gt;"</f>
        <v>&lt;dl&gt;&lt;dt&gt;&lt;/dt&gt;&lt;dd&gt;&lt;/dd&gt;&lt;dd&gt;&lt;/dd&gt;&lt;/dl&gt;</v>
      </c>
    </row>
    <row r="5" spans="2:7" ht="17.25" x14ac:dyDescent="0.2">
      <c r="B5" s="5"/>
    </row>
    <row r="7" spans="2:7" x14ac:dyDescent="0.2">
      <c r="B7" s="1"/>
    </row>
    <row r="8" spans="2:7" x14ac:dyDescent="0.2">
      <c r="B8" s="6"/>
    </row>
    <row r="9" spans="2:7" x14ac:dyDescent="0.2">
      <c r="B9" s="7"/>
    </row>
    <row r="10" spans="2:7" x14ac:dyDescent="0.2">
      <c r="B10" s="6"/>
    </row>
    <row r="11" spans="2:7" x14ac:dyDescent="0.2">
      <c r="B11" s="8"/>
    </row>
    <row r="12" spans="2:7" x14ac:dyDescent="0.2">
      <c r="B12" s="8"/>
    </row>
    <row r="13" spans="2:7" x14ac:dyDescent="0.2">
      <c r="B13" s="8"/>
    </row>
    <row r="14" spans="2:7" x14ac:dyDescent="0.2">
      <c r="B14" s="8"/>
    </row>
    <row r="15" spans="2:7" x14ac:dyDescent="0.2">
      <c r="B15" s="9"/>
    </row>
    <row r="16" spans="2:7" x14ac:dyDescent="0.2">
      <c r="B16" s="10"/>
    </row>
    <row r="17" spans="2:7" x14ac:dyDescent="0.2">
      <c r="B17" s="10"/>
    </row>
    <row r="21" spans="2:7" ht="17.25" x14ac:dyDescent="0.2">
      <c r="B21" s="5"/>
    </row>
    <row r="22" spans="2:7" ht="16.5" thickBot="1" x14ac:dyDescent="0.25">
      <c r="B22" s="11"/>
    </row>
    <row r="23" spans="2:7" ht="16.5" thickBot="1" x14ac:dyDescent="0.25">
      <c r="B23" s="12"/>
      <c r="C23" s="12"/>
      <c r="D23" s="12"/>
      <c r="E23" s="12"/>
    </row>
    <row r="24" spans="2:7" ht="16.5" thickBot="1" x14ac:dyDescent="0.25">
      <c r="B24" s="14"/>
      <c r="C24" s="15"/>
      <c r="D24" s="15"/>
      <c r="E24" s="15"/>
      <c r="G24" t="str">
        <f t="shared" ref="G24:G52" si="0">"&lt;dl&gt;&lt;dt&gt;" &amp; B24 &amp; "&lt;/dt&gt;&lt;dd&gt;" &amp; C24 &amp; "&lt;/dd&gt;&lt;dd&gt;" &amp; D24 &amp; "&lt;/dd&gt;&lt;/dl&gt;"</f>
        <v>&lt;dl&gt;&lt;dt&gt;&lt;/dt&gt;&lt;dd&gt;&lt;/dd&gt;&lt;dd&gt;&lt;/dd&gt;&lt;/dl&gt;</v>
      </c>
    </row>
    <row r="25" spans="2:7" ht="16.5" thickBot="1" x14ac:dyDescent="0.25">
      <c r="B25" s="14"/>
      <c r="C25" s="15"/>
      <c r="D25" s="15"/>
      <c r="E25" s="15"/>
      <c r="G25" t="str">
        <f t="shared" si="0"/>
        <v>&lt;dl&gt;&lt;dt&gt;&lt;/dt&gt;&lt;dd&gt;&lt;/dd&gt;&lt;dd&gt;&lt;/dd&gt;&lt;/dl&gt;</v>
      </c>
    </row>
    <row r="26" spans="2:7" ht="16.5" thickBot="1" x14ac:dyDescent="0.25">
      <c r="B26" s="14"/>
      <c r="C26" s="15"/>
      <c r="D26" s="15"/>
      <c r="E26" s="15"/>
      <c r="G26" t="str">
        <f t="shared" si="0"/>
        <v>&lt;dl&gt;&lt;dt&gt;&lt;/dt&gt;&lt;dd&gt;&lt;/dd&gt;&lt;dd&gt;&lt;/dd&gt;&lt;/dl&gt;</v>
      </c>
    </row>
    <row r="27" spans="2:7" ht="16.5" thickBot="1" x14ac:dyDescent="0.25">
      <c r="B27" s="14"/>
      <c r="C27" s="15"/>
      <c r="D27" s="15"/>
      <c r="E27" s="15"/>
      <c r="G27" t="str">
        <f t="shared" si="0"/>
        <v>&lt;dl&gt;&lt;dt&gt;&lt;/dt&gt;&lt;dd&gt;&lt;/dd&gt;&lt;dd&gt;&lt;/dd&gt;&lt;/dl&gt;</v>
      </c>
    </row>
    <row r="28" spans="2:7" ht="16.5" thickBot="1" x14ac:dyDescent="0.25">
      <c r="B28" s="14"/>
      <c r="C28" s="15"/>
      <c r="D28" s="15"/>
      <c r="E28" s="15"/>
      <c r="G28" t="str">
        <f t="shared" si="0"/>
        <v>&lt;dl&gt;&lt;dt&gt;&lt;/dt&gt;&lt;dd&gt;&lt;/dd&gt;&lt;dd&gt;&lt;/dd&gt;&lt;/dl&gt;</v>
      </c>
    </row>
    <row r="29" spans="2:7" ht="16.5" thickBot="1" x14ac:dyDescent="0.25">
      <c r="B29" s="14"/>
      <c r="C29" s="15"/>
      <c r="D29" s="15"/>
      <c r="E29" s="15"/>
      <c r="G29" t="str">
        <f t="shared" si="0"/>
        <v>&lt;dl&gt;&lt;dt&gt;&lt;/dt&gt;&lt;dd&gt;&lt;/dd&gt;&lt;dd&gt;&lt;/dd&gt;&lt;/dl&gt;</v>
      </c>
    </row>
    <row r="32" spans="2:7" ht="17.25" x14ac:dyDescent="0.2">
      <c r="B32" s="5"/>
    </row>
    <row r="33" spans="2:7" ht="16.5" thickBot="1" x14ac:dyDescent="0.25">
      <c r="B33" s="11"/>
    </row>
    <row r="34" spans="2:7" ht="16.5" thickBot="1" x14ac:dyDescent="0.25">
      <c r="B34" s="12"/>
      <c r="C34" s="12"/>
      <c r="D34" s="12"/>
      <c r="E34" s="12"/>
    </row>
    <row r="35" spans="2:7" ht="16.5" thickBot="1" x14ac:dyDescent="0.25">
      <c r="B35" s="14"/>
      <c r="C35" s="15"/>
      <c r="D35" s="15"/>
      <c r="E35" s="15"/>
      <c r="G35" t="str">
        <f t="shared" si="0"/>
        <v>&lt;dl&gt;&lt;dt&gt;&lt;/dt&gt;&lt;dd&gt;&lt;/dd&gt;&lt;dd&gt;&lt;/dd&gt;&lt;/dl&gt;</v>
      </c>
    </row>
    <row r="36" spans="2:7" ht="16.5" thickBot="1" x14ac:dyDescent="0.25">
      <c r="B36" s="14"/>
      <c r="C36" s="15"/>
      <c r="D36" s="15"/>
      <c r="E36" s="15"/>
      <c r="G36" t="str">
        <f t="shared" si="0"/>
        <v>&lt;dl&gt;&lt;dt&gt;&lt;/dt&gt;&lt;dd&gt;&lt;/dd&gt;&lt;dd&gt;&lt;/dd&gt;&lt;/dl&gt;</v>
      </c>
    </row>
    <row r="37" spans="2:7" ht="16.5" thickBot="1" x14ac:dyDescent="0.25">
      <c r="B37" s="14"/>
      <c r="C37" s="15"/>
      <c r="D37" s="15"/>
      <c r="E37" s="15"/>
      <c r="G37" t="str">
        <f t="shared" si="0"/>
        <v>&lt;dl&gt;&lt;dt&gt;&lt;/dt&gt;&lt;dd&gt;&lt;/dd&gt;&lt;dd&gt;&lt;/dd&gt;&lt;/dl&gt;</v>
      </c>
    </row>
    <row r="38" spans="2:7" ht="16.5" thickBot="1" x14ac:dyDescent="0.25">
      <c r="B38" s="14"/>
      <c r="C38" s="15"/>
      <c r="D38" s="15"/>
      <c r="E38" s="15"/>
      <c r="G38" t="str">
        <f t="shared" si="0"/>
        <v>&lt;dl&gt;&lt;dt&gt;&lt;/dt&gt;&lt;dd&gt;&lt;/dd&gt;&lt;dd&gt;&lt;/dd&gt;&lt;/dl&gt;</v>
      </c>
    </row>
    <row r="39" spans="2:7" ht="16.5" thickBot="1" x14ac:dyDescent="0.25">
      <c r="B39" s="14"/>
      <c r="C39" s="15"/>
      <c r="D39" s="15"/>
      <c r="E39" s="15"/>
      <c r="G39" t="str">
        <f t="shared" si="0"/>
        <v>&lt;dl&gt;&lt;dt&gt;&lt;/dt&gt;&lt;dd&gt;&lt;/dd&gt;&lt;dd&gt;&lt;/dd&gt;&lt;/dl&gt;</v>
      </c>
    </row>
    <row r="40" spans="2:7" ht="16.5" thickBot="1" x14ac:dyDescent="0.25">
      <c r="B40" s="14"/>
      <c r="C40" s="15"/>
      <c r="D40" s="15"/>
      <c r="E40" s="15"/>
      <c r="G40" t="str">
        <f t="shared" si="0"/>
        <v>&lt;dl&gt;&lt;dt&gt;&lt;/dt&gt;&lt;dd&gt;&lt;/dd&gt;&lt;dd&gt;&lt;/dd&gt;&lt;/dl&gt;</v>
      </c>
    </row>
    <row r="41" spans="2:7" ht="16.5" thickBot="1" x14ac:dyDescent="0.25">
      <c r="B41" s="14"/>
      <c r="C41" s="15"/>
      <c r="D41" s="15"/>
      <c r="E41" s="15"/>
      <c r="G41" t="str">
        <f t="shared" si="0"/>
        <v>&lt;dl&gt;&lt;dt&gt;&lt;/dt&gt;&lt;dd&gt;&lt;/dd&gt;&lt;dd&gt;&lt;/dd&gt;&lt;/dl&gt;</v>
      </c>
    </row>
    <row r="42" spans="2:7" ht="16.5" thickBot="1" x14ac:dyDescent="0.25">
      <c r="B42" s="14"/>
      <c r="C42" s="15"/>
      <c r="D42" s="15"/>
      <c r="E42" s="15"/>
      <c r="G42" t="str">
        <f t="shared" si="0"/>
        <v>&lt;dl&gt;&lt;dt&gt;&lt;/dt&gt;&lt;dd&gt;&lt;/dd&gt;&lt;dd&gt;&lt;/dd&gt;&lt;/dl&gt;</v>
      </c>
    </row>
    <row r="43" spans="2:7" ht="16.5" thickBot="1" x14ac:dyDescent="0.25">
      <c r="B43" s="14"/>
      <c r="C43" s="15"/>
      <c r="D43" s="15"/>
      <c r="E43" s="15"/>
      <c r="G43" t="str">
        <f t="shared" si="0"/>
        <v>&lt;dl&gt;&lt;dt&gt;&lt;/dt&gt;&lt;dd&gt;&lt;/dd&gt;&lt;dd&gt;&lt;/dd&gt;&lt;/dl&gt;</v>
      </c>
    </row>
    <row r="46" spans="2:7" ht="17.25" x14ac:dyDescent="0.2">
      <c r="B46" s="5"/>
    </row>
    <row r="47" spans="2:7" ht="16.5" thickBot="1" x14ac:dyDescent="0.25">
      <c r="B47" s="11"/>
    </row>
    <row r="48" spans="2:7" ht="16.5" thickBot="1" x14ac:dyDescent="0.25">
      <c r="B48" s="12"/>
      <c r="C48" s="12"/>
      <c r="D48" s="12"/>
      <c r="E48" s="12"/>
    </row>
    <row r="49" spans="2:7" ht="16.5" thickBot="1" x14ac:dyDescent="0.25">
      <c r="B49" s="14"/>
      <c r="C49" s="15"/>
      <c r="D49" s="15"/>
      <c r="E49" s="15"/>
      <c r="G49" t="str">
        <f t="shared" si="0"/>
        <v>&lt;dl&gt;&lt;dt&gt;&lt;/dt&gt;&lt;dd&gt;&lt;/dd&gt;&lt;dd&gt;&lt;/dd&gt;&lt;/dl&gt;</v>
      </c>
    </row>
    <row r="50" spans="2:7" ht="16.5" thickBot="1" x14ac:dyDescent="0.25">
      <c r="B50" s="14"/>
      <c r="C50" s="15"/>
      <c r="D50" s="15"/>
      <c r="E50" s="15"/>
      <c r="G50" t="str">
        <f t="shared" si="0"/>
        <v>&lt;dl&gt;&lt;dt&gt;&lt;/dt&gt;&lt;dd&gt;&lt;/dd&gt;&lt;dd&gt;&lt;/dd&gt;&lt;/dl&gt;</v>
      </c>
    </row>
    <row r="51" spans="2:7" ht="16.5" thickBot="1" x14ac:dyDescent="0.25">
      <c r="B51" s="14"/>
      <c r="C51" s="15"/>
      <c r="D51" s="15"/>
      <c r="E51" s="15"/>
      <c r="G51" t="str">
        <f t="shared" si="0"/>
        <v>&lt;dl&gt;&lt;dt&gt;&lt;/dt&gt;&lt;dd&gt;&lt;/dd&gt;&lt;dd&gt;&lt;/dd&gt;&lt;/dl&gt;</v>
      </c>
    </row>
    <row r="52" spans="2:7" ht="16.5" thickBot="1" x14ac:dyDescent="0.25">
      <c r="B52" s="14"/>
      <c r="C52" s="15"/>
      <c r="D52" s="15"/>
      <c r="E52" s="15"/>
      <c r="G52" t="str">
        <f t="shared" si="0"/>
        <v>&lt;dl&gt;&lt;dt&gt;&lt;/dt&gt;&lt;dd&gt;&lt;/dd&gt;&lt;dd&gt;&lt;/dd&gt;&lt;/dl&gt;</v>
      </c>
    </row>
    <row r="55" spans="2:7" ht="17.25" x14ac:dyDescent="0.2">
      <c r="B55" s="5"/>
    </row>
    <row r="56" spans="2:7" x14ac:dyDescent="0.2">
      <c r="B56" s="6"/>
    </row>
    <row r="57" spans="2:7" x14ac:dyDescent="0.2">
      <c r="B57" s="7"/>
    </row>
    <row r="58" spans="2:7" x14ac:dyDescent="0.2">
      <c r="B58" s="6"/>
    </row>
    <row r="59" spans="2:7" x14ac:dyDescent="0.2">
      <c r="B59" s="8"/>
    </row>
    <row r="60" spans="2:7" x14ac:dyDescent="0.2">
      <c r="B60" s="8"/>
    </row>
    <row r="64" spans="2:7" ht="17.25" x14ac:dyDescent="0.2">
      <c r="B64" s="5"/>
    </row>
    <row r="65" spans="2:2" x14ac:dyDescent="0.2">
      <c r="B65" s="6"/>
    </row>
    <row r="66" spans="2:2" x14ac:dyDescent="0.2">
      <c r="B66" s="7"/>
    </row>
    <row r="67" spans="2:2" x14ac:dyDescent="0.2">
      <c r="B67" s="6"/>
    </row>
    <row r="68" spans="2:2" x14ac:dyDescent="0.2">
      <c r="B68" s="9"/>
    </row>
    <row r="69" spans="2:2" x14ac:dyDescent="0.2">
      <c r="B69" s="9"/>
    </row>
    <row r="70" spans="2:2" x14ac:dyDescent="0.2">
      <c r="B70" s="7"/>
    </row>
    <row r="71" spans="2:2" x14ac:dyDescent="0.2">
      <c r="B71" s="6"/>
    </row>
    <row r="72" spans="2:2" x14ac:dyDescent="0.2">
      <c r="B72" s="9"/>
    </row>
    <row r="73" spans="2:2" x14ac:dyDescent="0.2">
      <c r="B73" s="9"/>
    </row>
    <row r="77" spans="2:2" ht="17.25" x14ac:dyDescent="0.2">
      <c r="B77" s="5"/>
    </row>
    <row r="80" spans="2:2" x14ac:dyDescent="0.2">
      <c r="B80" s="16"/>
    </row>
    <row r="81" spans="2:2" x14ac:dyDescent="0.2">
      <c r="B81" s="6"/>
    </row>
    <row r="82" spans="2:2" x14ac:dyDescent="0.2">
      <c r="B82" s="6"/>
    </row>
  </sheetData>
  <phoneticPr fontId="2" type="noConversion"/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165B72-BD5D-425C-B088-775883F34619}">
  <dimension ref="B1:G82"/>
  <sheetViews>
    <sheetView zoomScaleNormal="100" workbookViewId="0">
      <selection activeCell="B1" sqref="B1:E1048576"/>
    </sheetView>
  </sheetViews>
  <sheetFormatPr defaultRowHeight="14.25" x14ac:dyDescent="0.2"/>
  <cols>
    <col min="1" max="1" width="2.75" customWidth="1"/>
    <col min="2" max="2" width="15.625" customWidth="1"/>
    <col min="3" max="3" width="43.125" customWidth="1"/>
    <col min="4" max="4" width="32.75" customWidth="1"/>
  </cols>
  <sheetData>
    <row r="1" spans="2:7" x14ac:dyDescent="0.2">
      <c r="G1" t="str">
        <f>"&lt;dl&gt;&lt;dt&gt;" &amp; B1 &amp; "&lt;/dt&gt;&lt;dd&gt;" &amp; C1 &amp; "&lt;/dd&gt;&lt;dd&gt;" &amp; D1 &amp; "&lt;/dd&gt;&lt;/dl&gt;"</f>
        <v>&lt;dl&gt;&lt;dt&gt;&lt;/dt&gt;&lt;dd&gt;&lt;/dd&gt;&lt;dd&gt;&lt;/dd&gt;&lt;/dl&gt;</v>
      </c>
    </row>
    <row r="5" spans="2:7" ht="17.25" x14ac:dyDescent="0.2">
      <c r="B5" s="5"/>
    </row>
    <row r="7" spans="2:7" x14ac:dyDescent="0.2">
      <c r="B7" s="1"/>
    </row>
    <row r="8" spans="2:7" x14ac:dyDescent="0.2">
      <c r="B8" s="6"/>
    </row>
    <row r="9" spans="2:7" x14ac:dyDescent="0.2">
      <c r="B9" s="7"/>
    </row>
    <row r="10" spans="2:7" x14ac:dyDescent="0.2">
      <c r="B10" s="6"/>
    </row>
    <row r="11" spans="2:7" x14ac:dyDescent="0.2">
      <c r="B11" s="8"/>
    </row>
    <row r="12" spans="2:7" x14ac:dyDescent="0.2">
      <c r="B12" s="8"/>
    </row>
    <row r="13" spans="2:7" x14ac:dyDescent="0.2">
      <c r="B13" s="8"/>
    </row>
    <row r="14" spans="2:7" x14ac:dyDescent="0.2">
      <c r="B14" s="8"/>
    </row>
    <row r="15" spans="2:7" x14ac:dyDescent="0.2">
      <c r="B15" s="9"/>
    </row>
    <row r="16" spans="2:7" x14ac:dyDescent="0.2">
      <c r="B16" s="10"/>
    </row>
    <row r="17" spans="2:7" x14ac:dyDescent="0.2">
      <c r="B17" s="10"/>
    </row>
    <row r="21" spans="2:7" ht="17.25" x14ac:dyDescent="0.2">
      <c r="B21" s="5"/>
    </row>
    <row r="22" spans="2:7" ht="16.5" thickBot="1" x14ac:dyDescent="0.25">
      <c r="B22" s="11"/>
    </row>
    <row r="23" spans="2:7" ht="16.5" thickBot="1" x14ac:dyDescent="0.25">
      <c r="B23" s="12"/>
      <c r="C23" s="12"/>
      <c r="D23" s="12"/>
      <c r="E23" s="12"/>
    </row>
    <row r="24" spans="2:7" ht="16.5" thickBot="1" x14ac:dyDescent="0.25">
      <c r="B24" s="14"/>
      <c r="C24" s="15"/>
      <c r="D24" s="15"/>
      <c r="E24" s="15"/>
      <c r="G24" t="str">
        <f t="shared" ref="G24:G52" si="0">"&lt;dl&gt;&lt;dt&gt;" &amp; B24 &amp; "&lt;/dt&gt;&lt;dd&gt;" &amp; C24 &amp; "&lt;/dd&gt;&lt;dd&gt;" &amp; D24 &amp; "&lt;/dd&gt;&lt;/dl&gt;"</f>
        <v>&lt;dl&gt;&lt;dt&gt;&lt;/dt&gt;&lt;dd&gt;&lt;/dd&gt;&lt;dd&gt;&lt;/dd&gt;&lt;/dl&gt;</v>
      </c>
    </row>
    <row r="25" spans="2:7" ht="16.5" thickBot="1" x14ac:dyDescent="0.25">
      <c r="B25" s="14"/>
      <c r="C25" s="15"/>
      <c r="D25" s="15"/>
      <c r="E25" s="15"/>
      <c r="G25" t="str">
        <f t="shared" si="0"/>
        <v>&lt;dl&gt;&lt;dt&gt;&lt;/dt&gt;&lt;dd&gt;&lt;/dd&gt;&lt;dd&gt;&lt;/dd&gt;&lt;/dl&gt;</v>
      </c>
    </row>
    <row r="26" spans="2:7" ht="16.5" thickBot="1" x14ac:dyDescent="0.25">
      <c r="B26" s="14"/>
      <c r="C26" s="15"/>
      <c r="D26" s="15"/>
      <c r="E26" s="15"/>
      <c r="G26" t="str">
        <f t="shared" si="0"/>
        <v>&lt;dl&gt;&lt;dt&gt;&lt;/dt&gt;&lt;dd&gt;&lt;/dd&gt;&lt;dd&gt;&lt;/dd&gt;&lt;/dl&gt;</v>
      </c>
    </row>
    <row r="27" spans="2:7" ht="16.5" thickBot="1" x14ac:dyDescent="0.25">
      <c r="B27" s="14"/>
      <c r="C27" s="15"/>
      <c r="D27" s="15"/>
      <c r="E27" s="15"/>
      <c r="G27" t="str">
        <f t="shared" si="0"/>
        <v>&lt;dl&gt;&lt;dt&gt;&lt;/dt&gt;&lt;dd&gt;&lt;/dd&gt;&lt;dd&gt;&lt;/dd&gt;&lt;/dl&gt;</v>
      </c>
    </row>
    <row r="28" spans="2:7" ht="16.5" thickBot="1" x14ac:dyDescent="0.25">
      <c r="B28" s="14"/>
      <c r="C28" s="15"/>
      <c r="D28" s="15"/>
      <c r="E28" s="15"/>
      <c r="G28" t="str">
        <f t="shared" si="0"/>
        <v>&lt;dl&gt;&lt;dt&gt;&lt;/dt&gt;&lt;dd&gt;&lt;/dd&gt;&lt;dd&gt;&lt;/dd&gt;&lt;/dl&gt;</v>
      </c>
    </row>
    <row r="29" spans="2:7" ht="16.5" thickBot="1" x14ac:dyDescent="0.25">
      <c r="B29" s="14"/>
      <c r="C29" s="15"/>
      <c r="D29" s="15"/>
      <c r="E29" s="15"/>
      <c r="G29" t="str">
        <f t="shared" si="0"/>
        <v>&lt;dl&gt;&lt;dt&gt;&lt;/dt&gt;&lt;dd&gt;&lt;/dd&gt;&lt;dd&gt;&lt;/dd&gt;&lt;/dl&gt;</v>
      </c>
    </row>
    <row r="32" spans="2:7" ht="17.25" x14ac:dyDescent="0.2">
      <c r="B32" s="5"/>
    </row>
    <row r="33" spans="2:7" ht="16.5" thickBot="1" x14ac:dyDescent="0.25">
      <c r="B33" s="11"/>
    </row>
    <row r="34" spans="2:7" ht="16.5" thickBot="1" x14ac:dyDescent="0.25">
      <c r="B34" s="12"/>
      <c r="C34" s="12"/>
      <c r="D34" s="12"/>
      <c r="E34" s="12"/>
    </row>
    <row r="35" spans="2:7" ht="16.5" thickBot="1" x14ac:dyDescent="0.25">
      <c r="B35" s="14"/>
      <c r="C35" s="15"/>
      <c r="D35" s="15"/>
      <c r="E35" s="15"/>
      <c r="G35" t="str">
        <f t="shared" si="0"/>
        <v>&lt;dl&gt;&lt;dt&gt;&lt;/dt&gt;&lt;dd&gt;&lt;/dd&gt;&lt;dd&gt;&lt;/dd&gt;&lt;/dl&gt;</v>
      </c>
    </row>
    <row r="36" spans="2:7" ht="16.5" thickBot="1" x14ac:dyDescent="0.25">
      <c r="B36" s="14"/>
      <c r="C36" s="15"/>
      <c r="D36" s="15"/>
      <c r="E36" s="15"/>
      <c r="G36" t="str">
        <f t="shared" si="0"/>
        <v>&lt;dl&gt;&lt;dt&gt;&lt;/dt&gt;&lt;dd&gt;&lt;/dd&gt;&lt;dd&gt;&lt;/dd&gt;&lt;/dl&gt;</v>
      </c>
    </row>
    <row r="37" spans="2:7" ht="16.5" thickBot="1" x14ac:dyDescent="0.25">
      <c r="B37" s="14"/>
      <c r="C37" s="15"/>
      <c r="D37" s="15"/>
      <c r="E37" s="15"/>
      <c r="G37" t="str">
        <f t="shared" si="0"/>
        <v>&lt;dl&gt;&lt;dt&gt;&lt;/dt&gt;&lt;dd&gt;&lt;/dd&gt;&lt;dd&gt;&lt;/dd&gt;&lt;/dl&gt;</v>
      </c>
    </row>
    <row r="38" spans="2:7" ht="16.5" thickBot="1" x14ac:dyDescent="0.25">
      <c r="B38" s="14"/>
      <c r="C38" s="15"/>
      <c r="D38" s="15"/>
      <c r="E38" s="15"/>
      <c r="G38" t="str">
        <f t="shared" si="0"/>
        <v>&lt;dl&gt;&lt;dt&gt;&lt;/dt&gt;&lt;dd&gt;&lt;/dd&gt;&lt;dd&gt;&lt;/dd&gt;&lt;/dl&gt;</v>
      </c>
    </row>
    <row r="39" spans="2:7" ht="16.5" thickBot="1" x14ac:dyDescent="0.25">
      <c r="B39" s="14"/>
      <c r="C39" s="15"/>
      <c r="D39" s="15"/>
      <c r="E39" s="15"/>
      <c r="G39" t="str">
        <f t="shared" si="0"/>
        <v>&lt;dl&gt;&lt;dt&gt;&lt;/dt&gt;&lt;dd&gt;&lt;/dd&gt;&lt;dd&gt;&lt;/dd&gt;&lt;/dl&gt;</v>
      </c>
    </row>
    <row r="40" spans="2:7" ht="16.5" thickBot="1" x14ac:dyDescent="0.25">
      <c r="B40" s="14"/>
      <c r="C40" s="15"/>
      <c r="D40" s="15"/>
      <c r="E40" s="15"/>
      <c r="G40" t="str">
        <f t="shared" si="0"/>
        <v>&lt;dl&gt;&lt;dt&gt;&lt;/dt&gt;&lt;dd&gt;&lt;/dd&gt;&lt;dd&gt;&lt;/dd&gt;&lt;/dl&gt;</v>
      </c>
    </row>
    <row r="41" spans="2:7" ht="16.5" thickBot="1" x14ac:dyDescent="0.25">
      <c r="B41" s="14"/>
      <c r="C41" s="15"/>
      <c r="D41" s="15"/>
      <c r="E41" s="15"/>
      <c r="G41" t="str">
        <f t="shared" si="0"/>
        <v>&lt;dl&gt;&lt;dt&gt;&lt;/dt&gt;&lt;dd&gt;&lt;/dd&gt;&lt;dd&gt;&lt;/dd&gt;&lt;/dl&gt;</v>
      </c>
    </row>
    <row r="42" spans="2:7" ht="16.5" thickBot="1" x14ac:dyDescent="0.25">
      <c r="B42" s="14"/>
      <c r="C42" s="15"/>
      <c r="D42" s="15"/>
      <c r="E42" s="15"/>
      <c r="G42" t="str">
        <f t="shared" si="0"/>
        <v>&lt;dl&gt;&lt;dt&gt;&lt;/dt&gt;&lt;dd&gt;&lt;/dd&gt;&lt;dd&gt;&lt;/dd&gt;&lt;/dl&gt;</v>
      </c>
    </row>
    <row r="43" spans="2:7" ht="16.5" thickBot="1" x14ac:dyDescent="0.25">
      <c r="B43" s="14"/>
      <c r="C43" s="15"/>
      <c r="D43" s="15"/>
      <c r="E43" s="15"/>
      <c r="G43" t="str">
        <f t="shared" si="0"/>
        <v>&lt;dl&gt;&lt;dt&gt;&lt;/dt&gt;&lt;dd&gt;&lt;/dd&gt;&lt;dd&gt;&lt;/dd&gt;&lt;/dl&gt;</v>
      </c>
    </row>
    <row r="46" spans="2:7" ht="17.25" x14ac:dyDescent="0.2">
      <c r="B46" s="5"/>
    </row>
    <row r="47" spans="2:7" ht="16.5" thickBot="1" x14ac:dyDescent="0.25">
      <c r="B47" s="11"/>
    </row>
    <row r="48" spans="2:7" ht="16.5" thickBot="1" x14ac:dyDescent="0.25">
      <c r="B48" s="12"/>
      <c r="C48" s="12"/>
      <c r="D48" s="12"/>
      <c r="E48" s="12"/>
    </row>
    <row r="49" spans="2:7" ht="16.5" thickBot="1" x14ac:dyDescent="0.25">
      <c r="B49" s="14"/>
      <c r="C49" s="15"/>
      <c r="D49" s="15"/>
      <c r="E49" s="15"/>
      <c r="G49" t="str">
        <f t="shared" si="0"/>
        <v>&lt;dl&gt;&lt;dt&gt;&lt;/dt&gt;&lt;dd&gt;&lt;/dd&gt;&lt;dd&gt;&lt;/dd&gt;&lt;/dl&gt;</v>
      </c>
    </row>
    <row r="50" spans="2:7" ht="16.5" thickBot="1" x14ac:dyDescent="0.25">
      <c r="B50" s="14"/>
      <c r="C50" s="15"/>
      <c r="D50" s="15"/>
      <c r="E50" s="15"/>
      <c r="G50" t="str">
        <f t="shared" si="0"/>
        <v>&lt;dl&gt;&lt;dt&gt;&lt;/dt&gt;&lt;dd&gt;&lt;/dd&gt;&lt;dd&gt;&lt;/dd&gt;&lt;/dl&gt;</v>
      </c>
    </row>
    <row r="51" spans="2:7" ht="16.5" thickBot="1" x14ac:dyDescent="0.25">
      <c r="B51" s="14"/>
      <c r="C51" s="15"/>
      <c r="D51" s="15"/>
      <c r="E51" s="15"/>
      <c r="G51" t="str">
        <f t="shared" si="0"/>
        <v>&lt;dl&gt;&lt;dt&gt;&lt;/dt&gt;&lt;dd&gt;&lt;/dd&gt;&lt;dd&gt;&lt;/dd&gt;&lt;/dl&gt;</v>
      </c>
    </row>
    <row r="52" spans="2:7" ht="16.5" thickBot="1" x14ac:dyDescent="0.25">
      <c r="B52" s="14"/>
      <c r="C52" s="15"/>
      <c r="D52" s="15"/>
      <c r="E52" s="15"/>
      <c r="G52" t="str">
        <f t="shared" si="0"/>
        <v>&lt;dl&gt;&lt;dt&gt;&lt;/dt&gt;&lt;dd&gt;&lt;/dd&gt;&lt;dd&gt;&lt;/dd&gt;&lt;/dl&gt;</v>
      </c>
    </row>
    <row r="55" spans="2:7" ht="17.25" x14ac:dyDescent="0.2">
      <c r="B55" s="5"/>
    </row>
    <row r="56" spans="2:7" x14ac:dyDescent="0.2">
      <c r="B56" s="6"/>
    </row>
    <row r="57" spans="2:7" x14ac:dyDescent="0.2">
      <c r="B57" s="7"/>
    </row>
    <row r="58" spans="2:7" x14ac:dyDescent="0.2">
      <c r="B58" s="6"/>
    </row>
    <row r="59" spans="2:7" x14ac:dyDescent="0.2">
      <c r="B59" s="8"/>
    </row>
    <row r="60" spans="2:7" x14ac:dyDescent="0.2">
      <c r="B60" s="8"/>
    </row>
    <row r="64" spans="2:7" ht="17.25" x14ac:dyDescent="0.2">
      <c r="B64" s="5"/>
    </row>
    <row r="65" spans="2:2" x14ac:dyDescent="0.2">
      <c r="B65" s="6"/>
    </row>
    <row r="66" spans="2:2" x14ac:dyDescent="0.2">
      <c r="B66" s="7"/>
    </row>
    <row r="67" spans="2:2" x14ac:dyDescent="0.2">
      <c r="B67" s="6"/>
    </row>
    <row r="68" spans="2:2" x14ac:dyDescent="0.2">
      <c r="B68" s="9"/>
    </row>
    <row r="69" spans="2:2" x14ac:dyDescent="0.2">
      <c r="B69" s="9"/>
    </row>
    <row r="70" spans="2:2" x14ac:dyDescent="0.2">
      <c r="B70" s="7"/>
    </row>
    <row r="71" spans="2:2" x14ac:dyDescent="0.2">
      <c r="B71" s="6"/>
    </row>
    <row r="72" spans="2:2" x14ac:dyDescent="0.2">
      <c r="B72" s="9"/>
    </row>
    <row r="73" spans="2:2" x14ac:dyDescent="0.2">
      <c r="B73" s="9"/>
    </row>
    <row r="77" spans="2:2" ht="17.25" x14ac:dyDescent="0.2">
      <c r="B77" s="5"/>
    </row>
    <row r="80" spans="2:2" x14ac:dyDescent="0.2">
      <c r="B80" s="16"/>
    </row>
    <row r="81" spans="2:2" x14ac:dyDescent="0.2">
      <c r="B81" s="6"/>
    </row>
    <row r="82" spans="2:2" x14ac:dyDescent="0.2">
      <c r="B82" s="6"/>
    </row>
  </sheetData>
  <phoneticPr fontId="2" type="noConversion"/>
  <pageMargins left="0.7" right="0.7" top="0.75" bottom="0.75" header="0.3" footer="0.3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38DB7E-3D1B-4E22-A755-DC2A224B5ACF}">
  <dimension ref="B1:G82"/>
  <sheetViews>
    <sheetView zoomScaleNormal="100" workbookViewId="0">
      <selection activeCell="B1" sqref="B1:E1048576"/>
    </sheetView>
  </sheetViews>
  <sheetFormatPr defaultRowHeight="14.25" x14ac:dyDescent="0.2"/>
  <cols>
    <col min="1" max="1" width="2.75" customWidth="1"/>
    <col min="2" max="2" width="15.625" customWidth="1"/>
    <col min="3" max="3" width="43.125" customWidth="1"/>
    <col min="4" max="4" width="32.75" customWidth="1"/>
  </cols>
  <sheetData>
    <row r="1" spans="2:7" x14ac:dyDescent="0.2">
      <c r="G1" t="str">
        <f>"&lt;dl&gt;&lt;dt&gt;" &amp; B1 &amp; "&lt;/dt&gt;&lt;dd&gt;" &amp; C1 &amp; "&lt;/dd&gt;&lt;dd&gt;" &amp; D1 &amp; "&lt;/dd&gt;&lt;/dl&gt;"</f>
        <v>&lt;dl&gt;&lt;dt&gt;&lt;/dt&gt;&lt;dd&gt;&lt;/dd&gt;&lt;dd&gt;&lt;/dd&gt;&lt;/dl&gt;</v>
      </c>
    </row>
    <row r="5" spans="2:7" ht="17.25" x14ac:dyDescent="0.2">
      <c r="B5" s="5"/>
    </row>
    <row r="7" spans="2:7" x14ac:dyDescent="0.2">
      <c r="B7" s="1"/>
    </row>
    <row r="8" spans="2:7" x14ac:dyDescent="0.2">
      <c r="B8" s="6"/>
    </row>
    <row r="9" spans="2:7" x14ac:dyDescent="0.2">
      <c r="B9" s="7"/>
    </row>
    <row r="10" spans="2:7" x14ac:dyDescent="0.2">
      <c r="B10" s="6"/>
    </row>
    <row r="11" spans="2:7" x14ac:dyDescent="0.2">
      <c r="B11" s="8"/>
    </row>
    <row r="12" spans="2:7" x14ac:dyDescent="0.2">
      <c r="B12" s="8"/>
    </row>
    <row r="13" spans="2:7" x14ac:dyDescent="0.2">
      <c r="B13" s="8"/>
    </row>
    <row r="14" spans="2:7" x14ac:dyDescent="0.2">
      <c r="B14" s="8"/>
    </row>
    <row r="15" spans="2:7" x14ac:dyDescent="0.2">
      <c r="B15" s="9"/>
    </row>
    <row r="16" spans="2:7" x14ac:dyDescent="0.2">
      <c r="B16" s="10"/>
    </row>
    <row r="17" spans="2:7" x14ac:dyDescent="0.2">
      <c r="B17" s="10"/>
    </row>
    <row r="21" spans="2:7" ht="17.25" x14ac:dyDescent="0.2">
      <c r="B21" s="5"/>
    </row>
    <row r="22" spans="2:7" ht="16.5" thickBot="1" x14ac:dyDescent="0.25">
      <c r="B22" s="11"/>
    </row>
    <row r="23" spans="2:7" ht="16.5" thickBot="1" x14ac:dyDescent="0.25">
      <c r="B23" s="12"/>
      <c r="C23" s="12"/>
      <c r="D23" s="12"/>
      <c r="E23" s="12"/>
    </row>
    <row r="24" spans="2:7" ht="16.5" thickBot="1" x14ac:dyDescent="0.25">
      <c r="B24" s="14"/>
      <c r="C24" s="15"/>
      <c r="D24" s="15"/>
      <c r="E24" s="15"/>
      <c r="G24" t="str">
        <f t="shared" ref="G24:G52" si="0">"&lt;dl&gt;&lt;dt&gt;" &amp; B24 &amp; "&lt;/dt&gt;&lt;dd&gt;" &amp; C24 &amp; "&lt;/dd&gt;&lt;dd&gt;" &amp; D24 &amp; "&lt;/dd&gt;&lt;/dl&gt;"</f>
        <v>&lt;dl&gt;&lt;dt&gt;&lt;/dt&gt;&lt;dd&gt;&lt;/dd&gt;&lt;dd&gt;&lt;/dd&gt;&lt;/dl&gt;</v>
      </c>
    </row>
    <row r="25" spans="2:7" ht="16.5" thickBot="1" x14ac:dyDescent="0.25">
      <c r="B25" s="14"/>
      <c r="C25" s="15"/>
      <c r="D25" s="15"/>
      <c r="E25" s="15"/>
      <c r="G25" t="str">
        <f t="shared" si="0"/>
        <v>&lt;dl&gt;&lt;dt&gt;&lt;/dt&gt;&lt;dd&gt;&lt;/dd&gt;&lt;dd&gt;&lt;/dd&gt;&lt;/dl&gt;</v>
      </c>
    </row>
    <row r="26" spans="2:7" ht="16.5" thickBot="1" x14ac:dyDescent="0.25">
      <c r="B26" s="14"/>
      <c r="C26" s="15"/>
      <c r="D26" s="15"/>
      <c r="E26" s="15"/>
      <c r="G26" t="str">
        <f t="shared" si="0"/>
        <v>&lt;dl&gt;&lt;dt&gt;&lt;/dt&gt;&lt;dd&gt;&lt;/dd&gt;&lt;dd&gt;&lt;/dd&gt;&lt;/dl&gt;</v>
      </c>
    </row>
    <row r="27" spans="2:7" ht="16.5" thickBot="1" x14ac:dyDescent="0.25">
      <c r="B27" s="14"/>
      <c r="C27" s="15"/>
      <c r="D27" s="15"/>
      <c r="E27" s="15"/>
      <c r="G27" t="str">
        <f t="shared" si="0"/>
        <v>&lt;dl&gt;&lt;dt&gt;&lt;/dt&gt;&lt;dd&gt;&lt;/dd&gt;&lt;dd&gt;&lt;/dd&gt;&lt;/dl&gt;</v>
      </c>
    </row>
    <row r="28" spans="2:7" ht="16.5" thickBot="1" x14ac:dyDescent="0.25">
      <c r="B28" s="14"/>
      <c r="C28" s="15"/>
      <c r="D28" s="15"/>
      <c r="E28" s="15"/>
      <c r="G28" t="str">
        <f t="shared" si="0"/>
        <v>&lt;dl&gt;&lt;dt&gt;&lt;/dt&gt;&lt;dd&gt;&lt;/dd&gt;&lt;dd&gt;&lt;/dd&gt;&lt;/dl&gt;</v>
      </c>
    </row>
    <row r="29" spans="2:7" ht="16.5" thickBot="1" x14ac:dyDescent="0.25">
      <c r="B29" s="14"/>
      <c r="C29" s="15"/>
      <c r="D29" s="15"/>
      <c r="E29" s="15"/>
      <c r="G29" t="str">
        <f t="shared" si="0"/>
        <v>&lt;dl&gt;&lt;dt&gt;&lt;/dt&gt;&lt;dd&gt;&lt;/dd&gt;&lt;dd&gt;&lt;/dd&gt;&lt;/dl&gt;</v>
      </c>
    </row>
    <row r="32" spans="2:7" ht="17.25" x14ac:dyDescent="0.2">
      <c r="B32" s="5"/>
    </row>
    <row r="33" spans="2:7" ht="16.5" thickBot="1" x14ac:dyDescent="0.25">
      <c r="B33" s="11"/>
    </row>
    <row r="34" spans="2:7" ht="16.5" thickBot="1" x14ac:dyDescent="0.25">
      <c r="B34" s="12"/>
      <c r="C34" s="12"/>
      <c r="D34" s="12"/>
      <c r="E34" s="12"/>
    </row>
    <row r="35" spans="2:7" ht="16.5" thickBot="1" x14ac:dyDescent="0.25">
      <c r="B35" s="14"/>
      <c r="C35" s="15"/>
      <c r="D35" s="15"/>
      <c r="E35" s="15"/>
      <c r="G35" t="str">
        <f t="shared" si="0"/>
        <v>&lt;dl&gt;&lt;dt&gt;&lt;/dt&gt;&lt;dd&gt;&lt;/dd&gt;&lt;dd&gt;&lt;/dd&gt;&lt;/dl&gt;</v>
      </c>
    </row>
    <row r="36" spans="2:7" ht="16.5" thickBot="1" x14ac:dyDescent="0.25">
      <c r="B36" s="14"/>
      <c r="C36" s="15"/>
      <c r="D36" s="15"/>
      <c r="E36" s="15"/>
      <c r="G36" t="str">
        <f t="shared" si="0"/>
        <v>&lt;dl&gt;&lt;dt&gt;&lt;/dt&gt;&lt;dd&gt;&lt;/dd&gt;&lt;dd&gt;&lt;/dd&gt;&lt;/dl&gt;</v>
      </c>
    </row>
    <row r="37" spans="2:7" ht="16.5" thickBot="1" x14ac:dyDescent="0.25">
      <c r="B37" s="14"/>
      <c r="C37" s="15"/>
      <c r="D37" s="15"/>
      <c r="E37" s="15"/>
      <c r="G37" t="str">
        <f t="shared" si="0"/>
        <v>&lt;dl&gt;&lt;dt&gt;&lt;/dt&gt;&lt;dd&gt;&lt;/dd&gt;&lt;dd&gt;&lt;/dd&gt;&lt;/dl&gt;</v>
      </c>
    </row>
    <row r="38" spans="2:7" ht="16.5" thickBot="1" x14ac:dyDescent="0.25">
      <c r="B38" s="14"/>
      <c r="C38" s="15"/>
      <c r="D38" s="15"/>
      <c r="E38" s="15"/>
      <c r="G38" t="str">
        <f t="shared" si="0"/>
        <v>&lt;dl&gt;&lt;dt&gt;&lt;/dt&gt;&lt;dd&gt;&lt;/dd&gt;&lt;dd&gt;&lt;/dd&gt;&lt;/dl&gt;</v>
      </c>
    </row>
    <row r="39" spans="2:7" ht="16.5" thickBot="1" x14ac:dyDescent="0.25">
      <c r="B39" s="14"/>
      <c r="C39" s="15"/>
      <c r="D39" s="15"/>
      <c r="E39" s="15"/>
      <c r="G39" t="str">
        <f t="shared" si="0"/>
        <v>&lt;dl&gt;&lt;dt&gt;&lt;/dt&gt;&lt;dd&gt;&lt;/dd&gt;&lt;dd&gt;&lt;/dd&gt;&lt;/dl&gt;</v>
      </c>
    </row>
    <row r="40" spans="2:7" ht="16.5" thickBot="1" x14ac:dyDescent="0.25">
      <c r="B40" s="14"/>
      <c r="C40" s="15"/>
      <c r="D40" s="15"/>
      <c r="E40" s="15"/>
      <c r="G40" t="str">
        <f t="shared" si="0"/>
        <v>&lt;dl&gt;&lt;dt&gt;&lt;/dt&gt;&lt;dd&gt;&lt;/dd&gt;&lt;dd&gt;&lt;/dd&gt;&lt;/dl&gt;</v>
      </c>
    </row>
    <row r="41" spans="2:7" ht="16.5" thickBot="1" x14ac:dyDescent="0.25">
      <c r="B41" s="14"/>
      <c r="C41" s="15"/>
      <c r="D41" s="15"/>
      <c r="E41" s="15"/>
      <c r="G41" t="str">
        <f t="shared" si="0"/>
        <v>&lt;dl&gt;&lt;dt&gt;&lt;/dt&gt;&lt;dd&gt;&lt;/dd&gt;&lt;dd&gt;&lt;/dd&gt;&lt;/dl&gt;</v>
      </c>
    </row>
    <row r="42" spans="2:7" ht="16.5" thickBot="1" x14ac:dyDescent="0.25">
      <c r="B42" s="14"/>
      <c r="C42" s="15"/>
      <c r="D42" s="15"/>
      <c r="E42" s="15"/>
      <c r="G42" t="str">
        <f t="shared" si="0"/>
        <v>&lt;dl&gt;&lt;dt&gt;&lt;/dt&gt;&lt;dd&gt;&lt;/dd&gt;&lt;dd&gt;&lt;/dd&gt;&lt;/dl&gt;</v>
      </c>
    </row>
    <row r="43" spans="2:7" ht="16.5" thickBot="1" x14ac:dyDescent="0.25">
      <c r="B43" s="14"/>
      <c r="C43" s="15"/>
      <c r="D43" s="15"/>
      <c r="E43" s="15"/>
      <c r="G43" t="str">
        <f t="shared" si="0"/>
        <v>&lt;dl&gt;&lt;dt&gt;&lt;/dt&gt;&lt;dd&gt;&lt;/dd&gt;&lt;dd&gt;&lt;/dd&gt;&lt;/dl&gt;</v>
      </c>
    </row>
    <row r="46" spans="2:7" ht="17.25" x14ac:dyDescent="0.2">
      <c r="B46" s="5"/>
    </row>
    <row r="47" spans="2:7" ht="16.5" thickBot="1" x14ac:dyDescent="0.25">
      <c r="B47" s="11"/>
    </row>
    <row r="48" spans="2:7" ht="16.5" thickBot="1" x14ac:dyDescent="0.25">
      <c r="B48" s="12"/>
      <c r="C48" s="12"/>
      <c r="D48" s="12"/>
      <c r="E48" s="12"/>
    </row>
    <row r="49" spans="2:7" ht="16.5" thickBot="1" x14ac:dyDescent="0.25">
      <c r="B49" s="14"/>
      <c r="C49" s="15"/>
      <c r="D49" s="15"/>
      <c r="E49" s="15"/>
      <c r="G49" t="str">
        <f t="shared" si="0"/>
        <v>&lt;dl&gt;&lt;dt&gt;&lt;/dt&gt;&lt;dd&gt;&lt;/dd&gt;&lt;dd&gt;&lt;/dd&gt;&lt;/dl&gt;</v>
      </c>
    </row>
    <row r="50" spans="2:7" ht="16.5" thickBot="1" x14ac:dyDescent="0.25">
      <c r="B50" s="14"/>
      <c r="C50" s="15"/>
      <c r="D50" s="15"/>
      <c r="E50" s="15"/>
      <c r="G50" t="str">
        <f t="shared" si="0"/>
        <v>&lt;dl&gt;&lt;dt&gt;&lt;/dt&gt;&lt;dd&gt;&lt;/dd&gt;&lt;dd&gt;&lt;/dd&gt;&lt;/dl&gt;</v>
      </c>
    </row>
    <row r="51" spans="2:7" ht="16.5" thickBot="1" x14ac:dyDescent="0.25">
      <c r="B51" s="14"/>
      <c r="C51" s="15"/>
      <c r="D51" s="15"/>
      <c r="E51" s="15"/>
      <c r="G51" t="str">
        <f t="shared" si="0"/>
        <v>&lt;dl&gt;&lt;dt&gt;&lt;/dt&gt;&lt;dd&gt;&lt;/dd&gt;&lt;dd&gt;&lt;/dd&gt;&lt;/dl&gt;</v>
      </c>
    </row>
    <row r="52" spans="2:7" ht="16.5" thickBot="1" x14ac:dyDescent="0.25">
      <c r="B52" s="14"/>
      <c r="C52" s="15"/>
      <c r="D52" s="15"/>
      <c r="E52" s="15"/>
      <c r="G52" t="str">
        <f t="shared" si="0"/>
        <v>&lt;dl&gt;&lt;dt&gt;&lt;/dt&gt;&lt;dd&gt;&lt;/dd&gt;&lt;dd&gt;&lt;/dd&gt;&lt;/dl&gt;</v>
      </c>
    </row>
    <row r="55" spans="2:7" ht="17.25" x14ac:dyDescent="0.2">
      <c r="B55" s="5"/>
    </row>
    <row r="56" spans="2:7" x14ac:dyDescent="0.2">
      <c r="B56" s="6"/>
    </row>
    <row r="57" spans="2:7" x14ac:dyDescent="0.2">
      <c r="B57" s="7"/>
    </row>
    <row r="58" spans="2:7" x14ac:dyDescent="0.2">
      <c r="B58" s="6"/>
    </row>
    <row r="59" spans="2:7" x14ac:dyDescent="0.2">
      <c r="B59" s="8"/>
    </row>
    <row r="60" spans="2:7" x14ac:dyDescent="0.2">
      <c r="B60" s="8"/>
    </row>
    <row r="64" spans="2:7" ht="17.25" x14ac:dyDescent="0.2">
      <c r="B64" s="5"/>
    </row>
    <row r="65" spans="2:2" x14ac:dyDescent="0.2">
      <c r="B65" s="6"/>
    </row>
    <row r="66" spans="2:2" x14ac:dyDescent="0.2">
      <c r="B66" s="7"/>
    </row>
    <row r="67" spans="2:2" x14ac:dyDescent="0.2">
      <c r="B67" s="6"/>
    </row>
    <row r="68" spans="2:2" x14ac:dyDescent="0.2">
      <c r="B68" s="9"/>
    </row>
    <row r="69" spans="2:2" x14ac:dyDescent="0.2">
      <c r="B69" s="9"/>
    </row>
    <row r="70" spans="2:2" x14ac:dyDescent="0.2">
      <c r="B70" s="7"/>
    </row>
    <row r="71" spans="2:2" x14ac:dyDescent="0.2">
      <c r="B71" s="6"/>
    </row>
    <row r="72" spans="2:2" x14ac:dyDescent="0.2">
      <c r="B72" s="9"/>
    </row>
    <row r="73" spans="2:2" x14ac:dyDescent="0.2">
      <c r="B73" s="9"/>
    </row>
    <row r="77" spans="2:2" ht="17.25" x14ac:dyDescent="0.2">
      <c r="B77" s="5"/>
    </row>
    <row r="80" spans="2:2" x14ac:dyDescent="0.2">
      <c r="B80" s="16"/>
    </row>
    <row r="81" spans="2:2" x14ac:dyDescent="0.2">
      <c r="B81" s="6"/>
    </row>
    <row r="82" spans="2:2" x14ac:dyDescent="0.2">
      <c r="B82" s="6"/>
    </row>
  </sheetData>
  <phoneticPr fontId="2" type="noConversion"/>
  <pageMargins left="0.7" right="0.7" top="0.75" bottom="0.75" header="0.3" footer="0.3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920001-89EF-4A52-B128-19A403BE9D53}">
  <dimension ref="B1:G82"/>
  <sheetViews>
    <sheetView zoomScaleNormal="100" workbookViewId="0">
      <selection activeCell="B1" sqref="B1:E1048576"/>
    </sheetView>
  </sheetViews>
  <sheetFormatPr defaultRowHeight="14.25" x14ac:dyDescent="0.2"/>
  <cols>
    <col min="1" max="1" width="2.75" customWidth="1"/>
    <col min="2" max="2" width="15.625" customWidth="1"/>
    <col min="3" max="3" width="43.125" customWidth="1"/>
    <col min="4" max="4" width="32.75" customWidth="1"/>
  </cols>
  <sheetData>
    <row r="1" spans="2:7" x14ac:dyDescent="0.2">
      <c r="G1" t="str">
        <f>"&lt;dl&gt;&lt;dt&gt;" &amp; B1 &amp; "&lt;/dt&gt;&lt;dd&gt;" &amp; C1 &amp; "&lt;/dd&gt;&lt;dd&gt;" &amp; D1 &amp; "&lt;/dd&gt;&lt;/dl&gt;"</f>
        <v>&lt;dl&gt;&lt;dt&gt;&lt;/dt&gt;&lt;dd&gt;&lt;/dd&gt;&lt;dd&gt;&lt;/dd&gt;&lt;/dl&gt;</v>
      </c>
    </row>
    <row r="5" spans="2:7" ht="17.25" x14ac:dyDescent="0.2">
      <c r="B5" s="5"/>
    </row>
    <row r="7" spans="2:7" x14ac:dyDescent="0.2">
      <c r="B7" s="1"/>
    </row>
    <row r="8" spans="2:7" x14ac:dyDescent="0.2">
      <c r="B8" s="6"/>
    </row>
    <row r="9" spans="2:7" x14ac:dyDescent="0.2">
      <c r="B9" s="7"/>
    </row>
    <row r="10" spans="2:7" x14ac:dyDescent="0.2">
      <c r="B10" s="6"/>
    </row>
    <row r="11" spans="2:7" x14ac:dyDescent="0.2">
      <c r="B11" s="8"/>
    </row>
    <row r="12" spans="2:7" x14ac:dyDescent="0.2">
      <c r="B12" s="8"/>
    </row>
    <row r="13" spans="2:7" x14ac:dyDescent="0.2">
      <c r="B13" s="8"/>
    </row>
    <row r="14" spans="2:7" x14ac:dyDescent="0.2">
      <c r="B14" s="8"/>
    </row>
    <row r="15" spans="2:7" x14ac:dyDescent="0.2">
      <c r="B15" s="9"/>
    </row>
    <row r="16" spans="2:7" x14ac:dyDescent="0.2">
      <c r="B16" s="10"/>
    </row>
    <row r="17" spans="2:7" x14ac:dyDescent="0.2">
      <c r="B17" s="10"/>
    </row>
    <row r="21" spans="2:7" ht="17.25" x14ac:dyDescent="0.2">
      <c r="B21" s="5"/>
    </row>
    <row r="22" spans="2:7" ht="16.5" thickBot="1" x14ac:dyDescent="0.25">
      <c r="B22" s="11"/>
    </row>
    <row r="23" spans="2:7" ht="16.5" thickBot="1" x14ac:dyDescent="0.25">
      <c r="B23" s="12"/>
      <c r="C23" s="12"/>
      <c r="D23" s="12"/>
      <c r="E23" s="12"/>
    </row>
    <row r="24" spans="2:7" ht="16.5" thickBot="1" x14ac:dyDescent="0.25">
      <c r="B24" s="14"/>
      <c r="C24" s="15"/>
      <c r="D24" s="15"/>
      <c r="E24" s="15"/>
      <c r="G24" t="str">
        <f t="shared" ref="G24:G52" si="0">"&lt;dl&gt;&lt;dt&gt;" &amp; B24 &amp; "&lt;/dt&gt;&lt;dd&gt;" &amp; C24 &amp; "&lt;/dd&gt;&lt;dd&gt;" &amp; D24 &amp; "&lt;/dd&gt;&lt;/dl&gt;"</f>
        <v>&lt;dl&gt;&lt;dt&gt;&lt;/dt&gt;&lt;dd&gt;&lt;/dd&gt;&lt;dd&gt;&lt;/dd&gt;&lt;/dl&gt;</v>
      </c>
    </row>
    <row r="25" spans="2:7" ht="16.5" thickBot="1" x14ac:dyDescent="0.25">
      <c r="B25" s="14"/>
      <c r="C25" s="15"/>
      <c r="D25" s="15"/>
      <c r="E25" s="15"/>
      <c r="G25" t="str">
        <f t="shared" si="0"/>
        <v>&lt;dl&gt;&lt;dt&gt;&lt;/dt&gt;&lt;dd&gt;&lt;/dd&gt;&lt;dd&gt;&lt;/dd&gt;&lt;/dl&gt;</v>
      </c>
    </row>
    <row r="26" spans="2:7" ht="16.5" thickBot="1" x14ac:dyDescent="0.25">
      <c r="B26" s="14"/>
      <c r="C26" s="15"/>
      <c r="D26" s="15"/>
      <c r="E26" s="15"/>
      <c r="G26" t="str">
        <f t="shared" si="0"/>
        <v>&lt;dl&gt;&lt;dt&gt;&lt;/dt&gt;&lt;dd&gt;&lt;/dd&gt;&lt;dd&gt;&lt;/dd&gt;&lt;/dl&gt;</v>
      </c>
    </row>
    <row r="27" spans="2:7" ht="16.5" thickBot="1" x14ac:dyDescent="0.25">
      <c r="B27" s="14"/>
      <c r="C27" s="15"/>
      <c r="D27" s="15"/>
      <c r="E27" s="15"/>
      <c r="G27" t="str">
        <f t="shared" si="0"/>
        <v>&lt;dl&gt;&lt;dt&gt;&lt;/dt&gt;&lt;dd&gt;&lt;/dd&gt;&lt;dd&gt;&lt;/dd&gt;&lt;/dl&gt;</v>
      </c>
    </row>
    <row r="28" spans="2:7" ht="16.5" thickBot="1" x14ac:dyDescent="0.25">
      <c r="B28" s="14"/>
      <c r="C28" s="15"/>
      <c r="D28" s="15"/>
      <c r="E28" s="15"/>
      <c r="G28" t="str">
        <f t="shared" si="0"/>
        <v>&lt;dl&gt;&lt;dt&gt;&lt;/dt&gt;&lt;dd&gt;&lt;/dd&gt;&lt;dd&gt;&lt;/dd&gt;&lt;/dl&gt;</v>
      </c>
    </row>
    <row r="29" spans="2:7" ht="16.5" thickBot="1" x14ac:dyDescent="0.25">
      <c r="B29" s="14"/>
      <c r="C29" s="15"/>
      <c r="D29" s="15"/>
      <c r="E29" s="15"/>
      <c r="G29" t="str">
        <f t="shared" si="0"/>
        <v>&lt;dl&gt;&lt;dt&gt;&lt;/dt&gt;&lt;dd&gt;&lt;/dd&gt;&lt;dd&gt;&lt;/dd&gt;&lt;/dl&gt;</v>
      </c>
    </row>
    <row r="32" spans="2:7" ht="17.25" x14ac:dyDescent="0.2">
      <c r="B32" s="5"/>
    </row>
    <row r="33" spans="2:7" ht="16.5" thickBot="1" x14ac:dyDescent="0.25">
      <c r="B33" s="11"/>
    </row>
    <row r="34" spans="2:7" ht="16.5" thickBot="1" x14ac:dyDescent="0.25">
      <c r="B34" s="12"/>
      <c r="C34" s="12"/>
      <c r="D34" s="12"/>
      <c r="E34" s="12"/>
    </row>
    <row r="35" spans="2:7" ht="16.5" thickBot="1" x14ac:dyDescent="0.25">
      <c r="B35" s="14"/>
      <c r="C35" s="15"/>
      <c r="D35" s="15"/>
      <c r="E35" s="15"/>
      <c r="G35" t="str">
        <f t="shared" si="0"/>
        <v>&lt;dl&gt;&lt;dt&gt;&lt;/dt&gt;&lt;dd&gt;&lt;/dd&gt;&lt;dd&gt;&lt;/dd&gt;&lt;/dl&gt;</v>
      </c>
    </row>
    <row r="36" spans="2:7" ht="16.5" thickBot="1" x14ac:dyDescent="0.25">
      <c r="B36" s="14"/>
      <c r="C36" s="15"/>
      <c r="D36" s="15"/>
      <c r="E36" s="15"/>
      <c r="G36" t="str">
        <f t="shared" si="0"/>
        <v>&lt;dl&gt;&lt;dt&gt;&lt;/dt&gt;&lt;dd&gt;&lt;/dd&gt;&lt;dd&gt;&lt;/dd&gt;&lt;/dl&gt;</v>
      </c>
    </row>
    <row r="37" spans="2:7" ht="16.5" thickBot="1" x14ac:dyDescent="0.25">
      <c r="B37" s="14"/>
      <c r="C37" s="15"/>
      <c r="D37" s="15"/>
      <c r="E37" s="15"/>
      <c r="G37" t="str">
        <f t="shared" si="0"/>
        <v>&lt;dl&gt;&lt;dt&gt;&lt;/dt&gt;&lt;dd&gt;&lt;/dd&gt;&lt;dd&gt;&lt;/dd&gt;&lt;/dl&gt;</v>
      </c>
    </row>
    <row r="38" spans="2:7" ht="16.5" thickBot="1" x14ac:dyDescent="0.25">
      <c r="B38" s="14"/>
      <c r="C38" s="15"/>
      <c r="D38" s="15"/>
      <c r="E38" s="15"/>
      <c r="G38" t="str">
        <f t="shared" si="0"/>
        <v>&lt;dl&gt;&lt;dt&gt;&lt;/dt&gt;&lt;dd&gt;&lt;/dd&gt;&lt;dd&gt;&lt;/dd&gt;&lt;/dl&gt;</v>
      </c>
    </row>
    <row r="39" spans="2:7" ht="16.5" thickBot="1" x14ac:dyDescent="0.25">
      <c r="B39" s="14"/>
      <c r="C39" s="15"/>
      <c r="D39" s="15"/>
      <c r="E39" s="15"/>
      <c r="G39" t="str">
        <f t="shared" si="0"/>
        <v>&lt;dl&gt;&lt;dt&gt;&lt;/dt&gt;&lt;dd&gt;&lt;/dd&gt;&lt;dd&gt;&lt;/dd&gt;&lt;/dl&gt;</v>
      </c>
    </row>
    <row r="40" spans="2:7" ht="16.5" thickBot="1" x14ac:dyDescent="0.25">
      <c r="B40" s="14"/>
      <c r="C40" s="15"/>
      <c r="D40" s="15"/>
      <c r="E40" s="15"/>
      <c r="G40" t="str">
        <f t="shared" si="0"/>
        <v>&lt;dl&gt;&lt;dt&gt;&lt;/dt&gt;&lt;dd&gt;&lt;/dd&gt;&lt;dd&gt;&lt;/dd&gt;&lt;/dl&gt;</v>
      </c>
    </row>
    <row r="41" spans="2:7" ht="16.5" thickBot="1" x14ac:dyDescent="0.25">
      <c r="B41" s="14"/>
      <c r="C41" s="15"/>
      <c r="D41" s="15"/>
      <c r="E41" s="15"/>
      <c r="G41" t="str">
        <f t="shared" si="0"/>
        <v>&lt;dl&gt;&lt;dt&gt;&lt;/dt&gt;&lt;dd&gt;&lt;/dd&gt;&lt;dd&gt;&lt;/dd&gt;&lt;/dl&gt;</v>
      </c>
    </row>
    <row r="42" spans="2:7" ht="16.5" thickBot="1" x14ac:dyDescent="0.25">
      <c r="B42" s="14"/>
      <c r="C42" s="15"/>
      <c r="D42" s="15"/>
      <c r="E42" s="15"/>
      <c r="G42" t="str">
        <f t="shared" si="0"/>
        <v>&lt;dl&gt;&lt;dt&gt;&lt;/dt&gt;&lt;dd&gt;&lt;/dd&gt;&lt;dd&gt;&lt;/dd&gt;&lt;/dl&gt;</v>
      </c>
    </row>
    <row r="43" spans="2:7" ht="16.5" thickBot="1" x14ac:dyDescent="0.25">
      <c r="B43" s="14"/>
      <c r="C43" s="15"/>
      <c r="D43" s="15"/>
      <c r="E43" s="15"/>
      <c r="G43" t="str">
        <f t="shared" si="0"/>
        <v>&lt;dl&gt;&lt;dt&gt;&lt;/dt&gt;&lt;dd&gt;&lt;/dd&gt;&lt;dd&gt;&lt;/dd&gt;&lt;/dl&gt;</v>
      </c>
    </row>
    <row r="46" spans="2:7" ht="17.25" x14ac:dyDescent="0.2">
      <c r="B46" s="5"/>
    </row>
    <row r="47" spans="2:7" ht="16.5" thickBot="1" x14ac:dyDescent="0.25">
      <c r="B47" s="11"/>
    </row>
    <row r="48" spans="2:7" ht="16.5" thickBot="1" x14ac:dyDescent="0.25">
      <c r="B48" s="12"/>
      <c r="C48" s="12"/>
      <c r="D48" s="12"/>
      <c r="E48" s="12"/>
    </row>
    <row r="49" spans="2:7" ht="16.5" thickBot="1" x14ac:dyDescent="0.25">
      <c r="B49" s="14"/>
      <c r="C49" s="15"/>
      <c r="D49" s="15"/>
      <c r="E49" s="15"/>
      <c r="G49" t="str">
        <f t="shared" si="0"/>
        <v>&lt;dl&gt;&lt;dt&gt;&lt;/dt&gt;&lt;dd&gt;&lt;/dd&gt;&lt;dd&gt;&lt;/dd&gt;&lt;/dl&gt;</v>
      </c>
    </row>
    <row r="50" spans="2:7" ht="16.5" thickBot="1" x14ac:dyDescent="0.25">
      <c r="B50" s="14"/>
      <c r="C50" s="15"/>
      <c r="D50" s="15"/>
      <c r="E50" s="15"/>
      <c r="G50" t="str">
        <f t="shared" si="0"/>
        <v>&lt;dl&gt;&lt;dt&gt;&lt;/dt&gt;&lt;dd&gt;&lt;/dd&gt;&lt;dd&gt;&lt;/dd&gt;&lt;/dl&gt;</v>
      </c>
    </row>
    <row r="51" spans="2:7" ht="16.5" thickBot="1" x14ac:dyDescent="0.25">
      <c r="B51" s="14"/>
      <c r="C51" s="15"/>
      <c r="D51" s="15"/>
      <c r="E51" s="15"/>
      <c r="G51" t="str">
        <f t="shared" si="0"/>
        <v>&lt;dl&gt;&lt;dt&gt;&lt;/dt&gt;&lt;dd&gt;&lt;/dd&gt;&lt;dd&gt;&lt;/dd&gt;&lt;/dl&gt;</v>
      </c>
    </row>
    <row r="52" spans="2:7" ht="16.5" thickBot="1" x14ac:dyDescent="0.25">
      <c r="B52" s="14"/>
      <c r="C52" s="15"/>
      <c r="D52" s="15"/>
      <c r="E52" s="15"/>
      <c r="G52" t="str">
        <f t="shared" si="0"/>
        <v>&lt;dl&gt;&lt;dt&gt;&lt;/dt&gt;&lt;dd&gt;&lt;/dd&gt;&lt;dd&gt;&lt;/dd&gt;&lt;/dl&gt;</v>
      </c>
    </row>
    <row r="55" spans="2:7" ht="17.25" x14ac:dyDescent="0.2">
      <c r="B55" s="5"/>
    </row>
    <row r="56" spans="2:7" x14ac:dyDescent="0.2">
      <c r="B56" s="6"/>
    </row>
    <row r="57" spans="2:7" x14ac:dyDescent="0.2">
      <c r="B57" s="7"/>
    </row>
    <row r="58" spans="2:7" x14ac:dyDescent="0.2">
      <c r="B58" s="6"/>
    </row>
    <row r="59" spans="2:7" x14ac:dyDescent="0.2">
      <c r="B59" s="8"/>
    </row>
    <row r="60" spans="2:7" x14ac:dyDescent="0.2">
      <c r="B60" s="8"/>
    </row>
    <row r="64" spans="2:7" ht="17.25" x14ac:dyDescent="0.2">
      <c r="B64" s="5"/>
    </row>
    <row r="65" spans="2:2" x14ac:dyDescent="0.2">
      <c r="B65" s="6"/>
    </row>
    <row r="66" spans="2:2" x14ac:dyDescent="0.2">
      <c r="B66" s="7"/>
    </row>
    <row r="67" spans="2:2" x14ac:dyDescent="0.2">
      <c r="B67" s="6"/>
    </row>
    <row r="68" spans="2:2" x14ac:dyDescent="0.2">
      <c r="B68" s="9"/>
    </row>
    <row r="69" spans="2:2" x14ac:dyDescent="0.2">
      <c r="B69" s="9"/>
    </row>
    <row r="70" spans="2:2" x14ac:dyDescent="0.2">
      <c r="B70" s="7"/>
    </row>
    <row r="71" spans="2:2" x14ac:dyDescent="0.2">
      <c r="B71" s="6"/>
    </row>
    <row r="72" spans="2:2" x14ac:dyDescent="0.2">
      <c r="B72" s="9"/>
    </row>
    <row r="73" spans="2:2" x14ac:dyDescent="0.2">
      <c r="B73" s="9"/>
    </row>
    <row r="77" spans="2:2" ht="17.25" x14ac:dyDescent="0.2">
      <c r="B77" s="5"/>
    </row>
    <row r="80" spans="2:2" x14ac:dyDescent="0.2">
      <c r="B80" s="16"/>
    </row>
    <row r="81" spans="2:2" x14ac:dyDescent="0.2">
      <c r="B81" s="6"/>
    </row>
    <row r="82" spans="2:2" x14ac:dyDescent="0.2">
      <c r="B82" s="6"/>
    </row>
  </sheetData>
  <phoneticPr fontId="2" type="noConversion"/>
  <pageMargins left="0.7" right="0.7" top="0.75" bottom="0.75" header="0.3" footer="0.3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30050C-55C8-4201-AC06-44333C0F182A}">
  <dimension ref="B1:G82"/>
  <sheetViews>
    <sheetView zoomScaleNormal="100" workbookViewId="0">
      <selection activeCell="B1" sqref="B1:E1048576"/>
    </sheetView>
  </sheetViews>
  <sheetFormatPr defaultRowHeight="14.25" x14ac:dyDescent="0.2"/>
  <cols>
    <col min="1" max="1" width="2.75" customWidth="1"/>
    <col min="2" max="2" width="15.625" customWidth="1"/>
    <col min="3" max="3" width="43.125" customWidth="1"/>
    <col min="4" max="4" width="32.75" customWidth="1"/>
  </cols>
  <sheetData>
    <row r="1" spans="2:7" x14ac:dyDescent="0.2">
      <c r="G1" t="str">
        <f>"&lt;dl&gt;&lt;dt&gt;" &amp; B1 &amp; "&lt;/dt&gt;&lt;dd&gt;" &amp; C1 &amp; "&lt;/dd&gt;&lt;dd&gt;" &amp; D1 &amp; "&lt;/dd&gt;&lt;/dl&gt;"</f>
        <v>&lt;dl&gt;&lt;dt&gt;&lt;/dt&gt;&lt;dd&gt;&lt;/dd&gt;&lt;dd&gt;&lt;/dd&gt;&lt;/dl&gt;</v>
      </c>
    </row>
    <row r="5" spans="2:7" ht="17.25" x14ac:dyDescent="0.2">
      <c r="B5" s="5"/>
    </row>
    <row r="7" spans="2:7" x14ac:dyDescent="0.2">
      <c r="B7" s="1"/>
    </row>
    <row r="8" spans="2:7" x14ac:dyDescent="0.2">
      <c r="B8" s="6"/>
    </row>
    <row r="9" spans="2:7" x14ac:dyDescent="0.2">
      <c r="B9" s="7"/>
    </row>
    <row r="10" spans="2:7" x14ac:dyDescent="0.2">
      <c r="B10" s="6"/>
    </row>
    <row r="11" spans="2:7" x14ac:dyDescent="0.2">
      <c r="B11" s="8"/>
    </row>
    <row r="12" spans="2:7" x14ac:dyDescent="0.2">
      <c r="B12" s="8"/>
    </row>
    <row r="13" spans="2:7" x14ac:dyDescent="0.2">
      <c r="B13" s="8"/>
    </row>
    <row r="14" spans="2:7" x14ac:dyDescent="0.2">
      <c r="B14" s="8"/>
    </row>
    <row r="15" spans="2:7" x14ac:dyDescent="0.2">
      <c r="B15" s="9"/>
    </row>
    <row r="16" spans="2:7" x14ac:dyDescent="0.2">
      <c r="B16" s="10"/>
    </row>
    <row r="17" spans="2:7" x14ac:dyDescent="0.2">
      <c r="B17" s="10"/>
    </row>
    <row r="21" spans="2:7" ht="17.25" x14ac:dyDescent="0.2">
      <c r="B21" s="5"/>
    </row>
    <row r="22" spans="2:7" ht="16.5" thickBot="1" x14ac:dyDescent="0.25">
      <c r="B22" s="11"/>
    </row>
    <row r="23" spans="2:7" ht="16.5" thickBot="1" x14ac:dyDescent="0.25">
      <c r="B23" s="12"/>
      <c r="C23" s="12"/>
      <c r="D23" s="12"/>
      <c r="E23" s="12"/>
    </row>
    <row r="24" spans="2:7" ht="16.5" thickBot="1" x14ac:dyDescent="0.25">
      <c r="B24" s="14"/>
      <c r="C24" s="15"/>
      <c r="D24" s="15"/>
      <c r="E24" s="15"/>
      <c r="G24" t="str">
        <f t="shared" ref="G24:G52" si="0">"&lt;dl&gt;&lt;dt&gt;" &amp; B24 &amp; "&lt;/dt&gt;&lt;dd&gt;" &amp; C24 &amp; "&lt;/dd&gt;&lt;dd&gt;" &amp; D24 &amp; "&lt;/dd&gt;&lt;/dl&gt;"</f>
        <v>&lt;dl&gt;&lt;dt&gt;&lt;/dt&gt;&lt;dd&gt;&lt;/dd&gt;&lt;dd&gt;&lt;/dd&gt;&lt;/dl&gt;</v>
      </c>
    </row>
    <row r="25" spans="2:7" ht="16.5" thickBot="1" x14ac:dyDescent="0.25">
      <c r="B25" s="14"/>
      <c r="C25" s="15"/>
      <c r="D25" s="15"/>
      <c r="E25" s="15"/>
      <c r="G25" t="str">
        <f t="shared" si="0"/>
        <v>&lt;dl&gt;&lt;dt&gt;&lt;/dt&gt;&lt;dd&gt;&lt;/dd&gt;&lt;dd&gt;&lt;/dd&gt;&lt;/dl&gt;</v>
      </c>
    </row>
    <row r="26" spans="2:7" ht="16.5" thickBot="1" x14ac:dyDescent="0.25">
      <c r="B26" s="14"/>
      <c r="C26" s="15"/>
      <c r="D26" s="15"/>
      <c r="E26" s="15"/>
      <c r="G26" t="str">
        <f t="shared" si="0"/>
        <v>&lt;dl&gt;&lt;dt&gt;&lt;/dt&gt;&lt;dd&gt;&lt;/dd&gt;&lt;dd&gt;&lt;/dd&gt;&lt;/dl&gt;</v>
      </c>
    </row>
    <row r="27" spans="2:7" ht="16.5" thickBot="1" x14ac:dyDescent="0.25">
      <c r="B27" s="14"/>
      <c r="C27" s="15"/>
      <c r="D27" s="15"/>
      <c r="E27" s="15"/>
      <c r="G27" t="str">
        <f t="shared" si="0"/>
        <v>&lt;dl&gt;&lt;dt&gt;&lt;/dt&gt;&lt;dd&gt;&lt;/dd&gt;&lt;dd&gt;&lt;/dd&gt;&lt;/dl&gt;</v>
      </c>
    </row>
    <row r="28" spans="2:7" ht="16.5" thickBot="1" x14ac:dyDescent="0.25">
      <c r="B28" s="14"/>
      <c r="C28" s="15"/>
      <c r="D28" s="15"/>
      <c r="E28" s="15"/>
      <c r="G28" t="str">
        <f t="shared" si="0"/>
        <v>&lt;dl&gt;&lt;dt&gt;&lt;/dt&gt;&lt;dd&gt;&lt;/dd&gt;&lt;dd&gt;&lt;/dd&gt;&lt;/dl&gt;</v>
      </c>
    </row>
    <row r="29" spans="2:7" ht="16.5" thickBot="1" x14ac:dyDescent="0.25">
      <c r="B29" s="14"/>
      <c r="C29" s="15"/>
      <c r="D29" s="15"/>
      <c r="E29" s="15"/>
      <c r="G29" t="str">
        <f t="shared" si="0"/>
        <v>&lt;dl&gt;&lt;dt&gt;&lt;/dt&gt;&lt;dd&gt;&lt;/dd&gt;&lt;dd&gt;&lt;/dd&gt;&lt;/dl&gt;</v>
      </c>
    </row>
    <row r="32" spans="2:7" ht="17.25" x14ac:dyDescent="0.2">
      <c r="B32" s="5"/>
    </row>
    <row r="33" spans="2:7" ht="16.5" thickBot="1" x14ac:dyDescent="0.25">
      <c r="B33" s="11"/>
    </row>
    <row r="34" spans="2:7" ht="16.5" thickBot="1" x14ac:dyDescent="0.25">
      <c r="B34" s="12"/>
      <c r="C34" s="12"/>
      <c r="D34" s="12"/>
      <c r="E34" s="12"/>
    </row>
    <row r="35" spans="2:7" ht="16.5" thickBot="1" x14ac:dyDescent="0.25">
      <c r="B35" s="14"/>
      <c r="C35" s="15"/>
      <c r="D35" s="15"/>
      <c r="E35" s="15"/>
      <c r="G35" t="str">
        <f t="shared" si="0"/>
        <v>&lt;dl&gt;&lt;dt&gt;&lt;/dt&gt;&lt;dd&gt;&lt;/dd&gt;&lt;dd&gt;&lt;/dd&gt;&lt;/dl&gt;</v>
      </c>
    </row>
    <row r="36" spans="2:7" ht="16.5" thickBot="1" x14ac:dyDescent="0.25">
      <c r="B36" s="14"/>
      <c r="C36" s="15"/>
      <c r="D36" s="15"/>
      <c r="E36" s="15"/>
      <c r="G36" t="str">
        <f t="shared" si="0"/>
        <v>&lt;dl&gt;&lt;dt&gt;&lt;/dt&gt;&lt;dd&gt;&lt;/dd&gt;&lt;dd&gt;&lt;/dd&gt;&lt;/dl&gt;</v>
      </c>
    </row>
    <row r="37" spans="2:7" ht="16.5" thickBot="1" x14ac:dyDescent="0.25">
      <c r="B37" s="14"/>
      <c r="C37" s="15"/>
      <c r="D37" s="15"/>
      <c r="E37" s="15"/>
      <c r="G37" t="str">
        <f t="shared" si="0"/>
        <v>&lt;dl&gt;&lt;dt&gt;&lt;/dt&gt;&lt;dd&gt;&lt;/dd&gt;&lt;dd&gt;&lt;/dd&gt;&lt;/dl&gt;</v>
      </c>
    </row>
    <row r="38" spans="2:7" ht="16.5" thickBot="1" x14ac:dyDescent="0.25">
      <c r="B38" s="14"/>
      <c r="C38" s="15"/>
      <c r="D38" s="15"/>
      <c r="E38" s="15"/>
      <c r="G38" t="str">
        <f t="shared" si="0"/>
        <v>&lt;dl&gt;&lt;dt&gt;&lt;/dt&gt;&lt;dd&gt;&lt;/dd&gt;&lt;dd&gt;&lt;/dd&gt;&lt;/dl&gt;</v>
      </c>
    </row>
    <row r="39" spans="2:7" ht="16.5" thickBot="1" x14ac:dyDescent="0.25">
      <c r="B39" s="14"/>
      <c r="C39" s="15"/>
      <c r="D39" s="15"/>
      <c r="E39" s="15"/>
      <c r="G39" t="str">
        <f t="shared" si="0"/>
        <v>&lt;dl&gt;&lt;dt&gt;&lt;/dt&gt;&lt;dd&gt;&lt;/dd&gt;&lt;dd&gt;&lt;/dd&gt;&lt;/dl&gt;</v>
      </c>
    </row>
    <row r="40" spans="2:7" ht="16.5" thickBot="1" x14ac:dyDescent="0.25">
      <c r="B40" s="14"/>
      <c r="C40" s="15"/>
      <c r="D40" s="15"/>
      <c r="E40" s="15"/>
      <c r="G40" t="str">
        <f t="shared" si="0"/>
        <v>&lt;dl&gt;&lt;dt&gt;&lt;/dt&gt;&lt;dd&gt;&lt;/dd&gt;&lt;dd&gt;&lt;/dd&gt;&lt;/dl&gt;</v>
      </c>
    </row>
    <row r="41" spans="2:7" ht="16.5" thickBot="1" x14ac:dyDescent="0.25">
      <c r="B41" s="14"/>
      <c r="C41" s="15"/>
      <c r="D41" s="15"/>
      <c r="E41" s="15"/>
      <c r="G41" t="str">
        <f t="shared" si="0"/>
        <v>&lt;dl&gt;&lt;dt&gt;&lt;/dt&gt;&lt;dd&gt;&lt;/dd&gt;&lt;dd&gt;&lt;/dd&gt;&lt;/dl&gt;</v>
      </c>
    </row>
    <row r="42" spans="2:7" ht="16.5" thickBot="1" x14ac:dyDescent="0.25">
      <c r="B42" s="14"/>
      <c r="C42" s="15"/>
      <c r="D42" s="15"/>
      <c r="E42" s="15"/>
      <c r="G42" t="str">
        <f t="shared" si="0"/>
        <v>&lt;dl&gt;&lt;dt&gt;&lt;/dt&gt;&lt;dd&gt;&lt;/dd&gt;&lt;dd&gt;&lt;/dd&gt;&lt;/dl&gt;</v>
      </c>
    </row>
    <row r="43" spans="2:7" ht="16.5" thickBot="1" x14ac:dyDescent="0.25">
      <c r="B43" s="14"/>
      <c r="C43" s="15"/>
      <c r="D43" s="15"/>
      <c r="E43" s="15"/>
      <c r="G43" t="str">
        <f t="shared" si="0"/>
        <v>&lt;dl&gt;&lt;dt&gt;&lt;/dt&gt;&lt;dd&gt;&lt;/dd&gt;&lt;dd&gt;&lt;/dd&gt;&lt;/dl&gt;</v>
      </c>
    </row>
    <row r="46" spans="2:7" ht="17.25" x14ac:dyDescent="0.2">
      <c r="B46" s="5"/>
    </row>
    <row r="47" spans="2:7" ht="16.5" thickBot="1" x14ac:dyDescent="0.25">
      <c r="B47" s="11"/>
    </row>
    <row r="48" spans="2:7" ht="16.5" thickBot="1" x14ac:dyDescent="0.25">
      <c r="B48" s="12"/>
      <c r="C48" s="12"/>
      <c r="D48" s="12"/>
      <c r="E48" s="12"/>
    </row>
    <row r="49" spans="2:7" ht="16.5" thickBot="1" x14ac:dyDescent="0.25">
      <c r="B49" s="14"/>
      <c r="C49" s="15"/>
      <c r="D49" s="15"/>
      <c r="E49" s="15"/>
      <c r="G49" t="str">
        <f t="shared" si="0"/>
        <v>&lt;dl&gt;&lt;dt&gt;&lt;/dt&gt;&lt;dd&gt;&lt;/dd&gt;&lt;dd&gt;&lt;/dd&gt;&lt;/dl&gt;</v>
      </c>
    </row>
    <row r="50" spans="2:7" ht="16.5" thickBot="1" x14ac:dyDescent="0.25">
      <c r="B50" s="14"/>
      <c r="C50" s="15"/>
      <c r="D50" s="15"/>
      <c r="E50" s="15"/>
      <c r="G50" t="str">
        <f t="shared" si="0"/>
        <v>&lt;dl&gt;&lt;dt&gt;&lt;/dt&gt;&lt;dd&gt;&lt;/dd&gt;&lt;dd&gt;&lt;/dd&gt;&lt;/dl&gt;</v>
      </c>
    </row>
    <row r="51" spans="2:7" ht="16.5" thickBot="1" x14ac:dyDescent="0.25">
      <c r="B51" s="14"/>
      <c r="C51" s="15"/>
      <c r="D51" s="15"/>
      <c r="E51" s="15"/>
      <c r="G51" t="str">
        <f t="shared" si="0"/>
        <v>&lt;dl&gt;&lt;dt&gt;&lt;/dt&gt;&lt;dd&gt;&lt;/dd&gt;&lt;dd&gt;&lt;/dd&gt;&lt;/dl&gt;</v>
      </c>
    </row>
    <row r="52" spans="2:7" ht="16.5" thickBot="1" x14ac:dyDescent="0.25">
      <c r="B52" s="14"/>
      <c r="C52" s="15"/>
      <c r="D52" s="15"/>
      <c r="E52" s="15"/>
      <c r="G52" t="str">
        <f t="shared" si="0"/>
        <v>&lt;dl&gt;&lt;dt&gt;&lt;/dt&gt;&lt;dd&gt;&lt;/dd&gt;&lt;dd&gt;&lt;/dd&gt;&lt;/dl&gt;</v>
      </c>
    </row>
    <row r="55" spans="2:7" ht="17.25" x14ac:dyDescent="0.2">
      <c r="B55" s="5"/>
    </row>
    <row r="56" spans="2:7" x14ac:dyDescent="0.2">
      <c r="B56" s="6"/>
    </row>
    <row r="57" spans="2:7" x14ac:dyDescent="0.2">
      <c r="B57" s="7"/>
    </row>
    <row r="58" spans="2:7" x14ac:dyDescent="0.2">
      <c r="B58" s="6"/>
    </row>
    <row r="59" spans="2:7" x14ac:dyDescent="0.2">
      <c r="B59" s="8"/>
    </row>
    <row r="60" spans="2:7" x14ac:dyDescent="0.2">
      <c r="B60" s="8"/>
    </row>
    <row r="64" spans="2:7" ht="17.25" x14ac:dyDescent="0.2">
      <c r="B64" s="5"/>
    </row>
    <row r="65" spans="2:2" x14ac:dyDescent="0.2">
      <c r="B65" s="6"/>
    </row>
    <row r="66" spans="2:2" x14ac:dyDescent="0.2">
      <c r="B66" s="7"/>
    </row>
    <row r="67" spans="2:2" x14ac:dyDescent="0.2">
      <c r="B67" s="6"/>
    </row>
    <row r="68" spans="2:2" x14ac:dyDescent="0.2">
      <c r="B68" s="9"/>
    </row>
    <row r="69" spans="2:2" x14ac:dyDescent="0.2">
      <c r="B69" s="9"/>
    </row>
    <row r="70" spans="2:2" x14ac:dyDescent="0.2">
      <c r="B70" s="7"/>
    </row>
    <row r="71" spans="2:2" x14ac:dyDescent="0.2">
      <c r="B71" s="6"/>
    </row>
    <row r="72" spans="2:2" x14ac:dyDescent="0.2">
      <c r="B72" s="9"/>
    </row>
    <row r="73" spans="2:2" x14ac:dyDescent="0.2">
      <c r="B73" s="9"/>
    </row>
    <row r="77" spans="2:2" ht="17.25" x14ac:dyDescent="0.2">
      <c r="B77" s="5"/>
    </row>
    <row r="80" spans="2:2" x14ac:dyDescent="0.2">
      <c r="B80" s="16"/>
    </row>
    <row r="81" spans="2:2" x14ac:dyDescent="0.2">
      <c r="B81" s="6"/>
    </row>
    <row r="82" spans="2:2" x14ac:dyDescent="0.2">
      <c r="B82" s="6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68</vt:i4>
      </vt:variant>
    </vt:vector>
  </HeadingPairs>
  <TitlesOfParts>
    <vt:vector size="68" baseType="lpstr">
      <vt:lpstr>紫微</vt:lpstr>
      <vt:lpstr>天府</vt:lpstr>
      <vt:lpstr>天梁</vt:lpstr>
      <vt:lpstr>天相</vt:lpstr>
      <vt:lpstr>太阳</vt:lpstr>
      <vt:lpstr>太阴</vt:lpstr>
      <vt:lpstr>破军</vt:lpstr>
      <vt:lpstr>七杀</vt:lpstr>
      <vt:lpstr>巨门</vt:lpstr>
      <vt:lpstr>天机</vt:lpstr>
      <vt:lpstr>天同</vt:lpstr>
      <vt:lpstr>廉贞</vt:lpstr>
      <vt:lpstr>贪狼</vt:lpstr>
      <vt:lpstr>武曲</vt:lpstr>
      <vt:lpstr>文昌</vt:lpstr>
      <vt:lpstr>文曲</vt:lpstr>
      <vt:lpstr>左辅</vt:lpstr>
      <vt:lpstr>右弼</vt:lpstr>
      <vt:lpstr>天魁</vt:lpstr>
      <vt:lpstr>天钺</vt:lpstr>
      <vt:lpstr>禄存</vt:lpstr>
      <vt:lpstr>天马</vt:lpstr>
      <vt:lpstr>擎羊</vt:lpstr>
      <vt:lpstr>陀罗</vt:lpstr>
      <vt:lpstr>地空</vt:lpstr>
      <vt:lpstr>地劫</vt:lpstr>
      <vt:lpstr>火星</vt:lpstr>
      <vt:lpstr>铃星</vt:lpstr>
      <vt:lpstr>天刑</vt:lpstr>
      <vt:lpstr>天寿</vt:lpstr>
      <vt:lpstr>天巫</vt:lpstr>
      <vt:lpstr>阴煞</vt:lpstr>
      <vt:lpstr>天使</vt:lpstr>
      <vt:lpstr>天伤</vt:lpstr>
      <vt:lpstr>天月</vt:lpstr>
      <vt:lpstr>华盖</vt:lpstr>
      <vt:lpstr>大耗</vt:lpstr>
      <vt:lpstr>蜚蠊</vt:lpstr>
      <vt:lpstr>天哭</vt:lpstr>
      <vt:lpstr>天厨</vt:lpstr>
      <vt:lpstr>恩光</vt:lpstr>
      <vt:lpstr>天贵</vt:lpstr>
      <vt:lpstr>红鸾</vt:lpstr>
      <vt:lpstr>天喜</vt:lpstr>
      <vt:lpstr>天虚</vt:lpstr>
      <vt:lpstr>天姚</vt:lpstr>
      <vt:lpstr>咸池</vt:lpstr>
      <vt:lpstr>台辅</vt:lpstr>
      <vt:lpstr>封诰</vt:lpstr>
      <vt:lpstr>三台</vt:lpstr>
      <vt:lpstr>八座</vt:lpstr>
      <vt:lpstr>天才</vt:lpstr>
      <vt:lpstr>天官</vt:lpstr>
      <vt:lpstr>天福</vt:lpstr>
      <vt:lpstr>龙池</vt:lpstr>
      <vt:lpstr>凤阁</vt:lpstr>
      <vt:lpstr>孤辰</vt:lpstr>
      <vt:lpstr>寡宿</vt:lpstr>
      <vt:lpstr>破碎</vt:lpstr>
      <vt:lpstr>天德</vt:lpstr>
      <vt:lpstr>龙德</vt:lpstr>
      <vt:lpstr>月德</vt:lpstr>
      <vt:lpstr>天空</vt:lpstr>
      <vt:lpstr>XX (64)</vt:lpstr>
      <vt:lpstr>XX (65)</vt:lpstr>
      <vt:lpstr>XX (66)</vt:lpstr>
      <vt:lpstr>XX (67)</vt:lpstr>
      <vt:lpstr>XX (68)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金汉 JH</dc:creator>
  <cp:lastModifiedBy>金汉 JH</cp:lastModifiedBy>
  <dcterms:created xsi:type="dcterms:W3CDTF">2026-01-11T12:11:07Z</dcterms:created>
  <dcterms:modified xsi:type="dcterms:W3CDTF">2026-04-29T13:07:43Z</dcterms:modified>
</cp:coreProperties>
</file>