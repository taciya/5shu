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\5shu\readme\"/>
    </mc:Choice>
  </mc:AlternateContent>
  <xr:revisionPtr revIDLastSave="0" documentId="13_ncr:1_{EAB01516-6A27-4548-93BF-1145AFE5F293}" xr6:coauthVersionLast="47" xr6:coauthVersionMax="47" xr10:uidLastSave="{00000000-0000-0000-0000-000000000000}"/>
  <bookViews>
    <workbookView xWindow="-120" yWindow="-120" windowWidth="29040" windowHeight="15720" tabRatio="934" firstSheet="31" activeTab="39" xr2:uid="{34576F0D-9301-42B9-8121-B3CEA579FF28}"/>
  </bookViews>
  <sheets>
    <sheet name="紫微" sheetId="4" r:id="rId1"/>
    <sheet name="天府" sheetId="2" r:id="rId2"/>
    <sheet name="天梁" sheetId="7" r:id="rId3"/>
    <sheet name="天相" sheetId="11" r:id="rId4"/>
    <sheet name="太阳" sheetId="10" r:id="rId5"/>
    <sheet name="太阴" sheetId="9" r:id="rId6"/>
    <sheet name="破军" sheetId="16" r:id="rId7"/>
    <sheet name="七杀" sheetId="15" r:id="rId8"/>
    <sheet name="巨门" sheetId="5" r:id="rId9"/>
    <sheet name="天机" sheetId="6" r:id="rId10"/>
    <sheet name="天同" sheetId="14" r:id="rId11"/>
    <sheet name="廉贞" sheetId="8" r:id="rId12"/>
    <sheet name="贪狼" sheetId="13" r:id="rId13"/>
    <sheet name="武曲" sheetId="12" r:id="rId14"/>
    <sheet name="文昌" sheetId="17" r:id="rId15"/>
    <sheet name="文曲" sheetId="3" r:id="rId16"/>
    <sheet name="左辅" sheetId="18" r:id="rId17"/>
    <sheet name="右弼" sheetId="19" r:id="rId18"/>
    <sheet name="天魁" sheetId="20" r:id="rId19"/>
    <sheet name="天钺" sheetId="21" r:id="rId20"/>
    <sheet name="禄存" sheetId="22" r:id="rId21"/>
    <sheet name="天马" sheetId="23" r:id="rId22"/>
    <sheet name="擎羊" sheetId="24" r:id="rId23"/>
    <sheet name="陀罗" sheetId="25" r:id="rId24"/>
    <sheet name="地空" sheetId="26" r:id="rId25"/>
    <sheet name="地劫" sheetId="27" r:id="rId26"/>
    <sheet name="火星" sheetId="28" r:id="rId27"/>
    <sheet name="铃星" sheetId="29" r:id="rId28"/>
    <sheet name="天刑" sheetId="30" r:id="rId29"/>
    <sheet name="天寿" sheetId="31" r:id="rId30"/>
    <sheet name="天巫" sheetId="33" r:id="rId31"/>
    <sheet name="阴煞" sheetId="34" r:id="rId32"/>
    <sheet name="天使" sheetId="53" r:id="rId33"/>
    <sheet name="天伤" sheetId="35" r:id="rId34"/>
    <sheet name="天月" sheetId="36" r:id="rId35"/>
    <sheet name="华盖" sheetId="37" r:id="rId36"/>
    <sheet name="大耗" sheetId="38" r:id="rId37"/>
    <sheet name="蜚蠊" sheetId="39" r:id="rId38"/>
    <sheet name="天哭" sheetId="40" r:id="rId39"/>
    <sheet name="天厨" sheetId="41" r:id="rId40"/>
    <sheet name="恩光" sheetId="42" r:id="rId41"/>
    <sheet name="天贵" sheetId="52" r:id="rId42"/>
    <sheet name="红鸾" sheetId="43" r:id="rId43"/>
    <sheet name="天喜" sheetId="44" r:id="rId44"/>
    <sheet name="天虚" sheetId="45" r:id="rId45"/>
    <sheet name="天姚" sheetId="46" r:id="rId46"/>
    <sheet name="咸池" sheetId="47" r:id="rId47"/>
    <sheet name="台辅" sheetId="48" r:id="rId48"/>
    <sheet name="封诰" sheetId="49" r:id="rId49"/>
    <sheet name="三台" sheetId="50" r:id="rId50"/>
    <sheet name="八座" sheetId="51" r:id="rId51"/>
    <sheet name="天才" sheetId="54" r:id="rId52"/>
    <sheet name="天官" sheetId="55" r:id="rId53"/>
    <sheet name="天福" sheetId="56" r:id="rId54"/>
    <sheet name="龙池" sheetId="57" r:id="rId55"/>
    <sheet name="凤阁" sheetId="58" r:id="rId56"/>
    <sheet name="孤辰" sheetId="59" r:id="rId57"/>
    <sheet name="寡宿" sheetId="60" r:id="rId58"/>
    <sheet name="破碎" sheetId="61" r:id="rId59"/>
    <sheet name="天德" sheetId="63" r:id="rId60"/>
    <sheet name="龙德" sheetId="62" r:id="rId61"/>
    <sheet name="月德" sheetId="64" r:id="rId62"/>
    <sheet name="天空" sheetId="65" r:id="rId63"/>
    <sheet name="XX (64)" sheetId="66" r:id="rId64"/>
    <sheet name="XX (65)" sheetId="67" r:id="rId65"/>
    <sheet name="XX (66)" sheetId="68" r:id="rId66"/>
    <sheet name="XX (67)" sheetId="69" r:id="rId67"/>
    <sheet name="XX (68)" sheetId="70" r:id="rId6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7" l="1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1" i="17"/>
  <c r="G52" i="70"/>
  <c r="G51" i="70"/>
  <c r="G50" i="70"/>
  <c r="G49" i="70"/>
  <c r="G43" i="70"/>
  <c r="G42" i="70"/>
  <c r="G41" i="70"/>
  <c r="G40" i="70"/>
  <c r="G39" i="70"/>
  <c r="G38" i="70"/>
  <c r="G37" i="70"/>
  <c r="G36" i="70"/>
  <c r="G35" i="70"/>
  <c r="G29" i="70"/>
  <c r="G28" i="70"/>
  <c r="G27" i="70"/>
  <c r="G26" i="70"/>
  <c r="G25" i="70"/>
  <c r="G24" i="70"/>
  <c r="G1" i="70"/>
  <c r="G52" i="69"/>
  <c r="G51" i="69"/>
  <c r="G50" i="69"/>
  <c r="G49" i="69"/>
  <c r="G43" i="69"/>
  <c r="G42" i="69"/>
  <c r="G41" i="69"/>
  <c r="G40" i="69"/>
  <c r="G39" i="69"/>
  <c r="G38" i="69"/>
  <c r="G37" i="69"/>
  <c r="G36" i="69"/>
  <c r="G35" i="69"/>
  <c r="G29" i="69"/>
  <c r="G28" i="69"/>
  <c r="G27" i="69"/>
  <c r="G26" i="69"/>
  <c r="G25" i="69"/>
  <c r="G24" i="69"/>
  <c r="G1" i="69"/>
  <c r="G52" i="68"/>
  <c r="G51" i="68"/>
  <c r="G50" i="68"/>
  <c r="G49" i="68"/>
  <c r="G43" i="68"/>
  <c r="G42" i="68"/>
  <c r="G41" i="68"/>
  <c r="G40" i="68"/>
  <c r="G39" i="68"/>
  <c r="G38" i="68"/>
  <c r="G37" i="68"/>
  <c r="G36" i="68"/>
  <c r="G35" i="68"/>
  <c r="G29" i="68"/>
  <c r="G28" i="68"/>
  <c r="G27" i="68"/>
  <c r="G26" i="68"/>
  <c r="G25" i="68"/>
  <c r="G24" i="68"/>
  <c r="G1" i="68"/>
  <c r="G52" i="67"/>
  <c r="G51" i="67"/>
  <c r="G50" i="67"/>
  <c r="G49" i="67"/>
  <c r="G43" i="67"/>
  <c r="G42" i="67"/>
  <c r="G41" i="67"/>
  <c r="G40" i="67"/>
  <c r="G39" i="67"/>
  <c r="G38" i="67"/>
  <c r="G37" i="67"/>
  <c r="G36" i="67"/>
  <c r="G35" i="67"/>
  <c r="G29" i="67"/>
  <c r="G28" i="67"/>
  <c r="G27" i="67"/>
  <c r="G26" i="67"/>
  <c r="G25" i="67"/>
  <c r="G24" i="67"/>
  <c r="G1" i="67"/>
  <c r="G52" i="66"/>
  <c r="G51" i="66"/>
  <c r="G50" i="66"/>
  <c r="G49" i="66"/>
  <c r="G43" i="66"/>
  <c r="G42" i="66"/>
  <c r="G41" i="66"/>
  <c r="G40" i="66"/>
  <c r="G39" i="66"/>
  <c r="G38" i="66"/>
  <c r="G37" i="66"/>
  <c r="G36" i="66"/>
  <c r="G35" i="66"/>
  <c r="G29" i="66"/>
  <c r="G28" i="66"/>
  <c r="G27" i="66"/>
  <c r="G26" i="66"/>
  <c r="G25" i="66"/>
  <c r="G24" i="66"/>
  <c r="G1" i="66"/>
  <c r="G52" i="65"/>
  <c r="G51" i="65"/>
  <c r="G50" i="65"/>
  <c r="G49" i="65"/>
  <c r="G43" i="65"/>
  <c r="G42" i="65"/>
  <c r="G41" i="65"/>
  <c r="G40" i="65"/>
  <c r="G39" i="65"/>
  <c r="G38" i="65"/>
  <c r="G37" i="65"/>
  <c r="G36" i="65"/>
  <c r="G35" i="65"/>
  <c r="G29" i="65"/>
  <c r="G28" i="65"/>
  <c r="G27" i="65"/>
  <c r="G26" i="65"/>
  <c r="G25" i="65"/>
  <c r="G24" i="65"/>
  <c r="G1" i="65"/>
  <c r="G52" i="64"/>
  <c r="G51" i="64"/>
  <c r="G50" i="64"/>
  <c r="G49" i="64"/>
  <c r="G43" i="64"/>
  <c r="G42" i="64"/>
  <c r="G41" i="64"/>
  <c r="G40" i="64"/>
  <c r="G39" i="64"/>
  <c r="G38" i="64"/>
  <c r="G37" i="64"/>
  <c r="G36" i="64"/>
  <c r="G35" i="64"/>
  <c r="G29" i="64"/>
  <c r="G28" i="64"/>
  <c r="G27" i="64"/>
  <c r="G26" i="64"/>
  <c r="G25" i="64"/>
  <c r="G24" i="64"/>
  <c r="G1" i="64"/>
  <c r="G52" i="63"/>
  <c r="G51" i="63"/>
  <c r="G50" i="63"/>
  <c r="G49" i="63"/>
  <c r="G43" i="63"/>
  <c r="G42" i="63"/>
  <c r="G41" i="63"/>
  <c r="G40" i="63"/>
  <c r="G39" i="63"/>
  <c r="G38" i="63"/>
  <c r="G37" i="63"/>
  <c r="G36" i="63"/>
  <c r="G35" i="63"/>
  <c r="G29" i="63"/>
  <c r="G28" i="63"/>
  <c r="G27" i="63"/>
  <c r="G26" i="63"/>
  <c r="G25" i="63"/>
  <c r="G24" i="63"/>
  <c r="G1" i="63"/>
  <c r="G52" i="62"/>
  <c r="G51" i="62"/>
  <c r="G50" i="62"/>
  <c r="G49" i="62"/>
  <c r="G43" i="62"/>
  <c r="G42" i="62"/>
  <c r="G41" i="62"/>
  <c r="G40" i="62"/>
  <c r="G39" i="62"/>
  <c r="G38" i="62"/>
  <c r="G37" i="62"/>
  <c r="G36" i="62"/>
  <c r="G35" i="62"/>
  <c r="G29" i="62"/>
  <c r="G28" i="62"/>
  <c r="G27" i="62"/>
  <c r="G26" i="62"/>
  <c r="G25" i="62"/>
  <c r="G24" i="62"/>
  <c r="G1" i="62"/>
  <c r="G52" i="61"/>
  <c r="G51" i="61"/>
  <c r="G50" i="61"/>
  <c r="G49" i="61"/>
  <c r="G43" i="61"/>
  <c r="G42" i="61"/>
  <c r="G41" i="61"/>
  <c r="G40" i="61"/>
  <c r="G39" i="61"/>
  <c r="G38" i="61"/>
  <c r="G37" i="61"/>
  <c r="G36" i="61"/>
  <c r="G35" i="61"/>
  <c r="G29" i="61"/>
  <c r="G28" i="61"/>
  <c r="G27" i="61"/>
  <c r="G26" i="61"/>
  <c r="G25" i="61"/>
  <c r="G24" i="61"/>
  <c r="G1" i="61"/>
  <c r="G52" i="60"/>
  <c r="G51" i="60"/>
  <c r="G50" i="60"/>
  <c r="G49" i="60"/>
  <c r="G43" i="60"/>
  <c r="G42" i="60"/>
  <c r="G41" i="60"/>
  <c r="G40" i="60"/>
  <c r="G39" i="60"/>
  <c r="G38" i="60"/>
  <c r="G37" i="60"/>
  <c r="G36" i="60"/>
  <c r="G35" i="60"/>
  <c r="G29" i="60"/>
  <c r="G28" i="60"/>
  <c r="G27" i="60"/>
  <c r="G26" i="60"/>
  <c r="G25" i="60"/>
  <c r="G24" i="60"/>
  <c r="G1" i="60"/>
  <c r="G52" i="59"/>
  <c r="G51" i="59"/>
  <c r="G50" i="59"/>
  <c r="G49" i="59"/>
  <c r="G43" i="59"/>
  <c r="G42" i="59"/>
  <c r="G41" i="59"/>
  <c r="G40" i="59"/>
  <c r="G39" i="59"/>
  <c r="G38" i="59"/>
  <c r="G37" i="59"/>
  <c r="G36" i="59"/>
  <c r="G35" i="59"/>
  <c r="G29" i="59"/>
  <c r="G28" i="59"/>
  <c r="G27" i="59"/>
  <c r="G26" i="59"/>
  <c r="G25" i="59"/>
  <c r="G24" i="59"/>
  <c r="G1" i="59"/>
  <c r="G52" i="58"/>
  <c r="G51" i="58"/>
  <c r="G50" i="58"/>
  <c r="G49" i="58"/>
  <c r="G43" i="58"/>
  <c r="G42" i="58"/>
  <c r="G41" i="58"/>
  <c r="G40" i="58"/>
  <c r="G39" i="58"/>
  <c r="G38" i="58"/>
  <c r="G37" i="58"/>
  <c r="G36" i="58"/>
  <c r="G35" i="58"/>
  <c r="G29" i="58"/>
  <c r="G28" i="58"/>
  <c r="G27" i="58"/>
  <c r="G26" i="58"/>
  <c r="G25" i="58"/>
  <c r="G24" i="58"/>
  <c r="G1" i="58"/>
  <c r="G52" i="57"/>
  <c r="G51" i="57"/>
  <c r="G50" i="57"/>
  <c r="G49" i="57"/>
  <c r="G43" i="57"/>
  <c r="G42" i="57"/>
  <c r="G41" i="57"/>
  <c r="G40" i="57"/>
  <c r="G39" i="57"/>
  <c r="G38" i="57"/>
  <c r="G37" i="57"/>
  <c r="G36" i="57"/>
  <c r="G35" i="57"/>
  <c r="G29" i="57"/>
  <c r="G28" i="57"/>
  <c r="G27" i="57"/>
  <c r="G26" i="57"/>
  <c r="G25" i="57"/>
  <c r="G24" i="57"/>
  <c r="G1" i="57"/>
  <c r="G52" i="56"/>
  <c r="G51" i="56"/>
  <c r="G50" i="56"/>
  <c r="G49" i="56"/>
  <c r="G43" i="56"/>
  <c r="G42" i="56"/>
  <c r="G41" i="56"/>
  <c r="G40" i="56"/>
  <c r="G39" i="56"/>
  <c r="G38" i="56"/>
  <c r="G37" i="56"/>
  <c r="G36" i="56"/>
  <c r="G35" i="56"/>
  <c r="G29" i="56"/>
  <c r="G28" i="56"/>
  <c r="G27" i="56"/>
  <c r="G26" i="56"/>
  <c r="G25" i="56"/>
  <c r="G24" i="56"/>
  <c r="G1" i="56"/>
  <c r="G52" i="55"/>
  <c r="G51" i="55"/>
  <c r="G50" i="55"/>
  <c r="G49" i="55"/>
  <c r="G43" i="55"/>
  <c r="G42" i="55"/>
  <c r="G41" i="55"/>
  <c r="G40" i="55"/>
  <c r="G39" i="55"/>
  <c r="G38" i="55"/>
  <c r="G37" i="55"/>
  <c r="G36" i="55"/>
  <c r="G35" i="55"/>
  <c r="G29" i="55"/>
  <c r="G28" i="55"/>
  <c r="G27" i="55"/>
  <c r="G26" i="55"/>
  <c r="G25" i="55"/>
  <c r="G24" i="55"/>
  <c r="G1" i="55"/>
  <c r="G52" i="54"/>
  <c r="G51" i="54"/>
  <c r="G50" i="54"/>
  <c r="G49" i="54"/>
  <c r="G43" i="54"/>
  <c r="G42" i="54"/>
  <c r="G41" i="54"/>
  <c r="G40" i="54"/>
  <c r="G39" i="54"/>
  <c r="G38" i="54"/>
  <c r="G37" i="54"/>
  <c r="G36" i="54"/>
  <c r="G35" i="54"/>
  <c r="G29" i="54"/>
  <c r="G28" i="54"/>
  <c r="G27" i="54"/>
  <c r="G26" i="54"/>
  <c r="G25" i="54"/>
  <c r="G24" i="54"/>
  <c r="G1" i="54"/>
  <c r="G52" i="53"/>
  <c r="G51" i="53"/>
  <c r="G50" i="53"/>
  <c r="G49" i="53"/>
  <c r="G43" i="53"/>
  <c r="G42" i="53"/>
  <c r="G41" i="53"/>
  <c r="G40" i="53"/>
  <c r="G39" i="53"/>
  <c r="G38" i="53"/>
  <c r="G37" i="53"/>
  <c r="G36" i="53"/>
  <c r="G35" i="53"/>
  <c r="G29" i="53"/>
  <c r="G28" i="53"/>
  <c r="G27" i="53"/>
  <c r="G26" i="53"/>
  <c r="G25" i="53"/>
  <c r="G24" i="53"/>
  <c r="G1" i="53"/>
  <c r="G52" i="52"/>
  <c r="G51" i="52"/>
  <c r="G50" i="52"/>
  <c r="G49" i="52"/>
  <c r="G43" i="52"/>
  <c r="G42" i="52"/>
  <c r="G41" i="52"/>
  <c r="G40" i="52"/>
  <c r="G39" i="52"/>
  <c r="G38" i="52"/>
  <c r="G37" i="52"/>
  <c r="G36" i="52"/>
  <c r="G35" i="52"/>
  <c r="G29" i="52"/>
  <c r="G28" i="52"/>
  <c r="G27" i="52"/>
  <c r="G26" i="52"/>
  <c r="G25" i="52"/>
  <c r="G24" i="52"/>
  <c r="G1" i="52"/>
  <c r="G52" i="51"/>
  <c r="G51" i="51"/>
  <c r="G50" i="51"/>
  <c r="G49" i="51"/>
  <c r="G43" i="51"/>
  <c r="G42" i="51"/>
  <c r="G41" i="51"/>
  <c r="G40" i="51"/>
  <c r="G39" i="51"/>
  <c r="G38" i="51"/>
  <c r="G37" i="51"/>
  <c r="G36" i="51"/>
  <c r="G35" i="51"/>
  <c r="G29" i="51"/>
  <c r="G28" i="51"/>
  <c r="G27" i="51"/>
  <c r="G26" i="51"/>
  <c r="G25" i="51"/>
  <c r="G24" i="51"/>
  <c r="G1" i="51"/>
  <c r="G52" i="50"/>
  <c r="G51" i="50"/>
  <c r="G50" i="50"/>
  <c r="G49" i="50"/>
  <c r="G43" i="50"/>
  <c r="G42" i="50"/>
  <c r="G41" i="50"/>
  <c r="G40" i="50"/>
  <c r="G39" i="50"/>
  <c r="G38" i="50"/>
  <c r="G37" i="50"/>
  <c r="G36" i="50"/>
  <c r="G35" i="50"/>
  <c r="G29" i="50"/>
  <c r="G28" i="50"/>
  <c r="G27" i="50"/>
  <c r="G26" i="50"/>
  <c r="G25" i="50"/>
  <c r="G24" i="50"/>
  <c r="G1" i="50"/>
  <c r="G52" i="49"/>
  <c r="G51" i="49"/>
  <c r="G50" i="49"/>
  <c r="G49" i="49"/>
  <c r="G43" i="49"/>
  <c r="G42" i="49"/>
  <c r="G41" i="49"/>
  <c r="G40" i="49"/>
  <c r="G39" i="49"/>
  <c r="G38" i="49"/>
  <c r="G37" i="49"/>
  <c r="G36" i="49"/>
  <c r="G35" i="49"/>
  <c r="G29" i="49"/>
  <c r="G28" i="49"/>
  <c r="G27" i="49"/>
  <c r="G26" i="49"/>
  <c r="G25" i="49"/>
  <c r="G24" i="49"/>
  <c r="G1" i="49"/>
  <c r="G52" i="48"/>
  <c r="G51" i="48"/>
  <c r="G50" i="48"/>
  <c r="G49" i="48"/>
  <c r="G43" i="48"/>
  <c r="G42" i="48"/>
  <c r="G41" i="48"/>
  <c r="G40" i="48"/>
  <c r="G39" i="48"/>
  <c r="G38" i="48"/>
  <c r="G37" i="48"/>
  <c r="G36" i="48"/>
  <c r="G35" i="48"/>
  <c r="G29" i="48"/>
  <c r="G28" i="48"/>
  <c r="G27" i="48"/>
  <c r="G26" i="48"/>
  <c r="G25" i="48"/>
  <c r="G24" i="48"/>
  <c r="G1" i="48"/>
  <c r="G52" i="47"/>
  <c r="G51" i="47"/>
  <c r="G50" i="47"/>
  <c r="G49" i="47"/>
  <c r="G43" i="47"/>
  <c r="G42" i="47"/>
  <c r="G41" i="47"/>
  <c r="G40" i="47"/>
  <c r="G39" i="47"/>
  <c r="G38" i="47"/>
  <c r="G37" i="47"/>
  <c r="G36" i="47"/>
  <c r="G35" i="47"/>
  <c r="G29" i="47"/>
  <c r="G28" i="47"/>
  <c r="G27" i="47"/>
  <c r="G26" i="47"/>
  <c r="G25" i="47"/>
  <c r="G24" i="47"/>
  <c r="G1" i="47"/>
  <c r="G52" i="46"/>
  <c r="G51" i="46"/>
  <c r="G50" i="46"/>
  <c r="G49" i="46"/>
  <c r="G43" i="46"/>
  <c r="G42" i="46"/>
  <c r="G41" i="46"/>
  <c r="G40" i="46"/>
  <c r="G39" i="46"/>
  <c r="G38" i="46"/>
  <c r="G37" i="46"/>
  <c r="G36" i="46"/>
  <c r="G35" i="46"/>
  <c r="G29" i="46"/>
  <c r="G28" i="46"/>
  <c r="G27" i="46"/>
  <c r="G26" i="46"/>
  <c r="G25" i="46"/>
  <c r="G24" i="46"/>
  <c r="G1" i="46"/>
  <c r="G52" i="45"/>
  <c r="G51" i="45"/>
  <c r="G50" i="45"/>
  <c r="G49" i="45"/>
  <c r="G43" i="45"/>
  <c r="G42" i="45"/>
  <c r="G41" i="45"/>
  <c r="G40" i="45"/>
  <c r="G39" i="45"/>
  <c r="G38" i="45"/>
  <c r="G37" i="45"/>
  <c r="G36" i="45"/>
  <c r="G35" i="45"/>
  <c r="G29" i="45"/>
  <c r="G28" i="45"/>
  <c r="G27" i="45"/>
  <c r="G26" i="45"/>
  <c r="G25" i="45"/>
  <c r="G24" i="45"/>
  <c r="G1" i="45"/>
  <c r="G52" i="44"/>
  <c r="G51" i="44"/>
  <c r="G50" i="44"/>
  <c r="G49" i="44"/>
  <c r="G43" i="44"/>
  <c r="G42" i="44"/>
  <c r="G41" i="44"/>
  <c r="G40" i="44"/>
  <c r="G39" i="44"/>
  <c r="G38" i="44"/>
  <c r="G37" i="44"/>
  <c r="G36" i="44"/>
  <c r="G35" i="44"/>
  <c r="G29" i="44"/>
  <c r="G28" i="44"/>
  <c r="G27" i="44"/>
  <c r="G26" i="44"/>
  <c r="G25" i="44"/>
  <c r="G24" i="44"/>
  <c r="G1" i="44"/>
  <c r="G52" i="43"/>
  <c r="G51" i="43"/>
  <c r="G50" i="43"/>
  <c r="G49" i="43"/>
  <c r="G43" i="43"/>
  <c r="G42" i="43"/>
  <c r="G41" i="43"/>
  <c r="G40" i="43"/>
  <c r="G39" i="43"/>
  <c r="G38" i="43"/>
  <c r="G37" i="43"/>
  <c r="G36" i="43"/>
  <c r="G35" i="43"/>
  <c r="G29" i="43"/>
  <c r="G28" i="43"/>
  <c r="G27" i="43"/>
  <c r="G26" i="43"/>
  <c r="G25" i="43"/>
  <c r="G24" i="43"/>
  <c r="G1" i="43"/>
  <c r="G52" i="42"/>
  <c r="G51" i="42"/>
  <c r="G50" i="42"/>
  <c r="G49" i="42"/>
  <c r="G43" i="42"/>
  <c r="G42" i="42"/>
  <c r="G41" i="42"/>
  <c r="G40" i="42"/>
  <c r="G39" i="42"/>
  <c r="G38" i="42"/>
  <c r="G37" i="42"/>
  <c r="G36" i="42"/>
  <c r="G35" i="42"/>
  <c r="G29" i="42"/>
  <c r="G28" i="42"/>
  <c r="G27" i="42"/>
  <c r="G26" i="42"/>
  <c r="G25" i="42"/>
  <c r="G24" i="42"/>
  <c r="G1" i="42"/>
  <c r="G52" i="41"/>
  <c r="G51" i="41"/>
  <c r="G50" i="41"/>
  <c r="G49" i="41"/>
  <c r="G43" i="41"/>
  <c r="G42" i="41"/>
  <c r="G41" i="41"/>
  <c r="G40" i="41"/>
  <c r="G39" i="41"/>
  <c r="G38" i="41"/>
  <c r="G37" i="41"/>
  <c r="G36" i="41"/>
  <c r="G35" i="41"/>
  <c r="G29" i="41"/>
  <c r="G28" i="41"/>
  <c r="G27" i="41"/>
  <c r="G26" i="41"/>
  <c r="G25" i="41"/>
  <c r="G24" i="41"/>
  <c r="G1" i="41"/>
  <c r="G52" i="40"/>
  <c r="G51" i="40"/>
  <c r="G50" i="40"/>
  <c r="G49" i="40"/>
  <c r="G43" i="40"/>
  <c r="G42" i="40"/>
  <c r="G41" i="40"/>
  <c r="G40" i="40"/>
  <c r="G39" i="40"/>
  <c r="G38" i="40"/>
  <c r="G37" i="40"/>
  <c r="G36" i="40"/>
  <c r="G35" i="40"/>
  <c r="G29" i="40"/>
  <c r="G28" i="40"/>
  <c r="G27" i="40"/>
  <c r="G26" i="40"/>
  <c r="G25" i="40"/>
  <c r="G24" i="40"/>
  <c r="G1" i="40"/>
  <c r="G52" i="39"/>
  <c r="G51" i="39"/>
  <c r="G50" i="39"/>
  <c r="G49" i="39"/>
  <c r="G43" i="39"/>
  <c r="G42" i="39"/>
  <c r="G41" i="39"/>
  <c r="G40" i="39"/>
  <c r="G39" i="39"/>
  <c r="G38" i="39"/>
  <c r="G37" i="39"/>
  <c r="G36" i="39"/>
  <c r="G35" i="39"/>
  <c r="G29" i="39"/>
  <c r="G28" i="39"/>
  <c r="G27" i="39"/>
  <c r="G26" i="39"/>
  <c r="G25" i="39"/>
  <c r="G24" i="39"/>
  <c r="G1" i="39"/>
  <c r="G52" i="38"/>
  <c r="G51" i="38"/>
  <c r="G50" i="38"/>
  <c r="G49" i="38"/>
  <c r="G43" i="38"/>
  <c r="G42" i="38"/>
  <c r="G41" i="38"/>
  <c r="G40" i="38"/>
  <c r="G39" i="38"/>
  <c r="G38" i="38"/>
  <c r="G37" i="38"/>
  <c r="G36" i="38"/>
  <c r="G35" i="38"/>
  <c r="G29" i="38"/>
  <c r="G28" i="38"/>
  <c r="G27" i="38"/>
  <c r="G26" i="38"/>
  <c r="G25" i="38"/>
  <c r="G24" i="38"/>
  <c r="G1" i="38"/>
  <c r="G52" i="37"/>
  <c r="G51" i="37"/>
  <c r="G50" i="37"/>
  <c r="G49" i="37"/>
  <c r="G43" i="37"/>
  <c r="G42" i="37"/>
  <c r="G41" i="37"/>
  <c r="G40" i="37"/>
  <c r="G39" i="37"/>
  <c r="G38" i="37"/>
  <c r="G37" i="37"/>
  <c r="G36" i="37"/>
  <c r="G35" i="37"/>
  <c r="G29" i="37"/>
  <c r="G28" i="37"/>
  <c r="G27" i="37"/>
  <c r="G26" i="37"/>
  <c r="G25" i="37"/>
  <c r="G24" i="37"/>
  <c r="G1" i="37"/>
  <c r="G52" i="36"/>
  <c r="G51" i="36"/>
  <c r="G50" i="36"/>
  <c r="G49" i="36"/>
  <c r="G43" i="36"/>
  <c r="G42" i="36"/>
  <c r="G41" i="36"/>
  <c r="G40" i="36"/>
  <c r="G39" i="36"/>
  <c r="G38" i="36"/>
  <c r="G37" i="36"/>
  <c r="G36" i="36"/>
  <c r="G35" i="36"/>
  <c r="G29" i="36"/>
  <c r="G28" i="36"/>
  <c r="G27" i="36"/>
  <c r="G26" i="36"/>
  <c r="G25" i="36"/>
  <c r="G24" i="36"/>
  <c r="G1" i="36"/>
  <c r="G52" i="35"/>
  <c r="G51" i="35"/>
  <c r="G50" i="35"/>
  <c r="G49" i="35"/>
  <c r="G43" i="35"/>
  <c r="G42" i="35"/>
  <c r="G41" i="35"/>
  <c r="G40" i="35"/>
  <c r="G39" i="35"/>
  <c r="G38" i="35"/>
  <c r="G37" i="35"/>
  <c r="G36" i="35"/>
  <c r="G35" i="35"/>
  <c r="G29" i="35"/>
  <c r="G28" i="35"/>
  <c r="G27" i="35"/>
  <c r="G26" i="35"/>
  <c r="G25" i="35"/>
  <c r="G24" i="35"/>
  <c r="G1" i="35"/>
  <c r="G52" i="34"/>
  <c r="G51" i="34"/>
  <c r="G50" i="34"/>
  <c r="G49" i="34"/>
  <c r="G43" i="34"/>
  <c r="G42" i="34"/>
  <c r="G41" i="34"/>
  <c r="G40" i="34"/>
  <c r="G39" i="34"/>
  <c r="G38" i="34"/>
  <c r="G37" i="34"/>
  <c r="G36" i="34"/>
  <c r="G35" i="34"/>
  <c r="G29" i="34"/>
  <c r="G28" i="34"/>
  <c r="G27" i="34"/>
  <c r="G26" i="34"/>
  <c r="G25" i="34"/>
  <c r="G24" i="34"/>
  <c r="G1" i="34"/>
  <c r="G52" i="33"/>
  <c r="G51" i="33"/>
  <c r="G50" i="33"/>
  <c r="G49" i="33"/>
  <c r="G43" i="33"/>
  <c r="G42" i="33"/>
  <c r="G41" i="33"/>
  <c r="G40" i="33"/>
  <c r="G39" i="33"/>
  <c r="G38" i="33"/>
  <c r="G37" i="33"/>
  <c r="G36" i="33"/>
  <c r="G35" i="33"/>
  <c r="G29" i="33"/>
  <c r="G28" i="33"/>
  <c r="G27" i="33"/>
  <c r="G26" i="33"/>
  <c r="G25" i="33"/>
  <c r="G24" i="33"/>
  <c r="G1" i="33"/>
  <c r="G52" i="31"/>
  <c r="G51" i="31"/>
  <c r="G50" i="31"/>
  <c r="G49" i="31"/>
  <c r="G43" i="31"/>
  <c r="G42" i="31"/>
  <c r="G41" i="31"/>
  <c r="G40" i="31"/>
  <c r="G39" i="31"/>
  <c r="G38" i="31"/>
  <c r="G37" i="31"/>
  <c r="G36" i="31"/>
  <c r="G35" i="31"/>
  <c r="G29" i="31"/>
  <c r="G28" i="31"/>
  <c r="G27" i="31"/>
  <c r="G26" i="31"/>
  <c r="G25" i="31"/>
  <c r="G24" i="31"/>
  <c r="G1" i="31"/>
  <c r="G52" i="30"/>
  <c r="G51" i="30"/>
  <c r="G50" i="30"/>
  <c r="G49" i="30"/>
  <c r="G43" i="30"/>
  <c r="G42" i="30"/>
  <c r="G41" i="30"/>
  <c r="G40" i="30"/>
  <c r="G39" i="30"/>
  <c r="G38" i="30"/>
  <c r="G37" i="30"/>
  <c r="G36" i="30"/>
  <c r="G35" i="30"/>
  <c r="G29" i="30"/>
  <c r="G28" i="30"/>
  <c r="G27" i="30"/>
  <c r="G26" i="30"/>
  <c r="G25" i="30"/>
  <c r="G24" i="30"/>
  <c r="G1" i="30"/>
  <c r="G52" i="29"/>
  <c r="G51" i="29"/>
  <c r="G50" i="29"/>
  <c r="G49" i="29"/>
  <c r="G43" i="29"/>
  <c r="G42" i="29"/>
  <c r="G41" i="29"/>
  <c r="G40" i="29"/>
  <c r="G39" i="29"/>
  <c r="G38" i="29"/>
  <c r="G37" i="29"/>
  <c r="G36" i="29"/>
  <c r="G35" i="29"/>
  <c r="G29" i="29"/>
  <c r="G28" i="29"/>
  <c r="G27" i="29"/>
  <c r="G26" i="29"/>
  <c r="G25" i="29"/>
  <c r="G24" i="29"/>
  <c r="G1" i="29"/>
  <c r="G52" i="28"/>
  <c r="G51" i="28"/>
  <c r="G50" i="28"/>
  <c r="G49" i="28"/>
  <c r="G43" i="28"/>
  <c r="G42" i="28"/>
  <c r="G41" i="28"/>
  <c r="G40" i="28"/>
  <c r="G39" i="28"/>
  <c r="G38" i="28"/>
  <c r="G37" i="28"/>
  <c r="G36" i="28"/>
  <c r="G35" i="28"/>
  <c r="G29" i="28"/>
  <c r="G28" i="28"/>
  <c r="G27" i="28"/>
  <c r="G26" i="28"/>
  <c r="G25" i="28"/>
  <c r="G24" i="28"/>
  <c r="G1" i="28"/>
  <c r="G49" i="27"/>
  <c r="G48" i="27"/>
  <c r="G47" i="27"/>
  <c r="G46" i="27"/>
  <c r="G40" i="27"/>
  <c r="G39" i="27"/>
  <c r="G38" i="27"/>
  <c r="G37" i="27"/>
  <c r="G36" i="27"/>
  <c r="G35" i="27"/>
  <c r="G34" i="27"/>
  <c r="G33" i="27"/>
  <c r="G32" i="27"/>
  <c r="G26" i="27"/>
  <c r="G25" i="27"/>
  <c r="G24" i="27"/>
  <c r="G23" i="27"/>
  <c r="G22" i="27"/>
  <c r="G21" i="27"/>
  <c r="G1" i="27"/>
  <c r="G52" i="26"/>
  <c r="G51" i="26"/>
  <c r="G50" i="26"/>
  <c r="G49" i="26"/>
  <c r="G43" i="26"/>
  <c r="G42" i="26"/>
  <c r="G41" i="26"/>
  <c r="G40" i="26"/>
  <c r="G39" i="26"/>
  <c r="G38" i="26"/>
  <c r="G37" i="26"/>
  <c r="G36" i="26"/>
  <c r="G35" i="26"/>
  <c r="G29" i="26"/>
  <c r="G28" i="26"/>
  <c r="G27" i="26"/>
  <c r="G26" i="26"/>
  <c r="G25" i="26"/>
  <c r="G24" i="26"/>
  <c r="G1" i="26"/>
  <c r="G52" i="25"/>
  <c r="G51" i="25"/>
  <c r="G50" i="25"/>
  <c r="G49" i="25"/>
  <c r="G43" i="25"/>
  <c r="G42" i="25"/>
  <c r="G41" i="25"/>
  <c r="G40" i="25"/>
  <c r="G39" i="25"/>
  <c r="G38" i="25"/>
  <c r="G37" i="25"/>
  <c r="G36" i="25"/>
  <c r="G35" i="25"/>
  <c r="G29" i="25"/>
  <c r="G28" i="25"/>
  <c r="G27" i="25"/>
  <c r="G26" i="25"/>
  <c r="G25" i="25"/>
  <c r="G24" i="25"/>
  <c r="G1" i="25"/>
  <c r="G52" i="24"/>
  <c r="G51" i="24"/>
  <c r="G50" i="24"/>
  <c r="G49" i="24"/>
  <c r="G43" i="24"/>
  <c r="G42" i="24"/>
  <c r="G41" i="24"/>
  <c r="G40" i="24"/>
  <c r="G39" i="24"/>
  <c r="G38" i="24"/>
  <c r="G37" i="24"/>
  <c r="G36" i="24"/>
  <c r="G35" i="24"/>
  <c r="G29" i="24"/>
  <c r="G28" i="24"/>
  <c r="G27" i="24"/>
  <c r="G26" i="24"/>
  <c r="G25" i="24"/>
  <c r="G24" i="24"/>
  <c r="G1" i="24"/>
  <c r="G52" i="23"/>
  <c r="G51" i="23"/>
  <c r="G50" i="23"/>
  <c r="G49" i="23"/>
  <c r="G43" i="23"/>
  <c r="G42" i="23"/>
  <c r="G41" i="23"/>
  <c r="G40" i="23"/>
  <c r="G39" i="23"/>
  <c r="G38" i="23"/>
  <c r="G37" i="23"/>
  <c r="G36" i="23"/>
  <c r="G35" i="23"/>
  <c r="G29" i="23"/>
  <c r="G28" i="23"/>
  <c r="G27" i="23"/>
  <c r="G26" i="23"/>
  <c r="G25" i="23"/>
  <c r="G24" i="23"/>
  <c r="G1" i="23"/>
  <c r="G52" i="22"/>
  <c r="G51" i="22"/>
  <c r="G50" i="22"/>
  <c r="G49" i="22"/>
  <c r="G43" i="22"/>
  <c r="G42" i="22"/>
  <c r="G41" i="22"/>
  <c r="G40" i="22"/>
  <c r="G39" i="22"/>
  <c r="G38" i="22"/>
  <c r="G37" i="22"/>
  <c r="G36" i="22"/>
  <c r="G35" i="22"/>
  <c r="G29" i="22"/>
  <c r="G28" i="22"/>
  <c r="G27" i="22"/>
  <c r="G26" i="22"/>
  <c r="G25" i="22"/>
  <c r="G24" i="22"/>
  <c r="G1" i="22"/>
  <c r="G50" i="21"/>
  <c r="G49" i="21"/>
  <c r="G43" i="21"/>
  <c r="G42" i="21"/>
  <c r="G41" i="21"/>
  <c r="G40" i="21"/>
  <c r="G39" i="21"/>
  <c r="G38" i="21"/>
  <c r="G37" i="21"/>
  <c r="G36" i="21"/>
  <c r="G35" i="21"/>
  <c r="G29" i="21"/>
  <c r="G28" i="21"/>
  <c r="G27" i="21"/>
  <c r="G26" i="21"/>
  <c r="G25" i="21"/>
  <c r="G24" i="21"/>
  <c r="G1" i="21"/>
  <c r="G52" i="20"/>
  <c r="G51" i="20"/>
  <c r="G50" i="20"/>
  <c r="G49" i="20"/>
  <c r="G43" i="20"/>
  <c r="G42" i="20"/>
  <c r="G41" i="20"/>
  <c r="G40" i="20"/>
  <c r="G39" i="20"/>
  <c r="G38" i="20"/>
  <c r="G37" i="20"/>
  <c r="G36" i="20"/>
  <c r="G35" i="20"/>
  <c r="G29" i="20"/>
  <c r="G28" i="20"/>
  <c r="G27" i="20"/>
  <c r="G26" i="20"/>
  <c r="G25" i="20"/>
  <c r="G24" i="20"/>
  <c r="G1" i="20"/>
  <c r="G52" i="19"/>
  <c r="G51" i="19"/>
  <c r="G50" i="19"/>
  <c r="G49" i="19"/>
  <c r="G43" i="19"/>
  <c r="G42" i="19"/>
  <c r="G41" i="19"/>
  <c r="G40" i="19"/>
  <c r="G39" i="19"/>
  <c r="G38" i="19"/>
  <c r="G37" i="19"/>
  <c r="G36" i="19"/>
  <c r="G35" i="19"/>
  <c r="G29" i="19"/>
  <c r="G28" i="19"/>
  <c r="G27" i="19"/>
  <c r="G26" i="19"/>
  <c r="G25" i="19"/>
  <c r="G24" i="19"/>
  <c r="G1" i="19"/>
  <c r="G52" i="18"/>
  <c r="G51" i="18"/>
  <c r="G50" i="18"/>
  <c r="G49" i="18"/>
  <c r="G43" i="18"/>
  <c r="G42" i="18"/>
  <c r="G41" i="18"/>
  <c r="G40" i="18"/>
  <c r="G39" i="18"/>
  <c r="G38" i="18"/>
  <c r="G37" i="18"/>
  <c r="G36" i="18"/>
  <c r="G35" i="18"/>
  <c r="G29" i="18"/>
  <c r="G28" i="18"/>
  <c r="G27" i="18"/>
  <c r="G26" i="18"/>
  <c r="G25" i="18"/>
  <c r="G24" i="18"/>
  <c r="G1" i="18"/>
  <c r="G52" i="16"/>
  <c r="G51" i="16"/>
  <c r="G50" i="16"/>
  <c r="G49" i="16"/>
  <c r="G43" i="16"/>
  <c r="G42" i="16"/>
  <c r="G41" i="16"/>
  <c r="G40" i="16"/>
  <c r="G39" i="16"/>
  <c r="G38" i="16"/>
  <c r="G37" i="16"/>
  <c r="G36" i="16"/>
  <c r="G35" i="16"/>
  <c r="G29" i="16"/>
  <c r="G24" i="16"/>
  <c r="G1" i="16"/>
  <c r="G52" i="14"/>
  <c r="G51" i="14"/>
  <c r="G50" i="14"/>
  <c r="G49" i="14"/>
  <c r="G36" i="14"/>
  <c r="G35" i="14"/>
  <c r="G29" i="14"/>
  <c r="G28" i="14"/>
  <c r="G27" i="14"/>
  <c r="G26" i="14"/>
  <c r="G25" i="14"/>
  <c r="G24" i="14"/>
  <c r="G1" i="14"/>
  <c r="G52" i="13"/>
  <c r="G51" i="13"/>
  <c r="G50" i="13"/>
  <c r="G49" i="13"/>
  <c r="G43" i="13"/>
  <c r="G42" i="13"/>
  <c r="G41" i="13"/>
  <c r="G40" i="13"/>
  <c r="G39" i="13"/>
  <c r="G38" i="13"/>
  <c r="G37" i="13"/>
  <c r="G29" i="13"/>
  <c r="G28" i="13"/>
  <c r="G27" i="13"/>
  <c r="G26" i="13"/>
  <c r="G25" i="13"/>
  <c r="G24" i="13"/>
  <c r="G1" i="13"/>
  <c r="G52" i="12"/>
  <c r="G51" i="12"/>
  <c r="G50" i="12"/>
  <c r="G49" i="12"/>
  <c r="G43" i="12"/>
  <c r="G42" i="12"/>
  <c r="G41" i="12"/>
  <c r="G40" i="12"/>
  <c r="G39" i="12"/>
  <c r="G38" i="12"/>
  <c r="G37" i="12"/>
  <c r="G36" i="12"/>
  <c r="G35" i="12"/>
  <c r="G29" i="12"/>
  <c r="G28" i="12"/>
  <c r="G27" i="12"/>
  <c r="G26" i="12"/>
  <c r="G25" i="12"/>
  <c r="G24" i="12"/>
  <c r="G1" i="12"/>
  <c r="G56" i="11"/>
  <c r="G55" i="11"/>
  <c r="G54" i="11"/>
  <c r="G53" i="11"/>
  <c r="G47" i="11"/>
  <c r="G46" i="11"/>
  <c r="G45" i="11"/>
  <c r="G44" i="11"/>
  <c r="G43" i="11"/>
  <c r="G42" i="11"/>
  <c r="G41" i="11"/>
  <c r="G40" i="11"/>
  <c r="G33" i="11"/>
  <c r="G32" i="11"/>
  <c r="G31" i="11"/>
  <c r="G30" i="11"/>
  <c r="G29" i="11"/>
  <c r="G28" i="11"/>
  <c r="G1" i="11"/>
  <c r="G52" i="10"/>
  <c r="G51" i="10"/>
  <c r="G50" i="10"/>
  <c r="G49" i="10"/>
  <c r="G43" i="10"/>
  <c r="G42" i="10"/>
  <c r="G41" i="10"/>
  <c r="G40" i="10"/>
  <c r="G39" i="10"/>
  <c r="G38" i="10"/>
  <c r="G37" i="10"/>
  <c r="G36" i="10"/>
  <c r="G35" i="10"/>
  <c r="G29" i="10"/>
  <c r="G28" i="10"/>
  <c r="G27" i="10"/>
  <c r="G26" i="10"/>
  <c r="G25" i="10"/>
  <c r="G24" i="10"/>
  <c r="G1" i="10"/>
  <c r="G51" i="9"/>
  <c r="G50" i="9"/>
  <c r="G49" i="9"/>
  <c r="G48" i="9"/>
  <c r="G42" i="9"/>
  <c r="G41" i="9"/>
  <c r="G40" i="9"/>
  <c r="G39" i="9"/>
  <c r="G38" i="9"/>
  <c r="G37" i="9"/>
  <c r="G36" i="9"/>
  <c r="G35" i="9"/>
  <c r="G34" i="9"/>
  <c r="G28" i="9"/>
  <c r="G27" i="9"/>
  <c r="G26" i="9"/>
  <c r="G25" i="9"/>
  <c r="G24" i="9"/>
  <c r="G23" i="9"/>
  <c r="G1" i="9"/>
  <c r="G52" i="8"/>
  <c r="G51" i="8"/>
  <c r="G50" i="8"/>
  <c r="G49" i="8"/>
  <c r="G43" i="8"/>
  <c r="G42" i="8"/>
  <c r="G41" i="8"/>
  <c r="G40" i="8"/>
  <c r="G39" i="8"/>
  <c r="G38" i="8"/>
  <c r="G37" i="8"/>
  <c r="G36" i="8"/>
  <c r="G35" i="8"/>
  <c r="G29" i="8"/>
  <c r="G28" i="8"/>
  <c r="G27" i="8"/>
  <c r="G26" i="8"/>
  <c r="G25" i="8"/>
  <c r="G24" i="8"/>
  <c r="G1" i="8"/>
  <c r="G52" i="7"/>
  <c r="G51" i="7"/>
  <c r="G50" i="7"/>
  <c r="G49" i="7"/>
  <c r="G43" i="7"/>
  <c r="G42" i="7"/>
  <c r="G41" i="7"/>
  <c r="G40" i="7"/>
  <c r="G39" i="7"/>
  <c r="G38" i="7"/>
  <c r="G37" i="7"/>
  <c r="G36" i="7"/>
  <c r="G35" i="7"/>
  <c r="G29" i="7"/>
  <c r="G28" i="7"/>
  <c r="G27" i="7"/>
  <c r="G26" i="7"/>
  <c r="G25" i="7"/>
  <c r="G24" i="7"/>
  <c r="G1" i="7"/>
  <c r="G52" i="6"/>
  <c r="G51" i="6"/>
  <c r="G50" i="6"/>
  <c r="G49" i="6"/>
  <c r="G43" i="6"/>
  <c r="G42" i="6"/>
  <c r="G41" i="6"/>
  <c r="G40" i="6"/>
  <c r="G39" i="6"/>
  <c r="G38" i="6"/>
  <c r="G37" i="6"/>
  <c r="G36" i="6"/>
  <c r="G35" i="6"/>
  <c r="G29" i="6"/>
  <c r="G28" i="6"/>
  <c r="G27" i="6"/>
  <c r="G26" i="6"/>
  <c r="G25" i="6"/>
  <c r="G24" i="6"/>
  <c r="G1" i="6"/>
  <c r="G52" i="5"/>
  <c r="G51" i="5"/>
  <c r="G50" i="5"/>
  <c r="G49" i="5"/>
  <c r="G43" i="5"/>
  <c r="G42" i="5"/>
  <c r="G41" i="5"/>
  <c r="G40" i="5"/>
  <c r="G39" i="5"/>
  <c r="G38" i="5"/>
  <c r="G37" i="5"/>
  <c r="G36" i="5"/>
  <c r="G35" i="5"/>
  <c r="G29" i="5"/>
  <c r="G28" i="5"/>
  <c r="G27" i="5"/>
  <c r="G26" i="5"/>
  <c r="G25" i="5"/>
  <c r="G24" i="5"/>
  <c r="G1" i="5"/>
  <c r="G52" i="4"/>
  <c r="G51" i="4"/>
  <c r="G50" i="4"/>
  <c r="G49" i="4"/>
  <c r="G43" i="4"/>
  <c r="G42" i="4"/>
  <c r="G41" i="4"/>
  <c r="G40" i="4"/>
  <c r="G39" i="4"/>
  <c r="G38" i="4"/>
  <c r="G37" i="4"/>
  <c r="G36" i="4"/>
  <c r="G35" i="4"/>
  <c r="G29" i="4"/>
  <c r="G28" i="4"/>
  <c r="G27" i="4"/>
  <c r="G26" i="4"/>
  <c r="G25" i="4"/>
  <c r="G24" i="4"/>
  <c r="G1" i="4"/>
  <c r="G52" i="3"/>
  <c r="G51" i="3"/>
  <c r="G50" i="3"/>
  <c r="G49" i="3"/>
  <c r="G43" i="3"/>
  <c r="G42" i="3"/>
  <c r="G41" i="3"/>
  <c r="G40" i="3"/>
  <c r="G39" i="3"/>
  <c r="G38" i="3"/>
  <c r="G37" i="3"/>
  <c r="G36" i="3"/>
  <c r="G35" i="3"/>
  <c r="G29" i="3"/>
  <c r="G28" i="3"/>
  <c r="G27" i="3"/>
  <c r="G26" i="3"/>
  <c r="G25" i="3"/>
  <c r="G24" i="3"/>
  <c r="G1" i="3"/>
  <c r="G35" i="2"/>
  <c r="G36" i="2"/>
  <c r="G37" i="2"/>
  <c r="G38" i="2"/>
  <c r="G39" i="2"/>
  <c r="G40" i="2"/>
  <c r="G41" i="2"/>
  <c r="G42" i="2"/>
  <c r="G43" i="2"/>
  <c r="G49" i="2"/>
  <c r="G50" i="2"/>
  <c r="G51" i="2"/>
  <c r="G52" i="2"/>
  <c r="G24" i="2"/>
  <c r="G25" i="2"/>
  <c r="G26" i="2"/>
  <c r="G27" i="2"/>
  <c r="G28" i="2"/>
  <c r="G29" i="2"/>
  <c r="G1" i="2"/>
</calcChain>
</file>

<file path=xl/sharedStrings.xml><?xml version="1.0" encoding="utf-8"?>
<sst xmlns="http://schemas.openxmlformats.org/spreadsheetml/2006/main" count="8892" uniqueCount="6473">
  <si>
    <r>
      <t>田宅宫</t>
    </r>
    <r>
      <rPr>
        <sz val="11"/>
        <color theme="1"/>
        <rFont val="等线"/>
        <family val="2"/>
        <charset val="134"/>
        <scheme val="minor"/>
      </rPr>
      <t>​</t>
    </r>
  </si>
  <si>
    <r>
      <t>财帛宫</t>
    </r>
    <r>
      <rPr>
        <sz val="11"/>
        <color theme="1"/>
        <rFont val="等线"/>
        <family val="2"/>
        <charset val="134"/>
        <scheme val="minor"/>
      </rPr>
      <t>​</t>
    </r>
  </si>
  <si>
    <r>
      <t>疾厄宫</t>
    </r>
    <r>
      <rPr>
        <sz val="11"/>
        <color theme="1"/>
        <rFont val="等线"/>
        <family val="2"/>
        <charset val="134"/>
        <scheme val="minor"/>
      </rPr>
      <t>​</t>
    </r>
  </si>
  <si>
    <r>
      <t>父母宫</t>
    </r>
    <r>
      <rPr>
        <sz val="11"/>
        <color theme="1"/>
        <rFont val="等线"/>
        <family val="2"/>
        <charset val="134"/>
        <scheme val="minor"/>
      </rPr>
      <t>​</t>
    </r>
  </si>
  <si>
    <r>
      <t>交友宫</t>
    </r>
    <r>
      <rPr>
        <sz val="11"/>
        <color theme="1"/>
        <rFont val="等线"/>
        <family val="2"/>
        <charset val="134"/>
        <scheme val="minor"/>
      </rPr>
      <t>​</t>
    </r>
  </si>
  <si>
    <r>
      <t>迁移宫</t>
    </r>
    <r>
      <rPr>
        <sz val="11"/>
        <color theme="1"/>
        <rFont val="等线"/>
        <family val="2"/>
        <charset val="134"/>
        <scheme val="minor"/>
      </rPr>
      <t>​</t>
    </r>
  </si>
  <si>
    <t>宫位​</t>
  </si>
  <si>
    <t>文献依据​</t>
  </si>
  <si>
    <r>
      <t>田宅宫</t>
    </r>
    <r>
      <rPr>
        <sz val="12"/>
        <color theme="1"/>
        <rFont val="等线"/>
        <family val="3"/>
        <charset val="134"/>
        <scheme val="minor"/>
      </rPr>
      <t>​</t>
    </r>
  </si>
  <si>
    <r>
      <t>财帛宫</t>
    </r>
    <r>
      <rPr>
        <sz val="12"/>
        <color theme="1"/>
        <rFont val="等线"/>
        <family val="3"/>
        <charset val="134"/>
        <scheme val="minor"/>
      </rPr>
      <t>​</t>
    </r>
  </si>
  <si>
    <r>
      <t>疾厄宫</t>
    </r>
    <r>
      <rPr>
        <sz val="12"/>
        <color theme="1"/>
        <rFont val="等线"/>
        <family val="3"/>
        <charset val="134"/>
        <scheme val="minor"/>
      </rPr>
      <t>​</t>
    </r>
  </si>
  <si>
    <r>
      <t>父母宫</t>
    </r>
    <r>
      <rPr>
        <sz val="12"/>
        <color theme="1"/>
        <rFont val="等线"/>
        <family val="3"/>
        <charset val="134"/>
        <scheme val="minor"/>
      </rPr>
      <t>​</t>
    </r>
  </si>
  <si>
    <r>
      <t>交友宫</t>
    </r>
    <r>
      <rPr>
        <sz val="12"/>
        <color theme="1"/>
        <rFont val="等线"/>
        <family val="3"/>
        <charset val="134"/>
        <scheme val="minor"/>
      </rPr>
      <t>​</t>
    </r>
  </si>
  <si>
    <r>
      <t>迁移宫</t>
    </r>
    <r>
      <rPr>
        <sz val="12"/>
        <color theme="1"/>
        <rFont val="等线"/>
        <family val="3"/>
        <charset val="134"/>
        <scheme val="minor"/>
      </rPr>
      <t>​</t>
    </r>
  </si>
  <si>
    <t>辅星​</t>
  </si>
  <si>
    <r>
      <t>天府+铃星</t>
    </r>
    <r>
      <rPr>
        <sz val="12"/>
        <color theme="1"/>
        <rFont val="等线"/>
        <family val="3"/>
        <charset val="134"/>
        <scheme val="minor"/>
      </rPr>
      <t>​</t>
    </r>
  </si>
  <si>
    <r>
      <t>天府+地劫</t>
    </r>
    <r>
      <rPr>
        <sz val="12"/>
        <color theme="1"/>
        <rFont val="等线"/>
        <family val="3"/>
        <charset val="134"/>
        <scheme val="minor"/>
      </rPr>
      <t>​</t>
    </r>
  </si>
  <si>
    <r>
      <t>天府+陀罗</t>
    </r>
    <r>
      <rPr>
        <sz val="12"/>
        <color theme="1"/>
        <rFont val="等线"/>
        <family val="3"/>
        <charset val="134"/>
        <scheme val="minor"/>
      </rPr>
      <t>​</t>
    </r>
  </si>
  <si>
    <r>
      <t>天府+地空</t>
    </r>
    <r>
      <rPr>
        <sz val="12"/>
        <color theme="1"/>
        <rFont val="等线"/>
        <family val="3"/>
        <charset val="134"/>
        <scheme val="minor"/>
      </rPr>
      <t>​</t>
    </r>
  </si>
  <si>
    <t>组合​</t>
  </si>
  <si>
    <t>典型案例​</t>
  </si>
  <si>
    <r>
      <t>天府+紫微</t>
    </r>
    <r>
      <rPr>
        <sz val="12"/>
        <color theme="1"/>
        <rFont val="等线"/>
        <family val="3"/>
        <charset val="134"/>
        <scheme val="minor"/>
      </rPr>
      <t>​</t>
    </r>
  </si>
  <si>
    <r>
      <t>天府+武曲</t>
    </r>
    <r>
      <rPr>
        <sz val="12"/>
        <color theme="1"/>
        <rFont val="等线"/>
        <family val="3"/>
        <charset val="134"/>
        <scheme val="minor"/>
      </rPr>
      <t>​</t>
    </r>
  </si>
  <si>
    <r>
      <t>天府+廉贞</t>
    </r>
    <r>
      <rPr>
        <sz val="12"/>
        <color theme="1"/>
        <rFont val="等线"/>
        <family val="3"/>
        <charset val="134"/>
        <scheme val="minor"/>
      </rPr>
      <t>​</t>
    </r>
  </si>
  <si>
    <r>
      <t>天府+太阳</t>
    </r>
    <r>
      <rPr>
        <sz val="12"/>
        <color theme="1"/>
        <rFont val="等线"/>
        <family val="3"/>
        <charset val="134"/>
        <scheme val="minor"/>
      </rPr>
      <t>​</t>
    </r>
  </si>
  <si>
    <r>
      <t>在紫微斗数中，</t>
    </r>
    <r>
      <rPr>
        <b/>
        <sz val="11"/>
        <color theme="1"/>
        <rFont val="等线"/>
        <family val="3"/>
        <charset val="134"/>
        <scheme val="minor"/>
      </rPr>
      <t>文曲星</t>
    </r>
    <r>
      <rPr>
        <sz val="11"/>
        <color theme="1"/>
        <rFont val="等线"/>
        <family val="2"/>
        <charset val="134"/>
        <scheme val="minor"/>
      </rPr>
      <t>属水，主掌</t>
    </r>
    <r>
      <rPr>
        <b/>
        <sz val="11"/>
        <color theme="1"/>
        <rFont val="等线"/>
        <family val="3"/>
        <charset val="134"/>
        <scheme val="minor"/>
      </rPr>
      <t>内容、文书、传递信息</t>
    </r>
    <r>
      <rPr>
        <sz val="11"/>
        <color theme="1"/>
        <rFont val="等线"/>
        <family val="2"/>
        <charset val="134"/>
        <scheme val="minor"/>
      </rPr>
      <t>，是决定事物内涵的关键辅星。以下是其核心含义及在不同场景中的应用：</t>
    </r>
  </si>
  <si>
    <t>一、文曲星的核心定义</t>
  </si>
  <si>
    <r>
      <t>1. 象征意义</t>
    </r>
    <r>
      <rPr>
        <sz val="11"/>
        <color theme="1"/>
        <rFont val="等线"/>
        <family val="2"/>
        <charset val="134"/>
        <scheme val="minor"/>
      </rPr>
      <t>：</t>
    </r>
  </si>
  <si>
    <r>
      <t>内容载体</t>
    </r>
    <r>
      <rPr>
        <sz val="11"/>
        <color theme="1"/>
        <rFont val="等线"/>
        <family val="2"/>
        <charset val="134"/>
        <scheme val="minor"/>
      </rPr>
      <t>：文字、语言、图像、数据等传递信息的实质内容。</t>
    </r>
  </si>
  <si>
    <r>
      <t>传递方式</t>
    </r>
    <r>
      <rPr>
        <sz val="11"/>
        <color theme="1"/>
        <rFont val="等线"/>
        <family val="2"/>
        <charset val="134"/>
        <scheme val="minor"/>
      </rPr>
      <t>：沟通、表达、传播（如合同、书籍、消息）。</t>
    </r>
  </si>
  <si>
    <r>
      <t>性质判断</t>
    </r>
    <r>
      <rPr>
        <sz val="11"/>
        <color theme="1"/>
        <rFont val="等线"/>
        <family val="2"/>
        <charset val="134"/>
        <scheme val="minor"/>
      </rPr>
      <t>：</t>
    </r>
  </si>
  <si>
    <r>
      <t>庙旺</t>
    </r>
    <r>
      <rPr>
        <sz val="11"/>
        <color theme="1"/>
        <rFont val="等线"/>
        <family val="2"/>
        <charset val="134"/>
        <scheme val="minor"/>
      </rPr>
      <t>（强）：内容优质、逻辑清晰、有深度。</t>
    </r>
  </si>
  <si>
    <r>
      <t>落陷</t>
    </r>
    <r>
      <rPr>
        <sz val="11"/>
        <color theme="1"/>
        <rFont val="等线"/>
        <family val="2"/>
        <charset val="134"/>
        <scheme val="minor"/>
      </rPr>
      <t>（弱）：内容空洞、歪曲、虚假或沟通障碍。</t>
    </r>
  </si>
  <si>
    <r>
      <t>2. 与文昌星的对比</t>
    </r>
    <r>
      <rPr>
        <sz val="11"/>
        <color theme="1"/>
        <rFont val="等线"/>
        <family val="2"/>
        <charset val="134"/>
        <scheme val="minor"/>
      </rPr>
      <t>：</t>
    </r>
  </si>
  <si>
    <r>
      <t>文昌</t>
    </r>
    <r>
      <rPr>
        <sz val="11"/>
        <color theme="1"/>
        <rFont val="等线"/>
        <family val="2"/>
        <charset val="134"/>
        <scheme val="minor"/>
      </rPr>
      <t>：偏重形式（如文书格式、证书外观）。</t>
    </r>
  </si>
  <si>
    <r>
      <t>文曲</t>
    </r>
    <r>
      <rPr>
        <sz val="11"/>
        <color theme="1"/>
        <rFont val="等线"/>
        <family val="2"/>
        <charset val="134"/>
        <scheme val="minor"/>
      </rPr>
      <t>：专注实质内容（如合同条款、文章内涵）。</t>
    </r>
  </si>
  <si>
    <t>二、文曲在十二宫位的含义</t>
  </si>
  <si>
    <t>具体含义​</t>
  </si>
  <si>
    <t>典型场景​</t>
  </si>
  <si>
    <t>文书合同、证书、长辈学识</t>
  </si>
  <si>
    <t>签约条款问题、学历证书真伪</t>
  </si>
  <si>
    <r>
      <t>福德宫</t>
    </r>
    <r>
      <rPr>
        <sz val="11"/>
        <color theme="1"/>
        <rFont val="等线"/>
        <family val="2"/>
        <charset val="134"/>
        <scheme val="minor"/>
      </rPr>
      <t>​</t>
    </r>
  </si>
  <si>
    <t>思想内容、精神感悟</t>
  </si>
  <si>
    <t>内心纠结、灵感创意</t>
  </si>
  <si>
    <t>外界消息、异地信息</t>
  </si>
  <si>
    <t>留学通知、移民政策变动</t>
  </si>
  <si>
    <t>身体信息（DNA、病历）</t>
  </si>
  <si>
    <t>基因检测报告、健康档案</t>
  </si>
  <si>
    <t>财务内容（账目、投资方案）</t>
  </si>
  <si>
    <t>审计漏洞、理财协议陷阱</t>
  </si>
  <si>
    <r>
      <t>夫妻宫</t>
    </r>
    <r>
      <rPr>
        <sz val="11"/>
        <color theme="1"/>
        <rFont val="等线"/>
        <family val="2"/>
        <charset val="134"/>
        <scheme val="minor"/>
      </rPr>
      <t>​</t>
    </r>
  </si>
  <si>
    <t>感情表达、承诺内容</t>
  </si>
  <si>
    <t>甜言蜜语 vs. 欺骗性承诺</t>
  </si>
  <si>
    <r>
      <t>子女宫</t>
    </r>
    <r>
      <rPr>
        <sz val="11"/>
        <color theme="1"/>
        <rFont val="等线"/>
        <family val="2"/>
        <charset val="134"/>
        <scheme val="minor"/>
      </rPr>
      <t>​</t>
    </r>
  </si>
  <si>
    <t>子女天赋、教育内容</t>
  </si>
  <si>
    <t>孩子偏科、艺术才华</t>
  </si>
  <si>
    <r>
      <t>命宫</t>
    </r>
    <r>
      <rPr>
        <sz val="11"/>
        <color theme="1"/>
        <rFont val="等线"/>
        <family val="2"/>
        <charset val="134"/>
        <scheme val="minor"/>
      </rPr>
      <t>​</t>
    </r>
  </si>
  <si>
    <r>
      <t>官禄宫</t>
    </r>
    <r>
      <rPr>
        <sz val="11"/>
        <color theme="1"/>
        <rFont val="等线"/>
        <family val="2"/>
        <charset val="134"/>
        <scheme val="minor"/>
      </rPr>
      <t>​</t>
    </r>
  </si>
  <si>
    <r>
      <t>兄弟宫</t>
    </r>
    <r>
      <rPr>
        <sz val="11"/>
        <color theme="1"/>
        <rFont val="等线"/>
        <family val="2"/>
        <charset val="134"/>
        <scheme val="minor"/>
      </rPr>
      <t>​</t>
    </r>
  </si>
  <si>
    <t>属性​</t>
  </si>
  <si>
    <t>原始定义​</t>
  </si>
  <si>
    <r>
      <t>本质</t>
    </r>
    <r>
      <rPr>
        <sz val="11"/>
        <color theme="1"/>
        <rFont val="等线"/>
        <family val="2"/>
        <charset val="134"/>
        <scheme val="minor"/>
      </rPr>
      <t>​</t>
    </r>
  </si>
  <si>
    <t>场景​</t>
  </si>
  <si>
    <t>落陷效应​</t>
  </si>
  <si>
    <t>虚浮收益（投资泡沫/虚假荫庇）</t>
  </si>
  <si>
    <t>强权失控（暴力执法/独断专行）</t>
  </si>
  <si>
    <t>虚名无实（山寨品牌/文凭造假）</t>
  </si>
  <si>
    <t>常见「风雨飘摇」格局替代化忌效应</t>
  </si>
  <si>
    <r>
      <t>核心象征</t>
    </r>
    <r>
      <rPr>
        <sz val="11"/>
        <color theme="1"/>
        <rFont val="等线"/>
        <family val="2"/>
        <charset val="134"/>
        <scheme val="minor"/>
      </rPr>
      <t>​</t>
    </r>
  </si>
  <si>
    <t>一、天相定义</t>
  </si>
  <si>
    <t>四、主星组合象义</t>
  </si>
  <si>
    <t>五、辅星组合象义</t>
  </si>
  <si>
    <t>天同+太阴落陷：抑郁体质</t>
  </si>
  <si>
    <t>效应​</t>
  </si>
  <si>
    <t>一、左辅定义</t>
  </si>
  <si>
    <t>组合效应​</t>
  </si>
  <si>
    <t>文档4：主“天马行空”的创意；文档5：遇煞星则“思维混乱”。</t>
  </si>
  <si>
    <t>→ 吉凶取决于煞吉星配比。</t>
  </si>
  <si>
    <r>
      <t>天才+擎羊</t>
    </r>
    <r>
      <rPr>
        <sz val="11"/>
        <color theme="1"/>
        <rFont val="等线"/>
        <family val="2"/>
        <charset val="134"/>
        <scheme val="minor"/>
      </rPr>
      <t>​</t>
    </r>
  </si>
  <si>
    <t>→ 统一：均属语言/策略性伤害，角度不同。</t>
  </si>
  <si>
    <t>借廉贞化忌：肿瘤恶化（循环失控）</t>
  </si>
  <si>
    <t>陀罗+天梁陷：治疗无效</t>
  </si>
  <si>
    <t>落陷：碗斜置→资源轻微溢出（如零钱洒落）</t>
  </si>
  <si>
    <r>
      <t>2. 福报阈值</t>
    </r>
    <r>
      <rPr>
        <sz val="11"/>
        <color theme="1"/>
        <rFont val="等线"/>
        <family val="2"/>
        <charset val="134"/>
        <scheme val="minor"/>
      </rPr>
      <t>：</t>
    </r>
  </si>
  <si>
    <t>地空位置指示个体福报承载极限，超限则引发崩塌</t>
    <phoneticPr fontId="2" type="noConversion"/>
  </si>
  <si>
    <r>
      <t>破坏性</t>
    </r>
    <r>
      <rPr>
        <sz val="11"/>
        <color theme="1"/>
        <rFont val="等线"/>
        <family val="2"/>
        <charset val="134"/>
        <scheme val="minor"/>
      </rPr>
      <t>​</t>
    </r>
  </si>
  <si>
    <r>
      <t>1. 水位状态冲突</t>
    </r>
    <r>
      <rPr>
        <sz val="11"/>
        <color theme="1"/>
        <rFont val="等线"/>
        <family val="2"/>
        <charset val="134"/>
        <scheme val="minor"/>
      </rPr>
      <t>：</t>
    </r>
  </si>
  <si>
    <t>文档2称水位（亥子）铃星落陷，文档25定义全宫位无庙陷</t>
  </si>
  <si>
    <t>→ 采用“全宫位无庙陷”为主，但标注矛盾来源</t>
  </si>
  <si>
    <r>
      <t>2. 女命吉凶争议</t>
    </r>
    <r>
      <rPr>
        <sz val="11"/>
        <color theme="1"/>
        <rFont val="等线"/>
        <family val="2"/>
        <charset val="134"/>
        <scheme val="minor"/>
      </rPr>
      <t>：</t>
    </r>
  </si>
  <si>
    <t>文档20称女命铃星“性刚克夫”，文档32主张“无固有吉凶”</t>
  </si>
  <si>
    <t>→ 并存：需结合具体组合（如+贪狼可主财丰）</t>
  </si>
  <si>
    <t>七、关键逻辑​</t>
  </si>
  <si>
    <r>
      <t>烦恼的双重性</t>
    </r>
    <r>
      <rPr>
        <sz val="11"/>
        <color theme="1"/>
        <rFont val="等线"/>
        <family val="2"/>
        <charset val="134"/>
        <scheme val="minor"/>
      </rPr>
      <t>：</t>
    </r>
  </si>
  <si>
    <r>
      <t>声音与精神的统一</t>
    </r>
    <r>
      <rPr>
        <sz val="11"/>
        <color theme="1"/>
        <rFont val="等线"/>
        <family val="2"/>
        <charset val="134"/>
        <scheme val="minor"/>
      </rPr>
      <t>：</t>
    </r>
  </si>
  <si>
    <t>物理噪音（如装修声）与心理焦虑（如工作压力）均属铃星范畴</t>
  </si>
  <si>
    <r>
      <t>煞星组合（火星、擎羊）</t>
    </r>
    <r>
      <rPr>
        <sz val="11"/>
        <color rgb="FFFF0000"/>
        <rFont val="等线"/>
        <family val="3"/>
        <charset val="134"/>
        <scheme val="minor"/>
      </rPr>
      <t>强化负面效应</t>
    </r>
    <phoneticPr fontId="2" type="noConversion"/>
  </si>
  <si>
    <r>
      <t>吉星组合（解神、天喜）</t>
    </r>
    <r>
      <rPr>
        <sz val="11"/>
        <color rgb="FFFF0000"/>
        <rFont val="等线"/>
        <family val="3"/>
        <charset val="134"/>
        <scheme val="minor"/>
      </rPr>
      <t>可转化烦恼为动力</t>
    </r>
    <phoneticPr fontId="2" type="noConversion"/>
  </si>
  <si>
    <t>一、天巫定义</t>
  </si>
  <si>
    <r>
      <t>吉凶辩证</t>
    </r>
    <r>
      <rPr>
        <sz val="11"/>
        <color theme="1"/>
        <rFont val="等线"/>
        <family val="2"/>
        <charset val="134"/>
        <scheme val="minor"/>
      </rPr>
      <t>​</t>
    </r>
  </si>
  <si>
    <t>二、单星象义</t>
  </si>
  <si>
    <t>1. 核心特质</t>
  </si>
  <si>
    <t>三、宫位组合象义</t>
  </si>
  <si>
    <t>六、关键逻辑</t>
  </si>
  <si>
    <t>同宫或会照的辅星是吉是煞。</t>
  </si>
  <si>
    <t>宫位本身的属性（如财帛宫重利，福德宫重心性）。</t>
  </si>
  <si>
    <t>一、阴煞定义</t>
  </si>
  <si>
    <t>具体象义​</t>
  </si>
  <si>
    <t>典型案例/说明​</t>
  </si>
  <si>
    <t>一、天伤定义</t>
  </si>
  <si>
    <t>2. 转化与缓和组合</t>
  </si>
  <si>
    <t>一、天月定义</t>
  </si>
  <si>
    <t>一、华盖定义</t>
  </si>
  <si>
    <r>
      <t>艺术才华</t>
    </r>
    <r>
      <rPr>
        <sz val="11"/>
        <color theme="1"/>
        <rFont val="等线"/>
        <family val="2"/>
        <charset val="134"/>
        <scheme val="minor"/>
      </rPr>
      <t>​</t>
    </r>
  </si>
  <si>
    <t>一、大耗定义</t>
  </si>
  <si>
    <t>大的消耗、破败、损失、漏洞、元气损伤</t>
  </si>
  <si>
    <t>象征规模较大、程度较深的消耗与损失，多指向资源、钱财或精力的实质性减损。</t>
  </si>
  <si>
    <t>无庙旺落陷之分。其破坏力与所搭配主星之强弱及四化引动直接相关。</t>
  </si>
  <si>
    <r>
      <t>财物大损</t>
    </r>
    <r>
      <rPr>
        <sz val="11"/>
        <color theme="1"/>
        <rFont val="等线"/>
        <family val="2"/>
        <charset val="134"/>
        <scheme val="minor"/>
      </rPr>
      <t>​</t>
    </r>
  </si>
  <si>
    <t>大额破财、投资巨亏、重大财务漏洞、遗产破败。</t>
  </si>
  <si>
    <t>在财帛、田宅宫时尤为应验。</t>
  </si>
  <si>
    <r>
      <t>精力耗散</t>
    </r>
    <r>
      <rPr>
        <sz val="11"/>
        <color theme="1"/>
        <rFont val="等线"/>
        <family val="2"/>
        <charset val="134"/>
        <scheme val="minor"/>
      </rPr>
      <t>​</t>
    </r>
  </si>
  <si>
    <t>元气大伤、过度劳累致病、重大手术后的身体虚耗。</t>
  </si>
  <si>
    <t>在命宫、疾厄宫时显现。</t>
  </si>
  <si>
    <r>
      <t>资源流失</t>
    </r>
    <r>
      <rPr>
        <sz val="11"/>
        <color theme="1"/>
        <rFont val="等线"/>
        <family val="2"/>
        <charset val="134"/>
        <scheme val="minor"/>
      </rPr>
      <t>​</t>
    </r>
  </si>
  <si>
    <t>人才流失、客户流失、核心资源被掏空、家道中落。</t>
  </si>
  <si>
    <t>在交友、田宅、官禄宫时体现。</t>
  </si>
  <si>
    <r>
      <t>机会错失</t>
    </r>
    <r>
      <rPr>
        <sz val="11"/>
        <color theme="1"/>
        <rFont val="等线"/>
        <family val="2"/>
        <charset val="134"/>
        <scheme val="minor"/>
      </rPr>
      <t>​</t>
    </r>
  </si>
  <si>
    <t>因自身疏忽或外部原因错失重大机遇，造成长远损失。</t>
  </si>
  <si>
    <t>在迁移、官禄宫时明显。</t>
  </si>
  <si>
    <r>
      <t>名誉损毁</t>
    </r>
    <r>
      <rPr>
        <sz val="11"/>
        <color theme="1"/>
        <rFont val="等线"/>
        <family val="2"/>
        <charset val="134"/>
        <scheme val="minor"/>
      </rPr>
      <t>​</t>
    </r>
  </si>
  <si>
    <t>因重大失误或丑闻导致声誉严重受损，难以挽回。</t>
  </si>
  <si>
    <t>在官禄、父母宫时发生。</t>
  </si>
  <si>
    <t>一生钱财消耗大，易因大事破财；体质易虚耗，需防元气损伤。</t>
  </si>
  <si>
    <t>兄弟姐妹间有大的财务纠纷或拖累；在团队中易因队友造成大损失。</t>
  </si>
  <si>
    <t>婚姻导致财产重大损失（如离婚析产）；配偶有破大财的倾向。</t>
  </si>
  <si>
    <t>子女花费巨大（如留学、重病）；因投资、投机造成严重亏损。</t>
  </si>
  <si>
    <r>
      <t>核心宫位</t>
    </r>
    <r>
      <rPr>
        <sz val="11"/>
        <color theme="1"/>
        <rFont val="等线"/>
        <family val="2"/>
        <charset val="134"/>
        <scheme val="minor"/>
      </rPr>
      <t>。钱财进出数额大但存不住，易有意外的大笔支出或损失。</t>
    </r>
  </si>
  <si>
    <t>大病、大手术导致身体元气严重耗损；患有消耗性疾病（如糖尿病、结核）。</t>
  </si>
  <si>
    <t>在外地遭遇重大破财、被骗；远行发展消耗巨大，收益不匹配。</t>
  </si>
  <si>
    <t>被朋友、合作伙伴拖累导致重大损失；客户群体流失严重。</t>
  </si>
  <si>
    <t>事业上出现重大失误造成损失；创业失败血本无归；行业衰退。</t>
  </si>
  <si>
    <t>家庭资产严重缩水（如房产贬值）；家中失窃、火灾造成大损失；家族破败。</t>
  </si>
  <si>
    <t>精神世界感到巨大空虚、耗竭；为追求某种理想或嗜好耗尽心力财力。</t>
  </si>
  <si>
    <t>父母破大财或家业衰败；继承遗产时发现巨大债务或漏洞。</t>
  </si>
  <si>
    <t>1. 强化消耗性质组合</t>
  </si>
  <si>
    <r>
      <t>大耗+破军</t>
    </r>
    <r>
      <rPr>
        <sz val="11"/>
        <color theme="1"/>
        <rFont val="等线"/>
        <family val="2"/>
        <charset val="134"/>
        <scheme val="minor"/>
      </rPr>
      <t>​</t>
    </r>
  </si>
  <si>
    <t>破坏性、颠覆性的大损失。如破产、推倒重来式的投资失败。</t>
  </si>
  <si>
    <t>创业失败，负债累累。</t>
  </si>
  <si>
    <r>
      <t>大耗+七杀</t>
    </r>
    <r>
      <rPr>
        <sz val="11"/>
        <color theme="1"/>
        <rFont val="等线"/>
        <family val="2"/>
        <charset val="134"/>
        <scheme val="minor"/>
      </rPr>
      <t>​</t>
    </r>
  </si>
  <si>
    <t>突发性、猛烈的大消耗。如意外事故导致的巨额赔偿或医疗费。</t>
  </si>
  <si>
    <t>车祸后需支付高额治疗及赔偿金。</t>
  </si>
  <si>
    <r>
      <t>大耗+廉贞</t>
    </r>
    <r>
      <rPr>
        <sz val="11"/>
        <color theme="1"/>
        <rFont val="等线"/>
        <family val="2"/>
        <charset val="134"/>
        <scheme val="minor"/>
      </rPr>
      <t>​</t>
    </r>
  </si>
  <si>
    <t>因桃花、血光或官非导致的大破财。</t>
  </si>
  <si>
    <t>因感情纠纷赔钱；因官司罚款。</t>
  </si>
  <si>
    <r>
      <t>大耗+武曲</t>
    </r>
    <r>
      <rPr>
        <sz val="11"/>
        <color theme="1"/>
        <rFont val="等线"/>
        <family val="2"/>
        <charset val="134"/>
        <scheme val="minor"/>
      </rPr>
      <t>​</t>
    </r>
  </si>
  <si>
    <t>与金属、钱财直接相关的大损失。如金融投资爆仓、机器设备重大损坏。</t>
  </si>
  <si>
    <t>股票杠杆交易穿仓。</t>
  </si>
  <si>
    <r>
      <t>大耗+巨门</t>
    </r>
    <r>
      <rPr>
        <sz val="11"/>
        <color theme="1"/>
        <rFont val="等线"/>
        <family val="2"/>
        <charset val="134"/>
        <scheme val="minor"/>
      </rPr>
      <t>​</t>
    </r>
  </si>
  <si>
    <t>因口舌是非、合同纠纷、暗箱操作导致的巨大损失。</t>
  </si>
  <si>
    <t>因商业诽谤诉讼损失惨重；合同陷阱导致巨亏。</t>
  </si>
  <si>
    <r>
      <t>大耗+紫微</t>
    </r>
    <r>
      <rPr>
        <sz val="11"/>
        <color theme="1"/>
        <rFont val="等线"/>
        <family val="2"/>
        <charset val="134"/>
        <scheme val="minor"/>
      </rPr>
      <t>​</t>
    </r>
  </si>
  <si>
    <t>损失发生在重要、大型的项目上，但有能力通过权威和格局承担或挽回部分。</t>
  </si>
  <si>
    <t>大型工程超支，但凭借公司实力渡过难关。</t>
  </si>
  <si>
    <r>
      <t>大耗+天府</t>
    </r>
    <r>
      <rPr>
        <sz val="11"/>
        <color theme="1"/>
        <rFont val="等线"/>
        <family val="2"/>
        <charset val="134"/>
        <scheme val="minor"/>
      </rPr>
      <t>​</t>
    </r>
  </si>
  <si>
    <t>虽有大的消耗，但家底厚实，不致动摇根本；或通过库藏进行有计划的大支出。</t>
  </si>
  <si>
    <t>购买豪宅，虽耗资巨大但资产仍在。</t>
  </si>
  <si>
    <r>
      <t>大耗+天梁</t>
    </r>
    <r>
      <rPr>
        <sz val="11"/>
        <color theme="1"/>
        <rFont val="等线"/>
        <family val="2"/>
        <charset val="134"/>
        <scheme val="minor"/>
      </rPr>
      <t>​</t>
    </r>
  </si>
  <si>
    <t>消耗用于宗教、慈善、医疗或法律事务，带有“破财消灾”或“舍财保命”的性质。</t>
  </si>
  <si>
    <t>为治病倾尽家财；捐款做功德。</t>
  </si>
  <si>
    <r>
      <t>大耗+太阳</t>
    </r>
    <r>
      <rPr>
        <sz val="11"/>
        <color theme="1"/>
        <rFont val="等线"/>
        <family val="2"/>
        <charset val="134"/>
        <scheme val="minor"/>
      </rPr>
      <t>​</t>
    </r>
  </si>
  <si>
    <t>公开的、看得见的大笔花费或损失，但可能因此获得名声或后续机会。</t>
  </si>
  <si>
    <t>举办大型公益演唱会，虽花费巨大但赢得声誉。</t>
  </si>
  <si>
    <r>
      <t>大耗+火星</t>
    </r>
    <r>
      <rPr>
        <sz val="11"/>
        <color theme="1"/>
        <rFont val="等线"/>
        <family val="2"/>
        <charset val="134"/>
        <scheme val="minor"/>
      </rPr>
      <t>​</t>
    </r>
  </si>
  <si>
    <t>快速、猛烈的大破财。如突发火灾损失、急性病的高额医疗费。</t>
  </si>
  <si>
    <t>工厂失火，资产一夜焚毁。</t>
  </si>
  <si>
    <r>
      <t>大耗+铃星</t>
    </r>
    <r>
      <rPr>
        <sz val="11"/>
        <color theme="1"/>
        <rFont val="等线"/>
        <family val="2"/>
        <charset val="134"/>
        <scheme val="minor"/>
      </rPr>
      <t>​</t>
    </r>
  </si>
  <si>
    <t>缓慢但持续的大消耗，或损失在拖延中不断扩大。</t>
  </si>
  <si>
    <t>慢性病长期治疗拖垮家底；坏账逐年累积成巨款。</t>
  </si>
  <si>
    <r>
      <t>大耗+擎羊</t>
    </r>
    <r>
      <rPr>
        <sz val="11"/>
        <color theme="1"/>
        <rFont val="等线"/>
        <family val="2"/>
        <charset val="134"/>
        <scheme val="minor"/>
      </rPr>
      <t>​</t>
    </r>
  </si>
  <si>
    <t>因冲突、竞争、手术导致的尖锐性大损失。</t>
  </si>
  <si>
    <t>因商业竞争恶意降价导致巨额亏损；重大手术费用。</t>
  </si>
  <si>
    <r>
      <t>大耗+陀罗</t>
    </r>
    <r>
      <rPr>
        <sz val="11"/>
        <color theme="1"/>
        <rFont val="等线"/>
        <family val="2"/>
        <charset val="134"/>
        <scheme val="minor"/>
      </rPr>
      <t>​</t>
    </r>
  </si>
  <si>
    <t>损失过程拖延反复，像漩涡一样不断卷入更多资源。</t>
  </si>
  <si>
    <t>陷入连环债务纠纷；工程烂尾持续投入。</t>
  </si>
  <si>
    <r>
      <t>大耗+地空</t>
    </r>
    <r>
      <rPr>
        <sz val="11"/>
        <color theme="1"/>
        <rFont val="等线"/>
        <family val="2"/>
        <charset val="134"/>
        <scheme val="minor"/>
      </rPr>
      <t>​</t>
    </r>
  </si>
  <si>
    <t>突然的、意想不到的巨额损失，或为理想、空想投入巨大却无回报。</t>
  </si>
  <si>
    <t>投资高科技项目血本无归。</t>
  </si>
  <si>
    <r>
      <t>大耗+地劫</t>
    </r>
    <r>
      <rPr>
        <sz val="11"/>
        <color theme="1"/>
        <rFont val="等线"/>
        <family val="2"/>
        <charset val="134"/>
        <scheme val="minor"/>
      </rPr>
      <t>​</t>
    </r>
  </si>
  <si>
    <t>劫难式的大破财，损失具有断崖式、彻底性的特点。</t>
  </si>
  <si>
    <t>遭遇诈骗，毕生积蓄被骗光。</t>
  </si>
  <si>
    <r>
      <t>大耗+天刑</t>
    </r>
    <r>
      <rPr>
        <sz val="11"/>
        <color theme="1"/>
        <rFont val="等线"/>
        <family val="2"/>
        <charset val="134"/>
        <scheme val="minor"/>
      </rPr>
      <t>​</t>
    </r>
  </si>
  <si>
    <t>因法律制裁、规则惩罚导致的必然性大损失。</t>
  </si>
  <si>
    <t>因违法经营被处以巨额罚款。</t>
  </si>
  <si>
    <r>
      <t>大耗+天姚</t>
    </r>
    <r>
      <rPr>
        <sz val="11"/>
        <color theme="1"/>
        <rFont val="等线"/>
        <family val="2"/>
        <charset val="134"/>
        <scheme val="minor"/>
      </rPr>
      <t>​</t>
    </r>
  </si>
  <si>
    <t>因桃花、色情、享乐导致的大破财。</t>
  </si>
  <si>
    <t>为情人挥霍无度，耗尽家财。</t>
  </si>
  <si>
    <r>
      <t>大耗+阴煞</t>
    </r>
    <r>
      <rPr>
        <sz val="11"/>
        <color theme="1"/>
        <rFont val="等线"/>
        <family val="2"/>
        <charset val="134"/>
        <scheme val="minor"/>
      </rPr>
      <t>​</t>
    </r>
  </si>
  <si>
    <t>原因不明、暗箱操作或带有业力性质的大损失。</t>
  </si>
  <si>
    <t>钱财被暗中转移；因祖上业力破财。</t>
  </si>
  <si>
    <r>
      <t>1. “大”与“耗”</t>
    </r>
    <r>
      <rPr>
        <sz val="11"/>
        <color theme="1"/>
        <rFont val="等线"/>
        <family val="2"/>
        <charset val="134"/>
        <scheme val="minor"/>
      </rPr>
      <t>：重点在“大”，指消耗的</t>
    </r>
    <r>
      <rPr>
        <b/>
        <sz val="11"/>
        <color theme="1"/>
        <rFont val="等线"/>
        <family val="3"/>
        <charset val="134"/>
        <scheme val="minor"/>
      </rPr>
      <t>规模、程度</t>
    </r>
    <r>
      <rPr>
        <sz val="11"/>
        <color theme="1"/>
        <rFont val="等线"/>
        <family val="2"/>
        <charset val="134"/>
        <scheme val="minor"/>
      </rPr>
      <t>远超一般水平，常涉及核心资产或根本元气。</t>
    </r>
  </si>
  <si>
    <r>
      <t>2. 与“小耗”的区别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大耗主“大破”</t>
    </r>
    <r>
      <rPr>
        <sz val="11"/>
        <color theme="1"/>
        <rFont val="等线"/>
        <family val="2"/>
        <charset val="134"/>
        <scheme val="minor"/>
      </rPr>
      <t>，如房屋倒塌、企业破产；</t>
    </r>
    <r>
      <rPr>
        <b/>
        <sz val="11"/>
        <color theme="1"/>
        <rFont val="等线"/>
        <family val="3"/>
        <charset val="134"/>
        <scheme val="minor"/>
      </rPr>
      <t>小耗主“小损”</t>
    </r>
    <r>
      <rPr>
        <sz val="11"/>
        <color theme="1"/>
        <rFont val="等线"/>
        <family val="2"/>
        <charset val="134"/>
        <scheme val="minor"/>
      </rPr>
      <t>，如日常漏财、物品损坏。大耗是质变，小耗是量变。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</si>
  <si>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：大耗星所在宫位，即指示在人生的哪个领域最容易发生“伤筋动骨”式的重大消耗与损失。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</si>
  <si>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：最忌见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，会引爆并加剧损失的必然性与严重性。见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，可能表现为不得不进行的大笔投资或花费，有去有回但过程消耗大。见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，可能为掌控大笔资金流动（如基金经理），但风险极高。见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，损失可能被美化或带来名誉（如巨额慈善捐款）。</t>
    </r>
  </si>
  <si>
    <t>注：以上内容完全整</t>
  </si>
  <si>
    <t>一、天哭定义</t>
  </si>
  <si>
    <t>在命宫、福德宫时尤为明显。</t>
  </si>
  <si>
    <t>一、天厨定义</t>
  </si>
  <si>
    <t>在命宫、官禄宫时尤为明显。</t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</si>
  <si>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，口福极佳，烹饪带来财富，俸禄增加。见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，烹饪技艺精湛，对饮食有掌控力，或掌管厨房、后勤部门。见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，饮食有品位，烹饪有美名，或因美食获得声誉。见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，饮食出问题（如浪费、中毒），俸禄减少，或因吃喝惹麻烦。</t>
    </r>
  </si>
  <si>
    <t>一、恩光定义</t>
  </si>
  <si>
    <t>恩宠、荣耀、光彩、贵人赏识、公开的嘉奖</t>
  </si>
  <si>
    <t>象征来自上级、长辈或官方机构的恩泽、表彰与荣耀，是一种公开的、带有荣誉性质的助力。</t>
  </si>
  <si>
    <t>乙级星，属阳火。为天魁之辅佐星，主贵气与荣耀，喜与吉星同宫增辉。</t>
  </si>
  <si>
    <r>
      <t>受赏得荣</t>
    </r>
    <r>
      <rPr>
        <sz val="11"/>
        <color theme="1"/>
        <rFont val="等线"/>
        <family val="2"/>
        <charset val="134"/>
        <scheme val="minor"/>
      </rPr>
      <t>​</t>
    </r>
  </si>
  <si>
    <t>获得奖项、证书、表彰、公开表扬、职位晋升。</t>
  </si>
  <si>
    <t>在命宫、官禄宫时尤为应验。</t>
  </si>
  <si>
    <r>
      <t>贵人提携</t>
    </r>
    <r>
      <rPr>
        <sz val="11"/>
        <color theme="1"/>
        <rFont val="等线"/>
        <family val="2"/>
        <charset val="134"/>
        <scheme val="minor"/>
      </rPr>
      <t>​</t>
    </r>
  </si>
  <si>
    <t>得到长辈、上司、权威人士的特别赏识与提拔。</t>
  </si>
  <si>
    <t>与天魁同宫或相会时力量最强。</t>
  </si>
  <si>
    <r>
      <t>增添光彩</t>
    </r>
    <r>
      <rPr>
        <sz val="11"/>
        <color theme="1"/>
        <rFont val="等线"/>
        <family val="2"/>
        <charset val="134"/>
        <scheme val="minor"/>
      </rPr>
      <t>​</t>
    </r>
  </si>
  <si>
    <t>为个人、家庭或集体带来荣誉，脸上有光。</t>
  </si>
  <si>
    <t>在父母、田宅宫时，光耀门楣。</t>
  </si>
  <si>
    <r>
      <t>机遇降临</t>
    </r>
    <r>
      <rPr>
        <sz val="11"/>
        <color theme="1"/>
        <rFont val="等线"/>
        <family val="2"/>
        <charset val="134"/>
        <scheme val="minor"/>
      </rPr>
      <t>​</t>
    </r>
  </si>
  <si>
    <t>因好名声或过往善行获得意想不到的好机会。</t>
  </si>
  <si>
    <t>在迁移、交友宫时，得外界青睐。</t>
  </si>
  <si>
    <r>
      <t>正气加持</t>
    </r>
    <r>
      <rPr>
        <sz val="11"/>
        <color theme="1"/>
        <rFont val="等线"/>
        <family val="2"/>
        <charset val="134"/>
        <scheme val="minor"/>
      </rPr>
      <t>​</t>
    </r>
  </si>
  <si>
    <t>言行端正，易受信任，在正式场合或流程中受益。</t>
  </si>
  <si>
    <t>利于考试、面试、审核等事宜。</t>
  </si>
  <si>
    <t>一生易得贵人赏识，有荣誉加身的机会，为人重名誉、有光彩。</t>
  </si>
  <si>
    <t>兄弟姐妹中有显荣者，能给自己带来荣耀；在团队中易受嘉奖。</t>
  </si>
  <si>
    <t>配偶体面或有荣誉，婚姻能为自己增添光彩；易得配偶方长辈提携。</t>
  </si>
  <si>
    <t>子女有出息、获奖，为自己争光；在投资、娱乐方面获得荣誉性回报。</t>
  </si>
  <si>
    <t>钱财来源于正当荣誉（如奖金、奖学金），或因好名声得财。</t>
  </si>
  <si>
    <t>得到名医诊治，或使用荣誉性的先进疗法；病情易公开并获得关怀。</t>
  </si>
  <si>
    <t>在外发展易获名声与赏识，得异地贵人提拔，外出光彩。</t>
  </si>
  <si>
    <t>朋友多为体面、正派之人，且其中多有能提携自己的贵人。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</si>
  <si>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。事业上易获表彰、升职，职业带来社会荣誉。</t>
    </r>
  </si>
  <si>
    <t>家庭有荣誉（如书香门第、光荣之家），家宅气派，购置房产添光彩。</t>
  </si>
  <si>
    <t>内心重视荣誉与道德感，精神世界因获得认可而感到满足。</t>
  </si>
  <si>
    <t>父母有社会地位或荣誉，自己易得父母福荫及长辈上司关照。</t>
  </si>
  <si>
    <t>1. 强化贵气荣耀组合</t>
  </si>
  <si>
    <r>
      <t>恩光+紫微</t>
    </r>
    <r>
      <rPr>
        <sz val="11"/>
        <color theme="1"/>
        <rFont val="等线"/>
        <family val="2"/>
        <charset val="134"/>
        <scheme val="minor"/>
      </rPr>
      <t>​</t>
    </r>
  </si>
  <si>
    <t>帝星得恩光，贵气非凡，易获最高级别的嘉奖与权位荣耀。</t>
  </si>
  <si>
    <t>获得国家勋章；成为行业领袖并受表彰。</t>
  </si>
  <si>
    <r>
      <t>恩光+太阳</t>
    </r>
    <r>
      <rPr>
        <sz val="11"/>
        <color theme="1"/>
        <rFont val="等线"/>
        <family val="2"/>
        <charset val="134"/>
        <scheme val="minor"/>
      </rPr>
      <t>​</t>
    </r>
  </si>
  <si>
    <t>荣耀公开化、大众化，因光明正大的行为获得广泛赞誉。</t>
  </si>
  <si>
    <t>成为公众人物并获得荣誉；因慈善行为受表彰。</t>
  </si>
  <si>
    <r>
      <t>恩光+天梁</t>
    </r>
    <r>
      <rPr>
        <sz val="11"/>
        <color theme="1"/>
        <rFont val="等线"/>
        <family val="2"/>
        <charset val="134"/>
        <scheme val="minor"/>
      </rPr>
      <t>​</t>
    </r>
  </si>
  <si>
    <t>因清望、善行、法律或宗教相关事务获得荣誉，贵气带清高。</t>
  </si>
  <si>
    <t>获得道德模范奖；著名法官、法师。</t>
  </si>
  <si>
    <r>
      <t>恩光+天府</t>
    </r>
    <r>
      <rPr>
        <sz val="11"/>
        <color theme="1"/>
        <rFont val="等线"/>
        <family val="2"/>
        <charset val="134"/>
        <scheme val="minor"/>
      </rPr>
      <t>​</t>
    </r>
  </si>
  <si>
    <t>稳重而得体地获得荣耀，荣誉带来实际的地位与财富积累。</t>
  </si>
  <si>
    <t>因稳健业绩获得终身成就奖；受封爵位并享有俸禄。</t>
  </si>
  <si>
    <r>
      <t>恩光+天相</t>
    </r>
    <r>
      <rPr>
        <sz val="11"/>
        <color theme="1"/>
        <rFont val="等线"/>
        <family val="2"/>
        <charset val="134"/>
        <scheme val="minor"/>
      </rPr>
      <t>​</t>
    </r>
  </si>
  <si>
    <t>因辅佐得力、办事周全而获得嘉奖，荣誉来自团队或服务对象。</t>
  </si>
  <si>
    <t>最佳助手奖；因优质服务获评劳模。</t>
  </si>
  <si>
    <t>2. 转化与具体化组合</t>
  </si>
  <si>
    <r>
      <t>恩光+武曲</t>
    </r>
    <r>
      <rPr>
        <sz val="11"/>
        <color theme="1"/>
        <rFont val="等线"/>
        <family val="2"/>
        <charset val="134"/>
        <scheme val="minor"/>
      </rPr>
      <t>​</t>
    </r>
  </si>
  <si>
    <t>在财经、金融、军事领域因功绩获得荣誉与奖金。</t>
  </si>
  <si>
    <t>获得金融创新大奖；军功章。</t>
  </si>
  <si>
    <r>
      <t>恩光+天同</t>
    </r>
    <r>
      <rPr>
        <sz val="11"/>
        <color theme="1"/>
        <rFont val="等线"/>
        <family val="2"/>
        <charset val="134"/>
        <scheme val="minor"/>
      </rPr>
      <t>​</t>
    </r>
  </si>
  <si>
    <t>因福气、人缘或艺术才华获得荣誉，过程轻松愉快。</t>
  </si>
  <si>
    <t>获得最受欢迎艺人奖；因作品获轻松奖项。</t>
  </si>
  <si>
    <r>
      <t>恩光+廉贞</t>
    </r>
    <r>
      <rPr>
        <sz val="11"/>
        <color theme="1"/>
        <rFont val="等线"/>
        <family val="2"/>
        <charset val="134"/>
        <scheme val="minor"/>
      </rPr>
      <t>​</t>
    </r>
  </si>
  <si>
    <t>荣誉与政治、纪律检查、复杂人际相关，可能伴随争议。</t>
  </si>
  <si>
    <t>因反腐立功受奖；在政治斗争中获胜获荣誉。</t>
  </si>
  <si>
    <r>
      <t>恩光+巨门</t>
    </r>
    <r>
      <rPr>
        <sz val="11"/>
        <color theme="1"/>
        <rFont val="等线"/>
        <family val="2"/>
        <charset val="134"/>
        <scheme val="minor"/>
      </rPr>
      <t>​</t>
    </r>
  </si>
  <si>
    <t>通过口才、学术研究、法律或传播工作获得名誉。</t>
  </si>
  <si>
    <t>获得学术大奖；著名律师、主持人获奖。</t>
  </si>
  <si>
    <r>
      <t>恩光+天机</t>
    </r>
    <r>
      <rPr>
        <sz val="11"/>
        <color theme="1"/>
        <rFont val="等线"/>
        <family val="2"/>
        <charset val="134"/>
        <scheme val="minor"/>
      </rPr>
      <t>​</t>
    </r>
  </si>
  <si>
    <t>因策划、谋略、技术发明或交通通讯领域的贡献获奖。</t>
  </si>
  <si>
    <t>获得科技创新奖；最佳策划人奖。</t>
  </si>
  <si>
    <r>
      <t>恩光+天魁/天钺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</si>
  <si>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最佳组合</t>
    </r>
    <r>
      <rPr>
        <sz val="11"/>
        <color theme="1"/>
        <rFont val="等线"/>
        <family val="2"/>
        <charset val="134"/>
        <scheme val="minor"/>
      </rPr>
      <t>。贵人助力直接转化为公开的荣耀与机遇，锦上添花。</t>
    </r>
  </si>
  <si>
    <t>被贵人直接举荐并获得重要奖项。</t>
  </si>
  <si>
    <r>
      <t>恩光+文昌/文曲</t>
    </r>
    <r>
      <rPr>
        <sz val="11"/>
        <color theme="1"/>
        <rFont val="等线"/>
        <family val="2"/>
        <charset val="134"/>
        <scheme val="minor"/>
      </rPr>
      <t>​</t>
    </r>
  </si>
  <si>
    <t>因文化、艺术、考试方面的卓越成就获得荣誉，荣耀带有文采。</t>
  </si>
  <si>
    <t>获得文学奖、书法大奖；高考状元。</t>
  </si>
  <si>
    <r>
      <t>恩光+左辅/右弼</t>
    </r>
    <r>
      <rPr>
        <sz val="11"/>
        <color theme="1"/>
        <rFont val="等线"/>
        <family val="2"/>
        <charset val="134"/>
        <scheme val="minor"/>
      </rPr>
      <t>​</t>
    </r>
  </si>
  <si>
    <t>因团队合作、众人帮助而获得集体荣誉，或荣誉能惠及多人。</t>
  </si>
  <si>
    <t>带领团队获得优秀团队奖；与同伴共享荣誉。</t>
  </si>
  <si>
    <r>
      <t>恩光+禄存/化禄</t>
    </r>
    <r>
      <rPr>
        <sz val="11"/>
        <color theme="1"/>
        <rFont val="等线"/>
        <family val="2"/>
        <charset val="134"/>
        <scheme val="minor"/>
      </rPr>
      <t>​</t>
    </r>
  </si>
  <si>
    <t>荣誉带来实质的财富奖励，名利双收。</t>
  </si>
  <si>
    <t>获得高额奖金；因获奖而代言费暴涨。</t>
  </si>
  <si>
    <r>
      <t>恩光+火星/铃星</t>
    </r>
    <r>
      <rPr>
        <sz val="11"/>
        <color theme="1"/>
        <rFont val="等线"/>
        <family val="2"/>
        <charset val="134"/>
        <scheme val="minor"/>
      </rPr>
      <t>​</t>
    </r>
  </si>
  <si>
    <t>荣誉得来突然或经过激烈竞争，可能伴随压力或争议。</t>
  </si>
  <si>
    <t>爆冷获奖；在竞赛中险胜后获荣誉。</t>
  </si>
  <si>
    <r>
      <t>恩光+擎羊/陀罗</t>
    </r>
    <r>
      <rPr>
        <sz val="11"/>
        <color theme="1"/>
        <rFont val="等线"/>
        <family val="2"/>
        <charset val="134"/>
        <scheme val="minor"/>
      </rPr>
      <t>​</t>
    </r>
  </si>
  <si>
    <t>荣誉得来不易，过程有波折或阻力；或因特殊技能（如外科、雕刻）获奖。</t>
  </si>
  <si>
    <t>历经磨难后终获认可；外科圣手获奖。</t>
  </si>
  <si>
    <r>
      <t>恩光+地空/地劫</t>
    </r>
    <r>
      <rPr>
        <sz val="11"/>
        <color theme="1"/>
        <rFont val="等线"/>
        <family val="2"/>
        <charset val="134"/>
        <scheme val="minor"/>
      </rPr>
      <t>​</t>
    </r>
  </si>
  <si>
    <t>荣誉具有创新性、独特性或非传统性；荣誉可能虚而不实。</t>
  </si>
  <si>
    <t>获得先锋艺术奖；获得名誉博士头衔。</t>
  </si>
  <si>
    <r>
      <t>恩光+天刑</t>
    </r>
    <r>
      <rPr>
        <sz val="11"/>
        <color theme="1"/>
        <rFont val="等线"/>
        <family val="2"/>
        <charset val="134"/>
        <scheme val="minor"/>
      </rPr>
      <t>​</t>
    </r>
  </si>
  <si>
    <t>因司法、纪律、规则方面的贡献获得荣誉；荣誉伴随强烈责任感。</t>
  </si>
  <si>
    <t>杰出法官奖；最佳纪律标兵。</t>
  </si>
  <si>
    <r>
      <t>恩光+天马</t>
    </r>
    <r>
      <rPr>
        <sz val="11"/>
        <color theme="1"/>
        <rFont val="等线"/>
        <family val="2"/>
        <charset val="134"/>
        <scheme val="minor"/>
      </rPr>
      <t>​</t>
    </r>
  </si>
  <si>
    <t>荣誉来自远方或异国，因移动、变动而获得名声。</t>
  </si>
  <si>
    <t>国际比赛获奖；因海外贡献获表彰。</t>
  </si>
  <si>
    <r>
      <t>1. “恩”与“光”</t>
    </r>
    <r>
      <rPr>
        <sz val="11"/>
        <color theme="1"/>
        <rFont val="等线"/>
        <family val="2"/>
        <charset val="134"/>
        <scheme val="minor"/>
      </rPr>
      <t>：恩光星包含“恩”（恩泽、提携）与“光”（光彩、荣耀）两层含义。其助力多来自</t>
    </r>
    <r>
      <rPr>
        <b/>
        <sz val="11"/>
        <color theme="1"/>
        <rFont val="等线"/>
        <family val="3"/>
        <charset val="134"/>
        <scheme val="minor"/>
      </rPr>
      <t>体制内、上层或正式渠道</t>
    </r>
    <r>
      <rPr>
        <sz val="11"/>
        <color theme="1"/>
        <rFont val="等线"/>
        <family val="2"/>
        <charset val="134"/>
        <scheme val="minor"/>
      </rPr>
      <t>，结果表现为</t>
    </r>
    <r>
      <rPr>
        <b/>
        <sz val="11"/>
        <color theme="1"/>
        <rFont val="等线"/>
        <family val="3"/>
        <charset val="134"/>
        <scheme val="minor"/>
      </rPr>
      <t>公开的荣誉</t>
    </r>
    <r>
      <rPr>
        <sz val="11"/>
        <color theme="1"/>
        <rFont val="等线"/>
        <family val="2"/>
        <charset val="134"/>
        <scheme val="minor"/>
      </rPr>
      <t>。</t>
    </r>
  </si>
  <si>
    <r>
      <t>2. 与“天贵”星的区别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恩光主“外显的荣耀”</t>
    </r>
    <r>
      <rPr>
        <sz val="11"/>
        <color theme="1"/>
        <rFont val="等线"/>
        <family val="2"/>
        <charset val="134"/>
        <scheme val="minor"/>
      </rPr>
      <t>，是公开的嘉奖、证书、名声；</t>
    </r>
    <r>
      <rPr>
        <b/>
        <sz val="11"/>
        <color theme="1"/>
        <rFont val="等线"/>
        <family val="3"/>
        <charset val="134"/>
        <scheme val="minor"/>
      </rPr>
      <t>天贵主“内在的贵气”</t>
    </r>
    <r>
      <rPr>
        <sz val="11"/>
        <color theme="1"/>
        <rFont val="等线"/>
        <family val="2"/>
        <charset val="134"/>
        <scheme val="minor"/>
      </rPr>
      <t>，是身份地位、后台靠山，不一定公开彰显。恩光是“锦上添花”，天贵是“雪中送炭”。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</si>
  <si>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：恩光星所在宫位，指示在人生的哪个领域最容易获得荣誉、赏识与公开的肯定。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</si>
  <si>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，荣誉带来丰厚物质回报，名利双收。见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，荣誉与权力、地位提升直接挂钩。见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，荣誉实至名归，声名远播，形象光辉。见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，荣誉带来压力或虚名累身，甚至因名招妒惹祸。</t>
    </r>
  </si>
  <si>
    <t>一、红鸾定义</t>
  </si>
  <si>
    <t>婚姻、喜庆、感情机遇、人缘、血光</t>
  </si>
  <si>
    <t>象征正缘婚恋、人生喜庆之事，亦主良好人缘与异性缘。同时，作为“血星”之一，关联手术、生产等见血之事。</t>
  </si>
  <si>
    <t>乙级星，属阴水。主吉庆，但亦为“血星”，其具体显现需结合全盘星曜吉凶判断。</t>
  </si>
  <si>
    <r>
      <t>婚姻正缘</t>
    </r>
    <r>
      <rPr>
        <sz val="11"/>
        <color theme="1"/>
        <rFont val="等线"/>
        <family val="2"/>
        <charset val="134"/>
        <scheme val="minor"/>
      </rPr>
      <t>​</t>
    </r>
  </si>
  <si>
    <t>正式的婚姻信号，恋爱结婚的机遇，夫妻宫重要星曜。</t>
  </si>
  <si>
    <t>在命宫、夫妻宫、福德宫时尤为应验。</t>
  </si>
  <si>
    <r>
      <t>喜庆之事</t>
    </r>
    <r>
      <rPr>
        <sz val="11"/>
        <color theme="1"/>
        <rFont val="等线"/>
        <family val="2"/>
        <charset val="134"/>
        <scheme val="minor"/>
      </rPr>
      <t>​</t>
    </r>
  </si>
  <si>
    <t>添丁、升学、升职、乔迁、获奖等人生喜事。</t>
  </si>
  <si>
    <t>流年逢之，多有好事临门。</t>
  </si>
  <si>
    <r>
      <t>人缘魅力</t>
    </r>
    <r>
      <rPr>
        <sz val="11"/>
        <color theme="1"/>
        <rFont val="等线"/>
        <family val="2"/>
        <charset val="134"/>
        <scheme val="minor"/>
      </rPr>
      <t>​</t>
    </r>
  </si>
  <si>
    <t>招人喜欢，异性缘佳，社交活跃，有亲和力。</t>
  </si>
  <si>
    <t>在交友宫、迁移宫时显现。</t>
  </si>
  <si>
    <r>
      <t>感情机遇</t>
    </r>
    <r>
      <rPr>
        <sz val="11"/>
        <color theme="1"/>
        <rFont val="等线"/>
        <family val="2"/>
        <charset val="134"/>
        <scheme val="minor"/>
      </rPr>
      <t>​</t>
    </r>
  </si>
  <si>
    <t>带来恋爱机会、桃花缘分，但不一定都是正缘。</t>
  </si>
  <si>
    <t>在流年命宫、夫妻宫时易遇新感情。</t>
  </si>
  <si>
    <r>
      <t>血光之灾</t>
    </r>
    <r>
      <rPr>
        <sz val="11"/>
        <color theme="1"/>
        <rFont val="等线"/>
        <family val="2"/>
        <charset val="134"/>
        <scheme val="minor"/>
      </rPr>
      <t>​</t>
    </r>
  </si>
  <si>
    <t>作为“血星”，主手术、分娩、意外受伤等见血事件。</t>
  </si>
  <si>
    <t>与擎羊、天刑等星同度时力量增强。</t>
  </si>
  <si>
    <t>相貌讨喜，性格热情，异性缘佳，一生多喜庆机遇，亦需注意血光。</t>
  </si>
  <si>
    <t>兄弟姐妹中多早婚或人缘好；与同事、同学关系融洽。</t>
  </si>
  <si>
    <r>
      <t>核心宫位</t>
    </r>
    <r>
      <rPr>
        <sz val="11"/>
        <color theme="1"/>
        <rFont val="等线"/>
        <family val="2"/>
        <charset val="134"/>
        <scheme val="minor"/>
      </rPr>
      <t>。配偶貌美或有魅力，婚姻生活多情趣，为正式婚缘的标志。</t>
    </r>
  </si>
  <si>
    <t>子女可爱讨喜；有怀孕、生产之象；在娱乐、创作方面有喜事。</t>
  </si>
  <si>
    <t>钱财来源于与人缘、喜庆相关的行业（如婚庆、娱乐）；因喜事得财。</t>
  </si>
  <si>
    <t>注意与血液、生殖系统相关的疾病；有手术、生产之象。</t>
  </si>
  <si>
    <t>在外人缘好，易得异性帮助；外出易遇喜庆事或桃花。</t>
  </si>
  <si>
    <t>朋友多热情开朗，异性朋友多；社交圈中易遇桃花。</t>
  </si>
  <si>
    <t>事业上多应酬，工作环境异性多；职业可能与喜庆、美容相关。</t>
  </si>
  <si>
    <t>家庭氛围欢乐，常有喜事；可能经营与喜庆相关的店铺（如花店）。</t>
  </si>
  <si>
    <t>内心追求浪漫，重视感情生活，精神世界多情愫与喜悦。</t>
  </si>
  <si>
    <t>父母感情好，家庭和睦；父母可能是介绍姻缘的贵人。</t>
  </si>
  <si>
    <t>1. 吉庆增强组合</t>
  </si>
  <si>
    <r>
      <t>红鸾+天同</t>
    </r>
    <r>
      <rPr>
        <sz val="11"/>
        <color theme="1"/>
        <rFont val="等线"/>
        <family val="2"/>
        <charset val="134"/>
        <scheme val="minor"/>
      </rPr>
      <t>​</t>
    </r>
  </si>
  <si>
    <t>感情丰富，享受恋爱与婚姻生活，婚缘美满，多情趣。</t>
  </si>
  <si>
    <t>夫妻恩爱，生活充满小确幸。</t>
  </si>
  <si>
    <r>
      <t>红鸾+天相</t>
    </r>
    <r>
      <rPr>
        <sz val="11"/>
        <color theme="1"/>
        <rFont val="等线"/>
        <family val="2"/>
        <charset val="134"/>
        <scheme val="minor"/>
      </rPr>
      <t>​</t>
    </r>
  </si>
  <si>
    <t>婚姻对象端庄得体，婚姻仪式隆重美满，感情稳定。</t>
  </si>
  <si>
    <t>举办盛大婚礼；配偶形象好。</t>
  </si>
  <si>
    <r>
      <t>红鸾+太阳</t>
    </r>
    <r>
      <rPr>
        <sz val="11"/>
        <color theme="1"/>
        <rFont val="等线"/>
        <family val="2"/>
        <charset val="134"/>
        <scheme val="minor"/>
      </rPr>
      <t>​</t>
    </r>
  </si>
  <si>
    <t>感情公开、光明正大，婚恋受祝福，或因事业、公众形象带来姻缘。</t>
  </si>
  <si>
    <t>公众人物公开恋情；因工作结缘。</t>
  </si>
  <si>
    <r>
      <t>红鸾+太阴</t>
    </r>
    <r>
      <rPr>
        <sz val="11"/>
        <color theme="1"/>
        <rFont val="等线"/>
        <family val="2"/>
        <charset val="134"/>
        <scheme val="minor"/>
      </rPr>
      <t>​</t>
    </r>
  </si>
  <si>
    <t>感情细腻浪漫，带有文艺气息，婚缘温馨，易得异性暗中倾慕。</t>
  </si>
  <si>
    <t>写情书、诗歌传情；月光下的浪漫。</t>
  </si>
  <si>
    <r>
      <t>红鸾+紫微</t>
    </r>
    <r>
      <rPr>
        <sz val="11"/>
        <color theme="1"/>
        <rFont val="等线"/>
        <family val="2"/>
        <charset val="134"/>
        <scheme val="minor"/>
      </rPr>
      <t>​</t>
    </r>
  </si>
  <si>
    <t>配偶有领导力或家世好，婚姻带来地位提升，婚礼气派。</t>
  </si>
  <si>
    <t>与条件优越的对象结婚；举办豪华婚礼。</t>
  </si>
  <si>
    <t>2. 感情复杂组合</t>
  </si>
  <si>
    <r>
      <t>红鸾+贪狼</t>
    </r>
    <r>
      <rPr>
        <sz val="11"/>
        <color theme="1"/>
        <rFont val="等线"/>
        <family val="2"/>
        <charset val="134"/>
        <scheme val="minor"/>
      </rPr>
      <t>​</t>
    </r>
  </si>
  <si>
    <r>
      <t>标准桃花组合</t>
    </r>
    <r>
      <rPr>
        <sz val="11"/>
        <color theme="1"/>
        <rFont val="等线"/>
        <family val="2"/>
        <charset val="134"/>
        <scheme val="minor"/>
      </rPr>
      <t>。感情机会多，欲望强烈，易有复杂恋情或婚外情。</t>
    </r>
  </si>
  <si>
    <t>风流多情，恋情不断，难定于一人。</t>
  </si>
  <si>
    <r>
      <t>红鸾+廉贞</t>
    </r>
    <r>
      <rPr>
        <sz val="11"/>
        <color theme="1"/>
        <rFont val="等线"/>
        <family val="2"/>
        <charset val="134"/>
        <scheme val="minor"/>
      </rPr>
      <t>​</t>
    </r>
  </si>
  <si>
    <t>感情浓烈而执著，易陷入复杂、秘密或不被世俗认可的感情。</t>
  </si>
  <si>
    <t>不伦之恋；政治联姻；为情所困。</t>
  </si>
  <si>
    <r>
      <t>红鸾+七杀</t>
    </r>
    <r>
      <rPr>
        <sz val="11"/>
        <color theme="1"/>
        <rFont val="等线"/>
        <family val="2"/>
        <charset val="134"/>
        <scheme val="minor"/>
      </rPr>
      <t>​</t>
    </r>
  </si>
  <si>
    <t>感情来得突然、激烈，闪婚或一见钟情，但也易突然分手或冲突。</t>
  </si>
  <si>
    <t>闪电结婚；因激烈争吵而分手。</t>
  </si>
  <si>
    <r>
      <t>红鸾+破军</t>
    </r>
    <r>
      <rPr>
        <sz val="11"/>
        <color theme="1"/>
        <rFont val="等线"/>
        <family val="2"/>
        <charset val="134"/>
        <scheme val="minor"/>
      </rPr>
      <t>​</t>
    </r>
  </si>
  <si>
    <t>感情具有破坏性，先破后成，如离婚后再婚，或恋爱过程波折重重。</t>
  </si>
  <si>
    <t>经历失败婚姻后找到真爱。</t>
  </si>
  <si>
    <r>
      <t>红鸾+巨门</t>
    </r>
    <r>
      <rPr>
        <sz val="11"/>
        <color theme="1"/>
        <rFont val="等线"/>
        <family val="2"/>
        <charset val="134"/>
        <scheme val="minor"/>
      </rPr>
      <t>​</t>
    </r>
  </si>
  <si>
    <t>感情中多口舌是非、隐瞒或沟通障碍，易因言语伤害感情。</t>
  </si>
  <si>
    <t>夫妻常吵架；恋情遭人非议。</t>
  </si>
  <si>
    <r>
      <t>红鸾+天喜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</si>
  <si>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。大喜之兆，婚庆之事力量极强，亦强化血光（如生产）。</t>
    </r>
  </si>
  <si>
    <t>双喜临门；结婚生子同年发生。</t>
  </si>
  <si>
    <r>
      <t>红鸾+文昌/文曲</t>
    </r>
    <r>
      <rPr>
        <sz val="11"/>
        <color theme="1"/>
        <rFont val="等线"/>
        <family val="2"/>
        <charset val="134"/>
        <scheme val="minor"/>
      </rPr>
      <t>​</t>
    </r>
  </si>
  <si>
    <t>才子佳人式浪漫，通过文艺方式传情，感情风雅。</t>
  </si>
  <si>
    <t>因诗书、音乐结缘；写情书恋爱。</t>
  </si>
  <si>
    <r>
      <t>红鸾+天姚</t>
    </r>
    <r>
      <rPr>
        <sz val="11"/>
        <color theme="1"/>
        <rFont val="等线"/>
        <family val="2"/>
        <charset val="134"/>
        <scheme val="minor"/>
      </rPr>
      <t>​</t>
    </r>
  </si>
  <si>
    <r>
      <t>桃花力量极强</t>
    </r>
    <r>
      <rPr>
        <sz val="11"/>
        <color theme="1"/>
        <rFont val="等线"/>
        <family val="2"/>
        <charset val="134"/>
        <scheme val="minor"/>
      </rPr>
      <t>。感情机遇多但多偏桃花，重情欲，易有风流韵事。</t>
    </r>
  </si>
  <si>
    <t>四处留情；卷入多角关系。</t>
  </si>
  <si>
    <r>
      <t>红鸾+咸池</t>
    </r>
    <r>
      <rPr>
        <sz val="11"/>
        <color theme="1"/>
        <rFont val="等线"/>
        <family val="2"/>
        <charset val="134"/>
        <scheme val="minor"/>
      </rPr>
      <t>​</t>
    </r>
  </si>
  <si>
    <t>增加异性吸引力，但多为露水情缘，易有酒色之事。</t>
  </si>
  <si>
    <t>一夜情；因娱乐场所结识桃花。</t>
  </si>
  <si>
    <r>
      <t>红鸾+火星</t>
    </r>
    <r>
      <rPr>
        <sz val="11"/>
        <color theme="1"/>
        <rFont val="等线"/>
        <family val="2"/>
        <charset val="134"/>
        <scheme val="minor"/>
      </rPr>
      <t>​</t>
    </r>
  </si>
  <si>
    <t>感情来得快、去得快，闪恋闪分；或因冲动发生关系；手术急症。</t>
  </si>
  <si>
    <t>快速恋爱同居；急性阑尾炎手术。</t>
  </si>
  <si>
    <r>
      <t>红鸾+铃星</t>
    </r>
    <r>
      <rPr>
        <sz val="11"/>
        <color theme="1"/>
        <rFont val="等线"/>
        <family val="2"/>
        <charset val="134"/>
        <scheme val="minor"/>
      </rPr>
      <t>​</t>
    </r>
  </si>
  <si>
    <t>感情纠缠、暗恋、相思苦；手术慢性或需要反复进行。</t>
  </si>
  <si>
    <t>苦恋无果；慢性病需要多次治疗。</t>
  </si>
  <si>
    <r>
      <t>红鸾+擎羊</t>
    </r>
    <r>
      <rPr>
        <sz val="11"/>
        <color theme="1"/>
        <rFont val="等线"/>
        <family val="2"/>
        <charset val="134"/>
        <scheme val="minor"/>
      </rPr>
      <t>​</t>
    </r>
  </si>
  <si>
    <t>感情竞争、争夺；婚姻中有冲突；手术带切割、流血性质。</t>
  </si>
  <si>
    <t>三角恋争斗；剖腹产；外科手术。</t>
  </si>
  <si>
    <r>
      <t>红鸾+陀罗</t>
    </r>
    <r>
      <rPr>
        <sz val="11"/>
        <color theme="1"/>
        <rFont val="等线"/>
        <family val="2"/>
        <charset val="134"/>
        <scheme val="minor"/>
      </rPr>
      <t>​</t>
    </r>
  </si>
  <si>
    <t>感情拖延、反复、旧情难忘；手术过程拖延或后遗症。</t>
  </si>
  <si>
    <t>与前任分分合合；手术恢复慢。</t>
  </si>
  <si>
    <r>
      <t>红鸾+地空/地劫</t>
    </r>
    <r>
      <rPr>
        <sz val="11"/>
        <color theme="1"/>
        <rFont val="等线"/>
        <family val="2"/>
        <charset val="134"/>
        <scheme val="minor"/>
      </rPr>
      <t>​</t>
    </r>
  </si>
  <si>
    <t>感情理想化、不切实际，易落空；或婚姻有聚少离多之象。</t>
  </si>
  <si>
    <t>网恋见光死；与配偶两地分居。</t>
  </si>
  <si>
    <r>
      <t>红鸾+天刑</t>
    </r>
    <r>
      <rPr>
        <sz val="11"/>
        <color theme="1"/>
        <rFont val="等线"/>
        <family val="2"/>
        <charset val="134"/>
        <scheme val="minor"/>
      </rPr>
      <t>​</t>
    </r>
  </si>
  <si>
    <t>感情受法律、纪律约束；奉子成婚；手术必然发生。</t>
  </si>
  <si>
    <t>登记结婚；因怀孕而结婚；计划性手术。</t>
  </si>
  <si>
    <r>
      <t>1. “正”与“偏”</t>
    </r>
    <r>
      <rPr>
        <sz val="11"/>
        <color theme="1"/>
        <rFont val="等线"/>
        <family val="2"/>
        <charset val="134"/>
        <scheme val="minor"/>
      </rPr>
      <t>：红鸾本质主</t>
    </r>
    <r>
      <rPr>
        <b/>
        <sz val="11"/>
        <color theme="1"/>
        <rFont val="等线"/>
        <family val="3"/>
        <charset val="134"/>
        <scheme val="minor"/>
      </rPr>
      <t>正缘喜庆</t>
    </r>
    <r>
      <rPr>
        <sz val="11"/>
        <color theme="1"/>
        <rFont val="等线"/>
        <family val="2"/>
        <charset val="134"/>
        <scheme val="minor"/>
      </rPr>
      <t>，但遇煞星或桃花星（如天姚、贪狼）则转化为</t>
    </r>
    <r>
      <rPr>
        <b/>
        <sz val="11"/>
        <color theme="1"/>
        <rFont val="等线"/>
        <family val="3"/>
        <charset val="134"/>
        <scheme val="minor"/>
      </rPr>
      <t>偏桃花</t>
    </r>
    <r>
      <rPr>
        <sz val="11"/>
        <color theme="1"/>
        <rFont val="等线"/>
        <family val="2"/>
        <charset val="134"/>
        <scheme val="minor"/>
      </rPr>
      <t>。需结合全盘判断其感情性质。</t>
    </r>
  </si>
  <si>
    <r>
      <t>2. “喜”与“血”</t>
    </r>
    <r>
      <rPr>
        <sz val="11"/>
        <color theme="1"/>
        <rFont val="等线"/>
        <family val="2"/>
        <charset val="134"/>
        <scheme val="minor"/>
      </rPr>
      <t>：红鸾具有双重性，既主</t>
    </r>
    <r>
      <rPr>
        <b/>
        <sz val="11"/>
        <color theme="1"/>
        <rFont val="等线"/>
        <family val="3"/>
        <charset val="134"/>
        <scheme val="minor"/>
      </rPr>
      <t>婚恋喜庆</t>
    </r>
    <r>
      <rPr>
        <sz val="11"/>
        <color theme="1"/>
        <rFont val="等线"/>
        <family val="2"/>
        <charset val="134"/>
        <scheme val="minor"/>
      </rPr>
      <t>，亦主</t>
    </r>
    <r>
      <rPr>
        <b/>
        <sz val="11"/>
        <color theme="1"/>
        <rFont val="等线"/>
        <family val="3"/>
        <charset val="134"/>
        <scheme val="minor"/>
      </rPr>
      <t>血光</t>
    </r>
    <r>
      <rPr>
        <sz val="11"/>
        <color theme="1"/>
        <rFont val="等线"/>
        <family val="2"/>
        <charset val="134"/>
        <scheme val="minor"/>
      </rPr>
      <t>（尤其是与天喜同度时）。在疾厄宫、官禄宫（身体工作）或逢忌煞时，需重点注意血光。</t>
    </r>
  </si>
  <si>
    <r>
      <t>3. 与“天喜”星的区别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红鸾主“婚姻人缘”</t>
    </r>
    <r>
      <rPr>
        <sz val="11"/>
        <color theme="1"/>
        <rFont val="等线"/>
        <family val="2"/>
        <charset val="134"/>
        <scheme val="minor"/>
      </rPr>
      <t>，是直接的婚恋信号与人际魅力；</t>
    </r>
    <r>
      <rPr>
        <b/>
        <sz val="11"/>
        <color theme="1"/>
        <rFont val="等线"/>
        <family val="3"/>
        <charset val="134"/>
        <scheme val="minor"/>
      </rPr>
      <t>天喜主“喜庆添丁”</t>
    </r>
    <r>
      <rPr>
        <sz val="11"/>
        <color theme="1"/>
        <rFont val="等线"/>
        <family val="2"/>
        <charset val="134"/>
        <scheme val="minor"/>
      </rPr>
      <t>，范围更广，包括一切吉庆之事及生育。红鸾是“因”，天喜是“果”，常对照参看。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</si>
  <si>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：红鸾星所在宫位，指示在人生的哪个领域最容易发生喜庆之事、遇到感情机遇，或需要注意血光。</t>
    </r>
  </si>
  <si>
    <r>
      <t>5.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，感情发展顺利，喜事临门，人缘财旺。见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，对感情积极争取，婚事主导权强，或手术成功。见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，感情美好受人称羡，婚礼体面，名声好。见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，感情有憾，喜事生变，为情所伤，或手术不顺利。</t>
    </r>
  </si>
  <si>
    <t>一、天喜定义</t>
  </si>
  <si>
    <t>喜庆、添丁、婚姻、吉庆、缘分、血光</t>
  </si>
  <si>
    <t>象征一切吉祥喜庆之事，尤指生育、婚嫁等人生乐事。亦能催化缘分，带来积极乐观的情绪。同时，作为“血星”之一，关联生产、手术等见血之事。</t>
  </si>
  <si>
    <t>乙级星，属阳水。主吉庆，但亦为“血星”，其具体显现需结合全盘星曜吉凶判断。</t>
  </si>
  <si>
    <r>
      <t>添丁之喜</t>
    </r>
    <r>
      <rPr>
        <sz val="11"/>
        <color theme="1"/>
        <rFont val="等线"/>
        <family val="2"/>
        <charset val="134"/>
        <scheme val="minor"/>
      </rPr>
      <t>​</t>
    </r>
  </si>
  <si>
    <t>怀孕、生子、收养子女，家族增添人口。</t>
  </si>
  <si>
    <t>在子女宫、田宅宫时尤为应验。</t>
  </si>
  <si>
    <r>
      <t>婚姻喜庆</t>
    </r>
    <r>
      <rPr>
        <sz val="11"/>
        <color theme="1"/>
        <rFont val="等线"/>
        <family val="2"/>
        <charset val="134"/>
        <scheme val="minor"/>
      </rPr>
      <t>​</t>
    </r>
  </si>
  <si>
    <t>结婚、订婚、举办庆典，感情关系确立的喜悦。</t>
  </si>
  <si>
    <t>在夫妻宫、命宫时力量强。</t>
  </si>
  <si>
    <r>
      <t>吉庆之事</t>
    </r>
    <r>
      <rPr>
        <sz val="11"/>
        <color theme="1"/>
        <rFont val="等线"/>
        <family val="2"/>
        <charset val="134"/>
        <scheme val="minor"/>
      </rPr>
      <t>​</t>
    </r>
  </si>
  <si>
    <t>升学、晋升、乔迁、寿诞、获奖等一切值得庆祝的好事。</t>
  </si>
  <si>
    <t>流年逢之，多有喜事。</t>
  </si>
  <si>
    <r>
      <t>催化缘分</t>
    </r>
    <r>
      <rPr>
        <sz val="11"/>
        <color theme="1"/>
        <rFont val="等线"/>
        <family val="2"/>
        <charset val="134"/>
        <scheme val="minor"/>
      </rPr>
      <t>​</t>
    </r>
  </si>
  <si>
    <t>促进人际关系的和谐与发展，带来合作机遇与桃花。</t>
  </si>
  <si>
    <t>在交友、迁移宫时，人缘变佳。</t>
  </si>
  <si>
    <r>
      <t>乐观情绪</t>
    </r>
    <r>
      <rPr>
        <sz val="11"/>
        <color theme="1"/>
        <rFont val="等线"/>
        <family val="2"/>
        <charset val="134"/>
        <scheme val="minor"/>
      </rPr>
      <t>​</t>
    </r>
  </si>
  <si>
    <t>使人心情愉悦、积极开朗，有化解忧愁的作用。</t>
  </si>
  <si>
    <t>在福德宫时，精神乐观。</t>
  </si>
  <si>
    <r>
      <t>血光关联</t>
    </r>
    <r>
      <rPr>
        <sz val="11"/>
        <color theme="1"/>
        <rFont val="等线"/>
        <family val="2"/>
        <charset val="134"/>
        <scheme val="minor"/>
      </rPr>
      <t>​</t>
    </r>
  </si>
  <si>
    <t>作为“血星”，主生育分娩、必要的手术等“喜事见血”。</t>
  </si>
  <si>
    <t>与红鸾、擎羊等同度时需注意。</t>
  </si>
  <si>
    <t>性格乐观讨喜，一生多喜庆机遇，易有添丁等喜事，人缘佳。</t>
  </si>
  <si>
    <t>兄弟姐妹中多喜事，或与同事、同学关系融洽，团队气氛欢乐。</t>
  </si>
  <si>
    <t>婚姻生活和谐愉快，配偶性格开朗，能带来喜悦；利怀孕。</t>
  </si>
  <si>
    <r>
      <t>核心宫位</t>
    </r>
    <r>
      <rPr>
        <sz val="11"/>
        <color theme="1"/>
        <rFont val="等线"/>
        <family val="2"/>
        <charset val="134"/>
        <scheme val="minor"/>
      </rPr>
      <t>。易怀孕得子，子女活泼可爱；在娱乐、创作方面有喜事。</t>
    </r>
  </si>
  <si>
    <t>钱财来源于喜庆行业（如母婴、婚庆）；因喜事得财或破财。</t>
  </si>
  <si>
    <t>心态好利于康复；注意与生育、血液相关疾病；有生产、手术之象。</t>
  </si>
  <si>
    <t>在外发展多遇好事，出行愉快，易得他人友好相助。</t>
  </si>
  <si>
    <t>朋友多乐观积极，社交圈常办喜事；易通过朋友介绍认识缘分。</t>
  </si>
  <si>
    <t>工作环境气氛好，事业上多庆典、获奖等喜事；职业可能与喜庆相关。</t>
  </si>
  <si>
    <t>家庭和睦，常有喜事临门；购置房产、家居装修等乔迁之喜。</t>
  </si>
  <si>
    <t>内心常怀喜悦，精神乐观，懂得享受生活乐趣。</t>
  </si>
  <si>
    <t>父母关系融洽，家庭温暖；易得长辈馈赠或分享其喜事。</t>
  </si>
  <si>
    <r>
      <t>天喜+天同</t>
    </r>
    <r>
      <rPr>
        <sz val="11"/>
        <color theme="1"/>
        <rFont val="等线"/>
        <family val="2"/>
        <charset val="134"/>
        <scheme val="minor"/>
      </rPr>
      <t>​</t>
    </r>
  </si>
  <si>
    <t>福气加倍，生活多乐事，享受天伦之乐，婚育美满。</t>
  </si>
  <si>
    <t>家庭幸福，儿孙满堂，其乐融融。</t>
  </si>
  <si>
    <r>
      <t>天喜+太阳</t>
    </r>
    <r>
      <rPr>
        <sz val="11"/>
        <color theme="1"/>
        <rFont val="等线"/>
        <family val="2"/>
        <charset val="134"/>
        <scheme val="minor"/>
      </rPr>
      <t>​</t>
    </r>
  </si>
  <si>
    <t>喜事公开、盛大，受人瞩目与祝福，因事业、公众活动带来喜悦。</t>
  </si>
  <si>
    <t>举办盛大婚礼；公司上市庆典。</t>
  </si>
  <si>
    <r>
      <t>天喜+天梁</t>
    </r>
    <r>
      <rPr>
        <sz val="11"/>
        <color theme="1"/>
        <rFont val="等线"/>
        <family val="2"/>
        <charset val="134"/>
        <scheme val="minor"/>
      </rPr>
      <t>​</t>
    </r>
  </si>
  <si>
    <t>喜庆之事带有荫庇、传统色彩，如传统婚礼、老年得子、宗教庆典。</t>
  </si>
  <si>
    <t>举办中式传统婚礼；寺庙开光法喜。</t>
  </si>
  <si>
    <r>
      <t>天喜+紫微</t>
    </r>
    <r>
      <rPr>
        <sz val="11"/>
        <color theme="1"/>
        <rFont val="等线"/>
        <family val="2"/>
        <charset val="134"/>
        <scheme val="minor"/>
      </rPr>
      <t>​</t>
    </r>
  </si>
  <si>
    <t>喜事隆重而有面子，能提升地位与尊严，如皇家婚礼、公司庆典。</t>
  </si>
  <si>
    <t>世纪婚礼；公司举办大型庆功宴。</t>
  </si>
  <si>
    <r>
      <t>天喜+天府</t>
    </r>
    <r>
      <rPr>
        <sz val="11"/>
        <color theme="1"/>
        <rFont val="等线"/>
        <family val="2"/>
        <charset val="134"/>
        <scheme val="minor"/>
      </rPr>
      <t>​</t>
    </r>
  </si>
  <si>
    <t>喜事稳重而丰足，多为实质性的家庭喜事，如置业、家族添丁。</t>
  </si>
  <si>
    <t>购置豪宅；家族迎来新成员。</t>
  </si>
  <si>
    <t>2. 喜庆带变动组合</t>
  </si>
  <si>
    <r>
      <t>天喜+七杀</t>
    </r>
    <r>
      <rPr>
        <sz val="11"/>
        <color theme="1"/>
        <rFont val="等线"/>
        <family val="2"/>
        <charset val="134"/>
        <scheme val="minor"/>
      </rPr>
      <t>​</t>
    </r>
  </si>
  <si>
    <t>喜事来得突然、出人意料，闪婚闪孕，但过程可能伴随紧张。</t>
  </si>
  <si>
    <t>意外怀孕；突然决定结婚。</t>
  </si>
  <si>
    <r>
      <t>天喜+破军</t>
    </r>
    <r>
      <rPr>
        <sz val="11"/>
        <color theme="1"/>
        <rFont val="等线"/>
        <family val="2"/>
        <charset val="134"/>
        <scheme val="minor"/>
      </rPr>
      <t>​</t>
    </r>
  </si>
  <si>
    <t>喜事伴随破旧立新，如离婚后怀孕、拆迁后乔迁，先破后成之喜。</t>
  </si>
  <si>
    <t>再婚后生子；旧屋翻新后入住。</t>
  </si>
  <si>
    <r>
      <t>天喜+贪狼</t>
    </r>
    <r>
      <rPr>
        <sz val="11"/>
        <color theme="1"/>
        <rFont val="等线"/>
        <family val="2"/>
        <charset val="134"/>
        <scheme val="minor"/>
      </rPr>
      <t>​</t>
    </r>
  </si>
  <si>
    <t>喜事与欲望、享乐相关，如因桃花得子，或因娱乐活动获奖。</t>
  </si>
  <si>
    <t>奉子成婚；在派对中中奖。</t>
  </si>
  <si>
    <r>
      <t>天喜+廉贞</t>
    </r>
    <r>
      <rPr>
        <sz val="11"/>
        <color theme="1"/>
        <rFont val="等线"/>
        <family val="2"/>
        <charset val="134"/>
        <scheme val="minor"/>
      </rPr>
      <t>​</t>
    </r>
  </si>
  <si>
    <t>喜事可能涉及复杂人际关系或秘密，如政治联姻、非公开庆祝。</t>
  </si>
  <si>
    <t>秘密结婚；为特殊目的联姻。</t>
  </si>
  <si>
    <r>
      <t>天喜+天机</t>
    </r>
    <r>
      <rPr>
        <sz val="11"/>
        <color theme="1"/>
        <rFont val="等线"/>
        <family val="2"/>
        <charset val="134"/>
        <scheme val="minor"/>
      </rPr>
      <t>​</t>
    </r>
  </si>
  <si>
    <t>喜事与计划、变动相关，如旅行结婚、因工作调动乔迁。</t>
  </si>
  <si>
    <t>旅行中怀孕；因升职搬家。</t>
  </si>
  <si>
    <r>
      <t>天喜+红鸾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</si>
  <si>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。大喜之兆，婚育之力极强，亦强化血光（如生产）。</t>
    </r>
  </si>
  <si>
    <t>结婚生子双喜临门；举办隆重婚礼。</t>
  </si>
  <si>
    <r>
      <t>天喜+文昌/文曲</t>
    </r>
    <r>
      <rPr>
        <sz val="11"/>
        <color theme="1"/>
        <rFont val="等线"/>
        <family val="2"/>
        <charset val="134"/>
        <scheme val="minor"/>
      </rPr>
      <t>​</t>
    </r>
  </si>
  <si>
    <t>喜事文雅、有文化气息，如书香门第添丁、文化奖项、文艺婚礼。</t>
  </si>
  <si>
    <t>生下聪明宝宝；获得文学奖。</t>
  </si>
  <si>
    <r>
      <t>天喜+天姚/咸池</t>
    </r>
    <r>
      <rPr>
        <sz val="11"/>
        <color theme="1"/>
        <rFont val="等线"/>
        <family val="2"/>
        <charset val="134"/>
        <scheme val="minor"/>
      </rPr>
      <t>​</t>
    </r>
  </si>
  <si>
    <t>喜事带桃花色彩，易因风流韵事引发喜庆，如非计划怀孕。</t>
  </si>
  <si>
    <t>因桃花事件奉子成婚。</t>
  </si>
  <si>
    <r>
      <t>天喜+左辅/右弼</t>
    </r>
    <r>
      <rPr>
        <sz val="11"/>
        <color theme="1"/>
        <rFont val="等线"/>
        <family val="2"/>
        <charset val="134"/>
        <scheme val="minor"/>
      </rPr>
      <t>​</t>
    </r>
  </si>
  <si>
    <t>喜事得众人相助，场面热闹；多子多福之象。</t>
  </si>
  <si>
    <t>婚礼宾客盈门；家族人丁兴旺。</t>
  </si>
  <si>
    <r>
      <t>天喜+火星</t>
    </r>
    <r>
      <rPr>
        <sz val="11"/>
        <color theme="1"/>
        <rFont val="等线"/>
        <family val="2"/>
        <charset val="134"/>
        <scheme val="minor"/>
      </rPr>
      <t>​</t>
    </r>
  </si>
  <si>
    <t>喜事来得急、办得快，闪婚闪孕；喜庆场合易有突发小状况。</t>
  </si>
  <si>
    <t>快速筹备婚礼；喜宴上小意外。</t>
  </si>
  <si>
    <r>
      <t>天喜+铃星</t>
    </r>
    <r>
      <rPr>
        <sz val="11"/>
        <color theme="1"/>
        <rFont val="等线"/>
        <family val="2"/>
        <charset val="134"/>
        <scheme val="minor"/>
      </rPr>
      <t>​</t>
    </r>
  </si>
  <si>
    <t>喜事筹备过程有拖延或小烦恼，但终能成喜；慢性调理后怀孕。</t>
  </si>
  <si>
    <t>婚礼延期但最终圆满；调理身体后得子。</t>
  </si>
  <si>
    <r>
      <t>天喜+擎羊</t>
    </r>
    <r>
      <rPr>
        <sz val="11"/>
        <color theme="1"/>
        <rFont val="等线"/>
        <family val="2"/>
        <charset val="134"/>
        <scheme val="minor"/>
      </rPr>
      <t>​</t>
    </r>
  </si>
  <si>
    <t>喜事伴随竞争或必要切割，如剖腹产、婚礼筹备中的争执。</t>
  </si>
  <si>
    <t>选择吉日剖腹产；婚事有分歧但解决。</t>
  </si>
  <si>
    <r>
      <t>天喜+陀罗</t>
    </r>
    <r>
      <rPr>
        <sz val="11"/>
        <color theme="1"/>
        <rFont val="等线"/>
        <family val="2"/>
        <charset val="134"/>
        <scheme val="minor"/>
      </rPr>
      <t>​</t>
    </r>
  </si>
  <si>
    <t>喜事反复、拖延，旧情复燃结婚；生产过程较长。</t>
  </si>
  <si>
    <t>与前任复合结婚；产程较长。</t>
  </si>
  <si>
    <r>
      <t>天喜+地空/地劫</t>
    </r>
    <r>
      <rPr>
        <sz val="11"/>
        <color theme="1"/>
        <rFont val="等线"/>
        <family val="2"/>
        <charset val="134"/>
        <scheme val="minor"/>
      </rPr>
      <t>​</t>
    </r>
  </si>
  <si>
    <t>喜事带有理想化色彩或意外性，如旅行中意外怀孕；喜事花费超支。</t>
  </si>
  <si>
    <t>蜜月宝宝；婚礼预算大幅超支。</t>
  </si>
  <si>
    <r>
      <t>天喜+天刑</t>
    </r>
    <r>
      <rPr>
        <sz val="11"/>
        <color theme="1"/>
        <rFont val="等线"/>
        <family val="2"/>
        <charset val="134"/>
        <scheme val="minor"/>
      </rPr>
      <t>​</t>
    </r>
  </si>
  <si>
    <t>喜事受法律或规则约束，如登记结婚、计划性剖腹产。</t>
  </si>
  <si>
    <t>依法办理结婚登记；预约手术生产。</t>
  </si>
  <si>
    <r>
      <t>1. “喜”之范围</t>
    </r>
    <r>
      <rPr>
        <sz val="11"/>
        <color theme="1"/>
        <rFont val="等线"/>
        <family val="2"/>
        <charset val="134"/>
        <scheme val="minor"/>
      </rPr>
      <t>：天喜星主</t>
    </r>
    <r>
      <rPr>
        <b/>
        <sz val="11"/>
        <color theme="1"/>
        <rFont val="等线"/>
        <family val="3"/>
        <charset val="134"/>
        <scheme val="minor"/>
      </rPr>
      <t>一切吉庆之事</t>
    </r>
    <r>
      <rPr>
        <sz val="11"/>
        <color theme="1"/>
        <rFont val="等线"/>
        <family val="2"/>
        <charset val="134"/>
        <scheme val="minor"/>
      </rPr>
      <t>，范围比红鸾更广。红鸾更侧重于</t>
    </r>
    <r>
      <rPr>
        <b/>
        <sz val="11"/>
        <color theme="1"/>
        <rFont val="等线"/>
        <family val="3"/>
        <charset val="134"/>
        <scheme val="minor"/>
      </rPr>
      <t>婚姻人缘</t>
    </r>
    <r>
      <rPr>
        <sz val="11"/>
        <color theme="1"/>
        <rFont val="等线"/>
        <family val="2"/>
        <charset val="134"/>
        <scheme val="minor"/>
      </rPr>
      <t>的启动，而天喜侧重于</t>
    </r>
    <r>
      <rPr>
        <b/>
        <sz val="11"/>
        <color theme="1"/>
        <rFont val="等线"/>
        <family val="3"/>
        <charset val="134"/>
        <scheme val="minor"/>
      </rPr>
      <t>喜庆结果</t>
    </r>
    <r>
      <rPr>
        <sz val="11"/>
        <color theme="1"/>
        <rFont val="等线"/>
        <family val="2"/>
        <charset val="134"/>
        <scheme val="minor"/>
      </rPr>
      <t>的呈现，尤其是</t>
    </r>
    <r>
      <rPr>
        <b/>
        <sz val="11"/>
        <color theme="1"/>
        <rFont val="等线"/>
        <family val="3"/>
        <charset val="134"/>
        <scheme val="minor"/>
      </rPr>
      <t>添丁</t>
    </r>
    <r>
      <rPr>
        <sz val="11"/>
        <color theme="1"/>
        <rFont val="等线"/>
        <family val="2"/>
        <charset val="134"/>
        <scheme val="minor"/>
      </rPr>
      <t>。</t>
    </r>
  </si>
  <si>
    <r>
      <t>2. “喜”与“血”</t>
    </r>
    <r>
      <rPr>
        <sz val="11"/>
        <color theme="1"/>
        <rFont val="等线"/>
        <family val="2"/>
        <charset val="134"/>
        <scheme val="minor"/>
      </rPr>
      <t>：天喜与红鸾同为“血星”，但其“血光”多与</t>
    </r>
    <r>
      <rPr>
        <b/>
        <sz val="11"/>
        <color theme="1"/>
        <rFont val="等线"/>
        <family val="3"/>
        <charset val="134"/>
        <scheme val="minor"/>
      </rPr>
      <t>喜庆相关</t>
    </r>
    <r>
      <rPr>
        <sz val="11"/>
        <color theme="1"/>
        <rFont val="等线"/>
        <family val="2"/>
        <charset val="134"/>
        <scheme val="minor"/>
      </rPr>
      <t>，如生育分娩、结婚见红（古礼）、必要的美容手术等，常被视为“喜血”。</t>
    </r>
  </si>
  <si>
    <r>
      <t>3. 与“红鸾”星的区别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红鸾主“姻缘启动”</t>
    </r>
    <r>
      <rPr>
        <sz val="11"/>
        <color theme="1"/>
        <rFont val="等线"/>
        <family val="2"/>
        <charset val="134"/>
        <scheme val="minor"/>
      </rPr>
      <t>，是感情机遇的信号；</t>
    </r>
    <r>
      <rPr>
        <b/>
        <sz val="11"/>
        <color theme="1"/>
        <rFont val="等线"/>
        <family val="3"/>
        <charset val="134"/>
        <scheme val="minor"/>
      </rPr>
      <t>天喜主“喜庆结果”</t>
    </r>
    <r>
      <rPr>
        <sz val="11"/>
        <color theme="1"/>
        <rFont val="等线"/>
        <family val="2"/>
        <charset val="134"/>
        <scheme val="minor"/>
      </rPr>
      <t>，是婚姻生育等好事成真的标志。二者成对出现时，喜庆之力最为圆满。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</si>
  <si>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：天喜星所在宫位，指示在人生的哪个领域最容易发生喜庆之事、获得快乐体验，或需要注意与喜庆相关的“血光”。</t>
    </r>
  </si>
  <si>
    <r>
      <t>5.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，喜事成真且带来实际利益，如生子得红包、结婚收礼金。见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，对喜事主导权强，婚事速成，或决定剖腹产时间。见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，喜事风光体面，受人赞美，有口碑。见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，喜事生变、延期或带来烦恼，如婚礼筹备不顺、为子女操心过度。</t>
    </r>
  </si>
  <si>
    <t>一、天虚定义</t>
  </si>
  <si>
    <t>空虚、损耗、忧愁、不实、身体虚弱</t>
  </si>
  <si>
    <t>象征精神上的空虚感、物质上的损耗、身体元气的虚弱，以及事情的不实在、虚浮、华而不实。</t>
  </si>
  <si>
    <t>乙级星，属阴土。主损耗与不吉，其凶性需结合全盘星曜判断，遇吉可减凶，遇煞忌则加重虚耗。</t>
  </si>
  <si>
    <r>
      <t>精神空虚</t>
    </r>
    <r>
      <rPr>
        <sz val="11"/>
        <color theme="1"/>
        <rFont val="等线"/>
        <family val="2"/>
        <charset val="134"/>
        <scheme val="minor"/>
      </rPr>
      <t>​</t>
    </r>
  </si>
  <si>
    <t>内心孤独、多愁善感、情绪低落、缺乏安全感、理想空泛。</t>
  </si>
  <si>
    <r>
      <t>物质损耗</t>
    </r>
    <r>
      <rPr>
        <sz val="11"/>
        <color theme="1"/>
        <rFont val="等线"/>
        <family val="2"/>
        <charset val="134"/>
        <scheme val="minor"/>
      </rPr>
      <t>​</t>
    </r>
  </si>
  <si>
    <t>钱财无谓消耗、物品损坏丢失、投资有去无回、破财。</t>
  </si>
  <si>
    <t>在财帛宫、田宅宫时显现。</t>
  </si>
  <si>
    <r>
      <t>身体虚弱</t>
    </r>
    <r>
      <rPr>
        <sz val="11"/>
        <color theme="1"/>
        <rFont val="等线"/>
        <family val="2"/>
        <charset val="134"/>
        <scheme val="minor"/>
      </rPr>
      <t>​</t>
    </r>
  </si>
  <si>
    <t>先天体质弱、元气不足、易感疲劳、病后恢复慢、虚症。</t>
  </si>
  <si>
    <t>在疾厄宫时为主要指向。</t>
  </si>
  <si>
    <r>
      <t>事情虚浮</t>
    </r>
    <r>
      <rPr>
        <sz val="11"/>
        <color theme="1"/>
        <rFont val="等线"/>
        <family val="2"/>
        <charset val="134"/>
        <scheme val="minor"/>
      </rPr>
      <t>​</t>
    </r>
  </si>
  <si>
    <t>计划落空、承诺不实、表面风光、华而不实、成效不彰。</t>
  </si>
  <si>
    <t>在官禄宫、迁移宫时体现。</t>
  </si>
  <si>
    <r>
      <t>忧愁悲伤</t>
    </r>
    <r>
      <rPr>
        <sz val="11"/>
        <color theme="1"/>
        <rFont val="等线"/>
        <family val="2"/>
        <charset val="134"/>
        <scheme val="minor"/>
      </rPr>
      <t>​</t>
    </r>
  </si>
  <si>
    <t>常怀忧虑、无故哀伤、遇事易往坏处想、悲观主义。</t>
  </si>
  <si>
    <t>与天哭同度时力量增强。</t>
  </si>
  <si>
    <t>性格内向多忧，自信心不足，身体较弱，一生易有虚耗之事。</t>
  </si>
  <si>
    <t>与兄弟姐妹缘薄或助力少；在团队中易感孤立，同僚关系虚浮。</t>
  </si>
  <si>
    <t>配偶身体可能较弱；感情关系中有不实在的感觉，或婚姻有名无实。</t>
  </si>
  <si>
    <t>子女身体较弱或缘分薄；在娱乐、创作方面投入多而实质收获少。</t>
  </si>
  <si>
    <r>
      <t>核心宫位</t>
    </r>
    <r>
      <rPr>
        <sz val="11"/>
        <color theme="1"/>
        <rFont val="等线"/>
        <family val="2"/>
        <charset val="134"/>
        <scheme val="minor"/>
      </rPr>
      <t>。钱财难聚，易有意外损耗，虚花浪费，投资易亏。</t>
    </r>
  </si>
  <si>
    <t>体质虚弱，易患慢性病、虚症，抵抗力差，病后康复缓慢。</t>
  </si>
  <si>
    <t>在外发展虚浮不实，劳而无功；外出易感身心疲惫。</t>
  </si>
  <si>
    <t>朋友关系淡薄，交友看似热闹实则无助益；易交损友而破财。</t>
  </si>
  <si>
    <t>事业上易做表面功夫，成绩虚浮不稳定；工作缺乏成就感。</t>
  </si>
  <si>
    <t>家宅气场不旺；房产易有损耗（如漏水）；家庭积蓄难聚。</t>
  </si>
  <si>
    <r>
      <t>核心宫位</t>
    </r>
    <r>
      <rPr>
        <sz val="11"/>
        <color theme="1"/>
        <rFont val="等线"/>
        <family val="2"/>
        <charset val="134"/>
        <scheme val="minor"/>
      </rPr>
      <t>。精神世界空虚，多忧多虑，难以获得真正的快乐与满足。</t>
    </r>
  </si>
  <si>
    <t>与父母缘分较淡，或得到父母的实质关爱较少；长辈健康需注意。</t>
  </si>
  <si>
    <t>1. 加重虚耗组合</t>
  </si>
  <si>
    <r>
      <t>天虚+天同</t>
    </r>
    <r>
      <rPr>
        <sz val="11"/>
        <color theme="1"/>
        <rFont val="等线"/>
        <family val="2"/>
        <charset val="134"/>
        <scheme val="minor"/>
      </rPr>
      <t>​</t>
    </r>
  </si>
  <si>
    <t>加重情绪化与空虚感，沉溺于空想而不作为，福气打折扣。</t>
  </si>
  <si>
    <t>想得多做得少，常感人生无趣。</t>
  </si>
  <si>
    <r>
      <t>天虚+太阴</t>
    </r>
    <r>
      <rPr>
        <sz val="11"/>
        <color theme="1"/>
        <rFont val="等线"/>
        <family val="2"/>
        <charset val="134"/>
        <scheme val="minor"/>
      </rPr>
      <t>​</t>
    </r>
  </si>
  <si>
    <t>情绪更加阴郁、多愁善感，内心世界封闭而孤寂。</t>
  </si>
  <si>
    <t>林黛玉式性格，顾影自怜。</t>
  </si>
  <si>
    <r>
      <t>天虚+巨门</t>
    </r>
    <r>
      <rPr>
        <sz val="11"/>
        <color theme="1"/>
        <rFont val="等线"/>
        <family val="2"/>
        <charset val="134"/>
        <scheme val="minor"/>
      </rPr>
      <t>​</t>
    </r>
  </si>
  <si>
    <t>空虚引发是非，常因言语空洞或隐瞒事实而招惹口舌纠纷。</t>
  </si>
  <si>
    <t>说大话被拆穿；因秘密泄露惹祸。</t>
  </si>
  <si>
    <r>
      <t>天虚+破军</t>
    </r>
    <r>
      <rPr>
        <sz val="11"/>
        <color theme="1"/>
        <rFont val="等线"/>
        <family val="2"/>
        <charset val="134"/>
        <scheme val="minor"/>
      </rPr>
      <t>​</t>
    </r>
  </si>
  <si>
    <t>损耗带有破坏性，钱财事业先破后难成，身体易有耗损性伤病。</t>
  </si>
  <si>
    <t>投资失败血本无归；手术伤元气。</t>
  </si>
  <si>
    <r>
      <t>天虚+七杀</t>
    </r>
    <r>
      <rPr>
        <sz val="11"/>
        <color theme="1"/>
        <rFont val="等线"/>
        <family val="2"/>
        <charset val="134"/>
        <scheme val="minor"/>
      </rPr>
      <t>​</t>
    </r>
  </si>
  <si>
    <t>虚弱中带激烈波动，易因突然的损耗或打击而一蹶不振。</t>
  </si>
  <si>
    <t>突发重病身体垮掉；事业突然崩溃。</t>
  </si>
  <si>
    <t>2. 转化与制约组合</t>
  </si>
  <si>
    <r>
      <t>天虚+紫微</t>
    </r>
    <r>
      <rPr>
        <sz val="11"/>
        <color theme="1"/>
        <rFont val="等线"/>
        <family val="2"/>
        <charset val="134"/>
        <scheme val="minor"/>
      </rPr>
      <t>​</t>
    </r>
  </si>
  <si>
    <t>虚荣心重，追求虚名与排场，导致不必要的损耗。</t>
  </si>
  <si>
    <t>为撑面子挥霍钱财，内里空虚。</t>
  </si>
  <si>
    <r>
      <t>天虚+天府</t>
    </r>
    <r>
      <rPr>
        <sz val="11"/>
        <color theme="1"/>
        <rFont val="等线"/>
        <family val="2"/>
        <charset val="134"/>
        <scheme val="minor"/>
      </rPr>
      <t>​</t>
    </r>
  </si>
  <si>
    <t>库藏被虚耗，看似富有实则钱财不断流失，守成不易。</t>
  </si>
  <si>
    <t>家道中落；坐吃山空。</t>
  </si>
  <si>
    <r>
      <t>天虚+天梁</t>
    </r>
    <r>
      <rPr>
        <sz val="11"/>
        <color theme="1"/>
        <rFont val="等线"/>
        <family val="2"/>
        <charset val="134"/>
        <scheme val="minor"/>
      </rPr>
      <t>​</t>
    </r>
  </si>
  <si>
    <t>空虚感转向宗教、哲学寻求寄托；或表现为身体虚弱的清高。</t>
  </si>
  <si>
    <t>因身体不好而潜心修行。</t>
  </si>
  <si>
    <r>
      <t>天虚+太阳</t>
    </r>
    <r>
      <rPr>
        <sz val="11"/>
        <color theme="1"/>
        <rFont val="等线"/>
        <family val="2"/>
        <charset val="134"/>
        <scheme val="minor"/>
      </rPr>
      <t>​</t>
    </r>
  </si>
  <si>
    <t>外显阳光，内里空虚；或热心助人却损耗自身元气。</t>
  </si>
  <si>
    <t>“阳光型抑郁”；为公益耗尽家财。</t>
  </si>
  <si>
    <r>
      <t>天虚+武曲</t>
    </r>
    <r>
      <rPr>
        <sz val="11"/>
        <color theme="1"/>
        <rFont val="等线"/>
        <family val="2"/>
        <charset val="134"/>
        <scheme val="minor"/>
      </rPr>
      <t>​</t>
    </r>
  </si>
  <si>
    <t>求财过程辛苦却所得虚少，钱财左手进右手出。</t>
  </si>
  <si>
    <t>赚辛苦钱但存不住，总有地方要花。</t>
  </si>
  <si>
    <r>
      <t>天虚+天哭</t>
    </r>
    <r>
      <rPr>
        <sz val="11"/>
        <color theme="1"/>
        <rFont val="等线"/>
        <family val="2"/>
        <charset val="134"/>
        <scheme val="minor"/>
      </rPr>
      <t>​</t>
    </r>
  </si>
  <si>
    <r>
      <t>情绪黑洞组合</t>
    </r>
    <r>
      <rPr>
        <sz val="11"/>
        <color theme="1"/>
        <rFont val="等线"/>
        <family val="2"/>
        <charset val="134"/>
        <scheme val="minor"/>
      </rPr>
      <t>。悲观消极达到极致，常感绝望，精神痛苦。</t>
    </r>
  </si>
  <si>
    <t>重度抑郁症倾向；终日以泪洗面。</t>
  </si>
  <si>
    <r>
      <t>天虚+地空/地劫</t>
    </r>
    <r>
      <rPr>
        <sz val="11"/>
        <color theme="1"/>
        <rFont val="等线"/>
        <family val="2"/>
        <charset val="134"/>
        <scheme val="minor"/>
      </rPr>
      <t>​</t>
    </r>
  </si>
  <si>
    <r>
      <t>空虚加倍组合</t>
    </r>
    <r>
      <rPr>
        <sz val="11"/>
        <color theme="1"/>
        <rFont val="等线"/>
        <family val="2"/>
        <charset val="134"/>
        <scheme val="minor"/>
      </rPr>
      <t>。理想彻底空幻，钱财物质严重虚耗，一事无成。</t>
    </r>
  </si>
  <si>
    <t>投资全部打水漂；想法完全不切实际。</t>
  </si>
  <si>
    <r>
      <t>天虚+文昌/文曲</t>
    </r>
    <r>
      <rPr>
        <sz val="11"/>
        <color theme="1"/>
        <rFont val="等线"/>
        <family val="2"/>
        <charset val="134"/>
        <scheme val="minor"/>
      </rPr>
      <t>​</t>
    </r>
  </si>
  <si>
    <t>才思虚浮，华而不实；或为文艺而感伤，作品空洞。</t>
  </si>
  <si>
    <t>辞藻华丽但内容空洞的文章。</t>
  </si>
  <si>
    <r>
      <t>天虚+火星</t>
    </r>
    <r>
      <rPr>
        <sz val="11"/>
        <color theme="1"/>
        <rFont val="等线"/>
        <family val="2"/>
        <charset val="134"/>
        <scheme val="minor"/>
      </rPr>
      <t>​</t>
    </r>
  </si>
  <si>
    <t>因冲动、急躁导致突然的损耗或身体急性的虚脱。</t>
  </si>
  <si>
    <t>一气之下怒砸贵重物品；高烧后虚脱。</t>
  </si>
  <si>
    <r>
      <t>天虚+铃星</t>
    </r>
    <r>
      <rPr>
        <sz val="11"/>
        <color theme="1"/>
        <rFont val="等线"/>
        <family val="2"/>
        <charset val="134"/>
        <scheme val="minor"/>
      </rPr>
      <t>​</t>
    </r>
  </si>
  <si>
    <t>因计较、焦虑而产生慢性损耗，或隐忧成疾。</t>
  </si>
  <si>
    <t>长期焦虑导致神经衰弱、失眠。</t>
  </si>
  <si>
    <r>
      <t>天虚+擎羊</t>
    </r>
    <r>
      <rPr>
        <sz val="11"/>
        <color theme="1"/>
        <rFont val="等线"/>
        <family val="2"/>
        <charset val="134"/>
        <scheme val="minor"/>
      </rPr>
      <t>​</t>
    </r>
  </si>
  <si>
    <t>损耗伴随伤害、切割，如因病手术而伤元气，或钱财因争端损失。</t>
  </si>
  <si>
    <t>手术后身体大不如前；因官司破财。</t>
  </si>
  <si>
    <r>
      <t>天虚+陀罗</t>
    </r>
    <r>
      <rPr>
        <sz val="11"/>
        <color theme="1"/>
        <rFont val="等线"/>
        <family val="2"/>
        <charset val="134"/>
        <scheme val="minor"/>
      </rPr>
      <t>​</t>
    </r>
  </si>
  <si>
    <t>损耗拖延反复，慢性病缠绵难愈，钱财被慢慢耗光。</t>
  </si>
  <si>
    <t>长期吃药治疗；被慢性投资骗局套牢。</t>
  </si>
  <si>
    <r>
      <t>天虚+禄存</t>
    </r>
    <r>
      <rPr>
        <sz val="11"/>
        <color theme="1"/>
        <rFont val="等线"/>
        <family val="2"/>
        <charset val="134"/>
        <scheme val="minor"/>
      </rPr>
      <t>​</t>
    </r>
  </si>
  <si>
    <t>虚中有实，虽有空虚损耗，但终有根基或补救，不致全盘皆空。</t>
  </si>
  <si>
    <t>虽常破小财，但总有基本收入保障。</t>
  </si>
  <si>
    <r>
      <t>天虚+天马</t>
    </r>
    <r>
      <rPr>
        <sz val="11"/>
        <color theme="1"/>
        <rFont val="等线"/>
        <family val="2"/>
        <charset val="134"/>
        <scheme val="minor"/>
      </rPr>
      <t>​</t>
    </r>
  </si>
  <si>
    <t>空虚感在奔波、变动中加剧，劳碌而虚耗。</t>
  </si>
  <si>
    <t>出差频繁导致身心俱疲；旅行中财物丢失。</t>
  </si>
  <si>
    <r>
      <t>天虚+天刑</t>
    </r>
    <r>
      <rPr>
        <sz val="11"/>
        <color theme="1"/>
        <rFont val="等线"/>
        <family val="2"/>
        <charset val="134"/>
        <scheme val="minor"/>
      </rPr>
      <t>​</t>
    </r>
  </si>
  <si>
    <t>损耗因规则、法律或疾病而起，如罚款、赔偿、医疗开支。</t>
  </si>
  <si>
    <t>因违法被罚款；因病必须支付高额药费。</t>
  </si>
  <si>
    <r>
      <t>1. “虚”之三层</t>
    </r>
    <r>
      <rPr>
        <sz val="11"/>
        <color theme="1"/>
        <rFont val="等线"/>
        <family val="2"/>
        <charset val="134"/>
        <scheme val="minor"/>
      </rPr>
      <t>：天虚星之“虚”体现在</t>
    </r>
    <r>
      <rPr>
        <b/>
        <sz val="11"/>
        <color theme="1"/>
        <rFont val="等线"/>
        <family val="3"/>
        <charset val="134"/>
        <scheme val="minor"/>
      </rPr>
      <t>精神空虚</t>
    </r>
    <r>
      <rPr>
        <sz val="11"/>
        <color theme="1"/>
        <rFont val="等线"/>
        <family val="2"/>
        <charset val="134"/>
        <scheme val="minor"/>
      </rPr>
      <t>、</t>
    </r>
    <r>
      <rPr>
        <b/>
        <sz val="11"/>
        <color theme="1"/>
        <rFont val="等线"/>
        <family val="3"/>
        <charset val="134"/>
        <scheme val="minor"/>
      </rPr>
      <t>物质虚耗</t>
    </r>
    <r>
      <rPr>
        <sz val="11"/>
        <color theme="1"/>
        <rFont val="等线"/>
        <family val="2"/>
        <charset val="134"/>
        <scheme val="minor"/>
      </rPr>
      <t>、</t>
    </r>
    <r>
      <rPr>
        <b/>
        <sz val="11"/>
        <color theme="1"/>
        <rFont val="等线"/>
        <family val="3"/>
        <charset val="134"/>
        <scheme val="minor"/>
      </rPr>
      <t>身体虚弱</t>
    </r>
    <r>
      <rPr>
        <sz val="11"/>
        <color theme="1"/>
        <rFont val="等线"/>
        <family val="2"/>
        <charset val="134"/>
        <scheme val="minor"/>
      </rPr>
      <t>三个层面。需结合宫位判断其主要显现领域。</t>
    </r>
  </si>
  <si>
    <r>
      <t>2. 与“地空”、“地劫”的区别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天虚主“虚耗”</t>
    </r>
    <r>
      <rPr>
        <sz val="11"/>
        <color theme="1"/>
        <rFont val="等线"/>
        <family val="2"/>
        <charset val="134"/>
        <scheme val="minor"/>
      </rPr>
      <t>，是已有的东西被消耗、减弱；</t>
    </r>
    <r>
      <rPr>
        <b/>
        <sz val="11"/>
        <color theme="1"/>
        <rFont val="等线"/>
        <family val="3"/>
        <charset val="134"/>
        <scheme val="minor"/>
      </rPr>
      <t>地空主“空亡”</t>
    </r>
    <r>
      <rPr>
        <sz val="11"/>
        <color theme="1"/>
        <rFont val="等线"/>
        <family val="2"/>
        <charset val="134"/>
        <scheme val="minor"/>
      </rPr>
      <t>，是根本性的缺失与落空；</t>
    </r>
    <r>
      <rPr>
        <b/>
        <sz val="11"/>
        <color theme="1"/>
        <rFont val="等线"/>
        <family val="3"/>
        <charset val="134"/>
        <scheme val="minor"/>
      </rPr>
      <t>地劫主“劫失”</t>
    </r>
    <r>
      <rPr>
        <sz val="11"/>
        <color theme="1"/>
        <rFont val="等线"/>
        <family val="2"/>
        <charset val="134"/>
        <scheme val="minor"/>
      </rPr>
      <t>，是突如其来的破坏与损失。天虚是“由实变虚”，地空是“本来就没有”，地劫是“突然被夺走”。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</si>
  <si>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：天虚星所在宫位，指示在人生的哪个领域最容易感到空虚、发生损耗或显现虚弱。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</si>
  <si>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，可稍补其虚，损耗中有小得，但本质仍虚。见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，试图控制虚耗，但可能力不从心，或为面子强撑导致更虚。见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，用名誉、外表掩饰空虚，虚有其表。见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凶性最大</t>
    </r>
    <r>
      <rPr>
        <sz val="11"/>
        <color theme="1"/>
        <rFont val="等线"/>
        <family val="2"/>
        <charset val="134"/>
        <scheme val="minor"/>
      </rPr>
      <t>，空虚感、损耗、虚弱达到顶点，事必成空，身心交瘁。</t>
    </r>
  </si>
  <si>
    <t>一、天姚定义</t>
  </si>
  <si>
    <t>桃花、风流、魅力、才艺、交际、隐秘</t>
  </si>
  <si>
    <t>象征异性缘分、情感欲望、个人魅力与艺术才华。其性质可正可邪，正则为才情与魅力，邪则为风流与放纵。</t>
  </si>
  <si>
    <t>乙级星，属阴水。主桃花，非绝对吉凶，需视所会星曜而定。遇吉为风流才情，遇煞为桃花劫煞。</t>
  </si>
  <si>
    <r>
      <t>魅力风情</t>
    </r>
    <r>
      <rPr>
        <sz val="11"/>
        <color theme="1"/>
        <rFont val="等线"/>
        <family val="2"/>
        <charset val="134"/>
        <scheme val="minor"/>
      </rPr>
      <t>​</t>
    </r>
  </si>
  <si>
    <t>外貌出众，有吸引力，善打扮，懂得展现自身魅力。</t>
  </si>
  <si>
    <t>在命宫、身宫时尤为明显。</t>
  </si>
  <si>
    <r>
      <t>桃花机遇</t>
    </r>
    <r>
      <rPr>
        <sz val="11"/>
        <color theme="1"/>
        <rFont val="等线"/>
        <family val="2"/>
        <charset val="134"/>
        <scheme val="minor"/>
      </rPr>
      <t>​</t>
    </r>
  </si>
  <si>
    <t>异性缘佳，感情机会多，易陷入恋爱或复杂情感关系。</t>
  </si>
  <si>
    <t>在夫妻、交友宫时力量强。</t>
  </si>
  <si>
    <r>
      <t>艺术才艺</t>
    </r>
    <r>
      <rPr>
        <sz val="11"/>
        <color theme="1"/>
        <rFont val="等线"/>
        <family val="2"/>
        <charset val="134"/>
        <scheme val="minor"/>
      </rPr>
      <t>​</t>
    </r>
  </si>
  <si>
    <t>具有艺术天赋，在音乐、美术、舞蹈等方面有才华。</t>
  </si>
  <si>
    <t>与文昌、文曲同度时显著。</t>
  </si>
  <si>
    <r>
      <t>隐秘情事</t>
    </r>
    <r>
      <rPr>
        <sz val="11"/>
        <color theme="1"/>
        <rFont val="等线"/>
        <family val="2"/>
        <charset val="134"/>
        <scheme val="minor"/>
      </rPr>
      <t>​</t>
    </r>
  </si>
  <si>
    <t>感情发展快速、隐蔽，易有一见钟情、暗恋或秘密恋情。</t>
  </si>
  <si>
    <t>在福德、子女宫时显现。</t>
  </si>
  <si>
    <r>
      <t>交际手段</t>
    </r>
    <r>
      <rPr>
        <sz val="11"/>
        <color theme="1"/>
        <rFont val="等线"/>
        <family val="2"/>
        <charset val="134"/>
        <scheme val="minor"/>
      </rPr>
      <t>​</t>
    </r>
  </si>
  <si>
    <t>善于交际应酬，懂得人情世故，在社交场合如鱼得水。</t>
  </si>
  <si>
    <t>在迁移、交友宫时体现。</t>
  </si>
  <si>
    <t>外貌俊美，富有魅力，性情浪漫，一生桃花不断，多才多艺。</t>
  </si>
  <si>
    <t>兄弟姐妹有魅力或桃花旺；在团队中善于处理人际关系。</t>
  </si>
  <si>
    <r>
      <t>核心宫位</t>
    </r>
    <r>
      <rPr>
        <sz val="11"/>
        <color theme="1"/>
        <rFont val="等线"/>
        <family val="2"/>
        <charset val="134"/>
        <scheme val="minor"/>
      </rPr>
      <t>。配偶貌美或有情趣，感情生活丰富，但易有外情干扰。</t>
    </r>
  </si>
  <si>
    <t>子女漂亮可爱；本人性欲较强；在娱乐、创作方面有桃花机遇。</t>
  </si>
  <si>
    <t>钱财来源于与异性、艺术、娱乐相关的行业；或因桃花得财/破财。</t>
  </si>
  <si>
    <t>注意生殖系统、泌尿系统疾病；或因纵欲导致身体虚耗。</t>
  </si>
  <si>
    <t>在外人缘好，易有艳遇或异性助力；适合从事对外交际工作。</t>
  </si>
  <si>
    <t>朋友多情场高手或艺术从业者；社交圈复杂，易涉足风月场所。</t>
  </si>
  <si>
    <t>事业上多应酬，职业可能与艺术、娱乐、美容相关；易有办公室恋情。</t>
  </si>
  <si>
    <t>家居布置有情调；家中易有隐秘情感事；或经营娱乐场所。</t>
  </si>
  <si>
    <t>内心浪漫多情，重视感官享受，精神世界充满情感幻想。</t>
  </si>
  <si>
    <t>父母相貌佳或有艺术气质；本人易受异性长辈喜爱。</t>
  </si>
  <si>
    <t>1. 增强才艺魅力组合</t>
  </si>
  <si>
    <r>
      <t>天姚+紫微</t>
    </r>
    <r>
      <rPr>
        <sz val="11"/>
        <color theme="1"/>
        <rFont val="等线"/>
        <family val="2"/>
        <charset val="134"/>
        <scheme val="minor"/>
      </rPr>
      <t>​</t>
    </r>
  </si>
  <si>
    <t>魅力中带有尊贵与领导气质，桃花对象层次高，多为有地位者。</t>
  </si>
  <si>
    <t>吸引企业高管、社会名流。</t>
  </si>
  <si>
    <r>
      <t>天姚+太阳</t>
    </r>
    <r>
      <rPr>
        <sz val="11"/>
        <color theme="1"/>
        <rFont val="等线"/>
        <family val="2"/>
        <charset val="134"/>
        <scheme val="minor"/>
      </rPr>
      <t>​</t>
    </r>
  </si>
  <si>
    <t>魅力公开、耀眼，易成为人群焦点，桃花来自公开场合或事业领域。</t>
  </si>
  <si>
    <t>公众人物、明星的桃花。</t>
  </si>
  <si>
    <r>
      <t>天姚+天同</t>
    </r>
    <r>
      <rPr>
        <sz val="11"/>
        <color theme="1"/>
        <rFont val="等线"/>
        <family val="2"/>
        <charset val="134"/>
        <scheme val="minor"/>
      </rPr>
      <t>​</t>
    </r>
  </si>
  <si>
    <t>浪漫多情，享受恋爱过程，桃花带来快乐与享受，感情丰富。</t>
  </si>
  <si>
    <t>风流才子，追求浪漫关系。</t>
  </si>
  <si>
    <r>
      <t>天姚+天相</t>
    </r>
    <r>
      <rPr>
        <sz val="11"/>
        <color theme="1"/>
        <rFont val="等线"/>
        <family val="2"/>
        <charset val="134"/>
        <scheme val="minor"/>
      </rPr>
      <t>​</t>
    </r>
  </si>
  <si>
    <t>举止优雅得体，桃花对象端庄大方，感情发展注重形式与体面。</t>
  </si>
  <si>
    <t>与绅士、淑女发展恋情。</t>
  </si>
  <si>
    <r>
      <t>天姚+天府</t>
    </r>
    <r>
      <rPr>
        <sz val="11"/>
        <color theme="1"/>
        <rFont val="等线"/>
        <family val="2"/>
        <charset val="134"/>
        <scheme val="minor"/>
      </rPr>
      <t>​</t>
    </r>
  </si>
  <si>
    <t>魅力稳重而吸引人，桃花能带来实际利益或稳定关系。</t>
  </si>
  <si>
    <t>因婚姻获得财富；稳定的情人关系。</t>
  </si>
  <si>
    <t>2. 加重情欲风流组合</t>
  </si>
  <si>
    <r>
      <t>天姚+贪狼</t>
    </r>
    <r>
      <rPr>
        <sz val="11"/>
        <color theme="1"/>
        <rFont val="等线"/>
        <family val="2"/>
        <charset val="134"/>
        <scheme val="minor"/>
      </rPr>
      <t>​</t>
    </r>
  </si>
  <si>
    <r>
      <t>标准桃花组合</t>
    </r>
    <r>
      <rPr>
        <sz val="11"/>
        <color theme="1"/>
        <rFont val="等线"/>
        <family val="2"/>
        <charset val="134"/>
        <scheme val="minor"/>
      </rPr>
      <t>。欲望强烈，风流多情，易沉溺酒色，桃花复杂。</t>
    </r>
  </si>
  <si>
    <t>频繁更换伴侣，流连风月场所。</t>
  </si>
  <si>
    <r>
      <t>天姚+廉贞</t>
    </r>
    <r>
      <rPr>
        <sz val="11"/>
        <color theme="1"/>
        <rFont val="等线"/>
        <family val="2"/>
        <charset val="134"/>
        <scheme val="minor"/>
      </rPr>
      <t>​</t>
    </r>
  </si>
  <si>
    <t>感情浓烈执著，易陷入秘密、不伦或带有政治色彩的复杂恋情。</t>
  </si>
  <si>
    <t>地下情、婚外情、政治联姻中的情感纠葛。</t>
  </si>
  <si>
    <r>
      <t>天姚+太阴</t>
    </r>
    <r>
      <rPr>
        <sz val="11"/>
        <color theme="1"/>
        <rFont val="等线"/>
        <family val="2"/>
        <charset val="134"/>
        <scheme val="minor"/>
      </rPr>
      <t>​</t>
    </r>
  </si>
  <si>
    <t>感情细腻隐秘，多暗恋、暧昧之情，易有艺术气质的风流。</t>
  </si>
  <si>
    <t>诗人、艺术家的隐秘情史。</t>
  </si>
  <si>
    <r>
      <t>天姚+巨门</t>
    </r>
    <r>
      <rPr>
        <sz val="11"/>
        <color theme="1"/>
        <rFont val="等线"/>
        <family val="2"/>
        <charset val="134"/>
        <scheme val="minor"/>
      </rPr>
      <t>​</t>
    </r>
  </si>
  <si>
    <t>桃花引发口舌是非、秘密曝光或感情中的欺骗隐瞒。</t>
  </si>
  <si>
    <t>因桃色事件引发舆论风波；感情被骗。</t>
  </si>
  <si>
    <r>
      <t>天姚+破军</t>
    </r>
    <r>
      <rPr>
        <sz val="11"/>
        <color theme="1"/>
        <rFont val="等线"/>
        <family val="2"/>
        <charset val="134"/>
        <scheme val="minor"/>
      </rPr>
      <t>​</t>
    </r>
  </si>
  <si>
    <t>感情具有破坏性与更新性，易闪恋闪分，或为情破财、惹祸。</t>
  </si>
  <si>
    <t>一夜情后纠纷；为情人散尽家财。</t>
  </si>
  <si>
    <r>
      <t>天姚+文昌/文曲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</si>
  <si>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风流才子/才女组合</t>
    </r>
    <r>
      <rPr>
        <sz val="11"/>
        <color theme="1"/>
        <rFont val="等线"/>
        <family val="2"/>
        <charset val="134"/>
        <scheme val="minor"/>
      </rPr>
      <t>。才华与魅力兼具，通过文艺方式吸引异性。</t>
    </r>
  </si>
  <si>
    <t>诗人、音乐家、画家的浪漫情事。</t>
  </si>
  <si>
    <r>
      <t>天姚+咸池</t>
    </r>
    <r>
      <rPr>
        <sz val="11"/>
        <color theme="1"/>
        <rFont val="等线"/>
        <family val="2"/>
        <charset val="134"/>
        <scheme val="minor"/>
      </rPr>
      <t>​</t>
    </r>
  </si>
  <si>
    <r>
      <t>桃花倍增组合</t>
    </r>
    <r>
      <rPr>
        <sz val="11"/>
        <color theme="1"/>
        <rFont val="等线"/>
        <family val="2"/>
        <charset val="134"/>
        <scheme val="minor"/>
      </rPr>
      <t>。异性缘极强，但多属露水情缘，重肉欲享受。</t>
    </r>
  </si>
  <si>
    <t>频繁的一夜情；性关系混乱。</t>
  </si>
  <si>
    <r>
      <t>天姚+红鸾/天喜</t>
    </r>
    <r>
      <rPr>
        <sz val="11"/>
        <color theme="1"/>
        <rFont val="等线"/>
        <family val="2"/>
        <charset val="134"/>
        <scheme val="minor"/>
      </rPr>
      <t>​</t>
    </r>
  </si>
  <si>
    <t>桃花带喜庆色彩，易因桃花事件促成婚姻或喜庆之事。</t>
  </si>
  <si>
    <t>因恋爱结婚；奉子成婚。</t>
  </si>
  <si>
    <r>
      <t>天姚+火星</t>
    </r>
    <r>
      <rPr>
        <sz val="11"/>
        <color theme="1"/>
        <rFont val="等线"/>
        <family val="2"/>
        <charset val="134"/>
        <scheme val="minor"/>
      </rPr>
      <t>​</t>
    </r>
  </si>
  <si>
    <t>桃花来得突然、快速，一见钟情或闪电恋爱，但也易突然分手。</t>
  </si>
  <si>
    <t>酒吧邂逅迅速发生关系；闪恋闪分。</t>
  </si>
  <si>
    <r>
      <t>天姚+铃星</t>
    </r>
    <r>
      <rPr>
        <sz val="11"/>
        <color theme="1"/>
        <rFont val="等线"/>
        <family val="2"/>
        <charset val="134"/>
        <scheme val="minor"/>
      </rPr>
      <t>​</t>
    </r>
  </si>
  <si>
    <t>桃花纠缠、暗恋、相思苦，感情中多计较与焦虑。</t>
  </si>
  <si>
    <t>苦恋有妇之夫；陷入多角关系难以自拔。</t>
  </si>
  <si>
    <r>
      <t>天姚+擎羊</t>
    </r>
    <r>
      <rPr>
        <sz val="11"/>
        <color theme="1"/>
        <rFont val="等线"/>
        <family val="2"/>
        <charset val="134"/>
        <scheme val="minor"/>
      </rPr>
      <t>​</t>
    </r>
  </si>
  <si>
    <t>桃花带竞争、冲突或伤害，如三角恋争斗、因情生恨。</t>
  </si>
  <si>
    <t>为争夺情人发生冲突；感情暴力。</t>
  </si>
  <si>
    <r>
      <t>天姚+陀罗</t>
    </r>
    <r>
      <rPr>
        <sz val="11"/>
        <color theme="1"/>
        <rFont val="等线"/>
        <family val="2"/>
        <charset val="134"/>
        <scheme val="minor"/>
      </rPr>
      <t>​</t>
    </r>
  </si>
  <si>
    <t>桃花拖延、反复、旧情难忘，易陷入纠缠不清的关系。</t>
  </si>
  <si>
    <t>与前任分分合合；陷入持久的情人关系。</t>
  </si>
  <si>
    <r>
      <t>天姚+地空/地劫</t>
    </r>
    <r>
      <rPr>
        <sz val="11"/>
        <color theme="1"/>
        <rFont val="等线"/>
        <family val="2"/>
        <charset val="134"/>
        <scheme val="minor"/>
      </rPr>
      <t>​</t>
    </r>
  </si>
  <si>
    <t>桃花理想化、不切实际，易落空；或为桃花破耗钱财。</t>
  </si>
  <si>
    <t>网恋见光死；为情人花费大量钱财却无结果。</t>
  </si>
  <si>
    <r>
      <t>天姚+天刑</t>
    </r>
    <r>
      <rPr>
        <sz val="11"/>
        <color theme="1"/>
        <rFont val="等线"/>
        <family val="2"/>
        <charset val="134"/>
        <scheme val="minor"/>
      </rPr>
      <t>​</t>
    </r>
  </si>
  <si>
    <t>桃花受法律、纪律约束，或引发官司；感情中有强制色彩。</t>
  </si>
  <si>
    <t>因桃色纠纷对簿公堂；不情愿的性关系。</t>
  </si>
  <si>
    <r>
      <t>天姚+天马</t>
    </r>
    <r>
      <rPr>
        <sz val="11"/>
        <color theme="1"/>
        <rFont val="等线"/>
        <family val="2"/>
        <charset val="134"/>
        <scheme val="minor"/>
      </rPr>
      <t>​</t>
    </r>
  </si>
  <si>
    <t>桃花在移动、旅行中发生，易有异地恋、露水姻缘。</t>
  </si>
  <si>
    <t>旅行中的艳遇；与外地人发生感情。</t>
  </si>
  <si>
    <r>
      <t>1. “正桃花”与“偏桃花”</t>
    </r>
    <r>
      <rPr>
        <sz val="11"/>
        <color theme="1"/>
        <rFont val="等线"/>
        <family val="2"/>
        <charset val="134"/>
        <scheme val="minor"/>
      </rPr>
      <t>：天姚星本质为</t>
    </r>
    <r>
      <rPr>
        <b/>
        <sz val="11"/>
        <color theme="1"/>
        <rFont val="等线"/>
        <family val="3"/>
        <charset val="134"/>
        <scheme val="minor"/>
      </rPr>
      <t>桃花星</t>
    </r>
    <r>
      <rPr>
        <sz val="11"/>
        <color theme="1"/>
        <rFont val="等线"/>
        <family val="2"/>
        <charset val="134"/>
        <scheme val="minor"/>
      </rPr>
      <t>，其吉凶取决于所会星曜。遇</t>
    </r>
    <r>
      <rPr>
        <b/>
        <sz val="11"/>
        <color theme="1"/>
        <rFont val="等线"/>
        <family val="3"/>
        <charset val="134"/>
        <scheme val="minor"/>
      </rPr>
      <t>吉星（如紫、府、昌、曲）</t>
    </r>
    <r>
      <rPr>
        <sz val="11"/>
        <color theme="1"/>
        <rFont val="等线"/>
        <family val="2"/>
        <charset val="134"/>
        <scheme val="minor"/>
      </rPr>
      <t>，转化为才艺、魅力与人缘，为“正桃花”。遇</t>
    </r>
    <r>
      <rPr>
        <b/>
        <sz val="11"/>
        <color theme="1"/>
        <rFont val="等线"/>
        <family val="3"/>
        <charset val="134"/>
        <scheme val="minor"/>
      </rPr>
      <t>煞星（如羊、陀、火、铃）或贪狼、廉贞</t>
    </r>
    <r>
      <rPr>
        <sz val="11"/>
        <color theme="1"/>
        <rFont val="等线"/>
        <family val="2"/>
        <charset val="134"/>
        <scheme val="minor"/>
      </rPr>
      <t>，则加重情欲与放纵，为“偏桃花”或“桃花劫”。</t>
    </r>
  </si>
  <si>
    <r>
      <t>2. 与“红鸾”、“咸池”的区别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天姚主“风情魅力”</t>
    </r>
    <r>
      <rPr>
        <sz val="11"/>
        <color theme="1"/>
        <rFont val="等线"/>
        <family val="2"/>
        <charset val="134"/>
        <scheme val="minor"/>
      </rPr>
      <t>，是内在的吸引力与才情，偏重</t>
    </r>
    <r>
      <rPr>
        <b/>
        <sz val="11"/>
        <color theme="1"/>
        <rFont val="等线"/>
        <family val="3"/>
        <charset val="134"/>
        <scheme val="minor"/>
      </rPr>
      <t>过程与感觉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红鸾主“婚姻正缘”</t>
    </r>
    <r>
      <rPr>
        <sz val="11"/>
        <color theme="1"/>
        <rFont val="等线"/>
        <family val="2"/>
        <charset val="134"/>
        <scheme val="minor"/>
      </rPr>
      <t>，是正式的婚恋信号；</t>
    </r>
    <r>
      <rPr>
        <b/>
        <sz val="11"/>
        <color theme="1"/>
        <rFont val="等线"/>
        <family val="3"/>
        <charset val="134"/>
        <scheme val="minor"/>
      </rPr>
      <t>咸池主“酒色欲望”</t>
    </r>
    <r>
      <rPr>
        <sz val="11"/>
        <color theme="1"/>
        <rFont val="等线"/>
        <family val="2"/>
        <charset val="134"/>
        <scheme val="minor"/>
      </rPr>
      <t>，是纯粹的肉欲桃花。天姚是“吸引”，红鸾是“结婚”，咸池是“享乐”。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</si>
  <si>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：天姚星所在宫位，指示在人生的哪个领域最容易展现魅力、遇到桃花机遇，或需警惕情感纠葛。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</si>
  <si>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，桃花机遇多且能带来实际好处，人缘财旺。见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，主动追求桃花，在感情中掌控欲强。见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，魅力出众，名声在外，风流倜傥。见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桃花劫</t>
    </r>
    <r>
      <rPr>
        <sz val="11"/>
        <color theme="1"/>
        <rFont val="等线"/>
        <family val="2"/>
        <charset val="134"/>
        <scheme val="minor"/>
      </rPr>
      <t>，为情所困，因色惹祸，名声受损。</t>
    </r>
  </si>
  <si>
    <t>一、咸池定义</t>
  </si>
  <si>
    <t>桃花、酒色、欲望、才艺、享受、偏财</t>
  </si>
  <si>
    <t>象征与生俱来的异性吸引力、对感官享受的追求、艺术天赋以及与酒色相关的偏财运。其性质偏向于肉欲、享乐与世俗的快乐。</t>
  </si>
  <si>
    <t>乙级星，属阴水。主桃花与欲望，非绝对吉凶。遇吉可为才艺与偏财，遇煞忌则为酒色破财或桃花劫。</t>
  </si>
  <si>
    <r>
      <t>酒色欲望</t>
    </r>
    <r>
      <rPr>
        <sz val="11"/>
        <color theme="1"/>
        <rFont val="等线"/>
        <family val="2"/>
        <charset val="134"/>
        <scheme val="minor"/>
      </rPr>
      <t>​</t>
    </r>
  </si>
  <si>
    <t>喜好美酒、美食、美色，追求感官刺激与肉体享乐。</t>
  </si>
  <si>
    <r>
      <t>桃花缘分</t>
    </r>
    <r>
      <rPr>
        <sz val="11"/>
        <color theme="1"/>
        <rFont val="等线"/>
        <family val="2"/>
        <charset val="134"/>
        <scheme val="minor"/>
      </rPr>
      <t>​</t>
    </r>
  </si>
  <si>
    <t>自带吸引力，易招异性，但多为露水情缘或短暂关系。</t>
  </si>
  <si>
    <r>
      <t>偏门才艺</t>
    </r>
    <r>
      <rPr>
        <sz val="11"/>
        <color theme="1"/>
        <rFont val="等线"/>
        <family val="2"/>
        <charset val="134"/>
        <scheme val="minor"/>
      </rPr>
      <t>​</t>
    </r>
  </si>
  <si>
    <t>具有音乐、舞蹈、表演等娱乐性才艺，或擅长交际应酬。</t>
  </si>
  <si>
    <r>
      <t>偏财运</t>
    </r>
    <r>
      <rPr>
        <sz val="11"/>
        <color theme="1"/>
        <rFont val="等线"/>
        <family val="2"/>
        <charset val="134"/>
        <scheme val="minor"/>
      </rPr>
      <t>​</t>
    </r>
  </si>
  <si>
    <t>钱财来源于娱乐、酒色、艺术等行业，或得异性之财。</t>
  </si>
  <si>
    <t>感情发展快速且多涉及隐私，易有暗恋、偷情或一夜情。</t>
  </si>
  <si>
    <t>在子女、迁移宫时体现。</t>
  </si>
  <si>
    <t>外貌性感有魅力，性情浪漫多情，喜好享乐，一生多酒色机缘。</t>
  </si>
  <si>
    <t>兄弟姐妹中多情场高手或享乐主义者；与同事、同学常进行娱乐活动。</t>
  </si>
  <si>
    <r>
      <t>核心宫位</t>
    </r>
    <r>
      <rPr>
        <sz val="11"/>
        <color theme="1"/>
        <rFont val="等线"/>
        <family val="2"/>
        <charset val="134"/>
        <scheme val="minor"/>
      </rPr>
      <t>。配偶性感或有情趣，但感情中易有外情干扰或注重肉欲。</t>
    </r>
  </si>
  <si>
    <t>子女漂亮；本人性欲旺盛；在娱乐、创作方面有特殊才华。</t>
  </si>
  <si>
    <t>钱财来源于娱乐、酒色、艺术等偏门行业；易因酒色破财或得财。</t>
  </si>
  <si>
    <t>注意因纵欲导致的肾虚、泌尿系统、生殖系统疾病。</t>
  </si>
  <si>
    <t>在外易有艳遇，喜好流连娱乐场所，适合从事与人际、娱乐相关的工作。</t>
  </si>
  <si>
    <t>朋友多酒肉之交或娱乐行业从业者；社交圈复杂，易涉足风月。</t>
  </si>
  <si>
    <t>事业多与娱乐、艺术、餐饮相关；工作中易有桃花或应酬。</t>
  </si>
  <si>
    <t>家中常举办聚会；可能经营酒吧、KTV等娱乐场所；家居布置香艳。</t>
  </si>
  <si>
    <t>内心追求感官享受，重视物质与肉欲快乐，精神世界偏向世俗。</t>
  </si>
  <si>
    <t>父母可能从事娱乐行业或自身感情生活丰富；本人易受享乐主义影响。</t>
  </si>
  <si>
    <t>1. 增强才艺偏财组合</t>
  </si>
  <si>
    <r>
      <t>咸池+贪狼</t>
    </r>
    <r>
      <rPr>
        <sz val="11"/>
        <color theme="1"/>
        <rFont val="等线"/>
        <family val="2"/>
        <charset val="134"/>
        <scheme val="minor"/>
      </rPr>
      <t>​</t>
    </r>
  </si>
  <si>
    <r>
      <t>标准酒色财气组合</t>
    </r>
    <r>
      <rPr>
        <sz val="11"/>
        <color theme="1"/>
        <rFont val="等线"/>
        <family val="2"/>
        <charset val="134"/>
        <scheme val="minor"/>
      </rPr>
      <t>。欲望强烈，多才多艺，善交际，偏财运佳，但易沉溺酒色。</t>
    </r>
  </si>
  <si>
    <t>娱乐圈人士、公关、销售，靠应酬得财。</t>
  </si>
  <si>
    <r>
      <t>咸池+廉贞</t>
    </r>
    <r>
      <rPr>
        <sz val="11"/>
        <color theme="1"/>
        <rFont val="等线"/>
        <family val="2"/>
        <charset val="134"/>
        <scheme val="minor"/>
      </rPr>
      <t>​</t>
    </r>
  </si>
  <si>
    <t>感情浓烈且带秘密性，才华横溢但易用于偏门，桃花带财或惹祸。</t>
  </si>
  <si>
    <t>艺术家的风流韵事；通过秘密关系获利。</t>
  </si>
  <si>
    <r>
      <t>咸池+天同</t>
    </r>
    <r>
      <rPr>
        <sz val="11"/>
        <color theme="1"/>
        <rFont val="等线"/>
        <family val="2"/>
        <charset val="134"/>
        <scheme val="minor"/>
      </rPr>
      <t>​</t>
    </r>
  </si>
  <si>
    <t>享受人生，追求快乐，将才艺用于娱乐，桃花带来愉悦而非压力。</t>
  </si>
  <si>
    <t>派对达人，生活以享乐为中心。</t>
  </si>
  <si>
    <r>
      <t>咸池+太阳</t>
    </r>
    <r>
      <rPr>
        <sz val="11"/>
        <color theme="1"/>
        <rFont val="等线"/>
        <family val="2"/>
        <charset val="134"/>
        <scheme val="minor"/>
      </rPr>
      <t>​</t>
    </r>
  </si>
  <si>
    <t>魅力公开，在娱乐、表演行业能出名，桃花来自公众场合。</t>
  </si>
  <si>
    <t>明星、主持人，靠公众魅力赚钱。</t>
  </si>
  <si>
    <r>
      <t>咸池+太阴</t>
    </r>
    <r>
      <rPr>
        <sz val="11"/>
        <color theme="1"/>
        <rFont val="等线"/>
        <family val="2"/>
        <charset val="134"/>
        <scheme val="minor"/>
      </rPr>
      <t>​</t>
    </r>
  </si>
  <si>
    <t>感情细腻隐秘，有艺术气质，偏财来自幕后或女性相关行业。</t>
  </si>
  <si>
    <t>幕后音乐制作人；女性用品销售。</t>
  </si>
  <si>
    <t>2. 加重酒色是非组合</t>
  </si>
  <si>
    <r>
      <t>咸池+巨门</t>
    </r>
    <r>
      <rPr>
        <sz val="11"/>
        <color theme="1"/>
        <rFont val="等线"/>
        <family val="2"/>
        <charset val="134"/>
        <scheme val="minor"/>
      </rPr>
      <t>​</t>
    </r>
  </si>
  <si>
    <t>桃花引发口舌是非、秘密曝光，或因酒色之事招惹诽谤。</t>
  </si>
  <si>
    <t>桃色绯闻缠身；因娱乐消费产生纠纷。</t>
  </si>
  <si>
    <r>
      <t>咸池+破军</t>
    </r>
    <r>
      <rPr>
        <sz val="11"/>
        <color theme="1"/>
        <rFont val="等线"/>
        <family val="2"/>
        <charset val="134"/>
        <scheme val="minor"/>
      </rPr>
      <t>​</t>
    </r>
  </si>
  <si>
    <t>欲望具有破坏性，为酒色破财惹祸，感情关系混乱且短暂。</t>
  </si>
  <si>
    <t>因赌博、嫖娼倾家荡产；频繁更换性伴侣。</t>
  </si>
  <si>
    <r>
      <t>咸池+七杀</t>
    </r>
    <r>
      <rPr>
        <sz val="11"/>
        <color theme="1"/>
        <rFont val="等线"/>
        <family val="2"/>
        <charset val="134"/>
        <scheme val="minor"/>
      </rPr>
      <t>​</t>
    </r>
  </si>
  <si>
    <t>桃花来得突然猛烈，易有一夜情，但也易因情色引发冲突。</t>
  </si>
  <si>
    <t>酒吧一夜情后发生争执；因色招灾。</t>
  </si>
  <si>
    <r>
      <t>咸池+天机</t>
    </r>
    <r>
      <rPr>
        <sz val="11"/>
        <color theme="1"/>
        <rFont val="等线"/>
        <family val="2"/>
        <charset val="134"/>
        <scheme val="minor"/>
      </rPr>
      <t>​</t>
    </r>
  </si>
  <si>
    <t>心思活络，用计谋获取桃花或偏财，但计划多变，难以稳定。</t>
  </si>
  <si>
    <t>通过社交软件猎艳；投机取巧赚快钱。</t>
  </si>
  <si>
    <r>
      <t>咸池+武曲</t>
    </r>
    <r>
      <rPr>
        <sz val="11"/>
        <color theme="1"/>
        <rFont val="等线"/>
        <family val="2"/>
        <charset val="134"/>
        <scheme val="minor"/>
      </rPr>
      <t>​</t>
    </r>
  </si>
  <si>
    <t>将求财手段用于偏门娱乐行业，或因刚性需求陷入酒色交易。</t>
  </si>
  <si>
    <t>经营赌场、夜总会；为钱进行性交易。</t>
  </si>
  <si>
    <r>
      <t>咸池+天姚</t>
    </r>
    <r>
      <rPr>
        <sz val="11"/>
        <color theme="1"/>
        <rFont val="等线"/>
        <family val="2"/>
        <charset val="134"/>
        <scheme val="minor"/>
      </rPr>
      <t>​</t>
    </r>
  </si>
  <si>
    <r>
      <t>桃花倍增组合</t>
    </r>
    <r>
      <rPr>
        <sz val="11"/>
        <color theme="1"/>
        <rFont val="等线"/>
        <family val="2"/>
        <charset val="134"/>
        <scheme val="minor"/>
      </rPr>
      <t>。魅力与欲望达到顶峰，异性缘极强，但多属肉欲桃花。</t>
    </r>
  </si>
  <si>
    <t>风流成性，性关系复杂且频繁。</t>
  </si>
  <si>
    <r>
      <t>咸池+红鸾/天喜</t>
    </r>
    <r>
      <rPr>
        <sz val="11"/>
        <color theme="1"/>
        <rFont val="等线"/>
        <family val="2"/>
        <charset val="134"/>
        <scheme val="minor"/>
      </rPr>
      <t>​</t>
    </r>
  </si>
  <si>
    <t>桃花带喜庆色彩，易因酒色之事促成婚姻或怀孕等喜事。</t>
  </si>
  <si>
    <t>奉子成婚；在娱乐场合结识结婚对象。</t>
  </si>
  <si>
    <r>
      <t>咸池+文昌/文曲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</si>
  <si>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风流才艺组合</t>
    </r>
    <r>
      <rPr>
        <sz val="11"/>
        <color theme="1"/>
        <rFont val="等线"/>
        <family val="2"/>
        <charset val="134"/>
        <scheme val="minor"/>
      </rPr>
      <t>。将才艺用于风月场合，通过文艺手段吸引异性或赚取偏财。</t>
    </r>
  </si>
  <si>
    <t>夜总会歌手、舞者；情色作家。</t>
  </si>
  <si>
    <r>
      <t>咸池+火星</t>
    </r>
    <r>
      <rPr>
        <sz val="11"/>
        <color theme="1"/>
        <rFont val="等线"/>
        <family val="2"/>
        <charset val="134"/>
        <scheme val="minor"/>
      </rPr>
      <t>​</t>
    </r>
  </si>
  <si>
    <t>酒色欲望来得突然且冲动，易有闪电式的一夜情或冲动消费。</t>
  </si>
  <si>
    <t>酒后乱性；冲动购买奢侈品讨好异性。</t>
  </si>
  <si>
    <r>
      <t>咸池+铃星</t>
    </r>
    <r>
      <rPr>
        <sz val="11"/>
        <color theme="1"/>
        <rFont val="等线"/>
        <family val="2"/>
        <charset val="134"/>
        <scheme val="minor"/>
      </rPr>
      <t>​</t>
    </r>
  </si>
  <si>
    <t>对酒色之事计较、焦虑，易陷入纠缠的肉欲关系或慢性瘾癖。</t>
  </si>
  <si>
    <t>沉迷色情网站；有固定的情人关系但内心焦虑。</t>
  </si>
  <si>
    <r>
      <t>咸池+擎羊</t>
    </r>
    <r>
      <rPr>
        <sz val="11"/>
        <color theme="1"/>
        <rFont val="等线"/>
        <family val="2"/>
        <charset val="134"/>
        <scheme val="minor"/>
      </rPr>
      <t>​</t>
    </r>
  </si>
  <si>
    <t>因酒色引发竞争、冲突或身体伤害，如争风吃醋打架，性病。</t>
  </si>
  <si>
    <t>在风月场所与人争斗；感染性病。</t>
  </si>
  <si>
    <r>
      <t>咸池+陀罗</t>
    </r>
    <r>
      <rPr>
        <sz val="11"/>
        <color theme="1"/>
        <rFont val="等线"/>
        <family val="2"/>
        <charset val="134"/>
        <scheme val="minor"/>
      </rPr>
      <t>​</t>
    </r>
  </si>
  <si>
    <t>酒色之事拖延反复，旧瘾难戒，陷入持久的不良关系或嗜好。</t>
  </si>
  <si>
    <t>长期酗酒；与旧情人保持肉体关系。</t>
  </si>
  <si>
    <r>
      <t>咸池+地空/地劫</t>
    </r>
    <r>
      <rPr>
        <sz val="11"/>
        <color theme="1"/>
        <rFont val="等线"/>
        <family val="2"/>
        <charset val="134"/>
        <scheme val="minor"/>
      </rPr>
      <t>​</t>
    </r>
  </si>
  <si>
    <t>为酒色之事破耗钱财，理想化的肉欲追求落空。</t>
  </si>
  <si>
    <t>为博红颜一笑挥霍无度却人财两空。</t>
  </si>
  <si>
    <r>
      <t>咸池+天刑</t>
    </r>
    <r>
      <rPr>
        <sz val="11"/>
        <color theme="1"/>
        <rFont val="等线"/>
        <family val="2"/>
        <charset val="134"/>
        <scheme val="minor"/>
      </rPr>
      <t>​</t>
    </r>
  </si>
  <si>
    <t>酒色之事触犯法律或纪律，引发官司、处罚或疾病。</t>
  </si>
  <si>
    <t>因嫖娼被拘留；因纵欲过度染上法律禁止的疾病。</t>
  </si>
  <si>
    <r>
      <t>咸池+天马</t>
    </r>
    <r>
      <rPr>
        <sz val="11"/>
        <color theme="1"/>
        <rFont val="等线"/>
        <family val="2"/>
        <charset val="134"/>
        <scheme val="minor"/>
      </rPr>
      <t>​</t>
    </r>
  </si>
  <si>
    <t>桃花在移动、旅行中发生，易有异地艳遇或在外寻欢作乐。</t>
  </si>
  <si>
    <t>出差时嫖妓；旅行中的一夜情。</t>
  </si>
  <si>
    <r>
      <t>1. “正”与“邪”</t>
    </r>
    <r>
      <rPr>
        <sz val="11"/>
        <color theme="1"/>
        <rFont val="等线"/>
        <family val="2"/>
        <charset val="134"/>
        <scheme val="minor"/>
      </rPr>
      <t>：咸池星本质为</t>
    </r>
    <r>
      <rPr>
        <b/>
        <sz val="11"/>
        <color theme="1"/>
        <rFont val="等线"/>
        <family val="3"/>
        <charset val="134"/>
        <scheme val="minor"/>
      </rPr>
      <t>欲望之星</t>
    </r>
    <r>
      <rPr>
        <sz val="11"/>
        <color theme="1"/>
        <rFont val="等线"/>
        <family val="2"/>
        <charset val="134"/>
        <scheme val="minor"/>
      </rPr>
      <t>，其显现取决于所会星曜。遇</t>
    </r>
    <r>
      <rPr>
        <b/>
        <sz val="11"/>
        <color theme="1"/>
        <rFont val="等线"/>
        <family val="3"/>
        <charset val="134"/>
        <scheme val="minor"/>
      </rPr>
      <t>吉星、正星（如紫微、天府、昌曲）</t>
    </r>
    <r>
      <rPr>
        <sz val="11"/>
        <color theme="1"/>
        <rFont val="等线"/>
        <family val="2"/>
        <charset val="134"/>
        <scheme val="minor"/>
      </rPr>
      <t>，可转化为出色的艺术才华、交际能力与偏财运。遇</t>
    </r>
    <r>
      <rPr>
        <b/>
        <sz val="11"/>
        <color theme="1"/>
        <rFont val="等线"/>
        <family val="3"/>
        <charset val="134"/>
        <scheme val="minor"/>
      </rPr>
      <t>煞星、桃花星（如贪狼、廉贞、天姚）</t>
    </r>
    <r>
      <rPr>
        <sz val="11"/>
        <color theme="1"/>
        <rFont val="等线"/>
        <family val="2"/>
        <charset val="134"/>
        <scheme val="minor"/>
      </rPr>
      <t>，则加重其酒色、肉欲、享乐的负面性质，易成桃花劫。</t>
    </r>
  </si>
  <si>
    <r>
      <t>2. 与“天姚”、“红鸾”的区别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咸池主“酒色欲望”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最直接、最偏向肉体</t>
    </r>
    <r>
      <rPr>
        <sz val="11"/>
        <color theme="1"/>
        <rFont val="等线"/>
        <family val="2"/>
        <charset val="134"/>
        <scheme val="minor"/>
      </rPr>
      <t>的桃花，重</t>
    </r>
    <r>
      <rPr>
        <b/>
        <sz val="11"/>
        <color theme="1"/>
        <rFont val="等线"/>
        <family val="3"/>
        <charset val="134"/>
        <scheme val="minor"/>
      </rPr>
      <t>享受与占有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天姚主“风情魅力”</t>
    </r>
    <r>
      <rPr>
        <sz val="11"/>
        <color theme="1"/>
        <rFont val="等线"/>
        <family val="2"/>
        <charset val="134"/>
        <scheme val="minor"/>
      </rPr>
      <t>，是内在的吸引力与才情，重</t>
    </r>
    <r>
      <rPr>
        <b/>
        <sz val="11"/>
        <color theme="1"/>
        <rFont val="等线"/>
        <family val="3"/>
        <charset val="134"/>
        <scheme val="minor"/>
      </rPr>
      <t>感觉与过程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红鸾主“婚姻正缘”</t>
    </r>
    <r>
      <rPr>
        <sz val="11"/>
        <color theme="1"/>
        <rFont val="等线"/>
        <family val="2"/>
        <charset val="134"/>
        <scheme val="minor"/>
      </rPr>
      <t>，是正式的婚恋信号，重</t>
    </r>
    <r>
      <rPr>
        <b/>
        <sz val="11"/>
        <color theme="1"/>
        <rFont val="等线"/>
        <family val="3"/>
        <charset val="134"/>
        <scheme val="minor"/>
      </rPr>
      <t>结果与形式</t>
    </r>
    <r>
      <rPr>
        <sz val="11"/>
        <color theme="1"/>
        <rFont val="等线"/>
        <family val="2"/>
        <charset val="134"/>
        <scheme val="minor"/>
      </rPr>
      <t>。简言之，咸池是“肉体”，天姚是“风情”，红鸾是“婚姻”。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</si>
  <si>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：咸池星所在宫位，指示在人生的哪个领域最容易引发欲望、遇到酒色机缘，或可能通过偏门才艺获利。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</si>
  <si>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，欲望得满足，偏财运佳，易因酒色得财。见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，主动追求酒色享乐，在相关领域有掌控力。见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，才艺出众，在娱乐行业有名声，风流倜傥。见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欲望受挫</t>
    </r>
    <r>
      <rPr>
        <sz val="11"/>
        <color theme="1"/>
        <rFont val="等线"/>
        <family val="2"/>
        <charset val="134"/>
        <scheme val="minor"/>
      </rPr>
      <t>，因酒色破财、惹祸、伤身，或才艺无法发挥。</t>
    </r>
  </si>
  <si>
    <t>一、台辅定义</t>
  </si>
  <si>
    <t>辅佐、幕僚、文书、印章、贵人、实际助力</t>
  </si>
  <si>
    <t>象征实际的辅佐力量、得力的助手、正式的文书凭证（如合同、证书、公章）以及来自同辈或下属的实质性帮助。</t>
  </si>
  <si>
    <t>乙级星，属阳土。主吉，为贵气、助力之星。其力量需依附于主星及整体格局方能充分发挥。</t>
  </si>
  <si>
    <r>
      <t>辅佐贵人</t>
    </r>
    <r>
      <rPr>
        <sz val="11"/>
        <color theme="1"/>
        <rFont val="等线"/>
        <family val="2"/>
        <charset val="134"/>
        <scheme val="minor"/>
      </rPr>
      <t>​</t>
    </r>
  </si>
  <si>
    <t>易得同辈、同事、同学、朋友或下属的实质性帮助与支持。</t>
  </si>
  <si>
    <t>在交友宫、兄弟宫时尤为明显。</t>
  </si>
  <si>
    <r>
      <t>文书印章</t>
    </r>
    <r>
      <rPr>
        <sz val="11"/>
        <color theme="1"/>
        <rFont val="等线"/>
        <family val="2"/>
        <charset val="134"/>
        <scheme val="minor"/>
      </rPr>
      <t>​</t>
    </r>
  </si>
  <si>
    <t>与正式文件、契约、证书、公章、法律文书相关，主事能成文、有凭据。</t>
  </si>
  <si>
    <t>在官禄宫、父母宫时力量强。</t>
  </si>
  <si>
    <r>
      <t>实际助力</t>
    </r>
    <r>
      <rPr>
        <sz val="11"/>
        <color theme="1"/>
        <rFont val="等线"/>
        <family val="2"/>
        <charset val="134"/>
        <scheme val="minor"/>
      </rPr>
      <t>​</t>
    </r>
  </si>
  <si>
    <t>提供的帮助是具体、实在的，而非空泛的承诺，能解决实际问题。</t>
  </si>
  <si>
    <t>与左辅、右弼同度时显著。</t>
  </si>
  <si>
    <r>
      <t>增加光彩</t>
    </r>
    <r>
      <rPr>
        <sz val="11"/>
        <color theme="1"/>
        <rFont val="等线"/>
        <family val="2"/>
        <charset val="134"/>
        <scheme val="minor"/>
      </rPr>
      <t>​</t>
    </r>
  </si>
  <si>
    <t>为所会照的主星或宫位增添贵气、稳定性与正式性。</t>
  </si>
  <si>
    <t>与吉星同会，锦上添花。</t>
  </si>
  <si>
    <r>
      <t>稳定支持</t>
    </r>
    <r>
      <rPr>
        <sz val="11"/>
        <color theme="1"/>
        <rFont val="等线"/>
        <family val="2"/>
        <charset val="134"/>
        <scheme val="minor"/>
      </rPr>
      <t>​</t>
    </r>
  </si>
  <si>
    <t>助力持续而稳定，如同坚实的后盾或可靠的团队。</t>
  </si>
  <si>
    <t>在命宫、身宫时体现。</t>
  </si>
  <si>
    <t>为人正直可靠，易得同辈友人相助，一生多实际助力，适合担任副手或管理职位。</t>
  </si>
  <si>
    <t>兄弟姐妹或同事、同学能提供实质性帮助，团队合作顺利。</t>
  </si>
  <si>
    <t>配偶是自己的得力助手，或在事业、生活上能给予实际支持；婚姻关系稳定。</t>
  </si>
  <si>
    <t>子女能干，是得力助手；在合作、创作项目中易得伙伴鼎力相助。</t>
  </si>
  <si>
    <t>钱财来源稳定，易通过合作、签约得财，财务管理有章法、有凭证。</t>
  </si>
  <si>
    <t>身体健康能得到有效的辅助治疗或得力看护；病情诊断有明确报告。</t>
  </si>
  <si>
    <t>在外发展易得朋友、同乡的实际帮助；出行顺利，手续齐全。</t>
  </si>
  <si>
    <r>
      <t>核心宫位</t>
    </r>
    <r>
      <rPr>
        <sz val="11"/>
        <color theme="1"/>
        <rFont val="等线"/>
        <family val="2"/>
        <charset val="134"/>
        <scheme val="minor"/>
      </rPr>
      <t>。朋友多为可靠、实干之人，能提供实质性帮助，得良友益友。</t>
    </r>
  </si>
  <si>
    <r>
      <t>核心宫位</t>
    </r>
    <r>
      <rPr>
        <sz val="11"/>
        <color theme="1"/>
        <rFont val="等线"/>
        <family val="2"/>
        <charset val="134"/>
        <scheme val="minor"/>
      </rPr>
      <t>。事业上有得力下属或合作伙伴；工作涉及文书、契约；易在大型机构任职。</t>
    </r>
  </si>
  <si>
    <t>家庭内部互助，家人是后盾；房产文件齐全；可能有助手、佣人住在家里。</t>
  </si>
  <si>
    <t>精神世界充实，有坚定的信念或理念作为支撑，内心感到有依靠。</t>
  </si>
  <si>
    <t>父母或长辈能给予实质性支持（如资源、人脉）；与官方机构打交道顺利。</t>
  </si>
  <si>
    <t>1. 增强贵气助力组合</t>
  </si>
  <si>
    <r>
      <t>台辅+紫微</t>
    </r>
    <r>
      <rPr>
        <sz val="11"/>
        <color theme="1"/>
        <rFont val="等线"/>
        <family val="2"/>
        <charset val="134"/>
        <scheme val="minor"/>
      </rPr>
      <t>​</t>
    </r>
  </si>
  <si>
    <t>增强领导权威，得优秀幕僚团队辅佐，政令、文书通行无阻。</t>
  </si>
  <si>
    <t>企业CEO拥有高效执行团队；官员有智囊团。</t>
  </si>
  <si>
    <r>
      <t>台辅+太阳</t>
    </r>
    <r>
      <rPr>
        <sz val="11"/>
        <color theme="1"/>
        <rFont val="等线"/>
        <family val="2"/>
        <charset val="134"/>
        <scheme val="minor"/>
      </rPr>
      <t>​</t>
    </r>
  </si>
  <si>
    <t>公开事务得到有力支持，名声有实际基础，得公众人物或媒体助力。</t>
  </si>
  <si>
    <t>公众人物有专业的公关团队；项目获得公开支持。</t>
  </si>
  <si>
    <r>
      <t>台辅+天同</t>
    </r>
    <r>
      <rPr>
        <sz val="11"/>
        <color theme="1"/>
        <rFont val="等线"/>
        <family val="2"/>
        <charset val="134"/>
        <scheme val="minor"/>
      </rPr>
      <t>​</t>
    </r>
  </si>
  <si>
    <t>福气有实际支撑，生活安逸有帮手，合作过程愉快且成果实在。</t>
  </si>
  <si>
    <t>与合作伙伴相处融洽且项目成功；家庭有得力保姆。</t>
  </si>
  <si>
    <r>
      <t>台辅+天府</t>
    </r>
    <r>
      <rPr>
        <sz val="11"/>
        <color theme="1"/>
        <rFont val="等线"/>
        <family val="2"/>
        <charset val="134"/>
        <scheme val="minor"/>
      </rPr>
      <t>​</t>
    </r>
  </si>
  <si>
    <t>库藏有得力管理者，财富积累有方，得稳健可靠的合作伙伴。</t>
  </si>
  <si>
    <t>公司有优秀的财务总监；与信誉好的企业结盟。</t>
  </si>
  <si>
    <r>
      <t>台辅+天相</t>
    </r>
    <r>
      <rPr>
        <sz val="11"/>
        <color theme="1"/>
        <rFont val="等线"/>
        <family val="2"/>
        <charset val="134"/>
        <scheme val="minor"/>
      </rPr>
      <t>​</t>
    </r>
  </si>
  <si>
    <t>文书、契约之事办理顺利且规范，得忠诚可靠的副手或秘书。</t>
  </si>
  <si>
    <t>签约过程顺利无误；领导有得力的秘书。</t>
  </si>
  <si>
    <t>2. 专业化与执行力组合</t>
  </si>
  <si>
    <r>
      <t>台辅+天机</t>
    </r>
    <r>
      <rPr>
        <sz val="11"/>
        <color theme="1"/>
        <rFont val="等线"/>
        <family val="2"/>
        <charset val="134"/>
        <scheme val="minor"/>
      </rPr>
      <t>​</t>
    </r>
  </si>
  <si>
    <t>策划、谋略得到有效执行，思维有实际方案和文件支持。</t>
  </si>
  <si>
    <t>策划案有详细的执行手册；军师有落实的将领。</t>
  </si>
  <si>
    <r>
      <t>台辅+武曲</t>
    </r>
    <r>
      <rPr>
        <sz val="11"/>
        <color theme="1"/>
        <rFont val="等线"/>
        <family val="2"/>
        <charset val="134"/>
        <scheme val="minor"/>
      </rPr>
      <t>​</t>
    </r>
  </si>
  <si>
    <t>财务、执行层面有得力助手，金融操作、工程管理规范有据。</t>
  </si>
  <si>
    <t>财务总监有精干的会计团队；工程经理有技术骨干。</t>
  </si>
  <si>
    <r>
      <t>台辅+廉贞</t>
    </r>
    <r>
      <rPr>
        <sz val="11"/>
        <color theme="1"/>
        <rFont val="等线"/>
        <family val="2"/>
        <charset val="134"/>
        <scheme val="minor"/>
      </rPr>
      <t>​</t>
    </r>
  </si>
  <si>
    <t>复杂事务、公关协调得到专业助手，法律文书、合约严谨。</t>
  </si>
  <si>
    <t>律师有优秀的助理；公关危机有专业团队处理。</t>
  </si>
  <si>
    <r>
      <t>台辅+太阴</t>
    </r>
    <r>
      <rPr>
        <sz val="11"/>
        <color theme="1"/>
        <rFont val="等线"/>
        <family val="2"/>
        <charset val="134"/>
        <scheme val="minor"/>
      </rPr>
      <t>​</t>
    </r>
  </si>
  <si>
    <t>计划、内务有细心助手打理，财务、文书工作井井有条。</t>
  </si>
  <si>
    <t>作家有负责的编辑；家庭财务有专人管理。</t>
  </si>
  <si>
    <r>
      <t>台辅+天梁</t>
    </r>
    <r>
      <rPr>
        <sz val="11"/>
        <color theme="1"/>
        <rFont val="等线"/>
        <family val="2"/>
        <charset val="134"/>
        <scheme val="minor"/>
      </rPr>
      <t>​</t>
    </r>
  </si>
  <si>
    <t>监察、顾问工作有实际依据和助手，传统、法律事务办理顺利。</t>
  </si>
  <si>
    <t>审计师有助理协助查账；办理遗产公证手续顺利。</t>
  </si>
  <si>
    <r>
      <t>台辅+封诰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</si>
  <si>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。既得实际助力，又获名誉封赏，文书证件齐全且具荣誉性。</t>
    </r>
  </si>
  <si>
    <t>获得学位证书及实际工作机会；受表彰同时得到晋升。</t>
  </si>
  <si>
    <r>
      <t>台辅+左辅/右弼</t>
    </r>
    <r>
      <rPr>
        <sz val="11"/>
        <color theme="1"/>
        <rFont val="等线"/>
        <family val="2"/>
        <charset val="134"/>
        <scheme val="minor"/>
      </rPr>
      <t>​</t>
    </r>
  </si>
  <si>
    <r>
      <t>辅佐力量极强</t>
    </r>
    <r>
      <rPr>
        <sz val="11"/>
        <color theme="1"/>
        <rFont val="等线"/>
        <family val="2"/>
        <charset val="134"/>
        <scheme val="minor"/>
      </rPr>
      <t>。贵人众多，助力来自四面八方，团队强大，事事有人帮。</t>
    </r>
  </si>
  <si>
    <t>创业时有强大的创始团队；项目得到多方资源支持。</t>
  </si>
  <si>
    <r>
      <t>台辅+文昌/文曲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</si>
  <si>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文书才华出众</t>
    </r>
    <r>
      <rPr>
        <sz val="11"/>
        <color theme="1"/>
        <rFont val="等线"/>
        <family val="2"/>
        <charset val="134"/>
        <scheme val="minor"/>
      </rPr>
      <t>。擅长处理文书合约，助力带有文化、艺术色彩，合约完美。</t>
    </r>
  </si>
  <si>
    <t>优秀的法律文书起草者；艺术项目的得力策划。</t>
  </si>
  <si>
    <r>
      <t>台辅+天魁/天钺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</si>
  <si>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贵人运鼎盛</t>
    </r>
    <r>
      <rPr>
        <sz val="11"/>
        <color theme="1"/>
        <rFont val="等线"/>
        <family val="2"/>
        <charset val="134"/>
        <scheme val="minor"/>
      </rPr>
      <t>。既有天乙贵人提携，又有同辈友人鼎力相助，上下皆通。</t>
    </r>
  </si>
  <si>
    <t>得上司赏识的同时，同事也全力配合。</t>
  </si>
  <si>
    <r>
      <t>台辅+禄存</t>
    </r>
    <r>
      <rPr>
        <sz val="11"/>
        <color theme="1"/>
        <rFont val="等线"/>
        <family val="2"/>
        <charset val="134"/>
        <scheme val="minor"/>
      </rPr>
      <t>​</t>
    </r>
  </si>
  <si>
    <t>助力能带来实际财富，合作生财，文书契约涉及经济利益且稳妥。</t>
  </si>
  <si>
    <t>签订利润丰厚的合同；合作伙伴带来资金。</t>
  </si>
  <si>
    <r>
      <t>台辅+火星</t>
    </r>
    <r>
      <rPr>
        <sz val="11"/>
        <color theme="1"/>
        <rFont val="等线"/>
        <family val="2"/>
        <charset val="134"/>
        <scheme val="minor"/>
      </rPr>
      <t>​</t>
    </r>
  </si>
  <si>
    <t>助力来得突然、迅速，或助手性格急躁但执行力强。</t>
  </si>
  <si>
    <t>紧急情况下得到朋友迅速援手；下属行动力强但欠稳妥。</t>
  </si>
  <si>
    <r>
      <t>台辅+铃星</t>
    </r>
    <r>
      <rPr>
        <sz val="11"/>
        <color theme="1"/>
        <rFont val="等线"/>
        <family val="2"/>
        <charset val="134"/>
        <scheme val="minor"/>
      </rPr>
      <t>​</t>
    </r>
  </si>
  <si>
    <t>助力在计较、权衡后给予，或助手心思细密但易有抱怨。</t>
  </si>
  <si>
    <t>经过谈判后获得支持；助手做事细致但爱发牢骚。</t>
  </si>
  <si>
    <r>
      <t>台辅+擎羊</t>
    </r>
    <r>
      <rPr>
        <sz val="11"/>
        <color theme="1"/>
        <rFont val="等线"/>
        <family val="2"/>
        <charset val="134"/>
        <scheme val="minor"/>
      </rPr>
      <t>​</t>
    </r>
  </si>
  <si>
    <t>助力伴随竞争或压力，助手能力强但个性强，文书可能有法律争议。</t>
  </si>
  <si>
    <t>在竞争环境中得到盟友；与能力强的下属时有摩擦。</t>
  </si>
  <si>
    <r>
      <t>台辅+陀罗</t>
    </r>
    <r>
      <rPr>
        <sz val="11"/>
        <color theme="1"/>
        <rFont val="等线"/>
        <family val="2"/>
        <charset val="134"/>
        <scheme val="minor"/>
      </rPr>
      <t>​</t>
    </r>
  </si>
  <si>
    <t>助力来得迟缓、反复，助手做事拖延，文书流程漫长。</t>
  </si>
  <si>
    <t>申请文件批复缓慢；下属执行力不足，需要反复催促。</t>
  </si>
  <si>
    <r>
      <t>台辅+地空/地劫</t>
    </r>
    <r>
      <rPr>
        <sz val="11"/>
        <color theme="1"/>
        <rFont val="等线"/>
        <family val="2"/>
        <charset val="134"/>
        <scheme val="minor"/>
      </rPr>
      <t>​</t>
    </r>
  </si>
  <si>
    <t>助力落空或不得力，文书契约易出纰漏或失效。</t>
  </si>
  <si>
    <t>承诺的帮助未能兑现；合同存在漏洞导致纠纷。</t>
  </si>
  <si>
    <r>
      <t>1. “实”与“名”</t>
    </r>
    <r>
      <rPr>
        <sz val="11"/>
        <color theme="1"/>
        <rFont val="等线"/>
        <family val="2"/>
        <charset val="134"/>
        <scheme val="minor"/>
      </rPr>
      <t>：台辅星主</t>
    </r>
    <r>
      <rPr>
        <b/>
        <sz val="11"/>
        <color theme="1"/>
        <rFont val="等线"/>
        <family val="3"/>
        <charset val="134"/>
        <scheme val="minor"/>
      </rPr>
      <t>实际辅佐与文书凭证</t>
    </r>
    <r>
      <rPr>
        <sz val="11"/>
        <color theme="1"/>
        <rFont val="等线"/>
        <family val="2"/>
        <charset val="134"/>
        <scheme val="minor"/>
      </rPr>
      <t>，是“实”的助力；其对星“封诰”主</t>
    </r>
    <r>
      <rPr>
        <b/>
        <sz val="11"/>
        <color theme="1"/>
        <rFont val="等线"/>
        <family val="3"/>
        <charset val="134"/>
        <scheme val="minor"/>
      </rPr>
      <t>名誉、称号与虚衔</t>
    </r>
    <r>
      <rPr>
        <sz val="11"/>
        <color theme="1"/>
        <rFont val="等线"/>
        <family val="2"/>
        <charset val="134"/>
        <scheme val="minor"/>
      </rPr>
      <t>，是“名”的加持。二者同会，则</t>
    </r>
    <r>
      <rPr>
        <b/>
        <sz val="11"/>
        <color theme="1"/>
        <rFont val="等线"/>
        <family val="3"/>
        <charset val="134"/>
        <scheme val="minor"/>
      </rPr>
      <t>名实相副</t>
    </r>
    <r>
      <rPr>
        <sz val="11"/>
        <color theme="1"/>
        <rFont val="等线"/>
        <family val="2"/>
        <charset val="134"/>
        <scheme val="minor"/>
      </rPr>
      <t>。</t>
    </r>
  </si>
  <si>
    <r>
      <t>2. 与“左辅”、“右弼”的区别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台辅的助力更偏向“制度化”和“文书化”</t>
    </r>
    <r>
      <rPr>
        <sz val="11"/>
        <color theme="1"/>
        <rFont val="等线"/>
        <family val="2"/>
        <charset val="134"/>
        <scheme val="minor"/>
      </rPr>
      <t>，来自职位、契约或正式关系（如同事、同学）。</t>
    </r>
    <r>
      <rPr>
        <b/>
        <sz val="11"/>
        <color theme="1"/>
        <rFont val="等线"/>
        <family val="3"/>
        <charset val="134"/>
        <scheme val="minor"/>
      </rPr>
      <t>左辅、右弼的助力更偏向“人情化”和“随机性”</t>
    </r>
    <r>
      <rPr>
        <sz val="11"/>
        <color theme="1"/>
        <rFont val="等线"/>
        <family val="2"/>
        <charset val="134"/>
        <scheme val="minor"/>
      </rPr>
      <t>，来自四面八方的人际关系。台辅是“职位上的副手”，左辅右弼是“生活中的贵人”。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</si>
  <si>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：台辅星所在宫位，指示在人生的哪个领域最容易获得同辈或下属的实际帮助，或哪些事务需要倚重文书、契约来达成。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</si>
  <si>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，助力能直接带来财富收益，合作生财。见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，助手能力强或有实权，本人对辅助力量掌控力强。见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，助手名声好、专业，文书漂亮得体。见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，助力不得力、文书出错、合作破裂，或为助手所累。</t>
    </r>
  </si>
  <si>
    <t>一、封诰定义</t>
  </si>
  <si>
    <t>名誉、封赏、证书、头衔、荣誉、虚衔</t>
  </si>
  <si>
    <t>象征名誉上的嘉奖、正式的称号与头衔、荣誉证书、资格认证以及一切带来社会声誉和名望的虚衔。</t>
  </si>
  <si>
    <t>乙级星，属阳土。主吉，为贵气、名誉之星。其力量在于增添光彩与声誉，需依附于主星及整体格局方能显贵。</t>
  </si>
  <si>
    <r>
      <t>名誉封赏</t>
    </r>
    <r>
      <rPr>
        <sz val="11"/>
        <color theme="1"/>
        <rFont val="等线"/>
        <family val="2"/>
        <charset val="134"/>
        <scheme val="minor"/>
      </rPr>
      <t>​</t>
    </r>
  </si>
  <si>
    <t>易获得奖项、荣誉称号、社会表彰、公众认可。</t>
  </si>
  <si>
    <t>在官禄宫、迁移宫时尤为明显。</t>
  </si>
  <si>
    <r>
      <t>证书文凭</t>
    </r>
    <r>
      <rPr>
        <sz val="11"/>
        <color theme="1"/>
        <rFont val="等线"/>
        <family val="2"/>
        <charset val="134"/>
        <scheme val="minor"/>
      </rPr>
      <t>​</t>
    </r>
  </si>
  <si>
    <t>与学历证书、职业资格证、获奖证书、官方文件相关。</t>
  </si>
  <si>
    <t>在父母宫、官禄宫时力量强。</t>
  </si>
  <si>
    <r>
      <t>虚衔名望</t>
    </r>
    <r>
      <rPr>
        <sz val="11"/>
        <color theme="1"/>
        <rFont val="等线"/>
        <family val="2"/>
        <charset val="134"/>
        <scheme val="minor"/>
      </rPr>
      <t>​</t>
    </r>
  </si>
  <si>
    <t>拥有社长、会长、顾问等社会头衔，或拥有良好的口碑与名声。</t>
  </si>
  <si>
    <t>与天魁、天钺同度时显著。</t>
  </si>
  <si>
    <t>为所会照的主星或宫位带来荣誉感、正式性与社会地位提升。</t>
  </si>
  <si>
    <r>
      <t>精神荣誉</t>
    </r>
    <r>
      <rPr>
        <sz val="11"/>
        <color theme="1"/>
        <rFont val="等线"/>
        <family val="2"/>
        <charset val="134"/>
        <scheme val="minor"/>
      </rPr>
      <t>​</t>
    </r>
  </si>
  <si>
    <t>所获荣誉多为精神层面，带来满足感与尊重，但不一定伴随实权或实利。</t>
  </si>
  <si>
    <t>在福德宫、命宫时体现。</t>
  </si>
  <si>
    <t>注重名誉与形象，一生易获荣誉或头衔，社会评价高。</t>
  </si>
  <si>
    <t>兄弟姐妹或同事、同学中有名誉良好者；在团队中易因表现获表彰。</t>
  </si>
  <si>
    <t>配偶有名望或获得过荣誉；婚姻关系受外界认可与称赞。</t>
  </si>
  <si>
    <t>子女有荣誉感或获得奖项；在创作、合作项目中易获得好评。</t>
  </si>
  <si>
    <t>钱财来源正当且有名声，或因名誉、品牌效应得财。</t>
  </si>
  <si>
    <t>获得权威医疗诊断或名医治疗；病情得到社会关怀（如募捐）。</t>
  </si>
  <si>
    <t>在外名声好，易获得异地荣誉或头衔；出行受礼遇。</t>
  </si>
  <si>
    <t>朋友多为有名望、有地位之人；社交圈能提升个人声誉。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</si>
  <si>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。事业上易获表彰、升职、职称评定；职业声望高。</t>
    </r>
  </si>
  <si>
    <t>家族有名望；家中悬挂奖状、证书；所居社区有声誉。</t>
  </si>
  <si>
    <t>内心重视荣誉与道德，精神世界以获得社会认可为满足。</t>
  </si>
  <si>
    <t>父母或长辈有名望；易获得官方、学校的嘉奖或文凭。</t>
  </si>
  <si>
    <t>1. 增强名誉贵气组合</t>
  </si>
  <si>
    <r>
      <t>封诰+紫微</t>
    </r>
    <r>
      <rPr>
        <sz val="11"/>
        <color theme="1"/>
        <rFont val="等线"/>
        <family val="2"/>
        <charset val="134"/>
        <scheme val="minor"/>
      </rPr>
      <t>​</t>
    </r>
  </si>
  <si>
    <t>获得极高的社会地位与官方荣誉，如爵位、领导头衔、重大奖项。</t>
  </si>
  <si>
    <t>获得国家勋章；被授予终身成就奖。</t>
  </si>
  <si>
    <r>
      <t>封诰+太阳</t>
    </r>
    <r>
      <rPr>
        <sz val="11"/>
        <color theme="1"/>
        <rFont val="等线"/>
        <family val="2"/>
        <charset val="134"/>
        <scheme val="minor"/>
      </rPr>
      <t>​</t>
    </r>
  </si>
  <si>
    <t>名声远播，获得公众性荣誉，如“人民艺术家”、“劳动模范”等称号。</t>
  </si>
  <si>
    <t>成为知名公众人物并获得表彰。</t>
  </si>
  <si>
    <r>
      <t>封诰+天同</t>
    </r>
    <r>
      <rPr>
        <sz val="11"/>
        <color theme="1"/>
        <rFont val="等线"/>
        <family val="2"/>
        <charset val="134"/>
        <scheme val="minor"/>
      </rPr>
      <t>​</t>
    </r>
  </si>
  <si>
    <t>因福气、亲和力获得荣誉，或荣誉带来安逸与享受。</t>
  </si>
  <si>
    <t>被评为“慈善大使”；获得荣誉后生活更舒适。</t>
  </si>
  <si>
    <r>
      <t>封诰+天府</t>
    </r>
    <r>
      <rPr>
        <sz val="11"/>
        <color theme="1"/>
        <rFont val="等线"/>
        <family val="2"/>
        <charset val="134"/>
        <scheme val="minor"/>
      </rPr>
      <t>​</t>
    </r>
  </si>
  <si>
    <t>获得稳健、持久的荣誉与头衔，如终身教授、名誉会长。</t>
  </si>
  <si>
    <t>被授予名誉博士学位；担任某基金会永久名誉理事。</t>
  </si>
  <si>
    <r>
      <t>封诰+天相</t>
    </r>
    <r>
      <rPr>
        <sz val="11"/>
        <color theme="1"/>
        <rFont val="等线"/>
        <family val="2"/>
        <charset val="134"/>
        <scheme val="minor"/>
      </rPr>
      <t>​</t>
    </r>
  </si>
  <si>
    <t>因忠诚、辅佐得力获得嘉奖，证书、文件规范且具权威性。</t>
  </si>
  <si>
    <t>获得“优秀助理”奖；取得官方认证证书。</t>
  </si>
  <si>
    <t>2. 专业化与学术名誉组合</t>
  </si>
  <si>
    <r>
      <t>封诰+天机</t>
    </r>
    <r>
      <rPr>
        <sz val="11"/>
        <color theme="1"/>
        <rFont val="等线"/>
        <family val="2"/>
        <charset val="134"/>
        <scheme val="minor"/>
      </rPr>
      <t>​</t>
    </r>
  </si>
  <si>
    <t>因策划、谋略、学术研究获得名誉，如专利证书、学术头衔。</t>
  </si>
  <si>
    <t>获得“杰出青年科学家”称号；取得发明专利证书。</t>
  </si>
  <si>
    <r>
      <t>封诰+武曲</t>
    </r>
    <r>
      <rPr>
        <sz val="11"/>
        <color theme="1"/>
        <rFont val="等线"/>
        <family val="2"/>
        <charset val="134"/>
        <scheme val="minor"/>
      </rPr>
      <t>​</t>
    </r>
  </si>
  <si>
    <t>因财经、管理、工程领域的卓越成就获得职业认证或奖项。</t>
  </si>
  <si>
    <t>获得“注册会计师”资格；被评为“优秀企业家”。</t>
  </si>
  <si>
    <r>
      <t>封诰+廉贞</t>
    </r>
    <r>
      <rPr>
        <sz val="11"/>
        <color theme="1"/>
        <rFont val="等线"/>
        <family val="2"/>
        <charset val="134"/>
        <scheme val="minor"/>
      </rPr>
      <t>​</t>
    </r>
  </si>
  <si>
    <t>在政治、法律、复杂事务处理中获得荣誉，或荣誉带有政治色彩。</t>
  </si>
  <si>
    <t>获得“五一劳动奖章”；被授予“荣誉市民”。</t>
  </si>
  <si>
    <r>
      <t>封诰+太阴</t>
    </r>
    <r>
      <rPr>
        <sz val="11"/>
        <color theme="1"/>
        <rFont val="等线"/>
        <family val="2"/>
        <charset val="134"/>
        <scheme val="minor"/>
      </rPr>
      <t>​</t>
    </r>
  </si>
  <si>
    <t>在文艺、策划、财务领域获得名誉，证书精美，荣誉内敛。</t>
  </si>
  <si>
    <t>获得文学奖；取得“高级会计师”职称。</t>
  </si>
  <si>
    <r>
      <t>封诰+天梁</t>
    </r>
    <r>
      <rPr>
        <sz val="11"/>
        <color theme="1"/>
        <rFont val="等线"/>
        <family val="2"/>
        <charset val="134"/>
        <scheme val="minor"/>
      </rPr>
      <t>​</t>
    </r>
  </si>
  <si>
    <t>因监察、顾问、慈善、传统技艺获得清誉与社会尊重。</t>
  </si>
  <si>
    <t>被评为“德艺双馨艺术家”；获得慈善奖项。</t>
  </si>
  <si>
    <r>
      <t>封诰+台辅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</si>
  <si>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。既获名誉头衔，又得实际职位与助力，名实相副。</t>
    </r>
  </si>
  <si>
    <t>获得教授职称并担任系主任；获颁奖项同时得到项目资金。</t>
  </si>
  <si>
    <r>
      <t>封诰+文昌/文曲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</si>
  <si>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文星贵气组合</t>
    </r>
    <r>
      <rPr>
        <sz val="11"/>
        <color theme="1"/>
        <rFont val="等线"/>
        <family val="2"/>
        <charset val="134"/>
        <scheme val="minor"/>
      </rPr>
      <t>。因文化、艺术、考试取得功名，证书含金量高。</t>
    </r>
  </si>
  <si>
    <t>高考状元；获得“金曲奖”最佳作词人。</t>
  </si>
  <si>
    <r>
      <t>封诰+天魁/天钺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</si>
  <si>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贵人提携得名</t>
    </r>
    <r>
      <rPr>
        <sz val="11"/>
        <color theme="1"/>
        <rFont val="等线"/>
        <family val="2"/>
        <charset val="134"/>
        <scheme val="minor"/>
      </rPr>
      <t>。因贵人举荐或提拔而获得荣誉与头衔。</t>
    </r>
  </si>
  <si>
    <t>被领导推荐获得“先进工作者”；因前辈提携获得协会理事头衔。</t>
  </si>
  <si>
    <r>
      <t>封诰+左辅/右弼</t>
    </r>
    <r>
      <rPr>
        <sz val="11"/>
        <color theme="1"/>
        <rFont val="等线"/>
        <family val="2"/>
        <charset val="134"/>
        <scheme val="minor"/>
      </rPr>
      <t>​</t>
    </r>
  </si>
  <si>
    <t>因团队合作或众人支持而获得集体荣誉或个人表彰。</t>
  </si>
  <si>
    <t>带领团队获得“优秀项目组”奖；因群众好评获“服务之星”。</t>
  </si>
  <si>
    <r>
      <t>封诰+禄存</t>
    </r>
    <r>
      <rPr>
        <sz val="11"/>
        <color theme="1"/>
        <rFont val="等线"/>
        <family val="2"/>
        <charset val="134"/>
        <scheme val="minor"/>
      </rPr>
      <t>​</t>
    </r>
  </si>
  <si>
    <t>名誉能带来实际利益或财富，如奖金、品牌溢价。</t>
  </si>
  <si>
    <t>获得比赛冠军及高额奖金；因“老字号”招牌生意兴隆。</t>
  </si>
  <si>
    <r>
      <t>封诰+火星</t>
    </r>
    <r>
      <rPr>
        <sz val="11"/>
        <color theme="1"/>
        <rFont val="等线"/>
        <family val="2"/>
        <charset val="134"/>
        <scheme val="minor"/>
      </rPr>
      <t>​</t>
    </r>
  </si>
  <si>
    <t>名誉来得突然、迅速，或因激烈竞争后获得。</t>
  </si>
  <si>
    <t>在竞赛中爆冷夺冠；因突发事件成为英雄获表彰。</t>
  </si>
  <si>
    <r>
      <t>封诰+铃星</t>
    </r>
    <r>
      <rPr>
        <sz val="11"/>
        <color theme="1"/>
        <rFont val="等线"/>
        <family val="2"/>
        <charset val="134"/>
        <scheme val="minor"/>
      </rPr>
      <t>​</t>
    </r>
  </si>
  <si>
    <t>名誉在计较、努力后获得，或荣誉背后有隐忧、非议。</t>
  </si>
  <si>
    <t>经过长期努力终于评上职称；获奖后遭人嫉妒议论。</t>
  </si>
  <si>
    <r>
      <t>封诰+擎羊</t>
    </r>
    <r>
      <rPr>
        <sz val="11"/>
        <color theme="1"/>
        <rFont val="等线"/>
        <family val="2"/>
        <charset val="134"/>
        <scheme val="minor"/>
      </rPr>
      <t>​</t>
    </r>
  </si>
  <si>
    <t>名誉伴随竞争、压力获得，或荣誉有争议，证书有法律效力。</t>
  </si>
  <si>
    <t>在激烈竞选中胜出；获得的专利涉及产权纠纷。</t>
  </si>
  <si>
    <r>
      <t>封诰+陀罗</t>
    </r>
    <r>
      <rPr>
        <sz val="11"/>
        <color theme="1"/>
        <rFont val="等线"/>
        <family val="2"/>
        <charset val="134"/>
        <scheme val="minor"/>
      </rPr>
      <t>​</t>
    </r>
  </si>
  <si>
    <t>名誉来得迟缓、反复，资格认证过程漫长，旧荣誉被重提。</t>
  </si>
  <si>
    <t>职称评定拖延多年才通过；多年前的奖项再次被表彰。</t>
  </si>
  <si>
    <r>
      <t>封诰+地空/地劫</t>
    </r>
    <r>
      <rPr>
        <sz val="11"/>
        <color theme="1"/>
        <rFont val="等线"/>
        <family val="2"/>
        <charset val="134"/>
        <scheme val="minor"/>
      </rPr>
      <t>​</t>
    </r>
  </si>
  <si>
    <t>名誉落空、虚有其表，或证书失效、头衔不被承认。</t>
  </si>
  <si>
    <t>被评为先进但奖励未兑现；取得的资格证书不被行业认可。</t>
  </si>
  <si>
    <r>
      <t>1. “名”与“实”</t>
    </r>
    <r>
      <rPr>
        <sz val="11"/>
        <color theme="1"/>
        <rFont val="等线"/>
        <family val="2"/>
        <charset val="134"/>
        <scheme val="minor"/>
      </rPr>
      <t>：封诰星主</t>
    </r>
    <r>
      <rPr>
        <b/>
        <sz val="11"/>
        <color theme="1"/>
        <rFont val="等线"/>
        <family val="3"/>
        <charset val="134"/>
        <scheme val="minor"/>
      </rPr>
      <t>名誉、头衔与虚衔</t>
    </r>
    <r>
      <rPr>
        <sz val="11"/>
        <color theme="1"/>
        <rFont val="等线"/>
        <family val="2"/>
        <charset val="134"/>
        <scheme val="minor"/>
      </rPr>
      <t>，是“名”的加持；其对星“台辅”主</t>
    </r>
    <r>
      <rPr>
        <b/>
        <sz val="11"/>
        <color theme="1"/>
        <rFont val="等线"/>
        <family val="3"/>
        <charset val="134"/>
        <scheme val="minor"/>
      </rPr>
      <t>实际助力与文书凭证</t>
    </r>
    <r>
      <rPr>
        <sz val="11"/>
        <color theme="1"/>
        <rFont val="等线"/>
        <family val="2"/>
        <charset val="134"/>
        <scheme val="minor"/>
      </rPr>
      <t>，是“实”的支撑。二者同会，则</t>
    </r>
    <r>
      <rPr>
        <b/>
        <sz val="11"/>
        <color theme="1"/>
        <rFont val="等线"/>
        <family val="3"/>
        <charset val="134"/>
        <scheme val="minor"/>
      </rPr>
      <t>名实兼备</t>
    </r>
    <r>
      <rPr>
        <sz val="11"/>
        <color theme="1"/>
        <rFont val="等线"/>
        <family val="2"/>
        <charset val="134"/>
        <scheme val="minor"/>
      </rPr>
      <t>。单见封诰，可能仅有虚名。</t>
    </r>
  </si>
  <si>
    <r>
      <t>2. 与“文昌”、“文曲”的区别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文昌、文曲主“才华”与“科甲”</t>
    </r>
    <r>
      <rPr>
        <sz val="11"/>
        <color theme="1"/>
        <rFont val="等线"/>
        <family val="2"/>
        <charset val="134"/>
        <scheme val="minor"/>
      </rPr>
      <t>，是取得名誉的</t>
    </r>
    <r>
      <rPr>
        <b/>
        <sz val="11"/>
        <color theme="1"/>
        <rFont val="等线"/>
        <family val="3"/>
        <charset val="134"/>
        <scheme val="minor"/>
      </rPr>
      <t>能力与途径</t>
    </r>
    <r>
      <rPr>
        <sz val="11"/>
        <color theme="1"/>
        <rFont val="等线"/>
        <family val="2"/>
        <charset val="134"/>
        <scheme val="minor"/>
      </rPr>
      <t>（如考试）。</t>
    </r>
    <r>
      <rPr>
        <b/>
        <sz val="11"/>
        <color theme="1"/>
        <rFont val="等线"/>
        <family val="3"/>
        <charset val="134"/>
        <scheme val="minor"/>
      </rPr>
      <t>封诰主“名誉”本身</t>
    </r>
    <r>
      <rPr>
        <sz val="11"/>
        <color theme="1"/>
        <rFont val="等线"/>
        <family val="2"/>
        <charset val="134"/>
        <scheme val="minor"/>
      </rPr>
      <t>，是才华被社会认可后获得的</t>
    </r>
    <r>
      <rPr>
        <b/>
        <sz val="11"/>
        <color theme="1"/>
        <rFont val="等线"/>
        <family val="3"/>
        <charset val="134"/>
        <scheme val="minor"/>
      </rPr>
      <t>结果与形式</t>
    </r>
    <r>
      <rPr>
        <sz val="11"/>
        <color theme="1"/>
        <rFont val="等线"/>
        <family val="2"/>
        <charset val="134"/>
        <scheme val="minor"/>
      </rPr>
      <t>（如证书、头衔）。文昌文曲是“因”，封诰是“果”。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</si>
  <si>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：封诰星所在宫位，指示在人生的哪个领域最容易获得名誉、头衔或证书，或个人在哪些方面注重声誉。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</si>
  <si>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，名誉能带来实际利益或财富，名利双收。见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，名誉带来权力或管理职责，头衔具有实权。见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，名誉广为人知，声名远播，证书具权威性。见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名誉受损</t>
    </r>
    <r>
      <rPr>
        <sz val="11"/>
        <color theme="1"/>
        <rFont val="等线"/>
        <family val="2"/>
        <charset val="134"/>
        <scheme val="minor"/>
      </rPr>
      <t>，证书无效，头衔被撤，或为虚名所累。</t>
    </r>
  </si>
  <si>
    <t>一、三台定义</t>
  </si>
  <si>
    <t>台阶、阶梯、晋升、地位、贵气、辅助</t>
  </si>
  <si>
    <t>象征阶梯式的上升、循序渐进的晋升过程、社会地位的提升、以及作为辅助力量或垫脚石的角色。其性质强调过程性与层级性。</t>
  </si>
  <si>
    <t>乙级星，属阳土。主吉，为贵气、地位之星。喜与八座同会，力量倍增。单独力量较弱，需依附主星及吉星方能显贵。</t>
  </si>
  <si>
    <r>
      <t>阶梯晋升</t>
    </r>
    <r>
      <rPr>
        <sz val="11"/>
        <color theme="1"/>
        <rFont val="等线"/>
        <family val="2"/>
        <charset val="134"/>
        <scheme val="minor"/>
      </rPr>
      <t>​</t>
    </r>
  </si>
  <si>
    <t>事业、学业、社会地位呈台阶式逐步提升，非一蹴而就。</t>
  </si>
  <si>
    <r>
      <t>地位象征</t>
    </r>
    <r>
      <rPr>
        <sz val="11"/>
        <color theme="1"/>
        <rFont val="等线"/>
        <family val="2"/>
        <charset val="134"/>
        <scheme val="minor"/>
      </rPr>
      <t>​</t>
    </r>
  </si>
  <si>
    <t>代表一定的社会地位、职位层级或身份台阶。</t>
  </si>
  <si>
    <t>与紫微、太阳等贵星同度时力量强。</t>
  </si>
  <si>
    <r>
      <t>辅助台阶</t>
    </r>
    <r>
      <rPr>
        <sz val="11"/>
        <color theme="1"/>
        <rFont val="等线"/>
        <family val="2"/>
        <charset val="134"/>
        <scheme val="minor"/>
      </rPr>
      <t>​</t>
    </r>
  </si>
  <si>
    <t>作为他人或事物的辅助力量、基础或上升的垫脚石。</t>
  </si>
  <si>
    <r>
      <t>实际高度</t>
    </r>
    <r>
      <rPr>
        <sz val="11"/>
        <color theme="1"/>
        <rFont val="等线"/>
        <family val="2"/>
        <charset val="134"/>
        <scheme val="minor"/>
      </rPr>
      <t>​</t>
    </r>
  </si>
  <si>
    <t>可引申为实际的高处、高楼、高台、讲台等具象事物。</t>
  </si>
  <si>
    <t>在田宅宫、父母宫时体现。</t>
  </si>
  <si>
    <t>易得长辈、上司提携，但其提携是逐步、有过程的。</t>
  </si>
  <si>
    <t>与天魁、天钺同会时显现。</t>
  </si>
  <si>
    <t>为人稳重，有上进心，人生发展循序渐进，易获社会地位。</t>
  </si>
  <si>
    <t>兄弟姐妹或同事中有地位较高者；在团队中能逐步晋升。</t>
  </si>
  <si>
    <t>配偶社会地位或家庭背景优于自己，或婚姻能提升自身地位。</t>
  </si>
  <si>
    <t>子女有出息，能逐步取得成就；合作项目能稳步推进。</t>
  </si>
  <si>
    <t>钱财通过稳步积累或职位晋升而增加，收入有层级性。</t>
  </si>
  <si>
    <t>病情呈阶段性发展；宜寻访阶梯式（如分级诊疗）的医疗资源。</t>
  </si>
  <si>
    <t>在外发展能逐步提升社会地位；出行多涉足高地、高楼场所。</t>
  </si>
  <si>
    <t>朋友、同事中有地位逐步上升者；社交圈能提升自身层次。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</si>
  <si>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。事业上能逐步升迁，有明确的职位阶梯。</t>
    </r>
  </si>
  <si>
    <t>居住于高处、楼房；家族社会地位逐步提升；家中有楼梯、台阶。</t>
  </si>
  <si>
    <t>内心有追求地位、层次的欲望，精神世界注重循序渐进。</t>
  </si>
  <si>
    <t>父母或长辈社会地位较高；易得长辈提携，但需一步步来。</t>
  </si>
  <si>
    <t>1. 增强贵气地位组合</t>
  </si>
  <si>
    <r>
      <t>三台+紫微</t>
    </r>
    <r>
      <rPr>
        <sz val="11"/>
        <color theme="1"/>
        <rFont val="等线"/>
        <family val="2"/>
        <charset val="134"/>
        <scheme val="minor"/>
      </rPr>
      <t>​</t>
    </r>
  </si>
  <si>
    <t>地位尊崇，有明确的权力阶梯，易在政府、大型机构中逐步升至高位。</t>
  </si>
  <si>
    <t>公务员体系内逐级晋升至领导岗位。</t>
  </si>
  <si>
    <r>
      <t>三台+太阳</t>
    </r>
    <r>
      <rPr>
        <sz val="11"/>
        <color theme="1"/>
        <rFont val="等线"/>
        <family val="2"/>
        <charset val="134"/>
        <scheme val="minor"/>
      </rPr>
      <t>​</t>
    </r>
  </si>
  <si>
    <t>名声与地位同步提升，在公众视野中逐步获得更高声望与职位。</t>
  </si>
  <si>
    <t>从地方媒体工作者逐步成为全国知名主持人。</t>
  </si>
  <si>
    <r>
      <t>三台+天府</t>
    </r>
    <r>
      <rPr>
        <sz val="11"/>
        <color theme="1"/>
        <rFont val="等线"/>
        <family val="2"/>
        <charset val="134"/>
        <scheme val="minor"/>
      </rPr>
      <t>​</t>
    </r>
  </si>
  <si>
    <t>地位稳固且能逐步积累，在金融、管理领域层级分明地上升。</t>
  </si>
  <si>
    <t>在银行体系中从职员逐步升至分行行长。</t>
  </si>
  <si>
    <r>
      <t>三台+天相</t>
    </r>
    <r>
      <rPr>
        <sz val="11"/>
        <color theme="1"/>
        <rFont val="等线"/>
        <family val="2"/>
        <charset val="134"/>
        <scheme val="minor"/>
      </rPr>
      <t>​</t>
    </r>
  </si>
  <si>
    <t>因忠诚、辅佐得力而获得稳步提拔，职位与声誉同步增长。</t>
  </si>
  <si>
    <t>从领导秘书逐步晋升为办公室主任、助理。</t>
  </si>
  <si>
    <r>
      <t>三台+天梁</t>
    </r>
    <r>
      <rPr>
        <sz val="11"/>
        <color theme="1"/>
        <rFont val="等线"/>
        <family val="2"/>
        <charset val="134"/>
        <scheme val="minor"/>
      </rPr>
      <t>​</t>
    </r>
  </si>
  <si>
    <t>因清望、资历或专业能力而获得社会地位，晋升过程合乎传统与规矩。</t>
  </si>
  <si>
    <t>老中医因医术和口碑逐步成为国医大师。</t>
  </si>
  <si>
    <t>2. 专业化与过程性晋升组合</t>
  </si>
  <si>
    <r>
      <t>三台+天机</t>
    </r>
    <r>
      <rPr>
        <sz val="11"/>
        <color theme="1"/>
        <rFont val="等线"/>
        <family val="2"/>
        <charset val="134"/>
        <scheme val="minor"/>
      </rPr>
      <t>​</t>
    </r>
  </si>
  <si>
    <t>通过策划、谋略或技术专长逐步晋升，职位变动有清晰的路径。</t>
  </si>
  <si>
    <t>技术员-&gt;工程师-&gt;高级工程师-&gt;总工程师。</t>
  </si>
  <si>
    <r>
      <t>三台+武曲</t>
    </r>
    <r>
      <rPr>
        <sz val="11"/>
        <color theme="1"/>
        <rFont val="等线"/>
        <family val="2"/>
        <charset val="134"/>
        <scheme val="minor"/>
      </rPr>
      <t>​</t>
    </r>
  </si>
  <si>
    <t>在财经、军事、工程领域通过实干与业绩逐步获得更高职位。</t>
  </si>
  <si>
    <t>从基层财务人员逐步晋升为财务总监。</t>
  </si>
  <si>
    <r>
      <t>三台+廉贞</t>
    </r>
    <r>
      <rPr>
        <sz val="11"/>
        <color theme="1"/>
        <rFont val="等线"/>
        <family val="2"/>
        <charset val="134"/>
        <scheme val="minor"/>
      </rPr>
      <t>​</t>
    </r>
  </si>
  <si>
    <t>在政治、法律、复杂人际网络中通过权谋与能力阶梯式上升。</t>
  </si>
  <si>
    <t>从科员-&gt;科长-&gt;处长-&gt;局长的政界晋升。</t>
  </si>
  <si>
    <r>
      <t>三台+太阴</t>
    </r>
    <r>
      <rPr>
        <sz val="11"/>
        <color theme="1"/>
        <rFont val="等线"/>
        <family val="2"/>
        <charset val="134"/>
        <scheme val="minor"/>
      </rPr>
      <t>​</t>
    </r>
  </si>
  <si>
    <t>在文艺、策划、财务领域通过细腻与积累逐步获得地位与名声。</t>
  </si>
  <si>
    <t>从小编剧逐步成为知名编剧、制片人。</t>
  </si>
  <si>
    <r>
      <t>三台+天同</t>
    </r>
    <r>
      <rPr>
        <sz val="11"/>
        <color theme="1"/>
        <rFont val="等线"/>
        <family val="2"/>
        <charset val="134"/>
        <scheme val="minor"/>
      </rPr>
      <t>​</t>
    </r>
  </si>
  <si>
    <t>因福气、人缘好而获得平顺的晋升，过程轻松，压力较小。</t>
  </si>
  <si>
    <t>在福利好的单位按资历平稳晋升。</t>
  </si>
  <si>
    <r>
      <t>三台+八座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</si>
  <si>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。形成“公卿之象”，地位显赫，晋升顺利，有车有楼，贵气十足。</t>
    </r>
  </si>
  <si>
    <t>在政府或大企业中担任高级别领导职务。</t>
  </si>
  <si>
    <r>
      <t>三台+左辅/右弼</t>
    </r>
    <r>
      <rPr>
        <sz val="11"/>
        <color theme="1"/>
        <rFont val="等线"/>
        <family val="2"/>
        <charset val="134"/>
        <scheme val="minor"/>
      </rPr>
      <t>​</t>
    </r>
  </si>
  <si>
    <t>晋升过程中得众人相助，台阶稳固，上升之路顺畅。</t>
  </si>
  <si>
    <t>团队支持，每升一级都有得力助手。</t>
  </si>
  <si>
    <r>
      <t>三台+文昌/文曲</t>
    </r>
    <r>
      <rPr>
        <sz val="11"/>
        <color theme="1"/>
        <rFont val="等线"/>
        <family val="2"/>
        <charset val="134"/>
        <scheme val="minor"/>
      </rPr>
      <t>​</t>
    </r>
  </si>
  <si>
    <t>通过考试、文凭、文化才华获得阶梯式晋升，职称评定顺利。</t>
  </si>
  <si>
    <t>凭学历和论文从讲师升至教授。</t>
  </si>
  <si>
    <r>
      <t>三台+天魁/天钺</t>
    </r>
    <r>
      <rPr>
        <sz val="11"/>
        <color theme="1"/>
        <rFont val="等线"/>
        <family val="2"/>
        <charset val="134"/>
        <scheme val="minor"/>
      </rPr>
      <t>​</t>
    </r>
  </si>
  <si>
    <t>得贵人提携而获得晋升机会，每一步都有上级关照。</t>
  </si>
  <si>
    <t>被领导赏识，从下属逐步培养成接班人。</t>
  </si>
  <si>
    <r>
      <t>三台+禄存</t>
    </r>
    <r>
      <rPr>
        <sz val="11"/>
        <color theme="1"/>
        <rFont val="等线"/>
        <family val="2"/>
        <charset val="134"/>
        <scheme val="minor"/>
      </rPr>
      <t>​</t>
    </r>
  </si>
  <si>
    <t>地位提升伴随财富增长，升职即加薪，台阶稳固且实惠。</t>
  </si>
  <si>
    <t>每晋升一个职位，薪资和福利都相应提高。</t>
  </si>
  <si>
    <r>
      <t>三台+火星</t>
    </r>
    <r>
      <rPr>
        <sz val="11"/>
        <color theme="1"/>
        <rFont val="等线"/>
        <family val="2"/>
        <charset val="134"/>
        <scheme val="minor"/>
      </rPr>
      <t>​</t>
    </r>
  </si>
  <si>
    <t>晋升过程突然加速或带有竞争性，台阶陡峭，升得快但可能不稳。</t>
  </si>
  <si>
    <t>因突发事件或竞争被破格提拔。</t>
  </si>
  <si>
    <r>
      <t>三台+铃星</t>
    </r>
    <r>
      <rPr>
        <sz val="11"/>
        <color theme="1"/>
        <rFont val="等线"/>
        <family val="2"/>
        <charset val="134"/>
        <scheme val="minor"/>
      </rPr>
      <t>​</t>
    </r>
  </si>
  <si>
    <t>晋升过程有计较、拖延，需经一番努力或等待才能更上一层。</t>
  </si>
  <si>
    <t>职称评定因名额问题拖延数年才通过。</t>
  </si>
  <si>
    <r>
      <t>三台+擎羊</t>
    </r>
    <r>
      <rPr>
        <sz val="11"/>
        <color theme="1"/>
        <rFont val="等线"/>
        <family val="2"/>
        <charset val="134"/>
        <scheme val="minor"/>
      </rPr>
      <t>​</t>
    </r>
  </si>
  <si>
    <t>晋升伴随竞争、压力或冲突，台阶有阻力，需奋力争取。</t>
  </si>
  <si>
    <t>在激烈的岗位竞聘中胜出获得晋升。</t>
  </si>
  <si>
    <r>
      <t>三台+陀罗</t>
    </r>
    <r>
      <rPr>
        <sz val="11"/>
        <color theme="1"/>
        <rFont val="等线"/>
        <family val="2"/>
        <charset val="134"/>
        <scheme val="minor"/>
      </rPr>
      <t>​</t>
    </r>
  </si>
  <si>
    <t>晋升过程反复、拖延，台阶漫长，旧职位问题影响新职位。</t>
  </si>
  <si>
    <t>升迁过程一波三折，多次考核才通过。</t>
  </si>
  <si>
    <r>
      <t>三台+地空/地劫</t>
    </r>
    <r>
      <rPr>
        <sz val="11"/>
        <color theme="1"/>
        <rFont val="等线"/>
        <family val="2"/>
        <charset val="134"/>
        <scheme val="minor"/>
      </rPr>
      <t>​</t>
    </r>
  </si>
  <si>
    <t>晋升台阶落空，地位不稳，或虽有职位但无实权，高处不胜寒。</t>
  </si>
  <si>
    <t>被提拔至闲职；晋升后发现自己无法胜任。</t>
  </si>
  <si>
    <r>
      <t>1. “台”与“座”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三台星主“台阶”</t>
    </r>
    <r>
      <rPr>
        <sz val="11"/>
        <color theme="1"/>
        <rFont val="等线"/>
        <family val="2"/>
        <charset val="134"/>
        <scheme val="minor"/>
      </rPr>
      <t>，象征</t>
    </r>
    <r>
      <rPr>
        <b/>
        <sz val="11"/>
        <color theme="1"/>
        <rFont val="等线"/>
        <family val="3"/>
        <charset val="134"/>
        <scheme val="minor"/>
      </rPr>
      <t>上升的过程与阶梯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八座星主“座位”</t>
    </r>
    <r>
      <rPr>
        <sz val="11"/>
        <color theme="1"/>
        <rFont val="等线"/>
        <family val="2"/>
        <charset val="134"/>
        <scheme val="minor"/>
      </rPr>
      <t>，象征</t>
    </r>
    <r>
      <rPr>
        <b/>
        <sz val="11"/>
        <color theme="1"/>
        <rFont val="等线"/>
        <family val="3"/>
        <charset val="134"/>
        <scheme val="minor"/>
      </rPr>
      <t>到达高位后拥有的地位与资源</t>
    </r>
    <r>
      <rPr>
        <sz val="11"/>
        <color theme="1"/>
        <rFont val="等线"/>
        <family val="2"/>
        <charset val="134"/>
        <scheme val="minor"/>
      </rPr>
      <t>。二者同会，方为完整的“登台入座”，过程与结果俱佳。</t>
    </r>
  </si>
  <si>
    <r>
      <t>2. 与“台辅”、“封诰”的区别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三台主“地位晋升的过程”</t>
    </r>
    <r>
      <rPr>
        <sz val="11"/>
        <color theme="1"/>
        <rFont val="等线"/>
        <family val="2"/>
        <charset val="134"/>
        <scheme val="minor"/>
      </rPr>
      <t>，是动态的“向上爬”。</t>
    </r>
    <r>
      <rPr>
        <b/>
        <sz val="11"/>
        <color theme="1"/>
        <rFont val="等线"/>
        <family val="3"/>
        <charset val="134"/>
        <scheme val="minor"/>
      </rPr>
      <t>台辅主“实际辅佐与文书”</t>
    </r>
    <r>
      <rPr>
        <sz val="11"/>
        <color theme="1"/>
        <rFont val="等线"/>
        <family val="2"/>
        <charset val="134"/>
        <scheme val="minor"/>
      </rPr>
      <t>，是静态的“帮手和凭证”。</t>
    </r>
    <r>
      <rPr>
        <b/>
        <sz val="11"/>
        <color theme="1"/>
        <rFont val="等线"/>
        <family val="3"/>
        <charset val="134"/>
        <scheme val="minor"/>
      </rPr>
      <t>封诰主“名誉与头衔”</t>
    </r>
    <r>
      <rPr>
        <sz val="11"/>
        <color theme="1"/>
        <rFont val="等线"/>
        <family val="2"/>
        <charset val="134"/>
        <scheme val="minor"/>
      </rPr>
      <t>，是结果性的“名号”。三台是“爬楼梯”，台辅是“扶梯子的人”，封诰是“楼顶的匾额”。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</si>
  <si>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：三台星所在宫位，指示在人生的哪个领域最容易获得阶梯式的进步与提升，或个人在哪些方面注重层级与地位。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</si>
  <si>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，晋升带来实际利益与财富，台阶稳固且实惠。见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，晋升过程主动且掌控力强，台阶更高，权力更大。见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，晋升过程顺利且名声好，台阶光彩。见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晋升受阻</t>
    </r>
    <r>
      <rPr>
        <sz val="11"/>
        <color theme="1"/>
        <rFont val="等线"/>
        <family val="2"/>
        <charset val="134"/>
        <scheme val="minor"/>
      </rPr>
      <t>，台阶不稳，地位动摇，或为地位所累。</t>
    </r>
  </si>
  <si>
    <t>一、八座定义</t>
  </si>
  <si>
    <t>座位、地位、安稳、辅助、车驾</t>
  </si>
  <si>
    <t>象征到达一定高度后所拥有的位置、安稳的状态、实际的享受以及作为辅助性资源（如车、座驾）。其性质强调结果性的拥有与安稳。</t>
  </si>
  <si>
    <t>乙级星，属阴土。主吉，为贵气、安稳之星。喜与三台同会，力量倍增。单独力量较弱，需依附主星及吉星方能显贵。</t>
  </si>
  <si>
    <r>
      <t>地位座位</t>
    </r>
    <r>
      <rPr>
        <sz val="11"/>
        <color theme="1"/>
        <rFont val="等线"/>
        <family val="2"/>
        <charset val="134"/>
        <scheme val="minor"/>
      </rPr>
      <t>​</t>
    </r>
  </si>
  <si>
    <t>代表实际拥有的职位、地位、席位，或引申为交通工具中的座位。</t>
  </si>
  <si>
    <r>
      <t>安稳状态</t>
    </r>
    <r>
      <rPr>
        <sz val="11"/>
        <color theme="1"/>
        <rFont val="等线"/>
        <family val="2"/>
        <charset val="134"/>
        <scheme val="minor"/>
      </rPr>
      <t>​</t>
    </r>
  </si>
  <si>
    <t>象征一种安稳、受尊重的状态，拥有自己的“一席之地”。</t>
  </si>
  <si>
    <t>与天同、天梁等星同度时力量强。</t>
  </si>
  <si>
    <r>
      <t>辅助资源</t>
    </r>
    <r>
      <rPr>
        <sz val="11"/>
        <color theme="1"/>
        <rFont val="等线"/>
        <family val="2"/>
        <charset val="134"/>
        <scheme val="minor"/>
      </rPr>
      <t>​</t>
    </r>
  </si>
  <si>
    <t>代表辅助性的享受与资源，如私人车驾、专属座位等。</t>
  </si>
  <si>
    <r>
      <t>实际拥有</t>
    </r>
    <r>
      <rPr>
        <sz val="11"/>
        <color theme="1"/>
        <rFont val="等线"/>
        <family val="2"/>
        <charset val="134"/>
        <scheme val="minor"/>
      </rPr>
      <t>​</t>
    </r>
  </si>
  <si>
    <t>可引申为实际拥有的物品或空间，如沙发、椅子、车位。</t>
  </si>
  <si>
    <t>在田宅宫、财帛宫时体现。</t>
  </si>
  <si>
    <r>
      <t>受人尊重</t>
    </r>
    <r>
      <rPr>
        <sz val="11"/>
        <color theme="1"/>
        <rFont val="等线"/>
        <family val="2"/>
        <charset val="134"/>
        <scheme val="minor"/>
      </rPr>
      <t>​</t>
    </r>
  </si>
  <si>
    <t>因地位或资历而受人礼遇，在场合中拥有固定或尊贵的位置。</t>
  </si>
  <si>
    <t>为人稳重，安于其位，易获得一定的社会地位并受人尊重。</t>
  </si>
  <si>
    <t>兄弟姐妹或同事中有人拥有稳定职位；在团队中有固定角色。</t>
  </si>
  <si>
    <t>配偶有稳定职业或社会地位；婚姻关系安稳，各安其位。</t>
  </si>
  <si>
    <t>子女安稳，有固定发展；合作项目有稳定的架构和席位分配。</t>
  </si>
  <si>
    <t>钱财来源稳定，拥有固定资产或稳定的理财座位（如股权）。</t>
  </si>
  <si>
    <t>病情稳定，有固定的病床或疗养位置；身体需要安稳休养。</t>
  </si>
  <si>
    <t>在外有地位，出行有车驾代步，在异地有固定落脚点或职位。</t>
  </si>
  <si>
    <t>朋友、同事多拥有稳定职位；社交圈能提供安稳的支持。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</si>
  <si>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。事业上有稳固的职位，工作环境安稳，有专属办公室或工位。</t>
    </r>
  </si>
  <si>
    <r>
      <t>核心宫位</t>
    </r>
    <r>
      <rPr>
        <sz val="11"/>
        <color theme="1"/>
        <rFont val="等线"/>
        <family val="2"/>
        <charset val="134"/>
        <scheme val="minor"/>
      </rPr>
      <t>。家宅安稳，拥有自己的房产；家中座位、家具齐全。</t>
    </r>
  </si>
  <si>
    <t>内心追求安稳与受尊重的感觉，精神世界满足于现有地位。</t>
  </si>
  <si>
    <t>父母有稳定职业或社会地位；家庭给予安稳的依靠。</t>
  </si>
  <si>
    <t>1. 增强地位安稳组合</t>
  </si>
  <si>
    <r>
      <t>八座+紫微</t>
    </r>
    <r>
      <rPr>
        <sz val="11"/>
        <color theme="1"/>
        <rFont val="等线"/>
        <family val="2"/>
        <charset val="134"/>
        <scheme val="minor"/>
      </rPr>
      <t>​</t>
    </r>
  </si>
  <si>
    <t>地位尊崇且稳固，拥有权威的座位（如主席位），受人朝拜。</t>
  </si>
  <si>
    <t>企业董事会主席；机构最高领导人。</t>
  </si>
  <si>
    <r>
      <t>八座+太阳</t>
    </r>
    <r>
      <rPr>
        <sz val="11"/>
        <color theme="1"/>
        <rFont val="等线"/>
        <family val="2"/>
        <charset val="134"/>
        <scheme val="minor"/>
      </rPr>
      <t>​</t>
    </r>
  </si>
  <si>
    <t>名声与地位相匹配，拥有公开、受瞩目的职位，如发言人、代表。</t>
  </si>
  <si>
    <t>联合国常驻代表；公司新闻发言人。</t>
  </si>
  <si>
    <r>
      <t>八座+天府</t>
    </r>
    <r>
      <rPr>
        <sz val="11"/>
        <color theme="1"/>
        <rFont val="等线"/>
        <family val="2"/>
        <charset val="134"/>
        <scheme val="minor"/>
      </rPr>
      <t>​</t>
    </r>
  </si>
  <si>
    <t>库藏丰盈，地位稳固且能享受成果，拥有舒适的座位和资源。</t>
  </si>
  <si>
    <t>银行行长；大型企业财务总监。</t>
  </si>
  <si>
    <r>
      <t>八座+天相</t>
    </r>
    <r>
      <rPr>
        <sz val="11"/>
        <color theme="1"/>
        <rFont val="等线"/>
        <family val="2"/>
        <charset val="134"/>
        <scheme val="minor"/>
      </rPr>
      <t>​</t>
    </r>
  </si>
  <si>
    <t>因忠诚、辅佐而获得稳定且受信任的职位，如秘书长、首席助理。</t>
  </si>
  <si>
    <t>政府秘书长；总裁特别助理。</t>
  </si>
  <si>
    <r>
      <t>八座+天梁</t>
    </r>
    <r>
      <rPr>
        <sz val="11"/>
        <color theme="1"/>
        <rFont val="等线"/>
        <family val="2"/>
        <charset val="134"/>
        <scheme val="minor"/>
      </rPr>
      <t>​</t>
    </r>
  </si>
  <si>
    <t>因清望、资历而获得受人尊敬的闲职或顾问席位。</t>
  </si>
  <si>
    <t>学术委员会名誉主席；公司高级顾问。</t>
  </si>
  <si>
    <t>2. 专业化与安稳享受组合</t>
  </si>
  <si>
    <r>
      <t>八座+天同</t>
    </r>
    <r>
      <rPr>
        <sz val="11"/>
        <color theme="1"/>
        <rFont val="等线"/>
        <family val="2"/>
        <charset val="134"/>
        <scheme val="minor"/>
      </rPr>
      <t>​</t>
    </r>
  </si>
  <si>
    <t>福气安稳，拥有享受生活的条件和位置，工作轻松有保障。</t>
  </si>
  <si>
    <t>福利待遇优厚的国企职员；退休老干部。</t>
  </si>
  <si>
    <r>
      <t>八座+太阴</t>
    </r>
    <r>
      <rPr>
        <sz val="11"/>
        <color theme="1"/>
        <rFont val="等线"/>
        <family val="2"/>
        <charset val="134"/>
        <scheme val="minor"/>
      </rPr>
      <t>​</t>
    </r>
  </si>
  <si>
    <t>在文艺、策划、财务领域拥有稳定且内敛的职位，环境舒适。</t>
  </si>
  <si>
    <t>出版社资深编辑；会计师事务所合伙人。</t>
  </si>
  <si>
    <r>
      <t>八座+天机</t>
    </r>
    <r>
      <rPr>
        <sz val="11"/>
        <color theme="1"/>
        <rFont val="等线"/>
        <family val="2"/>
        <charset val="134"/>
        <scheme val="minor"/>
      </rPr>
      <t>​</t>
    </r>
  </si>
  <si>
    <t>通过智慧、技术拥有稳定的策划或顾问席位，思维有落脚点。</t>
  </si>
  <si>
    <t>公司战略规划部主管；智库研究员。</t>
  </si>
  <si>
    <r>
      <t>八座+武曲</t>
    </r>
    <r>
      <rPr>
        <sz val="11"/>
        <color theme="1"/>
        <rFont val="等线"/>
        <family val="2"/>
        <charset val="134"/>
        <scheme val="minor"/>
      </rPr>
      <t>​</t>
    </r>
  </si>
  <si>
    <t>在财经、执行领域拥有实权且稳固的职位，如财务主管、项目经理。</t>
  </si>
  <si>
    <t>军队中的师长；工程公司项目经理。</t>
  </si>
  <si>
    <r>
      <t>八座+廉贞</t>
    </r>
    <r>
      <rPr>
        <sz val="11"/>
        <color theme="1"/>
        <rFont val="等线"/>
        <family val="2"/>
        <charset val="134"/>
        <scheme val="minor"/>
      </rPr>
      <t>​</t>
    </r>
  </si>
  <si>
    <t>在政治、法律领域拥有复杂但稳固的职位，如法官、政要。</t>
  </si>
  <si>
    <t>法院院长；政党核心成员。</t>
  </si>
  <si>
    <r>
      <t>八座+三台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</si>
  <si>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。形成“公卿之象”，既有晋升台阶（三台），又有高位座位（八座），地位显赫，过程与结果俱佳。</t>
    </r>
  </si>
  <si>
    <t>在大型企业中从基层稳步晋升至高管并拥有独立办公室。</t>
  </si>
  <si>
    <r>
      <t>八座+左辅/右弼</t>
    </r>
    <r>
      <rPr>
        <sz val="11"/>
        <color theme="1"/>
        <rFont val="等线"/>
        <family val="2"/>
        <charset val="134"/>
        <scheme val="minor"/>
      </rPr>
      <t>​</t>
    </r>
  </si>
  <si>
    <t>座位稳固，得众人拥护与辅助，资源丰富，地位安稳。</t>
  </si>
  <si>
    <t>部门主管有得力团队支持，位置稳固。</t>
  </si>
  <si>
    <r>
      <t>八座+文昌/文曲</t>
    </r>
    <r>
      <rPr>
        <sz val="11"/>
        <color theme="1"/>
        <rFont val="等线"/>
        <family val="2"/>
        <charset val="134"/>
        <scheme val="minor"/>
      </rPr>
      <t>​</t>
    </r>
  </si>
  <si>
    <t>因文化、才华获得稳定的职位或职称，座位与文化相关。</t>
  </si>
  <si>
    <t>大学终身教授；博物馆馆长。</t>
  </si>
  <si>
    <r>
      <t>八座+天魁/天钺</t>
    </r>
    <r>
      <rPr>
        <sz val="11"/>
        <color theme="1"/>
        <rFont val="等线"/>
        <family val="2"/>
        <charset val="134"/>
        <scheme val="minor"/>
      </rPr>
      <t>​</t>
    </r>
  </si>
  <si>
    <t>因贵人提携而获得安稳尊贵的职位，座位来自上层安排。</t>
  </si>
  <si>
    <t>被领导任命为某部门负责人。</t>
  </si>
  <si>
    <r>
      <t>八座+禄存</t>
    </r>
    <r>
      <rPr>
        <sz val="11"/>
        <color theme="1"/>
        <rFont val="等线"/>
        <family val="2"/>
        <charset val="134"/>
        <scheme val="minor"/>
      </rPr>
      <t>​</t>
    </r>
  </si>
  <si>
    <t>地位安稳且能带来持续财富，座位就是“金交椅”。</t>
  </si>
  <si>
    <t>拥有公司股份的董事；收租的房东。</t>
  </si>
  <si>
    <r>
      <t>八座+火星</t>
    </r>
    <r>
      <rPr>
        <sz val="11"/>
        <color theme="1"/>
        <rFont val="等线"/>
        <family val="2"/>
        <charset val="134"/>
        <scheme val="minor"/>
      </rPr>
      <t>​</t>
    </r>
  </si>
  <si>
    <t>座位得来突然或不稳，可能因变动获得职位，但易有冲突。</t>
  </si>
  <si>
    <t>因部门重组突然被任命为经理，但下属不服。</t>
  </si>
  <si>
    <r>
      <t>八座+铃星</t>
    </r>
    <r>
      <rPr>
        <sz val="11"/>
        <color theme="1"/>
        <rFont val="等线"/>
        <family val="2"/>
        <charset val="134"/>
        <scheme val="minor"/>
      </rPr>
      <t>​</t>
    </r>
  </si>
  <si>
    <t>获得安稳职位的过程有计较、拖延，座位坐得不安心。</t>
  </si>
  <si>
    <t>经过长期谈判才获得的合伙人席位，但权益有争议。</t>
  </si>
  <si>
    <r>
      <t>八座+擎羊</t>
    </r>
    <r>
      <rPr>
        <sz val="11"/>
        <color theme="1"/>
        <rFont val="等线"/>
        <family val="2"/>
        <charset val="134"/>
        <scheme val="minor"/>
      </rPr>
      <t>​</t>
    </r>
  </si>
  <si>
    <t>座位伴随竞争或压力获得，位置有挑战性，需奋力维护。</t>
  </si>
  <si>
    <t>通过竞聘上岗的岗位，工作压力大。</t>
  </si>
  <si>
    <r>
      <t>八座+陀罗</t>
    </r>
    <r>
      <rPr>
        <sz val="11"/>
        <color theme="1"/>
        <rFont val="等线"/>
        <family val="2"/>
        <charset val="134"/>
        <scheme val="minor"/>
      </rPr>
      <t>​</t>
    </r>
  </si>
  <si>
    <t>座位得来迟缓、反复，旧职位影响新职位，安于现状难变动。</t>
  </si>
  <si>
    <t>等待多年才获得的晋升，但新职位被旧问题困扰。</t>
  </si>
  <si>
    <r>
      <t>八座+地空/地劫</t>
    </r>
    <r>
      <rPr>
        <sz val="11"/>
        <color theme="1"/>
        <rFont val="等线"/>
        <family val="2"/>
        <charset val="134"/>
        <scheme val="minor"/>
      </rPr>
      <t>​</t>
    </r>
  </si>
  <si>
    <t>座位落空、不稳，有名无实，或突然失去位置。</t>
  </si>
  <si>
    <t>被任命为虚职；公司裁员失去职位。</t>
  </si>
  <si>
    <r>
      <t>1. “座”与“台”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八座星主“座位”</t>
    </r>
    <r>
      <rPr>
        <sz val="11"/>
        <color theme="1"/>
        <rFont val="等线"/>
        <family val="2"/>
        <charset val="134"/>
        <scheme val="minor"/>
      </rPr>
      <t>，象征</t>
    </r>
    <r>
      <rPr>
        <b/>
        <sz val="11"/>
        <color theme="1"/>
        <rFont val="等线"/>
        <family val="3"/>
        <charset val="134"/>
        <scheme val="minor"/>
      </rPr>
      <t>到达高位后拥有的位置与安稳状态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三台星主“台阶”</t>
    </r>
    <r>
      <rPr>
        <sz val="11"/>
        <color theme="1"/>
        <rFont val="等线"/>
        <family val="2"/>
        <charset val="134"/>
        <scheme val="minor"/>
      </rPr>
      <t>，象征</t>
    </r>
    <r>
      <rPr>
        <b/>
        <sz val="11"/>
        <color theme="1"/>
        <rFont val="等线"/>
        <family val="3"/>
        <charset val="134"/>
        <scheme val="minor"/>
      </rPr>
      <t>上升的过程与阶梯</t>
    </r>
    <r>
      <rPr>
        <sz val="11"/>
        <color theme="1"/>
        <rFont val="等线"/>
        <family val="2"/>
        <charset val="134"/>
        <scheme val="minor"/>
      </rPr>
      <t>。二者同会，方为完整的“登台入座”，有过程有结果。单见八座，可能安于现状，缺乏进取。</t>
    </r>
  </si>
  <si>
    <r>
      <t>2. 与“台辅”、“封诰”的区别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八座主“实际的位置与安稳”</t>
    </r>
    <r>
      <rPr>
        <sz val="11"/>
        <color theme="1"/>
        <rFont val="等线"/>
        <family val="2"/>
        <charset val="134"/>
        <scheme val="minor"/>
      </rPr>
      <t>，是静态的“拥有”。</t>
    </r>
    <r>
      <rPr>
        <b/>
        <sz val="11"/>
        <color theme="1"/>
        <rFont val="等线"/>
        <family val="3"/>
        <charset val="134"/>
        <scheme val="minor"/>
      </rPr>
      <t>台辅主“实际的辅佐与文书”</t>
    </r>
    <r>
      <rPr>
        <sz val="11"/>
        <color theme="1"/>
        <rFont val="等线"/>
        <family val="2"/>
        <charset val="134"/>
        <scheme val="minor"/>
      </rPr>
      <t>，是动态的“帮助”。</t>
    </r>
    <r>
      <rPr>
        <b/>
        <sz val="11"/>
        <color theme="1"/>
        <rFont val="等线"/>
        <family val="3"/>
        <charset val="134"/>
        <scheme val="minor"/>
      </rPr>
      <t>封诰主“名誉与头衔”</t>
    </r>
    <r>
      <rPr>
        <sz val="11"/>
        <color theme="1"/>
        <rFont val="等线"/>
        <family val="2"/>
        <charset val="134"/>
        <scheme val="minor"/>
      </rPr>
      <t>，是精神性的“名号”。八座是“坐在哪里”，台辅是“谁在帮你”，封诰是“墙上挂的奖状”。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</si>
  <si>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：八座星所在宫位，指示在人生的哪个领域最容易获得安稳的位置与资源，或个人在哪些方面注重安稳与受尊重。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</si>
  <si>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，座位能带来实际利益与享受，位置是“肥缺”。见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，对座位掌控力强，职位有实权，位置稳固。见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，座位受人尊重，名声好，位置光彩。见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座位不稳</t>
    </r>
    <r>
      <rPr>
        <sz val="11"/>
        <color theme="1"/>
        <rFont val="等线"/>
        <family val="2"/>
        <charset val="134"/>
        <scheme val="minor"/>
      </rPr>
      <t>，失去位置，为职位所累，或安于现状不愿进取。</t>
    </r>
  </si>
  <si>
    <t>一、天贵定义</t>
  </si>
  <si>
    <t>贵气、尊崇、得宠、长辈缘、上级赏识</t>
  </si>
  <si>
    <t>象征天生的贵气、受人尊崇的地位、易得长辈或上级的喜爱与提携，以及因品德、家世或行为而获得的优待。</t>
  </si>
  <si>
    <t>乙级星，属阳土。主吉，为贵气、受宠之星。喜与天钺同会，力量增强。其贵气多来自先天或长辈，需与主星配合方能显贵。</t>
  </si>
  <si>
    <r>
      <t>长辈贵气</t>
    </r>
    <r>
      <rPr>
        <sz val="11"/>
        <color theme="1"/>
        <rFont val="等线"/>
        <family val="2"/>
        <charset val="134"/>
        <scheme val="minor"/>
      </rPr>
      <t>​</t>
    </r>
  </si>
  <si>
    <t>易得父母、长辈、上级的宠爱、赏识与实质性帮助。</t>
  </si>
  <si>
    <t>在父母宫、官禄宫时尤为明显。</t>
  </si>
  <si>
    <r>
      <t>受人尊崇</t>
    </r>
    <r>
      <rPr>
        <sz val="11"/>
        <color theme="1"/>
        <rFont val="等线"/>
        <family val="2"/>
        <charset val="134"/>
        <scheme val="minor"/>
      </rPr>
      <t>​</t>
    </r>
  </si>
  <si>
    <t>天生带有贵气，举止得体，易受人尊重与礼遇。</t>
  </si>
  <si>
    <t>与天相、天府等星同度时力量强。</t>
  </si>
  <si>
    <r>
      <t>得宠优待</t>
    </r>
    <r>
      <rPr>
        <sz val="11"/>
        <color theme="1"/>
        <rFont val="等线"/>
        <family val="2"/>
        <charset val="134"/>
        <scheme val="minor"/>
      </rPr>
      <t>​</t>
    </r>
  </si>
  <si>
    <t>在环境中易得特殊照顾、优待或豁免权。</t>
  </si>
  <si>
    <t>与天同、太阴同度时显著。</t>
  </si>
  <si>
    <t>为所会照的主星或宫位增添贵气与受尊崇的感觉。</t>
  </si>
  <si>
    <r>
      <t>品德贵气</t>
    </r>
    <r>
      <rPr>
        <sz val="11"/>
        <color theme="1"/>
        <rFont val="等线"/>
        <family val="2"/>
        <charset val="134"/>
        <scheme val="minor"/>
      </rPr>
      <t>​</t>
    </r>
  </si>
  <si>
    <t>因品行端正、守规矩、有教养而获得贵气与好评。</t>
  </si>
  <si>
    <t>在命宫、福德宫时体现。</t>
  </si>
  <si>
    <t>为人端庄有礼，天生有贵气，易得长辈疼爱，一生受人尊重。</t>
  </si>
  <si>
    <t>兄弟姐妹中有贵气或受长辈宠爱者；在团队中易受领导偏爱。</t>
  </si>
  <si>
    <t>配偶家世好或有贵气，得配偶家族关爱；婚姻受长辈祝福。</t>
  </si>
  <si>
    <t>子女有贵气，得长辈宠爱；在合作中易得对方优待。</t>
  </si>
  <si>
    <t>钱财来源正派，易因长辈赠与、遗产或上级嘉奖得财。</t>
  </si>
  <si>
    <t>能得到贵重的医疗资源或名医诊治；病情受关照。</t>
  </si>
  <si>
    <t>在外易得长辈或当地人士的照顾与尊重，出行受礼遇。</t>
  </si>
  <si>
    <t>朋友、同事多出身良好或品行端正，社交圈能提升个人贵气。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</si>
  <si>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。事业上易得上级赏识与提拔，工作环境受尊重。</t>
    </r>
  </si>
  <si>
    <t>家庭有贵气，家宅受邻里尊重；易得祖产或长辈赠房。</t>
  </si>
  <si>
    <t>内心崇尚高贵品德，精神世界以受尊重为乐，有福气。</t>
  </si>
  <si>
    <r>
      <t>核心宫位</t>
    </r>
    <r>
      <rPr>
        <sz val="11"/>
        <color theme="1"/>
        <rFont val="等线"/>
        <family val="2"/>
        <charset val="134"/>
        <scheme val="minor"/>
      </rPr>
      <t>。父母有贵气或社会地位，得父母极度宠爱与庇荫。</t>
    </r>
  </si>
  <si>
    <t>1. 增强贵气受宠组合</t>
  </si>
  <si>
    <r>
      <t>天贵+紫微</t>
    </r>
    <r>
      <rPr>
        <sz val="11"/>
        <color theme="1"/>
        <rFont val="等线"/>
        <family val="2"/>
        <charset val="134"/>
        <scheme val="minor"/>
      </rPr>
      <t>​</t>
    </r>
  </si>
  <si>
    <t>贵气逼人，有帝王般的尊崇，易得最高层长辈或权威人士的极度赏识与宠爱。</t>
  </si>
  <si>
    <t>世家子弟；被公司创始人视为接班人培养。</t>
  </si>
  <si>
    <r>
      <t>天贵+太阳</t>
    </r>
    <r>
      <rPr>
        <sz val="11"/>
        <color theme="1"/>
        <rFont val="等线"/>
        <family val="2"/>
        <charset val="134"/>
        <scheme val="minor"/>
      </rPr>
      <t>​</t>
    </r>
  </si>
  <si>
    <t>贵气公开而光明，受人广泛尊重，易得男性长辈或公众人物的提携。</t>
  </si>
  <si>
    <t>公众人物之子；受行业泰斗公开赞赏。</t>
  </si>
  <si>
    <r>
      <t>天贵+天同</t>
    </r>
    <r>
      <rPr>
        <sz val="11"/>
        <color theme="1"/>
        <rFont val="等线"/>
        <family val="2"/>
        <charset val="134"/>
        <scheme val="minor"/>
      </rPr>
      <t>​</t>
    </r>
  </si>
  <si>
    <t>福气与贵气兼备，天生受宠，生活优渥，得长辈无微不至的关爱。</t>
  </si>
  <si>
    <t>备受宠爱的幼子；在宽松受赏识的环境中工作。</t>
  </si>
  <si>
    <r>
      <t>天贵+天府</t>
    </r>
    <r>
      <rPr>
        <sz val="11"/>
        <color theme="1"/>
        <rFont val="等线"/>
        <family val="2"/>
        <charset val="134"/>
        <scheme val="minor"/>
      </rPr>
      <t>​</t>
    </r>
  </si>
  <si>
    <t>稳重而有贵气，易得家族或实力派长辈的庇荫与资源支持。</t>
  </si>
  <si>
    <t>家族企业继承人；得资深元老扶持。</t>
  </si>
  <si>
    <r>
      <t>天贵+天相</t>
    </r>
    <r>
      <rPr>
        <sz val="11"/>
        <color theme="1"/>
        <rFont val="等线"/>
        <family val="2"/>
        <charset val="134"/>
        <scheme val="minor"/>
      </rPr>
      <t>​</t>
    </r>
  </si>
  <si>
    <t>品行端正而显贵，易得信任，成为长辈或上级的心腹与宠臣。</t>
  </si>
  <si>
    <t>领导最信任的秘书；被导师偏爱的好学生。</t>
  </si>
  <si>
    <t>2. 专业化与受赏识组合</t>
  </si>
  <si>
    <r>
      <t>天贵+天机</t>
    </r>
    <r>
      <rPr>
        <sz val="11"/>
        <color theme="1"/>
        <rFont val="等线"/>
        <family val="2"/>
        <charset val="134"/>
        <scheme val="minor"/>
      </rPr>
      <t>​</t>
    </r>
  </si>
  <si>
    <t>因聪明、机巧而得长辈喜爱，易得师长、前辈的智慧点拨与提携。</t>
  </si>
  <si>
    <t>老师的得意门生；被技术前辈收为徒弟。</t>
  </si>
  <si>
    <r>
      <t>天贵+武曲</t>
    </r>
    <r>
      <rPr>
        <sz val="11"/>
        <color theme="1"/>
        <rFont val="等线"/>
        <family val="2"/>
        <charset val="134"/>
        <scheme val="minor"/>
      </rPr>
      <t>​</t>
    </r>
  </si>
  <si>
    <t>因刚毅、实干而受上级赏识，在财经、军事领域得实力派长辈提拔。</t>
  </si>
  <si>
    <t>被将军赏识的军官；得财务总监重用的下属。</t>
  </si>
  <si>
    <r>
      <t>天贵+廉贞</t>
    </r>
    <r>
      <rPr>
        <sz val="11"/>
        <color theme="1"/>
        <rFont val="等线"/>
        <family val="2"/>
        <charset val="134"/>
        <scheme val="minor"/>
      </rPr>
      <t>​</t>
    </r>
  </si>
  <si>
    <t>在复杂局面中因能力而得宠，易得政治型长辈或上级的暗中扶持。</t>
  </si>
  <si>
    <t>政要的得力亲信；得幕后大佬支持。</t>
  </si>
  <si>
    <r>
      <t>天贵+太阴</t>
    </r>
    <r>
      <rPr>
        <sz val="11"/>
        <color theme="1"/>
        <rFont val="等线"/>
        <family val="2"/>
        <charset val="134"/>
        <scheme val="minor"/>
      </rPr>
      <t>​</t>
    </r>
  </si>
  <si>
    <t>因细腻、文雅而得女性长辈或上级的宠爱与资源支持。</t>
  </si>
  <si>
    <t>受母亲家族宠爱的孩子；得女上司栽培。</t>
  </si>
  <si>
    <r>
      <t>天贵+天梁</t>
    </r>
    <r>
      <rPr>
        <sz val="11"/>
        <color theme="1"/>
        <rFont val="等线"/>
        <family val="2"/>
        <charset val="134"/>
        <scheme val="minor"/>
      </rPr>
      <t>​</t>
    </r>
  </si>
  <si>
    <t>因清高、耿直或专业能力而受尊重，易得传统型、学术型长辈的青睐。</t>
  </si>
  <si>
    <t>被老教授看中的学生；得行业前辈清誉提携。</t>
  </si>
  <si>
    <r>
      <t>天贵+天钺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</si>
  <si>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。形成“天乙贵人”组合，贵气十足，得长辈、异性贵人鼎力相助，受宠非常。</t>
    </r>
  </si>
  <si>
    <t>同时得到父母双方家族资源与异性上级的提拔。</t>
  </si>
  <si>
    <r>
      <t>天贵+文昌/文曲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</si>
  <si>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文贵组合</t>
    </r>
    <r>
      <rPr>
        <sz val="11"/>
        <color theme="1"/>
        <rFont val="等线"/>
        <family val="2"/>
        <charset val="134"/>
        <scheme val="minor"/>
      </rPr>
      <t>。因才华、学识而受尊崇，易得文人型长辈或教育界人士的赏识。</t>
    </r>
  </si>
  <si>
    <t>因文采被文学大家收为弟子；因成绩好被校长偏爱。</t>
  </si>
  <si>
    <r>
      <t>天贵+左辅/右弼</t>
    </r>
    <r>
      <rPr>
        <sz val="11"/>
        <color theme="1"/>
        <rFont val="等线"/>
        <family val="2"/>
        <charset val="134"/>
        <scheme val="minor"/>
      </rPr>
      <t>​</t>
    </r>
  </si>
  <si>
    <t>贵气中带有众人拥护，得宠的同时也有同辈支持，地位稳固。</t>
  </si>
  <si>
    <t>被领导指定为团队负责人，且团队成员服气。</t>
  </si>
  <si>
    <r>
      <t>天贵+天魁</t>
    </r>
    <r>
      <rPr>
        <sz val="11"/>
        <color theme="1"/>
        <rFont val="等线"/>
        <family val="2"/>
        <charset val="134"/>
        <scheme val="minor"/>
      </rPr>
      <t>​</t>
    </r>
  </si>
  <si>
    <t>阳贵与阴贵齐聚，贵人运极强，无论男女长辈皆能提携，受宠程度高。</t>
  </si>
  <si>
    <t>同时得到父亲和母亲方面贵人的帮助。</t>
  </si>
  <si>
    <r>
      <t>天贵+禄存</t>
    </r>
    <r>
      <rPr>
        <sz val="11"/>
        <color theme="1"/>
        <rFont val="等线"/>
        <family val="2"/>
        <charset val="134"/>
        <scheme val="minor"/>
      </rPr>
      <t>​</t>
    </r>
  </si>
  <si>
    <t>受宠能带来实际财富，长辈赠与钱财，或因受赏识而获得高薪厚禄。</t>
  </si>
  <si>
    <t>获得长辈大额红包；因受器重获得公司股权激励。</t>
  </si>
  <si>
    <r>
      <t>天贵+火星</t>
    </r>
    <r>
      <rPr>
        <sz val="11"/>
        <color theme="1"/>
        <rFont val="等线"/>
        <family val="2"/>
        <charset val="134"/>
        <scheme val="minor"/>
      </rPr>
      <t>​</t>
    </r>
  </si>
  <si>
    <t>得宠来得突然或带有冲动性，长辈关照热烈但可能短暂，或受宠时引发他人嫉妒。</t>
  </si>
  <si>
    <t>因突发事件被上级破格赏识；得宠但与其他同事关系紧张。</t>
  </si>
  <si>
    <r>
      <t>天贵+铃星</t>
    </r>
    <r>
      <rPr>
        <sz val="11"/>
        <color theme="1"/>
        <rFont val="等线"/>
        <family val="2"/>
        <charset val="134"/>
        <scheme val="minor"/>
      </rPr>
      <t>​</t>
    </r>
  </si>
  <si>
    <t>得宠过程有计较或隐情，受宠但内心不安，或优待背后有条件。</t>
  </si>
  <si>
    <t>因某种利益交换得到长辈关照；受宠但需承担额外责任。</t>
  </si>
  <si>
    <r>
      <t>天贵+擎羊</t>
    </r>
    <r>
      <rPr>
        <sz val="11"/>
        <color theme="1"/>
        <rFont val="等线"/>
        <family val="2"/>
        <charset val="134"/>
        <scheme val="minor"/>
      </rPr>
      <t>​</t>
    </r>
  </si>
  <si>
    <t>受宠伴随竞争或压力，得长辈赏识但也招致同辈嫉妒与挑战。</t>
  </si>
  <si>
    <t>被老板钦点为项目负责人，但团队内老员工不服。</t>
  </si>
  <si>
    <r>
      <t>天贵+陀罗</t>
    </r>
    <r>
      <rPr>
        <sz val="11"/>
        <color theme="1"/>
        <rFont val="等线"/>
        <family val="2"/>
        <charset val="134"/>
        <scheme val="minor"/>
      </rPr>
      <t>​</t>
    </r>
  </si>
  <si>
    <t>得宠过程迟缓、反复，长辈关照犹豫不决，或旧有的宠爱关系产生困扰。</t>
  </si>
  <si>
    <t>长期考察后才被认可；与长辈的旧关系成为负担。</t>
  </si>
  <si>
    <r>
      <t>天贵+地空/地劫</t>
    </r>
    <r>
      <rPr>
        <sz val="11"/>
        <color theme="1"/>
        <rFont val="等线"/>
        <family val="2"/>
        <charset val="134"/>
        <scheme val="minor"/>
      </rPr>
      <t>​</t>
    </r>
  </si>
  <si>
    <t>贵气落空，受宠不得力或难以持久，长辈承诺未能兑现。</t>
  </si>
  <si>
    <t>看似受领导喜欢但无实际好处；长辈的庇荫中途失效。</t>
  </si>
  <si>
    <r>
      <t>1. “贵”与“助”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天贵星主“贵气”与“受宠”</t>
    </r>
    <r>
      <rPr>
        <sz val="11"/>
        <color theme="1"/>
        <rFont val="等线"/>
        <family val="2"/>
        <charset val="134"/>
        <scheme val="minor"/>
      </rPr>
      <t>，核心在于</t>
    </r>
    <r>
      <rPr>
        <b/>
        <sz val="11"/>
        <color theme="1"/>
        <rFont val="等线"/>
        <family val="3"/>
        <charset val="134"/>
        <scheme val="minor"/>
      </rPr>
      <t>受尊崇和得长辈上级喜爱</t>
    </r>
    <r>
      <rPr>
        <sz val="11"/>
        <color theme="1"/>
        <rFont val="等线"/>
        <family val="2"/>
        <charset val="134"/>
        <scheme val="minor"/>
      </rPr>
      <t>。其对星</t>
    </r>
    <r>
      <rPr>
        <b/>
        <sz val="11"/>
        <color theme="1"/>
        <rFont val="等线"/>
        <family val="3"/>
        <charset val="134"/>
        <scheme val="minor"/>
      </rPr>
      <t>天钺星主“阴贵助力”</t>
    </r>
    <r>
      <rPr>
        <sz val="11"/>
        <color theme="1"/>
        <rFont val="等线"/>
        <family val="2"/>
        <charset val="134"/>
        <scheme val="minor"/>
      </rPr>
      <t>，核心在于</t>
    </r>
    <r>
      <rPr>
        <b/>
        <sz val="11"/>
        <color theme="1"/>
        <rFont val="等线"/>
        <family val="3"/>
        <charset val="134"/>
        <scheme val="minor"/>
      </rPr>
      <t>得异性、暗中的实质性帮助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既受尊崇又得实助</t>
    </r>
    <r>
      <rPr>
        <sz val="11"/>
        <color theme="1"/>
        <rFont val="等线"/>
        <family val="2"/>
        <charset val="134"/>
        <scheme val="minor"/>
      </rPr>
      <t>，贵气落到实处。</t>
    </r>
  </si>
  <si>
    <r>
      <t>2. 与“天魁”、“台辅”的区别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天魁是“阳贵”</t>
    </r>
    <r>
      <rPr>
        <sz val="11"/>
        <color theme="1"/>
        <rFont val="等线"/>
        <family val="2"/>
        <charset val="134"/>
        <scheme val="minor"/>
      </rPr>
      <t>，提携直接、公开，多来自同性、显性贵人。</t>
    </r>
    <r>
      <rPr>
        <b/>
        <sz val="11"/>
        <color theme="1"/>
        <rFont val="等线"/>
        <family val="3"/>
        <charset val="134"/>
        <scheme val="minor"/>
      </rPr>
      <t>天贵是“宠贵”</t>
    </r>
    <r>
      <rPr>
        <sz val="11"/>
        <color theme="1"/>
        <rFont val="等线"/>
        <family val="2"/>
        <charset val="134"/>
        <scheme val="minor"/>
      </rPr>
      <t>，核心是“受宠爱”，关系更亲密，多来自血缘、情感或长期赏识。</t>
    </r>
    <r>
      <rPr>
        <b/>
        <sz val="11"/>
        <color theme="1"/>
        <rFont val="等线"/>
        <family val="3"/>
        <charset val="134"/>
        <scheme val="minor"/>
      </rPr>
      <t>台辅是“同辈之助”</t>
    </r>
    <r>
      <rPr>
        <sz val="11"/>
        <color theme="1"/>
        <rFont val="等线"/>
        <family val="2"/>
        <charset val="134"/>
        <scheme val="minor"/>
      </rPr>
      <t>，来自同事、朋友的实际帮助。天贵是“长辈疼你”，天魁是“贵人帮你”，台辅是“同事扶你”。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</si>
  <si>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：天贵星所在宫位，指示在人生的哪个领域最容易获得长辈、上级的宠爱与尊崇，或个人在哪些方面天生带有贵气。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</si>
  <si>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，受宠能直接带来财富与利益，宠爱有实质回报。见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，因受宠而获得权力或管理职责，宠爱转化为权威。见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，受宠之事名声在外，贵气文雅，受人称道。见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宠爱成空</t>
    </r>
    <r>
      <rPr>
        <sz val="11"/>
        <color theme="1"/>
        <rFont val="等线"/>
        <family val="2"/>
        <charset val="134"/>
        <scheme val="minor"/>
      </rPr>
      <t>，与长辈上级关系失和，或因受宠而骄纵致祸。</t>
    </r>
  </si>
  <si>
    <t>一、天使定义</t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</si>
  <si>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，疾病、是非能因祸得福，或通过处理麻烦获得利益（如保险理赔）。见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，能主动控制或解决疾病与是非，但过程强势。见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，疾病、是非能妥善解决，名声无损，或病情得到明确诊断。见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灾病是非加重</t>
    </r>
    <r>
      <rPr>
        <sz val="11"/>
        <color theme="1"/>
        <rFont val="等线"/>
        <family val="2"/>
        <charset val="134"/>
        <scheme val="minor"/>
      </rPr>
      <t>，困扰倍增，难以摆脱。</t>
    </r>
  </si>
  <si>
    <t>一、天才定义</t>
  </si>
  <si>
    <t>智慧、才华、天赋、聪明、领悟力</t>
  </si>
  <si>
    <t>象征与生俱来的聪明才智、特殊天赋、学习能力和领悟力。其性质主吉，代表智力层面的优越性。</t>
  </si>
  <si>
    <t>乙级星，属阳木。主吉，为智慧、才华之星。喜与天寿同会，力量增强。其才华需与主星配合方能发挥最大效用。</t>
  </si>
  <si>
    <r>
      <t>天赋异禀</t>
    </r>
    <r>
      <rPr>
        <sz val="11"/>
        <color theme="1"/>
        <rFont val="等线"/>
        <family val="2"/>
        <charset val="134"/>
        <scheme val="minor"/>
      </rPr>
      <t>​</t>
    </r>
  </si>
  <si>
    <t>拥有某方面与生俱来的才能或高超的领悟力。</t>
  </si>
  <si>
    <r>
      <t>聪明才智</t>
    </r>
    <r>
      <rPr>
        <sz val="11"/>
        <color theme="1"/>
        <rFont val="等线"/>
        <family val="2"/>
        <charset val="134"/>
        <scheme val="minor"/>
      </rPr>
      <t>​</t>
    </r>
  </si>
  <si>
    <t>头脑灵活，思维敏捷，学习能力强，一点即通。</t>
  </si>
  <si>
    <t>与天机、文昌等星同度时力量强。</t>
  </si>
  <si>
    <r>
      <t>学习能力</t>
    </r>
    <r>
      <rPr>
        <sz val="11"/>
        <color theme="1"/>
        <rFont val="等线"/>
        <family val="2"/>
        <charset val="134"/>
        <scheme val="minor"/>
      </rPr>
      <t>​</t>
    </r>
  </si>
  <si>
    <t>擅长学习、模仿与掌握新知识、新技能。</t>
  </si>
  <si>
    <t>在父母宫（学业宫）时显著。</t>
  </si>
  <si>
    <r>
      <t>领悟力强</t>
    </r>
    <r>
      <rPr>
        <sz val="11"/>
        <color theme="1"/>
        <rFont val="等线"/>
        <family val="2"/>
        <charset val="134"/>
        <scheme val="minor"/>
      </rPr>
      <t>​</t>
    </r>
  </si>
  <si>
    <t>对事物本质、深层规律有独到的理解和洞察。</t>
  </si>
  <si>
    <t>与天梁、太阴同度时体现。</t>
  </si>
  <si>
    <r>
      <t>才华外显</t>
    </r>
    <r>
      <rPr>
        <sz val="11"/>
        <color theme="1"/>
        <rFont val="等线"/>
        <family val="2"/>
        <charset val="134"/>
        <scheme val="minor"/>
      </rPr>
      <t>​</t>
    </r>
  </si>
  <si>
    <t>才华容易被人发现和认可，在特定领域表现出色。</t>
  </si>
  <si>
    <t>与太阳、文曲同会时显现。</t>
  </si>
  <si>
    <t>天生聪明，悟性高，学习能力强，多才多艺。</t>
  </si>
  <si>
    <t>兄弟姐妹聪明有才华；在团队中能与聪明人为伍。</t>
  </si>
  <si>
    <t>配偶聪明或有特殊才华；婚姻中注重精神交流。</t>
  </si>
  <si>
    <t>子女聪明伶俐，有艺术或学术天赋；合作方有创意。</t>
  </si>
  <si>
    <t>以智慧、才华、创意赚钱，适合脑力劳动或技术行业。</t>
  </si>
  <si>
    <t>头脑聪慧，但易思虑过度导致神经衰弱、失眠等问题。</t>
  </si>
  <si>
    <t>在外能展现才华，获得赏识；出行遇智者。</t>
  </si>
  <si>
    <t>朋友、同事多聪明有才之士；社交圈能激发灵感。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</si>
  <si>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。事业上依靠智慧与专长，适合策划、研究、技术类工作。</t>
    </r>
  </si>
  <si>
    <t>家人聪明；家庭氛围重教育；家中可能有藏书或艺术品。</t>
  </si>
  <si>
    <t>思想活跃，精神世界丰富，对哲学、玄学有领悟力。</t>
  </si>
  <si>
    <t>父母聪明，重视教育；遗传到良好的智力与学习天赋。</t>
  </si>
  <si>
    <t>1. 增强智慧才华组合</t>
  </si>
  <si>
    <r>
      <t>天才+紫微</t>
    </r>
    <r>
      <rPr>
        <sz val="11"/>
        <color theme="1"/>
        <rFont val="等线"/>
        <family val="2"/>
        <charset val="134"/>
        <scheme val="minor"/>
      </rPr>
      <t>​</t>
    </r>
  </si>
  <si>
    <t>拥有领导型智慧，格局大，有战略眼光，能统筹全局。</t>
  </si>
  <si>
    <t>企业战略家；政府智囊团核心。</t>
  </si>
  <si>
    <r>
      <t>天才+太阳</t>
    </r>
    <r>
      <rPr>
        <sz val="11"/>
        <color theme="1"/>
        <rFont val="等线"/>
        <family val="2"/>
        <charset val="134"/>
        <scheme val="minor"/>
      </rPr>
      <t>​</t>
    </r>
  </si>
  <si>
    <t>才华光明正大，善于传播与教育，有公开演讲、教学的天赋。</t>
  </si>
  <si>
    <t>知名教授；大众科普作家。</t>
  </si>
  <si>
    <r>
      <t>天才+天机</t>
    </r>
    <r>
      <rPr>
        <sz val="11"/>
        <color theme="1"/>
        <rFont val="等线"/>
        <family val="2"/>
        <charset val="134"/>
        <scheme val="minor"/>
      </rPr>
      <t>​</t>
    </r>
  </si>
  <si>
    <r>
      <t>核心组合</t>
    </r>
    <r>
      <rPr>
        <sz val="11"/>
        <color theme="1"/>
        <rFont val="等线"/>
        <family val="2"/>
        <charset val="134"/>
        <scheme val="minor"/>
      </rPr>
      <t>。思维极度敏捷，擅长策划、计算、信息技术，是“智多星”。</t>
    </r>
  </si>
  <si>
    <t>顶级程序员；金融分析师；军师。</t>
  </si>
  <si>
    <r>
      <t>天才+武曲</t>
    </r>
    <r>
      <rPr>
        <sz val="11"/>
        <color theme="1"/>
        <rFont val="等线"/>
        <family val="2"/>
        <charset val="134"/>
        <scheme val="minor"/>
      </rPr>
      <t>​</t>
    </r>
  </si>
  <si>
    <t>将才智用于实务与执行，在金融、工程、技术领域有实干才华。</t>
  </si>
  <si>
    <t>精算师；机械工程师；投资高手。</t>
  </si>
  <si>
    <r>
      <t>天才+天同</t>
    </r>
    <r>
      <rPr>
        <sz val="11"/>
        <color theme="1"/>
        <rFont val="等线"/>
        <family val="2"/>
        <charset val="134"/>
        <scheme val="minor"/>
      </rPr>
      <t>​</t>
    </r>
  </si>
  <si>
    <t>福慧双修，聪明且懂得享受，才华多用于文艺、娱乐、生活美学。</t>
  </si>
  <si>
    <t>美食家；休闲游戏设计师；生活博主。</t>
  </si>
  <si>
    <t>2. 专业化与领悟力组合</t>
  </si>
  <si>
    <r>
      <t>天才+廉贞</t>
    </r>
    <r>
      <rPr>
        <sz val="11"/>
        <color theme="1"/>
        <rFont val="等线"/>
        <family val="2"/>
        <charset val="134"/>
        <scheme val="minor"/>
      </rPr>
      <t>​</t>
    </r>
  </si>
  <si>
    <t>才华用于复杂人际、政治或艺术领域，心思缜密，有创作或谋略天赋。</t>
  </si>
  <si>
    <t>政治家；复杂系统设计师；画家。</t>
  </si>
  <si>
    <r>
      <t>天才+太阴</t>
    </r>
    <r>
      <rPr>
        <sz val="11"/>
        <color theme="1"/>
        <rFont val="等线"/>
        <family val="2"/>
        <charset val="134"/>
        <scheme val="minor"/>
      </rPr>
      <t>​</t>
    </r>
  </si>
  <si>
    <t>拥有细腻、内敛的才华，在文学、艺术、心理学、财务规划方面有天赋。</t>
  </si>
  <si>
    <t>诗人；心理咨询师；财务规划师。</t>
  </si>
  <si>
    <r>
      <t>天才+天府</t>
    </r>
    <r>
      <rPr>
        <sz val="11"/>
        <color theme="1"/>
        <rFont val="等线"/>
        <family val="2"/>
        <charset val="134"/>
        <scheme val="minor"/>
      </rPr>
      <t>​</t>
    </r>
  </si>
  <si>
    <t>才华稳重，善于管理与积累，能将知识系统化、库藏化。</t>
  </si>
  <si>
    <t>图书馆馆长；知识管理专家；博物馆策展人。</t>
  </si>
  <si>
    <r>
      <t>天才+天相</t>
    </r>
    <r>
      <rPr>
        <sz val="11"/>
        <color theme="1"/>
        <rFont val="等线"/>
        <family val="2"/>
        <charset val="134"/>
        <scheme val="minor"/>
      </rPr>
      <t>​</t>
    </r>
  </si>
  <si>
    <t>才华体现在协调、文书、设计方面，做事有章法，注重形象与规范。</t>
  </si>
  <si>
    <t>律师；服装设计师；标准化工程师。</t>
  </si>
  <si>
    <r>
      <t>天才+天梁</t>
    </r>
    <r>
      <rPr>
        <sz val="11"/>
        <color theme="1"/>
        <rFont val="等线"/>
        <family val="2"/>
        <charset val="134"/>
        <scheme val="minor"/>
      </rPr>
      <t>​</t>
    </r>
  </si>
  <si>
    <t>拥有哲学、医学、法律方面的智慧，领悟力高，能洞察事物本质。</t>
  </si>
  <si>
    <t>中医师；哲学家；法官。</t>
  </si>
  <si>
    <r>
      <t>天才+天寿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</si>
  <si>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。形成“智寿双全”之象，聪明且长寿，才华能持续发挥并积累。</t>
    </r>
  </si>
  <si>
    <t>老科学家；长寿的国学大师。</t>
  </si>
  <si>
    <r>
      <t>天才+文昌/文曲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</si>
  <si>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文星汇聚</t>
    </r>
    <r>
      <rPr>
        <sz val="11"/>
        <color theme="1"/>
        <rFont val="等线"/>
        <family val="2"/>
        <charset val="134"/>
        <scheme val="minor"/>
      </rPr>
      <t>。才华横溢，尤其在文学、艺术、学术领域天赋异禀，易取得功名。</t>
    </r>
  </si>
  <si>
    <t>天才作家；音乐神童；高考状元。</t>
  </si>
  <si>
    <r>
      <t>天才+左辅/右弼</t>
    </r>
    <r>
      <rPr>
        <sz val="11"/>
        <color theme="1"/>
        <rFont val="等线"/>
        <family val="2"/>
        <charset val="134"/>
        <scheme val="minor"/>
      </rPr>
      <t>​</t>
    </r>
  </si>
  <si>
    <t>才华得众人相助，能将智慧转化为实际的成果与影响力。</t>
  </si>
  <si>
    <t>研发团队带头人；开源项目核心贡献者。</t>
  </si>
  <si>
    <r>
      <t>天才+天魁/天钺</t>
    </r>
    <r>
      <rPr>
        <sz val="11"/>
        <color theme="1"/>
        <rFont val="等线"/>
        <family val="2"/>
        <charset val="134"/>
        <scheme val="minor"/>
      </rPr>
      <t>​</t>
    </r>
  </si>
  <si>
    <t>因聪明才智而得贵人赏识与提携，智慧是通往贵人的桥梁。</t>
  </si>
  <si>
    <t>因竞赛获奖被名校破格录取；因方案出色被大佬看中。</t>
  </si>
  <si>
    <r>
      <t>天才+禄存</t>
    </r>
    <r>
      <rPr>
        <sz val="11"/>
        <color theme="1"/>
        <rFont val="等线"/>
        <family val="2"/>
        <charset val="134"/>
        <scheme val="minor"/>
      </rPr>
      <t>​</t>
    </r>
  </si>
  <si>
    <t>智慧能直接转化为财富，靠专利、技术、咨询赚钱。</t>
  </si>
  <si>
    <t>软件专利持有者；知名咨询顾问。</t>
  </si>
  <si>
    <r>
      <t>天才+火星</t>
    </r>
    <r>
      <rPr>
        <sz val="11"/>
        <color theme="1"/>
        <rFont val="等线"/>
        <family val="2"/>
        <charset val="134"/>
        <scheme val="minor"/>
      </rPr>
      <t>​</t>
    </r>
  </si>
  <si>
    <t>才华爆发突然，思维敏捷但可能急躁，灵感来得快去得也快。</t>
  </si>
  <si>
    <t>即兴演讲高手；突发奇想的发明家。</t>
  </si>
  <si>
    <r>
      <t>天才+铃星</t>
    </r>
    <r>
      <rPr>
        <sz val="11"/>
        <color theme="1"/>
        <rFont val="等线"/>
        <family val="2"/>
        <charset val="134"/>
        <scheme val="minor"/>
      </rPr>
      <t>​</t>
    </r>
  </si>
  <si>
    <t>才华深藏不露，或需经一番计较、酝酿才能展现，擅长精密计算。</t>
  </si>
  <si>
    <t>密码学家；需要长期打磨的工艺大师。</t>
  </si>
  <si>
    <t>才华带有竞争性与攻击性，思维尖锐，善于辩论、攻坚。</t>
  </si>
  <si>
    <t>顶尖辩论手；攻克技术难题的工程师。</t>
  </si>
  <si>
    <r>
      <t>天才+陀罗</t>
    </r>
    <r>
      <rPr>
        <sz val="11"/>
        <color theme="1"/>
        <rFont val="等线"/>
        <family val="2"/>
        <charset val="134"/>
        <scheme val="minor"/>
      </rPr>
      <t>​</t>
    </r>
  </si>
  <si>
    <t>才华展现缓慢、反复，思维钻牛角尖，但可能在某一点上有极致钻研。</t>
  </si>
  <si>
    <t>研究冷门学科的学者；反复修改作品的艺术家。</t>
  </si>
  <si>
    <r>
      <t>天才+地空/地劫</t>
    </r>
    <r>
      <rPr>
        <sz val="11"/>
        <color theme="1"/>
        <rFont val="等线"/>
        <family val="2"/>
        <charset val="134"/>
        <scheme val="minor"/>
      </rPr>
      <t>​</t>
    </r>
  </si>
  <si>
    <t>才华奇特、超越常规，但可能不切实际或难以被世俗理解，有天才的孤独感。</t>
  </si>
  <si>
    <t>科幻小说家；超前理论物理学家；古怪发明家。</t>
  </si>
  <si>
    <r>
      <t>1. “才”与“寿”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天才星主“智慧才华”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智力与天赋的体现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天寿星主“寿命福寿”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生命力与持续性的体现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才华有足够的时间去发展与沉淀</t>
    </r>
    <r>
      <rPr>
        <sz val="11"/>
        <color theme="1"/>
        <rFont val="等线"/>
        <family val="2"/>
        <charset val="134"/>
        <scheme val="minor"/>
      </rPr>
      <t>，是为“智寿双全”。</t>
    </r>
  </si>
  <si>
    <r>
      <t>2. 与“文昌”、“文曲”的区别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文昌、文曲是“文化星”、“科甲星”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通过后天学习获得的文学、艺术才能与功名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天才是“天赋星”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与生俱来的聪明才智和领悟力</t>
    </r>
    <r>
      <rPr>
        <sz val="11"/>
        <color theme="1"/>
        <rFont val="等线"/>
        <family val="2"/>
        <charset val="134"/>
        <scheme val="minor"/>
      </rPr>
      <t>。文昌文曲是“读书厉害”，天才是“天生聪明”。天才更重先天禀赋，文昌文曲更重后天成就。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</si>
  <si>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：天才星所在宫位，指示在人生的哪个领域拥有特殊的天赋与聪明才智，或个人最擅长运用智慧的方面。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</si>
  <si>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，智慧能生财，靠创意、点子赚钱，才华带来实际利益。见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，智慧能掌权，成为技术权威、智囊首领，才华转化为权力。见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，智慧能扬名，因才华获得声誉与认可，声名远播。见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聪明反被聪明误</t>
    </r>
    <r>
      <rPr>
        <sz val="11"/>
        <color theme="1"/>
        <rFont val="等线"/>
        <family val="2"/>
        <charset val="134"/>
        <scheme val="minor"/>
      </rPr>
      <t>，才华用错地方，思虑过度成疾，或恃才傲物招祸。</t>
    </r>
  </si>
  <si>
    <t>一、天官定义</t>
  </si>
  <si>
    <t>官职、官方、正式职位、体制内身份</t>
  </si>
  <si>
    <t>象征正式的官职、官方身份、体制内的地位与任命。其性质主吉，代表获得官方认可、拥有正式职位或与政府、大型机构相关的身份。</t>
  </si>
  <si>
    <t>乙级星，属阳土。主吉，为官贵之星。喜与天福同会，力量增强。其官贵需依附有力主星及吉星方能稳固。</t>
  </si>
  <si>
    <r>
      <t>官方职位</t>
    </r>
    <r>
      <rPr>
        <sz val="11"/>
        <color theme="1"/>
        <rFont val="等线"/>
        <family val="2"/>
        <charset val="134"/>
        <scheme val="minor"/>
      </rPr>
      <t>​</t>
    </r>
  </si>
  <si>
    <t>代表在政府、公家单位、大型企业中的正式职务、职称。</t>
  </si>
  <si>
    <t>在官禄宫、命宫时尤为明显。</t>
  </si>
  <si>
    <r>
      <t>正式任命</t>
    </r>
    <r>
      <rPr>
        <sz val="11"/>
        <color theme="1"/>
        <rFont val="等线"/>
        <family val="2"/>
        <charset val="134"/>
        <scheme val="minor"/>
      </rPr>
      <t>​</t>
    </r>
  </si>
  <si>
    <t>象征通过正式程序（如选举、任命、考取）获得的职位。</t>
  </si>
  <si>
    <t>与太阳、天梁等星同度时力量强。</t>
  </si>
  <si>
    <r>
      <t>体制内身份</t>
    </r>
    <r>
      <rPr>
        <sz val="11"/>
        <color theme="1"/>
        <rFont val="等线"/>
        <family val="2"/>
        <charset val="134"/>
        <scheme val="minor"/>
      </rPr>
      <t>​</t>
    </r>
  </si>
  <si>
    <t>拥有公务员、事业单位人员、国企员工等体制内身份。</t>
  </si>
  <si>
    <t>与紫微、天府同度时显著。</t>
  </si>
  <si>
    <r>
      <t>官方认可</t>
    </r>
    <r>
      <rPr>
        <sz val="11"/>
        <color theme="1"/>
        <rFont val="等线"/>
        <family val="2"/>
        <charset val="134"/>
        <scheme val="minor"/>
      </rPr>
      <t>​</t>
    </r>
  </si>
  <si>
    <t>获得官方颁发的资格、执照、认证或授权。</t>
  </si>
  <si>
    <t>在迁移宫、父母宫时体现。</t>
  </si>
  <si>
    <r>
      <t>稳定职位</t>
    </r>
    <r>
      <rPr>
        <sz val="11"/>
        <color theme="1"/>
        <rFont val="等线"/>
        <family val="2"/>
        <charset val="134"/>
        <scheme val="minor"/>
      </rPr>
      <t>​</t>
    </r>
  </si>
  <si>
    <t>职位稳定，有编制、有保障，不易变动。</t>
  </si>
  <si>
    <t>与天同、天相同会时显现。</t>
  </si>
  <si>
    <t>有官运，易获得正式职位，为人稳重，遵守规章制度。</t>
  </si>
  <si>
    <t>兄弟姐妹中有任职公职者；在团队中处于正式编制岗位。</t>
  </si>
  <si>
    <t>配偶有官方职务或工作稳定；婚姻关系受法律保护。</t>
  </si>
  <si>
    <t>子女未来易从事公职；合作项目有正式合同与官方背景。</t>
  </si>
  <si>
    <t>钱财来自稳定薪资、官方补贴或与政府相关的项目。</t>
  </si>
  <si>
    <t>享受公费医疗或体制内医疗保障；病情需按规程治疗。</t>
  </si>
  <si>
    <t>在外易与官方机构打交道，或因公出差，有正式外派身份。</t>
  </si>
  <si>
    <t>朋友、同事多公务员或体制内人员；社交圈正规。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</si>
  <si>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。事业上易获得正式官职，在体制内或大机构发展顺利。</t>
    </r>
  </si>
  <si>
    <t>家宅靠近政府机关、学校等官方机构；房产证照齐全。</t>
  </si>
  <si>
    <t>内心认同体制与规则，追求安稳、有保障的生活状态。</t>
  </si>
  <si>
    <t>父母有公职或官方身份；家庭背景正统，重视规矩。</t>
  </si>
  <si>
    <t>1. 增强官贵地位组合</t>
  </si>
  <si>
    <r>
      <t>天官+紫微</t>
    </r>
    <r>
      <rPr>
        <sz val="11"/>
        <color theme="1"/>
        <rFont val="等线"/>
        <family val="2"/>
        <charset val="134"/>
        <scheme val="minor"/>
      </rPr>
      <t>​</t>
    </r>
  </si>
  <si>
    <t>官高权重，在核心权力部门或大型机构担任重要领导职务。</t>
  </si>
  <si>
    <t>政府部长；央企董事长。</t>
  </si>
  <si>
    <r>
      <t>天官+太阳</t>
    </r>
    <r>
      <rPr>
        <sz val="11"/>
        <color theme="1"/>
        <rFont val="等线"/>
        <family val="2"/>
        <charset val="134"/>
        <scheme val="minor"/>
      </rPr>
      <t>​</t>
    </r>
  </si>
  <si>
    <t>官职公开、显赫，负责宣传、外交、司法等阳光下的公务。</t>
  </si>
  <si>
    <t>外交部发言人；法院院长；教育局局长。</t>
  </si>
  <si>
    <r>
      <t>天官+天梁</t>
    </r>
    <r>
      <rPr>
        <sz val="11"/>
        <color theme="1"/>
        <rFont val="等线"/>
        <family val="2"/>
        <charset val="134"/>
        <scheme val="minor"/>
      </rPr>
      <t>​</t>
    </r>
  </si>
  <si>
    <t>清贵之官，担任监察、审计、学术或司法领域的职务，有清望。</t>
  </si>
  <si>
    <t>纪检委干部；大学校长；法官。</t>
  </si>
  <si>
    <r>
      <t>天官+天府</t>
    </r>
    <r>
      <rPr>
        <sz val="11"/>
        <color theme="1"/>
        <rFont val="等线"/>
        <family val="2"/>
        <charset val="134"/>
        <scheme val="minor"/>
      </rPr>
      <t>​</t>
    </r>
  </si>
  <si>
    <t>财库之官，担任财政、金融、资源管理部门的职务，职位稳固。</t>
  </si>
  <si>
    <t>财政局局长；央行官员；国企总会计师。</t>
  </si>
  <si>
    <r>
      <t>天官+天相</t>
    </r>
    <r>
      <rPr>
        <sz val="11"/>
        <color theme="1"/>
        <rFont val="等线"/>
        <family val="2"/>
        <charset val="134"/>
        <scheme val="minor"/>
      </rPr>
      <t>​</t>
    </r>
  </si>
  <si>
    <t>佐贰之官，担任秘书长、助理、文书等辅佐型正式职位。</t>
  </si>
  <si>
    <t>政府办公厅主任；公司董事会秘书。</t>
  </si>
  <si>
    <t>2. 专业化与公职组合</t>
  </si>
  <si>
    <r>
      <t>天官+天机</t>
    </r>
    <r>
      <rPr>
        <sz val="11"/>
        <color theme="1"/>
        <rFont val="等线"/>
        <family val="2"/>
        <charset val="134"/>
        <scheme val="minor"/>
      </rPr>
      <t>​</t>
    </r>
  </si>
  <si>
    <t>谋士之官，担任策划、调研、信息技术等部门的公职。</t>
  </si>
  <si>
    <t>政策研究室研究员；统计局官员。</t>
  </si>
  <si>
    <r>
      <t>天官+武曲</t>
    </r>
    <r>
      <rPr>
        <sz val="11"/>
        <color theme="1"/>
        <rFont val="等线"/>
        <family val="2"/>
        <charset val="134"/>
        <scheme val="minor"/>
      </rPr>
      <t>​</t>
    </r>
  </si>
  <si>
    <t>武职、财经之官，在军队、警察、金融、税务系统任职。</t>
  </si>
  <si>
    <t>军官；税务局局长；证监会官员。</t>
  </si>
  <si>
    <r>
      <t>天官+廉贞</t>
    </r>
    <r>
      <rPr>
        <sz val="11"/>
        <color theme="1"/>
        <rFont val="等线"/>
        <family val="2"/>
        <charset val="134"/>
        <scheme val="minor"/>
      </rPr>
      <t>​</t>
    </r>
  </si>
  <si>
    <t>政务、司法之官，在政治、法律、纪律检查部门任职。</t>
  </si>
  <si>
    <t>政法委干部；检察官；政党官员。</t>
  </si>
  <si>
    <r>
      <t>天官+太阴</t>
    </r>
    <r>
      <rPr>
        <sz val="11"/>
        <color theme="1"/>
        <rFont val="等线"/>
        <family val="2"/>
        <charset val="134"/>
        <scheme val="minor"/>
      </rPr>
      <t>​</t>
    </r>
  </si>
  <si>
    <t>文职、内务之官，担任文化、教育、财政、内勤等职务。</t>
  </si>
  <si>
    <t>文化局局长；学校校长；国库官员。</t>
  </si>
  <si>
    <r>
      <t>天官+天同</t>
    </r>
    <r>
      <rPr>
        <sz val="11"/>
        <color theme="1"/>
        <rFont val="等线"/>
        <family val="2"/>
        <charset val="134"/>
        <scheme val="minor"/>
      </rPr>
      <t>​</t>
    </r>
  </si>
  <si>
    <t>福气之官，职位清闲、福利好，如工会、文史馆等闲职。</t>
  </si>
  <si>
    <t>政协文史委员；机关工会主席。</t>
  </si>
  <si>
    <r>
      <t>天官+天福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</si>
  <si>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。形成“官福双全”之象，既有官职又有福气，职位安稳且享受优厚待遇。</t>
    </r>
  </si>
  <si>
    <t>在福利待遇极好的政府部门担任领导。</t>
  </si>
  <si>
    <r>
      <t>天官+左辅/右弼</t>
    </r>
    <r>
      <rPr>
        <sz val="11"/>
        <color theme="1"/>
        <rFont val="等线"/>
        <family val="2"/>
        <charset val="134"/>
        <scheme val="minor"/>
      </rPr>
      <t>​</t>
    </r>
  </si>
  <si>
    <t>官职得众人辅佐，手下有得力团队，职位稳固，政令畅通。</t>
  </si>
  <si>
    <t>部门主管有精干的下属团队支持。</t>
  </si>
  <si>
    <r>
      <t>天官+文昌/文曲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</si>
  <si>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文贵之官</t>
    </r>
    <r>
      <rPr>
        <sz val="11"/>
        <color theme="1"/>
        <rFont val="等线"/>
        <family val="2"/>
        <charset val="134"/>
        <scheme val="minor"/>
      </rPr>
      <t>。通过考试、文书获得官职，担任文化、教育、宣传类公职。</t>
    </r>
  </si>
  <si>
    <t>通过国考进入部委；教育局官员。</t>
  </si>
  <si>
    <r>
      <t>天官+天魁/天钺</t>
    </r>
    <r>
      <rPr>
        <sz val="11"/>
        <color theme="1"/>
        <rFont val="等线"/>
        <family val="2"/>
        <charset val="134"/>
        <scheme val="minor"/>
      </rPr>
      <t>​</t>
    </r>
  </si>
  <si>
    <t>因贵人提携获得官职，或职位来自上级的直接任命。</t>
  </si>
  <si>
    <t>被领导赏识破格提拔为处长。</t>
  </si>
  <si>
    <r>
      <t>天官+禄存</t>
    </r>
    <r>
      <rPr>
        <sz val="11"/>
        <color theme="1"/>
        <rFont val="等线"/>
        <family val="2"/>
        <charset val="134"/>
        <scheme val="minor"/>
      </rPr>
      <t>​</t>
    </r>
  </si>
  <si>
    <t>官职带来稳定丰厚的俸禄，是“金饭碗”，职位与财富挂钩。</t>
  </si>
  <si>
    <t>高薪公务员；垄断国企高管。</t>
  </si>
  <si>
    <r>
      <t>天官+火星</t>
    </r>
    <r>
      <rPr>
        <sz val="11"/>
        <color theme="1"/>
        <rFont val="等线"/>
        <family val="2"/>
        <charset val="134"/>
        <scheme val="minor"/>
      </rPr>
      <t>​</t>
    </r>
  </si>
  <si>
    <t>官职得来突然，或因突发事件获得任命，职位变动快，易有冲突。</t>
  </si>
  <si>
    <t>因危机事件被火线提拔；官场上与人激烈竞争。</t>
  </si>
  <si>
    <r>
      <t>天官+铃星</t>
    </r>
    <r>
      <rPr>
        <sz val="11"/>
        <color theme="1"/>
        <rFont val="等线"/>
        <family val="2"/>
        <charset val="134"/>
        <scheme val="minor"/>
      </rPr>
      <t>​</t>
    </r>
  </si>
  <si>
    <t>获得官职的过程有计较、拖延或暗中操作，职位坐得不安稳。</t>
  </si>
  <si>
    <t>经过长期博弈才获得的职位；职位有潜在风险。</t>
  </si>
  <si>
    <r>
      <t>天官+擎羊</t>
    </r>
    <r>
      <rPr>
        <sz val="11"/>
        <color theme="1"/>
        <rFont val="等线"/>
        <family val="2"/>
        <charset val="134"/>
        <scheme val="minor"/>
      </rPr>
      <t>​</t>
    </r>
  </si>
  <si>
    <t>官职伴随竞争、压力获得，职位有挑战性，需用强硬手段管理。</t>
  </si>
  <si>
    <t>通过竞聘上岗的岗位；执法部门长官。</t>
  </si>
  <si>
    <r>
      <t>天官+陀罗</t>
    </r>
    <r>
      <rPr>
        <sz val="11"/>
        <color theme="1"/>
        <rFont val="等线"/>
        <family val="2"/>
        <charset val="134"/>
        <scheme val="minor"/>
      </rPr>
      <t>​</t>
    </r>
  </si>
  <si>
    <t>官职得来迟缓、反复，旧职位影响新职位，或职位晋升缓慢。</t>
  </si>
  <si>
    <t>多年才获得晋升；新职位被历史遗留问题困扰。</t>
  </si>
  <si>
    <r>
      <t>天官+地空/地劫</t>
    </r>
    <r>
      <rPr>
        <sz val="11"/>
        <color theme="1"/>
        <rFont val="等线"/>
        <family val="2"/>
        <charset val="134"/>
        <scheme val="minor"/>
      </rPr>
      <t>​</t>
    </r>
  </si>
  <si>
    <t>官职落空，有名无实，或被架空，或突然失去职位。</t>
  </si>
  <si>
    <t>被任命为闲职；机构改革中职位被裁撤。</t>
  </si>
  <si>
    <r>
      <t>1. “官”与“福”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天官星主“官职”</t>
    </r>
    <r>
      <rPr>
        <sz val="11"/>
        <color theme="1"/>
        <rFont val="等线"/>
        <family val="2"/>
        <charset val="134"/>
        <scheme val="minor"/>
      </rPr>
      <t>，象征</t>
    </r>
    <r>
      <rPr>
        <b/>
        <sz val="11"/>
        <color theme="1"/>
        <rFont val="等线"/>
        <family val="3"/>
        <charset val="134"/>
        <scheme val="minor"/>
      </rPr>
      <t>正式的职位与官方身份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天福星主“福气”</t>
    </r>
    <r>
      <rPr>
        <sz val="11"/>
        <color theme="1"/>
        <rFont val="等线"/>
        <family val="2"/>
        <charset val="134"/>
        <scheme val="minor"/>
      </rPr>
      <t>，象征</t>
    </r>
    <r>
      <rPr>
        <b/>
        <sz val="11"/>
        <color theme="1"/>
        <rFont val="等线"/>
        <family val="3"/>
        <charset val="134"/>
        <scheme val="minor"/>
      </rPr>
      <t>享受与福报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既有官位又有福享</t>
    </r>
    <r>
      <rPr>
        <sz val="11"/>
        <color theme="1"/>
        <rFont val="等线"/>
        <family val="2"/>
        <charset val="134"/>
        <scheme val="minor"/>
      </rPr>
      <t>，是为“官福双全”。单见天官，可能仅有职位而少福享。</t>
    </r>
  </si>
  <si>
    <r>
      <t>2. 与“天贵”、“台辅”、“封诰”的区别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天官是“实职”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正式的官方职位与权力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天贵是“贵气”与“受宠”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受尊崇和得长辈上级喜爱</t>
    </r>
    <r>
      <rPr>
        <sz val="11"/>
        <color theme="1"/>
        <rFont val="等线"/>
        <family val="2"/>
        <charset val="134"/>
        <scheme val="minor"/>
      </rPr>
      <t>，不一定是官职。</t>
    </r>
    <r>
      <rPr>
        <b/>
        <sz val="11"/>
        <color theme="1"/>
        <rFont val="等线"/>
        <family val="3"/>
        <charset val="134"/>
        <scheme val="minor"/>
      </rPr>
      <t>台辅是“同辈辅佐”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实际的帮助与支持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封诰是“名誉头衔”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精神性的荣誉与称号</t>
    </r>
    <r>
      <rPr>
        <sz val="11"/>
        <color theme="1"/>
        <rFont val="等线"/>
        <family val="2"/>
        <charset val="134"/>
        <scheme val="minor"/>
      </rPr>
      <t>。天官是“坐在办公室里的处长”，天贵是“受领导宠爱的红人”，台辅是“帮你干活的同事”，封诰是“墙上挂的劳模奖状”。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</si>
  <si>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：天官星所在宫位，指示在人生的哪个领域最容易获得官方身份或正式职位，或个人在哪些方面注重规则与体制。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</si>
  <si>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，官职能带来实际财富与利益，是“肥差”。见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，对官职掌控力强，职位有实权，官威显赫。见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，官职带来好名声，为官清正，受人爱戴。见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官职不稳</t>
    </r>
    <r>
      <rPr>
        <sz val="11"/>
        <color theme="1"/>
        <rFont val="等线"/>
        <family val="2"/>
        <charset val="134"/>
        <scheme val="minor"/>
      </rPr>
      <t>，官非缠身，失去职位，或为官职所累。</t>
    </r>
  </si>
  <si>
    <t>一、天福定义</t>
  </si>
  <si>
    <t>福气、享受、福报、安逸、好运</t>
  </si>
  <si>
    <t>象征天生的福气、享受生活的能力、安逸的状态以及来自先天的好运。其性质主吉，代表福报与顺遂。</t>
  </si>
  <si>
    <t>乙级星，属阳土。主吉，为福气、享受之星。喜与天官同会，力量增强。其福气多属先天带来，需与主星配合方能享福长久。</t>
  </si>
  <si>
    <r>
      <t>天生福气</t>
    </r>
    <r>
      <rPr>
        <sz val="11"/>
        <color theme="1"/>
        <rFont val="等线"/>
        <family val="2"/>
        <charset val="134"/>
        <scheme val="minor"/>
      </rPr>
      <t>​</t>
    </r>
  </si>
  <si>
    <t>与生俱来的福报，一生相对顺遂，少劳多获，易逢凶化吉。</t>
  </si>
  <si>
    <r>
      <t>享受生活</t>
    </r>
    <r>
      <rPr>
        <sz val="11"/>
        <color theme="1"/>
        <rFont val="等线"/>
        <family val="2"/>
        <charset val="134"/>
        <scheme val="minor"/>
      </rPr>
      <t>​</t>
    </r>
  </si>
  <si>
    <t>懂得并能够享受生活，追求安逸、舒适、有品味的生活方式。</t>
  </si>
  <si>
    <t>与天同、太阴等星同度时力量强。</t>
  </si>
  <si>
    <r>
      <t>安逸少灾</t>
    </r>
    <r>
      <rPr>
        <sz val="11"/>
        <color theme="1"/>
        <rFont val="等线"/>
        <family val="2"/>
        <charset val="134"/>
        <scheme val="minor"/>
      </rPr>
      <t>​</t>
    </r>
  </si>
  <si>
    <t>人生波折较少，生活平稳安逸，不易遭遇大灾大难。</t>
  </si>
  <si>
    <t>在疾厄宫、迁移宫时显著。</t>
  </si>
  <si>
    <r>
      <t>好运常伴</t>
    </r>
    <r>
      <rPr>
        <sz val="11"/>
        <color theme="1"/>
        <rFont val="等线"/>
        <family val="2"/>
        <charset val="134"/>
        <scheme val="minor"/>
      </rPr>
      <t>​</t>
    </r>
  </si>
  <si>
    <t>常有意外之喜、小幸运，关键时刻易得他人帮助或出现转机。</t>
  </si>
  <si>
    <r>
      <t>心态乐观</t>
    </r>
    <r>
      <rPr>
        <sz val="11"/>
        <color theme="1"/>
        <rFont val="等线"/>
        <family val="2"/>
        <charset val="134"/>
        <scheme val="minor"/>
      </rPr>
      <t>​</t>
    </r>
  </si>
  <si>
    <t>天性乐观，知足常乐，烦恼少，内心满足感强。</t>
  </si>
  <si>
    <t>天生有福，一生安逸，心态乐观，常得贵人相助，逢凶化吉。</t>
  </si>
  <si>
    <t>兄弟姐妹有福或能享福；在团队中处境安逸，受照顾。</t>
  </si>
  <si>
    <t>配偶有福气，能享受婚姻生活；婚姻关系和谐安逸。</t>
  </si>
  <si>
    <t>子女有福，少让父母操心；在合作、投资中易获意外之利。</t>
  </si>
  <si>
    <t>钱财来得轻松，易有意外之财，不愁吃穿，消费注重享受。</t>
  </si>
  <si>
    <t>身体健康，少病少灾，即使生病也易遇良医，康复快。</t>
  </si>
  <si>
    <t>在外顺利，出行平安，易遇好事，环境舒适。</t>
  </si>
  <si>
    <t>朋友、同事多是有福之人，相处轻松愉快，能从朋友处得好处。</t>
  </si>
  <si>
    <t>工作轻松、安逸，压力小，或从事休闲、享受相关的行业。</t>
  </si>
  <si>
    <t>家庭和睦，家宅舒适，居住环境好，能享家庭之福。</t>
  </si>
  <si>
    <r>
      <t>核心宫位</t>
    </r>
    <r>
      <rPr>
        <sz val="11"/>
        <color theme="1"/>
        <rFont val="等线"/>
        <family val="2"/>
        <charset val="134"/>
        <scheme val="minor"/>
      </rPr>
      <t>。内心满足，精神世界富足，懂得享受生活，福泽深厚。</t>
    </r>
  </si>
  <si>
    <t>父母有福，家境不错，得父母福荫，童年生活安逸。</t>
  </si>
  <si>
    <t>1. 增强福气享受组合</t>
  </si>
  <si>
    <r>
      <t>天福+紫微</t>
    </r>
    <r>
      <rPr>
        <sz val="11"/>
        <color theme="1"/>
        <rFont val="等线"/>
        <family val="2"/>
        <charset val="134"/>
        <scheme val="minor"/>
      </rPr>
      <t>​</t>
    </r>
  </si>
  <si>
    <t>有帝王之福，生活尊贵奢华，受人服侍，一生大方向顺遂。</t>
  </si>
  <si>
    <t>世家子弟，一生无忧；大型企业高管，享受顶级待遇。</t>
  </si>
  <si>
    <r>
      <t>天福+太阳</t>
    </r>
    <r>
      <rPr>
        <sz val="11"/>
        <color theme="1"/>
        <rFont val="等线"/>
        <family val="2"/>
        <charset val="134"/>
        <scheme val="minor"/>
      </rPr>
      <t>​</t>
    </r>
  </si>
  <si>
    <t>福气光明正大，乐于分享，享受受人瞩目的生活，社交运佳。</t>
  </si>
  <si>
    <t>社交名流；公益慈善家，在奉献中享受快乐。</t>
  </si>
  <si>
    <r>
      <t>天福+天同</t>
    </r>
    <r>
      <rPr>
        <sz val="11"/>
        <color theme="1"/>
        <rFont val="等线"/>
        <family val="2"/>
        <charset val="134"/>
        <scheme val="minor"/>
      </rPr>
      <t>​</t>
    </r>
  </si>
  <si>
    <r>
      <t>核心组合</t>
    </r>
    <r>
      <rPr>
        <sz val="11"/>
        <color theme="1"/>
        <rFont val="等线"/>
        <family val="2"/>
        <charset val="134"/>
        <scheme val="minor"/>
      </rPr>
      <t>。福寿双全，极度懂得享受生活，心态豁达，一生安逸少忧。</t>
    </r>
  </si>
  <si>
    <t>退休的富家翁；从事休闲娱乐行业的成功者。</t>
  </si>
  <si>
    <r>
      <t>天福+天府</t>
    </r>
    <r>
      <rPr>
        <sz val="11"/>
        <color theme="1"/>
        <rFont val="等线"/>
        <family val="2"/>
        <charset val="134"/>
        <scheme val="minor"/>
      </rPr>
      <t>​</t>
    </r>
  </si>
  <si>
    <t>库藏丰足之福，享受稳定富足的生活，注重物质积累与品质。</t>
  </si>
  <si>
    <t>收藏家；拥有多处房产的收租者。</t>
  </si>
  <si>
    <r>
      <t>天福+天相</t>
    </r>
    <r>
      <rPr>
        <sz val="11"/>
        <color theme="1"/>
        <rFont val="等线"/>
        <family val="2"/>
        <charset val="134"/>
        <scheme val="minor"/>
      </rPr>
      <t>​</t>
    </r>
  </si>
  <si>
    <t>福气体面有格调，享受和谐、有秩序、有品味的生活方式。</t>
  </si>
  <si>
    <t>生活美学家；在稳定机构中担任清闲要职。</t>
  </si>
  <si>
    <t>2. 专业化与福气组合</t>
  </si>
  <si>
    <r>
      <t>天福+天机</t>
    </r>
    <r>
      <rPr>
        <sz val="11"/>
        <color theme="1"/>
        <rFont val="等线"/>
        <family val="2"/>
        <charset val="134"/>
        <scheme val="minor"/>
      </rPr>
      <t>​</t>
    </r>
  </si>
  <si>
    <t>福气体现在心智的安逸与灵活，享受思考、学习、旅行的乐趣。</t>
  </si>
  <si>
    <t>周游世界的学者；以创意为生的自由职业者。</t>
  </si>
  <si>
    <r>
      <t>天福+武曲</t>
    </r>
    <r>
      <rPr>
        <sz val="11"/>
        <color theme="1"/>
        <rFont val="等线"/>
        <family val="2"/>
        <charset val="134"/>
        <scheme val="minor"/>
      </rPr>
      <t>​</t>
    </r>
  </si>
  <si>
    <t>通过努力赚钱来享受，福气体现在财务自由后的物质享受。</t>
  </si>
  <si>
    <t>退休的金融家；享受高品质生活的技术专家。</t>
  </si>
  <si>
    <r>
      <t>天福+廉贞</t>
    </r>
    <r>
      <rPr>
        <sz val="11"/>
        <color theme="1"/>
        <rFont val="等线"/>
        <family val="2"/>
        <charset val="134"/>
        <scheme val="minor"/>
      </rPr>
      <t>​</t>
    </r>
  </si>
  <si>
    <t>在复杂人际或艺术创作中找到享受，福气带有些许放纵与激情。</t>
  </si>
  <si>
    <t>享受掌声的艺术家；在权力游戏中游刃有余的政客。</t>
  </si>
  <si>
    <r>
      <t>天福+太阴</t>
    </r>
    <r>
      <rPr>
        <sz val="11"/>
        <color theme="1"/>
        <rFont val="等线"/>
        <family val="2"/>
        <charset val="134"/>
        <scheme val="minor"/>
      </rPr>
      <t>​</t>
    </r>
  </si>
  <si>
    <t>福气体现在内心的宁静与物质的丰盈，享受家庭、艺术与财富。</t>
  </si>
  <si>
    <t>隐居的富豪；享受创作过程的作家或画家。</t>
  </si>
  <si>
    <r>
      <t>天福+天梁</t>
    </r>
    <r>
      <rPr>
        <sz val="11"/>
        <color theme="1"/>
        <rFont val="等线"/>
        <family val="2"/>
        <charset val="134"/>
        <scheme val="minor"/>
      </rPr>
      <t>​</t>
    </r>
  </si>
  <si>
    <t>清福，享受精神世界的充实与助人之乐，福气体现在健康与长寿。</t>
  </si>
  <si>
    <t>修行者；享受退休生活的老中医。</t>
  </si>
  <si>
    <r>
      <t>天福+天官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</si>
  <si>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。形成“官福双全”之象，既有官职地位，又有福气享受，人生圆满。</t>
    </r>
  </si>
  <si>
    <t>位高权重且退休生活极其优渥的官员。</t>
  </si>
  <si>
    <r>
      <t>天福+文昌/文曲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</si>
  <si>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文福组合</t>
    </r>
    <r>
      <rPr>
        <sz val="11"/>
        <color theme="1"/>
        <rFont val="等线"/>
        <family val="2"/>
        <charset val="134"/>
        <scheme val="minor"/>
      </rPr>
      <t>。享受文化与艺术带来的乐趣，福气体现在精神生活的丰盛。</t>
    </r>
  </si>
  <si>
    <t>享受读书、创作生活的文人；艺术鉴赏家。</t>
  </si>
  <si>
    <r>
      <t>天福+左辅/右弼</t>
    </r>
    <r>
      <rPr>
        <sz val="11"/>
        <color theme="1"/>
        <rFont val="等线"/>
        <family val="2"/>
        <charset val="134"/>
        <scheme val="minor"/>
      </rPr>
      <t>​</t>
    </r>
  </si>
  <si>
    <t>福气有众人分享与拱卫，生活安逸且得人照顾，享清福。</t>
  </si>
  <si>
    <t>儿孙绕膝、安享晚年的长辈；有助理处理琐事的老板。</t>
  </si>
  <si>
    <r>
      <t>天福+天魁/天钺</t>
    </r>
    <r>
      <rPr>
        <sz val="11"/>
        <color theme="1"/>
        <rFont val="等线"/>
        <family val="2"/>
        <charset val="134"/>
        <scheme val="minor"/>
      </rPr>
      <t>​</t>
    </r>
  </si>
  <si>
    <t>福气常伴贵人，遇事总有人帮忙，化险为夷，坐享其成。</t>
  </si>
  <si>
    <t>关键时刻总有朋友伸出援手的幸运儿。</t>
  </si>
  <si>
    <r>
      <t>天福+禄存</t>
    </r>
    <r>
      <rPr>
        <sz val="11"/>
        <color theme="1"/>
        <rFont val="等线"/>
        <family val="2"/>
        <charset val="134"/>
        <scheme val="minor"/>
      </rPr>
      <t>​</t>
    </r>
  </si>
  <si>
    <r>
      <t>福禄双全</t>
    </r>
    <r>
      <rPr>
        <sz val="11"/>
        <color theme="1"/>
        <rFont val="等线"/>
        <family val="2"/>
        <charset val="134"/>
        <scheme val="minor"/>
      </rPr>
      <t>。福气直接转化为财富，不劳而获，或轻松得财。</t>
    </r>
  </si>
  <si>
    <t>继承遗产者；中彩票者。</t>
  </si>
  <si>
    <r>
      <t>天福+火星</t>
    </r>
    <r>
      <rPr>
        <sz val="11"/>
        <color theme="1"/>
        <rFont val="等线"/>
        <family val="2"/>
        <charset val="134"/>
        <scheme val="minor"/>
      </rPr>
      <t>​</t>
    </r>
  </si>
  <si>
    <t>福气来得突然、热烈，但可能去得也快，享受带有冲动性。</t>
  </si>
  <si>
    <t>突然获得一笔横财并迅速挥霍；一场说走就走的奢华旅行。</t>
  </si>
  <si>
    <r>
      <t>天福+铃星</t>
    </r>
    <r>
      <rPr>
        <sz val="11"/>
        <color theme="1"/>
        <rFont val="等线"/>
        <family val="2"/>
        <charset val="134"/>
        <scheme val="minor"/>
      </rPr>
      <t>​</t>
    </r>
  </si>
  <si>
    <t>福气在计较、酝酿后获得，享受带有计划性，或暗中有福。</t>
  </si>
  <si>
    <t>经过精心规划获得的完美假期；私下享受不为人知的爱好。</t>
  </si>
  <si>
    <r>
      <t>天福+擎羊</t>
    </r>
    <r>
      <rPr>
        <sz val="11"/>
        <color theme="1"/>
        <rFont val="等线"/>
        <family val="2"/>
        <charset val="134"/>
        <scheme val="minor"/>
      </rPr>
      <t>​</t>
    </r>
  </si>
  <si>
    <t>福气伴随竞争或短暂压力而来，享受的过程可能有些波折。</t>
  </si>
  <si>
    <t>通过激烈竞争赢得的奖励之旅；先苦后甜的享受。</t>
  </si>
  <si>
    <r>
      <t>天福+陀罗</t>
    </r>
    <r>
      <rPr>
        <sz val="11"/>
        <color theme="1"/>
        <rFont val="等线"/>
        <family val="2"/>
        <charset val="134"/>
        <scheme val="minor"/>
      </rPr>
      <t>​</t>
    </r>
  </si>
  <si>
    <t>福气来得迟缓、反复，旧福延续，享受慢生活或怀旧。</t>
  </si>
  <si>
    <t>延迟满足后的大享受；一直保持的古老生活习惯。</t>
  </si>
  <si>
    <r>
      <t>天福+地空/地劫</t>
    </r>
    <r>
      <rPr>
        <sz val="11"/>
        <color theme="1"/>
        <rFont val="等线"/>
        <family val="2"/>
        <charset val="134"/>
        <scheme val="minor"/>
      </rPr>
      <t>​</t>
    </r>
  </si>
  <si>
    <t>福气落空，享受不持久或难以实现，精神享受高于物质。</t>
  </si>
  <si>
    <t>理想中的退休生活未能实现；崇尚极简主义的修行者。</t>
  </si>
  <si>
    <r>
      <t>1. “福”与“官”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天福星主“福气享受”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福报与安逸的体现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天官星主“官职地位”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权力与责任的体现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既有地位可享福，又有福气支撑官运</t>
    </r>
    <r>
      <rPr>
        <sz val="11"/>
        <color theme="1"/>
        <rFont val="等线"/>
        <family val="2"/>
        <charset val="134"/>
        <scheme val="minor"/>
      </rPr>
      <t>，是为“官福双全”。单见天福，可能仅享清福而无实权。</t>
    </r>
  </si>
  <si>
    <r>
      <t>2. 与“天同”、“天寿”的区别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天同是“福星”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天生的乐观性格与福分</t>
    </r>
    <r>
      <rPr>
        <sz val="11"/>
        <color theme="1"/>
        <rFont val="等线"/>
        <family val="2"/>
        <charset val="134"/>
        <scheme val="minor"/>
      </rPr>
      <t>，更偏向精神与性格。</t>
    </r>
    <r>
      <rPr>
        <b/>
        <sz val="11"/>
        <color theme="1"/>
        <rFont val="等线"/>
        <family val="3"/>
        <charset val="134"/>
        <scheme val="minor"/>
      </rPr>
      <t>天福是“福气星”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具体的福报、享受与好运事件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天寿是“寿命星”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生命的长度与健康</t>
    </r>
    <r>
      <rPr>
        <sz val="11"/>
        <color theme="1"/>
        <rFont val="等线"/>
        <family val="2"/>
        <charset val="134"/>
        <scheme val="minor"/>
      </rPr>
      <t>。天同是“乐天派”，天福是“幸运儿”，天寿是“长寿者”。三者同会，则为“福寿双全”的极致。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</si>
  <si>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：天福星所在宫位，指示在人生的哪个领域最有福气、最懂得享受、最易获得好运。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</si>
  <si>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，福气直接带来财富，享受物质生活，福泽深厚。见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，能主动掌控和安排自己的享受，福气转化为支配力。见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，福气体面，享受有格调，因福气得好名声。见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福气受损</t>
    </r>
    <r>
      <rPr>
        <sz val="11"/>
        <color theme="1"/>
        <rFont val="等线"/>
        <family val="2"/>
        <charset val="134"/>
        <scheme val="minor"/>
      </rPr>
      <t>，乐极生悲，享受成为负担，或难以享福。</t>
    </r>
  </si>
  <si>
    <t>一、龙池定义</t>
  </si>
  <si>
    <t>才华、技艺、清贵、科甲、艺术</t>
  </si>
  <si>
    <t>象征高雅的艺术才华、特殊的专业技能、清贵的品格气质以及在科考、学术方面的天赋。其性质主吉，代表才艺与清贵之气。</t>
  </si>
  <si>
    <t>乙级星，属阳水。主吉，为才华、技艺、清贵之星。喜与凤阁同会，力量增强。其才华需遇吉星方能显贵，遇煞则才华难伸。</t>
  </si>
  <si>
    <t>拥有音乐、绘画、书法、舞蹈等艺术方面的天赋与造诣。</t>
  </si>
  <si>
    <r>
      <t>专业技能</t>
    </r>
    <r>
      <rPr>
        <sz val="11"/>
        <color theme="1"/>
        <rFont val="等线"/>
        <family val="2"/>
        <charset val="134"/>
        <scheme val="minor"/>
      </rPr>
      <t>​</t>
    </r>
  </si>
  <si>
    <t>在特定技术、工艺、学术领域有深厚的专业能力。</t>
  </si>
  <si>
    <t>与武曲、天机等星同度时力量强。</t>
  </si>
  <si>
    <r>
      <t>清贵气质</t>
    </r>
    <r>
      <rPr>
        <sz val="11"/>
        <color theme="1"/>
        <rFont val="等线"/>
        <family val="2"/>
        <charset val="134"/>
        <scheme val="minor"/>
      </rPr>
      <t>​</t>
    </r>
  </si>
  <si>
    <t>为人清高、雅致，有品味，不落俗套，有文人雅士之风。</t>
  </si>
  <si>
    <t>与天梁、太阴同度时显著。</t>
  </si>
  <si>
    <r>
      <t>科甲功名</t>
    </r>
    <r>
      <rPr>
        <sz val="11"/>
        <color theme="1"/>
        <rFont val="等线"/>
        <family val="2"/>
        <charset val="134"/>
        <scheme val="minor"/>
      </rPr>
      <t>​</t>
    </r>
  </si>
  <si>
    <t>利于考试、竞赛、学术研究，易在正规考核中脱颖而出。</t>
  </si>
  <si>
    <t>在父母宫（学业宫）、官禄宫时体现。</t>
  </si>
  <si>
    <r>
      <t>优雅品味</t>
    </r>
    <r>
      <rPr>
        <sz val="11"/>
        <color theme="1"/>
        <rFont val="等线"/>
        <family val="2"/>
        <charset val="134"/>
        <scheme val="minor"/>
      </rPr>
      <t>​</t>
    </r>
  </si>
  <si>
    <t>对生活品质、美学有较高要求，注重细节与格调。</t>
  </si>
  <si>
    <t>与天府、天相同会时显现。</t>
  </si>
  <si>
    <t>天生有艺术气质或特殊才华，为人清雅，品味不俗。</t>
  </si>
  <si>
    <t>兄弟姐妹有才华；在团队中与有才艺之人共事。</t>
  </si>
  <si>
    <t>配偶有才华或艺术气质，婚姻生活注重精神交流与情趣。</t>
  </si>
  <si>
    <t>子女聪明有艺术天赋；合作项目具有创意与技术含量。</t>
  </si>
  <si>
    <t>以才华、技艺赚钱，适合从事专业性强、有技术门槛的行业。</t>
  </si>
  <si>
    <t>气质清雅，但易有因思虑、用脑过度导致的神经衰弱。</t>
  </si>
  <si>
    <t>在外能展现才华，获得赏识；出行遇高雅场所或人士。</t>
  </si>
  <si>
    <t>朋友、同事多才多艺或有专业技能；社交圈有品味。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</si>
  <si>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。事业上依靠专业技艺或艺术才能，适合技术、艺术、学术类工作。</t>
    </r>
  </si>
  <si>
    <t>家宅布置雅致，可能有艺术品收藏；家庭氛围有文化气息。</t>
  </si>
  <si>
    <t>精神世界丰富，追求高雅的艺术与精神享受。</t>
  </si>
  <si>
    <t>父母有才华或重视教育；遗传到良好的艺术或学术天赋。</t>
  </si>
  <si>
    <t>1. 增强才华清贵组合</t>
  </si>
  <si>
    <r>
      <t>龙池+紫微</t>
    </r>
    <r>
      <rPr>
        <sz val="11"/>
        <color theme="1"/>
        <rFont val="等线"/>
        <family val="2"/>
        <charset val="134"/>
        <scheme val="minor"/>
      </rPr>
      <t>​</t>
    </r>
  </si>
  <si>
    <t>帝王之侧的才华，技艺达到权威水平，或在大型机构担任技术权威。</t>
  </si>
  <si>
    <t>宫廷乐师；国家级工艺美术大师；央企总工程师。</t>
  </si>
  <si>
    <r>
      <t>龙池+太阳</t>
    </r>
    <r>
      <rPr>
        <sz val="11"/>
        <color theme="1"/>
        <rFont val="等线"/>
        <family val="2"/>
        <charset val="134"/>
        <scheme val="minor"/>
      </rPr>
      <t>​</t>
    </r>
  </si>
  <si>
    <t>才华显耀，公开表演或展示，在公众领域获得声誉，如舞台艺术家。</t>
  </si>
  <si>
    <t>著名钢琴家；电视节目主持人；公开课名师。</t>
  </si>
  <si>
    <r>
      <t>龙池+天梁</t>
    </r>
    <r>
      <rPr>
        <sz val="11"/>
        <color theme="1"/>
        <rFont val="等线"/>
        <family val="2"/>
        <charset val="134"/>
        <scheme val="minor"/>
      </rPr>
      <t>​</t>
    </r>
  </si>
  <si>
    <t>清流之才，才华用于学术、医学、法律等清高领域，品格受尊崇。</t>
  </si>
  <si>
    <t>大学教授；老中医；法官。</t>
  </si>
  <si>
    <r>
      <t>龙池+天府</t>
    </r>
    <r>
      <rPr>
        <sz val="11"/>
        <color theme="1"/>
        <rFont val="等线"/>
        <family val="2"/>
        <charset val="134"/>
        <scheme val="minor"/>
      </rPr>
      <t>​</t>
    </r>
  </si>
  <si>
    <t>才华稳重且能积累，技艺精湛并能转化为实际价值与收藏。</t>
  </si>
  <si>
    <t>古董鉴定家；博物馆修复专家；资深架构师。</t>
  </si>
  <si>
    <r>
      <t>龙池+天相</t>
    </r>
    <r>
      <rPr>
        <sz val="11"/>
        <color theme="1"/>
        <rFont val="等线"/>
        <family val="2"/>
        <charset val="134"/>
        <scheme val="minor"/>
      </rPr>
      <t>​</t>
    </r>
  </si>
  <si>
    <t>才华得体、规范，适合设计、策划、文书等需要章法与品味的领域。</t>
  </si>
  <si>
    <t>服装设计师；礼仪导师；标准化制定专家。</t>
  </si>
  <si>
    <t>2. 专业化与技艺组合</t>
  </si>
  <si>
    <r>
      <t>龙池+天机</t>
    </r>
    <r>
      <rPr>
        <sz val="11"/>
        <color theme="1"/>
        <rFont val="等线"/>
        <family val="2"/>
        <charset val="134"/>
        <scheme val="minor"/>
      </rPr>
      <t>​</t>
    </r>
  </si>
  <si>
    <t>灵动之才，思维敏捷，才华体现在策划、编程、精密计算等领域。</t>
  </si>
  <si>
    <t>软件算法专家；战略顾问；围棋国手。</t>
  </si>
  <si>
    <r>
      <t>龙池+武曲</t>
    </r>
    <r>
      <rPr>
        <sz val="11"/>
        <color theme="1"/>
        <rFont val="等线"/>
        <family val="2"/>
        <charset val="134"/>
        <scheme val="minor"/>
      </rPr>
      <t>​</t>
    </r>
  </si>
  <si>
    <t>实干之才，将技艺用于金融、工程、制造等实务领域，技术过硬。</t>
  </si>
  <si>
    <t>外科手术专家；精密机械师；金融交易员。</t>
  </si>
  <si>
    <r>
      <t>龙池+廉贞</t>
    </r>
    <r>
      <rPr>
        <sz val="11"/>
        <color theme="1"/>
        <rFont val="等线"/>
        <family val="2"/>
        <charset val="134"/>
        <scheme val="minor"/>
      </rPr>
      <t>​</t>
    </r>
  </si>
  <si>
    <t>复杂之才，才华用于艺术创作、政治谋略或复杂系统，心思缜密。</t>
  </si>
  <si>
    <t>作曲家；外交家；加密算法专家。</t>
  </si>
  <si>
    <r>
      <t>龙池+太阴</t>
    </r>
    <r>
      <rPr>
        <sz val="11"/>
        <color theme="1"/>
        <rFont val="等线"/>
        <family val="2"/>
        <charset val="134"/>
        <scheme val="minor"/>
      </rPr>
      <t>​</t>
    </r>
  </si>
  <si>
    <t>阴柔之才，才华内敛、细腻，在文学、艺术、心理学、财务分析方面出色。</t>
  </si>
  <si>
    <t>诗人；心理咨询师；珠宝设计师。</t>
  </si>
  <si>
    <r>
      <t>龙池+天同</t>
    </r>
    <r>
      <rPr>
        <sz val="11"/>
        <color theme="1"/>
        <rFont val="等线"/>
        <family val="2"/>
        <charset val="134"/>
        <scheme val="minor"/>
      </rPr>
      <t>​</t>
    </r>
  </si>
  <si>
    <t>享受之才，才华与享受结合，从事休闲、娱乐、美食等让人愉悦的行业。</t>
  </si>
  <si>
    <t>美食家；游戏设计师；旅游体验师。</t>
  </si>
  <si>
    <r>
      <t>龙池+凤阁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</si>
  <si>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。形成“龙凤呈祥”之象，才华与形象俱佳，技艺与品味兼修，大吉之兆。</t>
    </r>
  </si>
  <si>
    <t>才貌双全的艺术家；产品设计与功能俱佳的首席设计师。</t>
  </si>
  <si>
    <r>
      <t>龙池+文昌/文曲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</si>
  <si>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文华汇聚</t>
    </r>
    <r>
      <rPr>
        <sz val="11"/>
        <color theme="1"/>
        <rFont val="等线"/>
        <family val="2"/>
        <charset val="134"/>
        <scheme val="minor"/>
      </rPr>
      <t>。才华横溢，尤其在文学、艺术、学术领域成就斐然，科甲成名。</t>
    </r>
  </si>
  <si>
    <t>文学奖得主；书法大家；学术权威。</t>
  </si>
  <si>
    <r>
      <t>龙池+左辅/右弼</t>
    </r>
    <r>
      <rPr>
        <sz val="11"/>
        <color theme="1"/>
        <rFont val="等线"/>
        <family val="2"/>
        <charset val="134"/>
        <scheme val="minor"/>
      </rPr>
      <t>​</t>
    </r>
  </si>
  <si>
    <t>才华得众人赏识与辅助，能将技艺发扬光大，形成流派或团队。</t>
  </si>
  <si>
    <t>学派创始人；研发团队核心；艺术工作室主理人。</t>
  </si>
  <si>
    <r>
      <t>龙池+天魁/天钺</t>
    </r>
    <r>
      <rPr>
        <sz val="11"/>
        <color theme="1"/>
        <rFont val="等线"/>
        <family val="2"/>
        <charset val="134"/>
        <scheme val="minor"/>
      </rPr>
      <t>​</t>
    </r>
  </si>
  <si>
    <t>因才华而得贵人赏识与提携，在关键比赛中被看中，或得前辈真传。</t>
  </si>
  <si>
    <t>被大师收为关门弟子；在竞赛中被评委破格录取。</t>
  </si>
  <si>
    <r>
      <t>龙池+禄存</t>
    </r>
    <r>
      <rPr>
        <sz val="11"/>
        <color theme="1"/>
        <rFont val="等线"/>
        <family val="2"/>
        <charset val="134"/>
        <scheme val="minor"/>
      </rPr>
      <t>​</t>
    </r>
  </si>
  <si>
    <r>
      <t>技艺生财</t>
    </r>
    <r>
      <rPr>
        <sz val="11"/>
        <color theme="1"/>
        <rFont val="等线"/>
        <family val="2"/>
        <charset val="134"/>
        <scheme val="minor"/>
      </rPr>
      <t>。才华能直接、稳定地转化为财富，靠手艺、专利赚钱。</t>
    </r>
  </si>
  <si>
    <t>知名手工艺人；专利发明人；顶级顾问。</t>
  </si>
  <si>
    <r>
      <t>龙池+火星</t>
    </r>
    <r>
      <rPr>
        <sz val="11"/>
        <color theme="1"/>
        <rFont val="等线"/>
        <family val="2"/>
        <charset val="134"/>
        <scheme val="minor"/>
      </rPr>
      <t>​</t>
    </r>
  </si>
  <si>
    <t>才华爆发力强，表演或创作充满激情，但可能不够持久稳定。</t>
  </si>
  <si>
    <t>即兴演奏家；爆发式创作的画家。</t>
  </si>
  <si>
    <r>
      <t>龙池+铃星</t>
    </r>
    <r>
      <rPr>
        <sz val="11"/>
        <color theme="1"/>
        <rFont val="等线"/>
        <family val="2"/>
        <charset val="134"/>
        <scheme val="minor"/>
      </rPr>
      <t>​</t>
    </r>
  </si>
  <si>
    <t>才华深藏不露，或需经长期磨练、精雕细琢方能显现，擅长精密工艺。</t>
  </si>
  <si>
    <t>潜心多年的匠人；需要反复打磨的雕塑家。</t>
  </si>
  <si>
    <r>
      <t>龙池+擎羊</t>
    </r>
    <r>
      <rPr>
        <sz val="11"/>
        <color theme="1"/>
        <rFont val="等线"/>
        <family val="2"/>
        <charset val="134"/>
        <scheme val="minor"/>
      </rPr>
      <t>​</t>
    </r>
  </si>
  <si>
    <t>才华带有竞争性与锋芒，在竞技、对抗性强的艺术或技术领域出色。</t>
  </si>
  <si>
    <t>竞技围棋手；外科手术专家（需要果断）。</t>
  </si>
  <si>
    <r>
      <t>龙池+陀罗</t>
    </r>
    <r>
      <rPr>
        <sz val="11"/>
        <color theme="1"/>
        <rFont val="等线"/>
        <family val="2"/>
        <charset val="134"/>
        <scheme val="minor"/>
      </rPr>
      <t>​</t>
    </r>
  </si>
  <si>
    <t>才华展现缓慢，但功底深厚，擅长需要反复练习、慢工出细活的领域。</t>
  </si>
  <si>
    <t>书法家（练字数十年）；传统工艺传承人。</t>
  </si>
  <si>
    <r>
      <t>龙池+地空/地劫</t>
    </r>
    <r>
      <rPr>
        <sz val="11"/>
        <color theme="1"/>
        <rFont val="等线"/>
        <family val="2"/>
        <charset val="134"/>
        <scheme val="minor"/>
      </rPr>
      <t>​</t>
    </r>
  </si>
  <si>
    <t>才华奇特、超越时代，但可能不被世俗理解，或技艺有失传风险。</t>
  </si>
  <si>
    <t>实验艺术家；研究冷门古技艺的学者。</t>
  </si>
  <si>
    <r>
      <t>1. “龙”与“凤”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龙池星主“内在才华与技艺”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才能、功底、专业性的体现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凤阁星主“外在形象与装饰”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外貌、打扮、表现力的体现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内外兼修，才貌双全</t>
    </r>
    <r>
      <rPr>
        <sz val="11"/>
        <color theme="1"/>
        <rFont val="等线"/>
        <family val="2"/>
        <charset val="134"/>
        <scheme val="minor"/>
      </rPr>
      <t>，是为“龙凤呈祥”。单见龙池，可能有才而不擅表现。</t>
    </r>
  </si>
  <si>
    <r>
      <t>2. 与“天才”、“文昌文曲”的区别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天才是“天赋星”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与生俱来的聪明才智和领悟力</t>
    </r>
    <r>
      <rPr>
        <sz val="11"/>
        <color theme="1"/>
        <rFont val="等线"/>
        <family val="2"/>
        <charset val="134"/>
        <scheme val="minor"/>
      </rPr>
      <t>，偏重智力。</t>
    </r>
    <r>
      <rPr>
        <b/>
        <sz val="11"/>
        <color theme="1"/>
        <rFont val="等线"/>
        <family val="3"/>
        <charset val="134"/>
        <scheme val="minor"/>
      </rPr>
      <t>龙池是“才艺星”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后天可修炼的高雅技艺与专业能力</t>
    </r>
    <r>
      <rPr>
        <sz val="11"/>
        <color theme="1"/>
        <rFont val="等线"/>
        <family val="2"/>
        <charset val="134"/>
        <scheme val="minor"/>
      </rPr>
      <t>，偏重技能。</t>
    </r>
    <r>
      <rPr>
        <b/>
        <sz val="11"/>
        <color theme="1"/>
        <rFont val="等线"/>
        <family val="3"/>
        <charset val="134"/>
        <scheme val="minor"/>
      </rPr>
      <t>文昌、文曲是“文化星”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通过学习获得的文学艺术才能与功名</t>
    </r>
    <r>
      <rPr>
        <sz val="11"/>
        <color theme="1"/>
        <rFont val="等线"/>
        <family val="2"/>
        <charset val="134"/>
        <scheme val="minor"/>
      </rPr>
      <t>。天才更重“慧根”，龙池更重“手艺”，文昌文曲更重“学问”。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</si>
  <si>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：龙池星所在宫位，指示在人生的哪个领域拥有特殊的才华或技艺，或个人最擅长发挥其专业能力的方面。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</si>
  <si>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，才华能生财，技艺带来丰厚收入，作品畅销。见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，才华能掌权，成为技术权威、艺术领袖，技艺精湛到可制定标准。见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，才华能扬名，因技艺获得声誉、奖项与广泛认可。见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怀才不遇</t>
    </r>
    <r>
      <rPr>
        <sz val="11"/>
        <color theme="1"/>
        <rFont val="等线"/>
        <family val="2"/>
        <charset val="134"/>
        <scheme val="minor"/>
      </rPr>
      <t>，才华受挫，技艺生疏，或因才招妒。</t>
    </r>
  </si>
  <si>
    <t>一、凤阁定义</t>
  </si>
  <si>
    <t>外貌、装饰、建筑、艺术、品味</t>
  </si>
  <si>
    <t>象征外在的形象、装饰、建筑艺术、审美品味以及一切美化、修饰的事物。其性质主吉，代表美观、优雅与格调。</t>
  </si>
  <si>
    <t>乙级星，属阳土。主吉，为外貌、装饰、艺术之星。喜与龙池同会，力量增强。其美需有实质（吉星）支撑，否则易流于虚浮。</t>
  </si>
  <si>
    <r>
      <t>外貌俊美</t>
    </r>
    <r>
      <rPr>
        <sz val="11"/>
        <color theme="1"/>
        <rFont val="等线"/>
        <family val="2"/>
        <charset val="134"/>
        <scheme val="minor"/>
      </rPr>
      <t>​</t>
    </r>
  </si>
  <si>
    <t>长相清秀、端庄、有气质，注重仪表，给人良好的第一印象。</t>
  </si>
  <si>
    <t>在命宫、迁移宫时尤为明显。</t>
  </si>
  <si>
    <r>
      <t>装饰美化</t>
    </r>
    <r>
      <rPr>
        <sz val="11"/>
        <color theme="1"/>
        <rFont val="等线"/>
        <family val="2"/>
        <charset val="134"/>
        <scheme val="minor"/>
      </rPr>
      <t>​</t>
    </r>
  </si>
  <si>
    <t>擅长装饰、打扮、设计，能使事物或环境变得美观、有格调。</t>
  </si>
  <si>
    <t>与太阴、天相同度时力量强。</t>
  </si>
  <si>
    <r>
      <t>建筑艺术</t>
    </r>
    <r>
      <rPr>
        <sz val="11"/>
        <color theme="1"/>
        <rFont val="等线"/>
        <family val="2"/>
        <charset val="134"/>
        <scheme val="minor"/>
      </rPr>
      <t>​</t>
    </r>
  </si>
  <si>
    <t>对建筑、空间、造型有审美和才能，可能从事相关行业。</t>
  </si>
  <si>
    <t>在田宅宫、官禄宫时显著。</t>
  </si>
  <si>
    <r>
      <t>审美品味</t>
    </r>
    <r>
      <rPr>
        <sz val="11"/>
        <color theme="1"/>
        <rFont val="等线"/>
        <family val="2"/>
        <charset val="134"/>
        <scheme val="minor"/>
      </rPr>
      <t>​</t>
    </r>
  </si>
  <si>
    <t>对美有独到见解，追求生活品味，喜爱艺术、收藏。</t>
  </si>
  <si>
    <t>与天府、天梁同会时显现。</t>
  </si>
  <si>
    <r>
      <t>外在形象</t>
    </r>
    <r>
      <rPr>
        <sz val="11"/>
        <color theme="1"/>
        <rFont val="等线"/>
        <family val="2"/>
        <charset val="134"/>
        <scheme val="minor"/>
      </rPr>
      <t>​</t>
    </r>
  </si>
  <si>
    <t>注重个人形象与社会评价，言行举止得体、优雅。</t>
  </si>
  <si>
    <t>在交友宫、父母宫时体现。</t>
  </si>
  <si>
    <t>相貌端正，气质优雅，注重外表与礼仪，有艺术天赋。</t>
  </si>
  <si>
    <t>兄弟姐妹外貌好或有品味；在团队中负责形象、设计工作。</t>
  </si>
  <si>
    <t>配偶相貌出众，或注重生活情调与家居布置。</t>
  </si>
  <si>
    <t>子女长相可爱；合作项目具有美观性或设计感。</t>
  </si>
  <si>
    <t>钱财用于装饰、美容、艺术消费，或通过设计、美容行业赚钱。</t>
  </si>
  <si>
    <t>注重身体保养与美容，气质好，但易有皮肤、外貌相关的小疾。</t>
  </si>
  <si>
    <t>在外形象佳，易给人好印象，出入高雅场所。</t>
  </si>
  <si>
    <t>朋友、同事多外貌出众或有品味之人；社交圈注重形象。</t>
  </si>
  <si>
    <r>
      <t>核心宫位</t>
    </r>
    <r>
      <rPr>
        <sz val="11"/>
        <color theme="1"/>
        <rFont val="等线"/>
        <family val="2"/>
        <charset val="134"/>
        <scheme val="minor"/>
      </rPr>
      <t>。事业与设计、建筑、美容、艺术、装饰等行业相关。</t>
    </r>
  </si>
  <si>
    <t>家宅美观、装修雅致，可能靠近地标建筑或风景优美处。</t>
  </si>
  <si>
    <t>精神追求美与艺术，享受视觉与感官的愉悦。</t>
  </si>
  <si>
    <t>父母相貌好或有品味；家庭环境布置优雅，重视形象教育。</t>
  </si>
  <si>
    <t>1. 增强外貌品味组合</t>
  </si>
  <si>
    <r>
      <t>凤阁+紫微</t>
    </r>
    <r>
      <rPr>
        <sz val="11"/>
        <color theme="1"/>
        <rFont val="等线"/>
        <family val="2"/>
        <charset val="134"/>
        <scheme val="minor"/>
      </rPr>
      <t>​</t>
    </r>
  </si>
  <si>
    <t>尊贵之美，相貌堂堂，有威仪，或从事权威性、大型的建筑设计。</t>
  </si>
  <si>
    <t>帝王之相；国家大剧院的设计师；大型地产项目总规划。</t>
  </si>
  <si>
    <r>
      <t>凤阁+太阳</t>
    </r>
    <r>
      <rPr>
        <sz val="11"/>
        <color theme="1"/>
        <rFont val="等线"/>
        <family val="2"/>
        <charset val="134"/>
        <scheme val="minor"/>
      </rPr>
      <t>​</t>
    </r>
  </si>
  <si>
    <t>光彩照人之美，形象阳光、开朗，或从事需要公开露面的光鲜行业。</t>
  </si>
  <si>
    <t>明星；主持人；形象阳光的公众人物。</t>
  </si>
  <si>
    <r>
      <t>凤阁+天梁</t>
    </r>
    <r>
      <rPr>
        <sz val="11"/>
        <color theme="1"/>
        <rFont val="等线"/>
        <family val="2"/>
        <charset val="134"/>
        <scheme val="minor"/>
      </rPr>
      <t>​</t>
    </r>
  </si>
  <si>
    <t>清秀脱俗之美，气质清高，有古典或学术气质，或从事古建修复、文物设计。</t>
  </si>
  <si>
    <t>有书卷气的学者；古建筑设计师；博物馆陈列设计师。</t>
  </si>
  <si>
    <r>
      <t>凤阁+天府</t>
    </r>
    <r>
      <rPr>
        <sz val="11"/>
        <color theme="1"/>
        <rFont val="等线"/>
        <family val="2"/>
        <charset val="134"/>
        <scheme val="minor"/>
      </rPr>
      <t>​</t>
    </r>
  </si>
  <si>
    <t>雍容华贵之美，形象稳重富态，品味高雅，或从事高端室内设计、奢侈品行业。</t>
  </si>
  <si>
    <t>贵妇人形象；高端会所设计师；珠宝设计师。</t>
  </si>
  <si>
    <r>
      <t>凤阁+天相</t>
    </r>
    <r>
      <rPr>
        <sz val="11"/>
        <color theme="1"/>
        <rFont val="等线"/>
        <family val="2"/>
        <charset val="134"/>
        <scheme val="minor"/>
      </rPr>
      <t>​</t>
    </r>
  </si>
  <si>
    <t>得体和谐之美，形象端庄，打扮得体，或从事服装设计、形象顾问行业。</t>
  </si>
  <si>
    <t>外交官形象；高级定制服装设计师；礼仪培训师。</t>
  </si>
  <si>
    <t>2. 专业化与艺术组合</t>
  </si>
  <si>
    <r>
      <t>凤阁+天机</t>
    </r>
    <r>
      <rPr>
        <sz val="11"/>
        <color theme="1"/>
        <rFont val="等线"/>
        <family val="2"/>
        <charset val="134"/>
        <scheme val="minor"/>
      </rPr>
      <t>​</t>
    </r>
  </si>
  <si>
    <t>灵动精巧之美，形象机敏，或从事时尚、广告、新媒体等需要快速审美的行业。</t>
  </si>
  <si>
    <t>时尚买手；广告创意总监；UI/UX设计师。</t>
  </si>
  <si>
    <r>
      <t>凤阁+武曲</t>
    </r>
    <r>
      <rPr>
        <sz val="11"/>
        <color theme="1"/>
        <rFont val="等线"/>
        <family val="2"/>
        <charset val="134"/>
        <scheme val="minor"/>
      </rPr>
      <t>​</t>
    </r>
  </si>
  <si>
    <t>冷峻干练之美，形象硬朗，或从事工业设计、机械造型、金融领域的形象工作。</t>
  </si>
  <si>
    <t>汽车设计师；硬朗风格的模特；银行形象代言人。</t>
  </si>
  <si>
    <r>
      <t>凤阁+廉贞</t>
    </r>
    <r>
      <rPr>
        <sz val="11"/>
        <color theme="1"/>
        <rFont val="等线"/>
        <family val="2"/>
        <charset val="134"/>
        <scheme val="minor"/>
      </rPr>
      <t>​</t>
    </r>
  </si>
  <si>
    <t>艳丽精致之美，形象出众且带魅力，或从事彩妆、艺术、复杂图案设计。</t>
  </si>
  <si>
    <t>化妆师；画家；纹身设计师。</t>
  </si>
  <si>
    <r>
      <t>凤阁+太阴</t>
    </r>
    <r>
      <rPr>
        <sz val="11"/>
        <color theme="1"/>
        <rFont val="等线"/>
        <family val="2"/>
        <charset val="134"/>
        <scheme val="minor"/>
      </rPr>
      <t>​</t>
    </r>
  </si>
  <si>
    <t>阴柔婉约之美，形象温婉，或从事家居软装、女性用品设计、月光相关艺术。</t>
  </si>
  <si>
    <t>室内软装设计师；女性品牌创始人；夜景灯光设计师。</t>
  </si>
  <si>
    <r>
      <t>凤阁+天同</t>
    </r>
    <r>
      <rPr>
        <sz val="11"/>
        <color theme="1"/>
        <rFont val="等线"/>
        <family val="2"/>
        <charset val="134"/>
        <scheme val="minor"/>
      </rPr>
      <t>​</t>
    </r>
  </si>
  <si>
    <t>福气可爱之美，形象亲和，或从事童装、玩具、休闲娱乐空间设计。</t>
  </si>
  <si>
    <t>卡通形象设计师；游乐场设计师；甜品店老板（注重店面美观）。</t>
  </si>
  <si>
    <r>
      <t>凤阁+龙池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</si>
  <si>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对星，力量倍增</t>
    </r>
    <r>
      <rPr>
        <sz val="11"/>
        <color theme="1"/>
        <rFont val="等线"/>
        <family val="2"/>
        <charset val="134"/>
        <scheme val="minor"/>
      </rPr>
      <t>。形成“龙凤呈祥”之象，才貌双全，技艺与品味兼备，大吉之兆。</t>
    </r>
  </si>
  <si>
    <t>既是建筑大师又是美学大师；产品功能与外观俱佳的设计师。</t>
  </si>
  <si>
    <r>
      <t>凤阁+文昌/文曲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</si>
  <si>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文采风流</t>
    </r>
    <r>
      <rPr>
        <sz val="11"/>
        <color theme="1"/>
        <rFont val="等线"/>
        <family val="2"/>
        <charset val="134"/>
        <scheme val="minor"/>
      </rPr>
      <t>。外貌与才华并重，有书卷气，在文学、艺术领域形象与内涵俱佳。</t>
    </r>
  </si>
  <si>
    <t>文人雅士；形象好又有才华的作家或艺术家。</t>
  </si>
  <si>
    <r>
      <t>凤阁+左辅/右弼</t>
    </r>
    <r>
      <rPr>
        <sz val="11"/>
        <color theme="1"/>
        <rFont val="等线"/>
        <family val="2"/>
        <charset val="134"/>
        <scheme val="minor"/>
      </rPr>
      <t>​</t>
    </r>
  </si>
  <si>
    <t>形象得众人赞美与扶持，能引领潮流或成为公众喜爱的形象代表。</t>
  </si>
  <si>
    <t>受欢迎的偶像；形象良好的品牌代言人。</t>
  </si>
  <si>
    <r>
      <t>凤阁+天魁/天钺</t>
    </r>
    <r>
      <rPr>
        <sz val="11"/>
        <color theme="1"/>
        <rFont val="等线"/>
        <family val="2"/>
        <charset val="134"/>
        <scheme val="minor"/>
      </rPr>
      <t>​</t>
    </r>
  </si>
  <si>
    <t>因外貌气质佳而得贵人赏识，或因形象好获得机遇。</t>
  </si>
  <si>
    <t>因形象好被选为模特或演员；因仪表堂堂被领导提拔为公关。</t>
  </si>
  <si>
    <r>
      <t>凤阁+禄存</t>
    </r>
    <r>
      <rPr>
        <sz val="11"/>
        <color theme="1"/>
        <rFont val="等线"/>
        <family val="2"/>
        <charset val="134"/>
        <scheme val="minor"/>
      </rPr>
      <t>​</t>
    </r>
  </si>
  <si>
    <r>
      <t>美貌生财</t>
    </r>
    <r>
      <rPr>
        <sz val="11"/>
        <color theme="1"/>
        <rFont val="等线"/>
        <family val="2"/>
        <charset val="134"/>
        <scheme val="minor"/>
      </rPr>
      <t>。形象能直接带来财富，适合靠外貌、形象吃饭的行业。</t>
    </r>
  </si>
  <si>
    <t>超模；形象顾问；美容院老板。</t>
  </si>
  <si>
    <r>
      <t>凤阁+火星</t>
    </r>
    <r>
      <rPr>
        <sz val="11"/>
        <color theme="1"/>
        <rFont val="等线"/>
        <family val="2"/>
        <charset val="134"/>
        <scheme val="minor"/>
      </rPr>
      <t>​</t>
    </r>
  </si>
  <si>
    <t>形象鲜明、热烈，打扮时尚前卫，但可能变化快或不稳定。</t>
  </si>
  <si>
    <t>潮流先锋；造型夸张的摇滚歌手。</t>
  </si>
  <si>
    <r>
      <t>凤阁+铃星</t>
    </r>
    <r>
      <rPr>
        <sz val="11"/>
        <color theme="1"/>
        <rFont val="等线"/>
        <family val="2"/>
        <charset val="134"/>
        <scheme val="minor"/>
      </rPr>
      <t>​</t>
    </r>
  </si>
  <si>
    <t>形象精致、注重细节，打扮有巧思，或风格独特、小众。</t>
  </si>
  <si>
    <t>注重细节的造型师；复古或哥特风格爱好者。</t>
  </si>
  <si>
    <r>
      <t>凤阁+擎羊</t>
    </r>
    <r>
      <rPr>
        <sz val="11"/>
        <color theme="1"/>
        <rFont val="等线"/>
        <family val="2"/>
        <charset val="134"/>
        <scheme val="minor"/>
      </rPr>
      <t>​</t>
    </r>
  </si>
  <si>
    <t>形象有锋芒、有个性，可能带有侵略性或醒目特征，如明显疤痕（装饰性）。</t>
  </si>
  <si>
    <t>纹身很多的潮人；形象硬朗的军人或运动员。</t>
  </si>
  <si>
    <r>
      <t>凤阁+陀罗</t>
    </r>
    <r>
      <rPr>
        <sz val="11"/>
        <color theme="1"/>
        <rFont val="等线"/>
        <family val="2"/>
        <charset val="134"/>
        <scheme val="minor"/>
      </rPr>
      <t>​</t>
    </r>
  </si>
  <si>
    <t>形象风格转变慢，怀旧，或打扮上有些过时但自成一体。</t>
  </si>
  <si>
    <t>一直保持某种经典风格的人；古着爱好者。</t>
  </si>
  <si>
    <r>
      <t>凤阁+地空/地劫</t>
    </r>
    <r>
      <rPr>
        <sz val="11"/>
        <color theme="1"/>
        <rFont val="等线"/>
        <family val="2"/>
        <charset val="134"/>
        <scheme val="minor"/>
      </rPr>
      <t>​</t>
    </r>
  </si>
  <si>
    <t>形象奇特、超越常规，审美与众不同，或打扮不修边幅但别有风格。</t>
  </si>
  <si>
    <t>前卫艺术家；崇尚自然、不刻意打扮的修行者。</t>
  </si>
  <si>
    <r>
      <t>1. “凤”与“龙”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凤阁星主“外在形象与装饰”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外貌、打扮、表现力、美观度的体现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龙池星主“内在才华与技艺”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才能、功底、专业性的体现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内外兼修，才貌双全</t>
    </r>
    <r>
      <rPr>
        <sz val="11"/>
        <color theme="1"/>
        <rFont val="等线"/>
        <family val="2"/>
        <charset val="134"/>
        <scheme val="minor"/>
      </rPr>
      <t>，是为“龙凤呈祥”。单见凤阁，可能重外表而内才稍欠。</t>
    </r>
  </si>
  <si>
    <r>
      <t>2. 与“天相”、“文昌文曲”的区别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天相是“印星”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得体的举止、可靠的形象与协调能力</t>
    </r>
    <r>
      <rPr>
        <sz val="11"/>
        <color theme="1"/>
        <rFont val="等线"/>
        <family val="2"/>
        <charset val="134"/>
        <scheme val="minor"/>
      </rPr>
      <t>，更偏向内在气质与办事能力。</t>
    </r>
    <r>
      <rPr>
        <b/>
        <sz val="11"/>
        <color theme="1"/>
        <rFont val="等线"/>
        <family val="3"/>
        <charset val="134"/>
        <scheme val="minor"/>
      </rPr>
      <t>凤阁是“装饰星”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外在的美丽、装饰艺术与审美</t>
    </r>
    <r>
      <rPr>
        <sz val="11"/>
        <color theme="1"/>
        <rFont val="等线"/>
        <family val="2"/>
        <charset val="134"/>
        <scheme val="minor"/>
      </rPr>
      <t>，更偏向视觉表现。</t>
    </r>
    <r>
      <rPr>
        <b/>
        <sz val="11"/>
        <color theme="1"/>
        <rFont val="等线"/>
        <family val="3"/>
        <charset val="134"/>
        <scheme val="minor"/>
      </rPr>
      <t>文昌、文曲是“文化星”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书卷气与文化内涵</t>
    </r>
    <r>
      <rPr>
        <sz val="11"/>
        <color theme="1"/>
        <rFont val="等线"/>
        <family val="2"/>
        <charset val="134"/>
        <scheme val="minor"/>
      </rPr>
      <t>。天相是“端庄可靠”，凤阁是“漂亮好看”，文昌文曲是“文雅有才”。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</si>
  <si>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：凤阁星所在宫位，指示在人生的哪个领域注重形象与美观，或个人最擅长发挥其审美与装饰能力的方面。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</si>
  <si>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，形象带来财富，靠外貌、设计赚钱，审美有市场价值。见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，对形象有主导权，能定义审美标准，成为时尚权威。见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，形象好带来名声，以美貌或设计闻名，受人追捧。见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为形象所累</t>
    </r>
    <r>
      <rPr>
        <sz val="11"/>
        <color theme="1"/>
        <rFont val="等线"/>
        <family val="2"/>
        <charset val="134"/>
        <scheme val="minor"/>
      </rPr>
      <t>，过度在意外表，或形象受损，审美不被认可。</t>
    </r>
  </si>
  <si>
    <t>一、孤辰定义</t>
  </si>
  <si>
    <t>孤独、孤僻、分离、独立</t>
  </si>
  <si>
    <t>象征性格上的孤僻、喜欢独处、不喜热闹，以及际遇上的分离、独居、缘分淡薄。其性质主凶，带来孤独感与疏离。</t>
  </si>
  <si>
    <t>乙级星，属阳火。主凶，为孤独、分离、刑克之星。喜与天喜、红鸾等桃花星同度化解，也喜与积极主星（如太阳、七杀）同会以主动破孤。</t>
  </si>
  <si>
    <r>
      <t>性格孤僻</t>
    </r>
    <r>
      <rPr>
        <sz val="11"/>
        <color theme="1"/>
        <rFont val="等线"/>
        <family val="2"/>
        <charset val="134"/>
        <scheme val="minor"/>
      </rPr>
      <t>​</t>
    </r>
  </si>
  <si>
    <t>性格内向、沉默寡言、不喜交际、习惯独来独往。</t>
  </si>
  <si>
    <r>
      <t>喜欢独处</t>
    </r>
    <r>
      <rPr>
        <sz val="11"/>
        <color theme="1"/>
        <rFont val="等线"/>
        <family val="2"/>
        <charset val="134"/>
        <scheme val="minor"/>
      </rPr>
      <t>​</t>
    </r>
  </si>
  <si>
    <t>享受一个人的时光，在独处时感到自在，厌恶嘈杂环境。</t>
  </si>
  <si>
    <t>与天梁、巨门等星同度时力量强。</t>
  </si>
  <si>
    <r>
      <t>容易分离</t>
    </r>
    <r>
      <rPr>
        <sz val="11"/>
        <color theme="1"/>
        <rFont val="等线"/>
        <family val="2"/>
        <charset val="134"/>
        <scheme val="minor"/>
      </rPr>
      <t>​</t>
    </r>
  </si>
  <si>
    <t>人生易与亲人、朋友、伴侣产生地理或心理上的疏离。</t>
  </si>
  <si>
    <t>在六亲宫位（夫妻、子女、兄弟）时显著。</t>
  </si>
  <si>
    <r>
      <t>独立自主</t>
    </r>
    <r>
      <rPr>
        <sz val="11"/>
        <color theme="1"/>
        <rFont val="等线"/>
        <family val="2"/>
        <charset val="134"/>
        <scheme val="minor"/>
      </rPr>
      <t>​</t>
    </r>
  </si>
  <si>
    <t>凡事喜欢靠自己，不轻易依赖他人，有强烈的独立性。</t>
  </si>
  <si>
    <t>与武曲、紫微等星同会时显现。</t>
  </si>
  <si>
    <r>
      <t>思考深入</t>
    </r>
    <r>
      <rPr>
        <sz val="11"/>
        <color theme="1"/>
        <rFont val="等线"/>
        <family val="2"/>
        <charset val="134"/>
        <scheme val="minor"/>
      </rPr>
      <t>​</t>
    </r>
  </si>
  <si>
    <t>因孤独而善于思考，思想可能较常人深刻或独特。</t>
  </si>
  <si>
    <t>与天机、太阴同度时体现。</t>
  </si>
  <si>
    <t>性格孤高，不喜迎合，一生心态上常有孤独感，朋友少。</t>
  </si>
  <si>
    <t>与兄弟姐妹缘薄，感情疏远，或各自独立发展，少有助力。</t>
  </si>
  <si>
    <t>配偶性格孤僻，或夫妻聚少离多，沟通不畅，易感孤独。</t>
  </si>
  <si>
    <t>子女数目少，或与子女缘分浅，子女长大后远离自己。</t>
  </si>
  <si>
    <t>喜欢独立经营，不喜与人合伙求财，钱财来源多靠一己之力。</t>
  </si>
  <si>
    <t>易有孤僻导致的情绪病，如抑郁症、自闭倾向，或喜静不喜动。</t>
  </si>
  <si>
    <t>在外独来独往，不喜应酬，外出时易感到孤单。</t>
  </si>
  <si>
    <t>朋友稀少，知己难求，人际关系疏淡，社交圈狭窄。</t>
  </si>
  <si>
    <t>适合独立作业、研究、幕后或不需与人密切配合的工作。</t>
  </si>
  <si>
    <t>家庭人口简单，喜欢清静的居住环境，或常独自在家。</t>
  </si>
  <si>
    <r>
      <t>核心宫位</t>
    </r>
    <r>
      <rPr>
        <sz val="11"/>
        <color theme="1"/>
        <rFont val="等线"/>
        <family val="2"/>
        <charset val="134"/>
        <scheme val="minor"/>
      </rPr>
      <t>。内心世界孤独，精神独立，享受独处的精神生活。</t>
    </r>
  </si>
  <si>
    <t>与父母缘分较淡，可能早年离家，或与父母有代沟、疏离。</t>
  </si>
  <si>
    <t>1. 增强孤独倾向组合</t>
  </si>
  <si>
    <r>
      <t>孤辰+紫微</t>
    </r>
    <r>
      <rPr>
        <sz val="11"/>
        <color theme="1"/>
        <rFont val="等线"/>
        <family val="2"/>
        <charset val="134"/>
        <scheme val="minor"/>
      </rPr>
      <t>​</t>
    </r>
  </si>
  <si>
    <t>孤高的帝王，位高权重但内心孤独，高处不胜寒。</t>
  </si>
  <si>
    <t>孤独的领导者；离群索居的权威学者。</t>
  </si>
  <si>
    <r>
      <t>孤辰+天机</t>
    </r>
    <r>
      <rPr>
        <sz val="11"/>
        <color theme="1"/>
        <rFont val="等线"/>
        <family val="2"/>
        <charset val="134"/>
        <scheme val="minor"/>
      </rPr>
      <t>​</t>
    </r>
  </si>
  <si>
    <t>孤独的思考者，思维活跃但不愿与人分享，喜独自钻研。</t>
  </si>
  <si>
    <t>隐居的科学家；独自旅行的哲学家。</t>
  </si>
  <si>
    <r>
      <t>孤辰+太阳</t>
    </r>
    <r>
      <rPr>
        <sz val="11"/>
        <color theme="1"/>
        <rFont val="等线"/>
        <family val="2"/>
        <charset val="134"/>
        <scheme val="minor"/>
      </rPr>
      <t>​</t>
    </r>
  </si>
  <si>
    <t>外表热情，内心孤独（“阳中孤”），奉献付出却感无人理解。</t>
  </si>
  <si>
    <t>热心公益却感到孤独的志愿者；忙碌的明星私下很孤单。</t>
  </si>
  <si>
    <r>
      <t>孤辰+武曲</t>
    </r>
    <r>
      <rPr>
        <sz val="11"/>
        <color theme="1"/>
        <rFont val="等线"/>
        <family val="2"/>
        <charset val="134"/>
        <scheme val="minor"/>
      </rPr>
      <t>​</t>
    </r>
  </si>
  <si>
    <t>孤刚的实干者，做事独断，不喜求人，在金钱事业上独立。</t>
  </si>
  <si>
    <t>独自创业的企业家；喜欢单干的技术专家。</t>
  </si>
  <si>
    <r>
      <t>孤辰+天同</t>
    </r>
    <r>
      <rPr>
        <sz val="11"/>
        <color theme="1"/>
        <rFont val="等线"/>
        <family val="2"/>
        <charset val="134"/>
        <scheme val="minor"/>
      </rPr>
      <t>​</t>
    </r>
  </si>
  <si>
    <t>孤独的享乐者，虽追求福乐，但更享受一个人的清福。</t>
  </si>
  <si>
    <t>独自品茶赏花的退休者；喜欢单人旅行的背包客。</t>
  </si>
  <si>
    <r>
      <t>孤辰+廉贞</t>
    </r>
    <r>
      <rPr>
        <sz val="11"/>
        <color theme="1"/>
        <rFont val="等线"/>
        <family val="2"/>
        <charset val="134"/>
        <scheme val="minor"/>
      </rPr>
      <t>​</t>
    </r>
  </si>
  <si>
    <t>孤独的囚徒，心思复杂深沉，感情上自我封闭，难与人交心。</t>
  </si>
  <si>
    <t>深居简出的艺术家；内心纠结的谋士。</t>
  </si>
  <si>
    <r>
      <t>孤辰+天府</t>
    </r>
    <r>
      <rPr>
        <sz val="11"/>
        <color theme="1"/>
        <rFont val="等线"/>
        <family val="2"/>
        <charset val="134"/>
        <scheme val="minor"/>
      </rPr>
      <t>​</t>
    </r>
  </si>
  <si>
    <t>孤独的守成者，享受一个人的富足与安稳，不喜被打扰。</t>
  </si>
  <si>
    <t>独自管理庞大资产的富翁；喜欢宅在家里的收藏家。</t>
  </si>
  <si>
    <r>
      <t>孤辰+太阴</t>
    </r>
    <r>
      <rPr>
        <sz val="11"/>
        <color theme="1"/>
        <rFont val="等线"/>
        <family val="2"/>
        <charset val="134"/>
        <scheme val="minor"/>
      </rPr>
      <t>​</t>
    </r>
  </si>
  <si>
    <t>孤独的隐士，内心细腻敏感，喜静，逃避喧嚣人群。</t>
  </si>
  <si>
    <t>隐居的作家；夜间独自工作的程序员。</t>
  </si>
  <si>
    <r>
      <t>孤辰+贪狼</t>
    </r>
    <r>
      <rPr>
        <sz val="11"/>
        <color theme="1"/>
        <rFont val="等线"/>
        <family val="2"/>
        <charset val="134"/>
        <scheme val="minor"/>
      </rPr>
      <t>​</t>
    </r>
  </si>
  <si>
    <t>孤独的欲望者，外表热闹，内心空虚，狂欢后的孤独感更甚。</t>
  </si>
  <si>
    <t>在社交场合活跃，回家后倍感孤单的人。</t>
  </si>
  <si>
    <r>
      <t>孤辰+巨门</t>
    </r>
    <r>
      <rPr>
        <sz val="11"/>
        <color theme="1"/>
        <rFont val="等线"/>
        <family val="2"/>
        <charset val="134"/>
        <scheme val="minor"/>
      </rPr>
      <t>​</t>
    </r>
  </si>
  <si>
    <t>孤独的暗星，因口舌是非或思想阴暗而主动疏离人群。</t>
  </si>
  <si>
    <t>因言论被孤立者；喜欢研究神秘学的独行者。</t>
  </si>
  <si>
    <r>
      <t>孤辰+天相</t>
    </r>
    <r>
      <rPr>
        <sz val="11"/>
        <color theme="1"/>
        <rFont val="等线"/>
        <family val="2"/>
        <charset val="134"/>
        <scheme val="minor"/>
      </rPr>
      <t>​</t>
    </r>
  </si>
  <si>
    <t>孤独的辅佐者，虽善于协调，但内心感到无人真正理解自己。</t>
  </si>
  <si>
    <t>独自处理大量协调工作的秘书长。</t>
  </si>
  <si>
    <r>
      <t>孤辰+天梁</t>
    </r>
    <r>
      <rPr>
        <sz val="11"/>
        <color theme="1"/>
        <rFont val="等线"/>
        <family val="2"/>
        <charset val="134"/>
        <scheme val="minor"/>
      </rPr>
      <t>​</t>
    </r>
  </si>
  <si>
    <t>孤独的荫星，喜欢孤芳自赏，清高孤傲，乐于助人但保持距离。</t>
  </si>
  <si>
    <t>离群索居的修行者；独来独往的老中医。</t>
  </si>
  <si>
    <r>
      <t>孤辰+七杀</t>
    </r>
    <r>
      <rPr>
        <sz val="11"/>
        <color theme="1"/>
        <rFont val="等线"/>
        <family val="2"/>
        <charset val="134"/>
        <scheme val="minor"/>
      </rPr>
      <t>​</t>
    </r>
  </si>
  <si>
    <t>孤独的将军，习惯独当一面，冲锋陷阵，不屑与庸人为伍。</t>
  </si>
  <si>
    <t>独自负责重要项目的经理；喜欢单人冒险的探险家。</t>
  </si>
  <si>
    <r>
      <t>孤辰+破军</t>
    </r>
    <r>
      <rPr>
        <sz val="11"/>
        <color theme="1"/>
        <rFont val="等线"/>
        <family val="2"/>
        <charset val="134"/>
        <scheme val="minor"/>
      </rPr>
      <t>​</t>
    </r>
  </si>
  <si>
    <t>孤独的先锋，喜破旧立新，但行动常不被人理解，感到孤立。</t>
  </si>
  <si>
    <t>独自进行激进改革的先锋；特立独行的发明家。</t>
  </si>
  <si>
    <r>
      <t>孤辰+寡宿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</si>
  <si>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对星，孤独倍增</t>
    </r>
    <r>
      <rPr>
        <sz val="11"/>
        <color theme="1"/>
        <rFont val="等线"/>
        <family val="2"/>
        <charset val="134"/>
        <scheme val="minor"/>
      </rPr>
      <t>。形成“孤寡双星”之象，内心与际遇皆孤，六亲缘薄，独处倾向极强。</t>
    </r>
  </si>
  <si>
    <t>终身未婚的独居者；远离家人的修行僧道。</t>
  </si>
  <si>
    <r>
      <t>孤辰+左辅/右弼</t>
    </r>
    <r>
      <rPr>
        <sz val="11"/>
        <color theme="1"/>
        <rFont val="等线"/>
        <family val="2"/>
        <charset val="134"/>
        <scheme val="minor"/>
      </rPr>
      <t>​</t>
    </r>
  </si>
  <si>
    <t>表面有助力，内心仍感孤独，或助手虽多却难交心。</t>
  </si>
  <si>
    <t>被下属环绕但无真心朋友的老板。</t>
  </si>
  <si>
    <r>
      <t>孤辰+文昌/文曲</t>
    </r>
    <r>
      <rPr>
        <sz val="11"/>
        <color theme="1"/>
        <rFont val="等线"/>
        <family val="2"/>
        <charset val="134"/>
        <scheme val="minor"/>
      </rPr>
      <t>​</t>
    </r>
  </si>
  <si>
    <t>孤独的文人，在文学、艺术创作中享受孤独，思想独特。</t>
  </si>
  <si>
    <t>离群索居的作家；独自创作的画家。</t>
  </si>
  <si>
    <r>
      <t>孤辰+天魁/天钺</t>
    </r>
    <r>
      <rPr>
        <sz val="11"/>
        <color theme="1"/>
        <rFont val="等线"/>
        <family val="2"/>
        <charset val="134"/>
        <scheme val="minor"/>
      </rPr>
      <t>​</t>
    </r>
  </si>
  <si>
    <t>虽有贵人，但关系疏淡，或贵人帮助后便各自分开，缘分不深。</t>
  </si>
  <si>
    <t>得到关键帮助后便不再联系的创业者。</t>
  </si>
  <si>
    <r>
      <t>孤辰+禄存</t>
    </r>
    <r>
      <rPr>
        <sz val="11"/>
        <color theme="1"/>
        <rFont val="等线"/>
        <family val="2"/>
        <charset val="134"/>
        <scheme val="minor"/>
      </rPr>
      <t>​</t>
    </r>
  </si>
  <si>
    <t>孤独的富人，喜欢独自管理财富，或因孤独而积累财富。</t>
  </si>
  <si>
    <t>独自经营产业的富翁；守财奴。</t>
  </si>
  <si>
    <r>
      <t>孤辰+火星</t>
    </r>
    <r>
      <rPr>
        <sz val="11"/>
        <color theme="1"/>
        <rFont val="等线"/>
        <family val="2"/>
        <charset val="134"/>
        <scheme val="minor"/>
      </rPr>
      <t>​</t>
    </r>
  </si>
  <si>
    <t>孤独带暴烈，因脾气暴躁、冲动而与人冲突，导致孤立。</t>
  </si>
  <si>
    <t>因易怒而众叛亲离的人。</t>
  </si>
  <si>
    <r>
      <t>孤辰+铃星</t>
    </r>
    <r>
      <rPr>
        <sz val="11"/>
        <color theme="1"/>
        <rFont val="等线"/>
        <family val="2"/>
        <charset val="134"/>
        <scheme val="minor"/>
      </rPr>
      <t>​</t>
    </r>
  </si>
  <si>
    <t>孤独带计较，因心思细密、计较得失而与人疏远。</t>
  </si>
  <si>
    <t>因算计而失去朋友的人。</t>
  </si>
  <si>
    <r>
      <t>孤辰+擎羊</t>
    </r>
    <r>
      <rPr>
        <sz val="11"/>
        <color theme="1"/>
        <rFont val="等线"/>
        <family val="2"/>
        <charset val="134"/>
        <scheme val="minor"/>
      </rPr>
      <t>​</t>
    </r>
  </si>
  <si>
    <t>孤独带伤害，因个性尖锐、直接而伤害他人，导致关系破裂。</t>
  </si>
  <si>
    <t>因言语刻薄而孤独的人。</t>
  </si>
  <si>
    <r>
      <t>孤辰+陀罗</t>
    </r>
    <r>
      <rPr>
        <sz val="11"/>
        <color theme="1"/>
        <rFont val="等线"/>
        <family val="2"/>
        <charset val="134"/>
        <scheme val="minor"/>
      </rPr>
      <t>​</t>
    </r>
  </si>
  <si>
    <t>孤独带纠缠，过去的孤独感反复萦绕，难以摆脱，或与人分离后纠缠不清。</t>
  </si>
  <si>
    <t>长期沉浸在过去孤独中的人；离婚后仍纠缠的前夫/妻。</t>
  </si>
  <si>
    <r>
      <t>孤辰+地空/地劫</t>
    </r>
    <r>
      <rPr>
        <sz val="11"/>
        <color theme="1"/>
        <rFont val="等线"/>
        <family val="2"/>
        <charset val="134"/>
        <scheme val="minor"/>
      </rPr>
      <t>​</t>
    </r>
  </si>
  <si>
    <t>孤独带空幻，思想脱离现实，感到世人皆醉我独醒，精神上极度孤独。</t>
  </si>
  <si>
    <t>行为怪异的隐士；研究超现实理论的孤独学者。</t>
  </si>
  <si>
    <r>
      <t>1. “孤”与“寡”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孤辰星主“内在孤独”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性格的孤僻与内心的孤独感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寡宿星主“外在孤寡”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际遇上的分离与独居状态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内心孤寂且实际独处</t>
    </r>
    <r>
      <rPr>
        <sz val="11"/>
        <color theme="1"/>
        <rFont val="等线"/>
        <family val="2"/>
        <charset val="134"/>
        <scheme val="minor"/>
      </rPr>
      <t>，孤独感最为深重。单见孤辰，可能内心孤独但未必独居。</t>
    </r>
  </si>
  <si>
    <r>
      <t>2. 与“天梁”、“巨门”的区别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天梁是“孤克星”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清高、孤芳自赏带来的距离感</t>
    </r>
    <r>
      <rPr>
        <sz val="11"/>
        <color theme="1"/>
        <rFont val="等线"/>
        <family val="2"/>
        <charset val="134"/>
        <scheme val="minor"/>
      </rPr>
      <t>，有宗教、哲学色彩。</t>
    </r>
    <r>
      <rPr>
        <b/>
        <sz val="11"/>
        <color theme="1"/>
        <rFont val="等线"/>
        <family val="3"/>
        <charset val="134"/>
        <scheme val="minor"/>
      </rPr>
      <t>巨门是“暗星”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因是非、口舌、怀疑导致的隔阂与孤立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孤辰是“孤独星”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天性喜静、不喜热闹带来的主动或被动疏离</t>
    </r>
    <r>
      <rPr>
        <sz val="11"/>
        <color theme="1"/>
        <rFont val="等线"/>
        <family val="2"/>
        <charset val="134"/>
        <scheme val="minor"/>
      </rPr>
      <t>。天梁是“我看世人皆俗”，巨门是“我怕世人害我”，孤辰是“我嫌世人太吵”。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</si>
  <si>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：孤辰星所在宫位，指示在人生的哪个领域最容易感到孤独或产生疏离感，或个人在哪些方面倾向于独立行事。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</si>
  <si>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，因孤独而获利（如独立研究成功），或享受孤独带来的精神财富。见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，主动选择孤独，以孤独为力量（如闭关修炼）。见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，因孤独的品格或成就获得名声（如隐士闻名）。见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孤独感加剧</t>
    </r>
    <r>
      <rPr>
        <sz val="11"/>
        <color theme="1"/>
        <rFont val="等线"/>
        <family val="2"/>
        <charset val="134"/>
        <scheme val="minor"/>
      </rPr>
      <t>，为孤独所苦，产生严重心理问题，或遭遇被迫分离。</t>
    </r>
  </si>
  <si>
    <t>一、寡宿定义</t>
  </si>
  <si>
    <t>孤寡、独居、分离、缘薄</t>
  </si>
  <si>
    <t>象征际遇上的孤寡、独居状态、与亲人朋友的分离以及缘分淡薄。其性质主凶，带来实际生活上的孤独与疏离。</t>
  </si>
  <si>
    <t>乙级星，属阴火。主凶，为孤寡、分离、刑克之星。喜与天喜、红鸾等桃花星同度化解，也喜与积极主星（如七杀、破军）同会以行动破寡。</t>
  </si>
  <si>
    <r>
      <t>喜欢独居</t>
    </r>
    <r>
      <rPr>
        <sz val="11"/>
        <color theme="1"/>
        <rFont val="等线"/>
        <family val="2"/>
        <charset val="134"/>
        <scheme val="minor"/>
      </rPr>
      <t>​</t>
    </r>
  </si>
  <si>
    <t>偏好一个人生活，享受独处的空间，不喜与人同住。</t>
  </si>
  <si>
    <t>在命宫、田宅宫时尤为明显。</t>
  </si>
  <si>
    <r>
      <t>缘分淡薄</t>
    </r>
    <r>
      <rPr>
        <sz val="11"/>
        <color theme="1"/>
        <rFont val="等线"/>
        <family val="2"/>
        <charset val="134"/>
        <scheme val="minor"/>
      </rPr>
      <t>​</t>
    </r>
  </si>
  <si>
    <t>与配偶、子女、朋友等六亲缘分较浅，关系疏远或聚少离多。</t>
  </si>
  <si>
    <t>在六亲宫位（夫妻、子女、兄弟）时力量强。</t>
  </si>
  <si>
    <r>
      <t>晚婚或独身</t>
    </r>
    <r>
      <rPr>
        <sz val="11"/>
        <color theme="1"/>
        <rFont val="等线"/>
        <family val="2"/>
        <charset val="134"/>
        <scheme val="minor"/>
      </rPr>
      <t>​</t>
    </r>
  </si>
  <si>
    <t>婚姻较晚，或倾向于不婚，感情路上较为孤单。</t>
  </si>
  <si>
    <t>在夫妻宫、福德宫时显著。</t>
  </si>
  <si>
    <r>
      <t>独立性强</t>
    </r>
    <r>
      <rPr>
        <sz val="11"/>
        <color theme="1"/>
        <rFont val="等线"/>
        <family val="2"/>
        <charset val="134"/>
        <scheme val="minor"/>
      </rPr>
      <t>​</t>
    </r>
  </si>
  <si>
    <t>生活、事业上必须独立自主，难以依靠他人。</t>
  </si>
  <si>
    <r>
      <t>思考冷静</t>
    </r>
    <r>
      <rPr>
        <sz val="11"/>
        <color theme="1"/>
        <rFont val="等线"/>
        <family val="2"/>
        <charset val="134"/>
        <scheme val="minor"/>
      </rPr>
      <t>​</t>
    </r>
  </si>
  <si>
    <t>因独处而能冷静、客观地思考问题，不易受外界干扰。</t>
  </si>
  <si>
    <t>与天机、天梁同度时体现。</t>
  </si>
  <si>
    <t>性格孤僻，喜静，一生易处于独居或心理上的孤寡状态。</t>
  </si>
  <si>
    <t>兄弟姐妹稀少，或各自独立，关系冷淡，少有往来。</t>
  </si>
  <si>
    <t>配偶常不在身边（如异地），或晚婚、婚姻关系冷淡，易独身。</t>
  </si>
  <si>
    <t>子女数目少，或无子女，与子女缘分浅，子女远离。</t>
  </si>
  <si>
    <t>钱财需独自打理，不适宜与人合伙，易因独立经营得财或破财。</t>
  </si>
  <si>
    <t>体质偏寒，易有孤僻导致的慢性病，或喜静养。</t>
  </si>
  <si>
    <t>在外独行，少伴，出行多独自一人，或在外地感到孤单。</t>
  </si>
  <si>
    <t>朋友少，知己难寻，人际关系疏离，社交活动稀少。</t>
  </si>
  <si>
    <t>适合独立工作、自由职业、研究工作等不需团队协作的岗位。</t>
  </si>
  <si>
    <r>
      <t>核心宫位</t>
    </r>
    <r>
      <rPr>
        <sz val="11"/>
        <color theme="1"/>
        <rFont val="等线"/>
        <family val="2"/>
        <charset val="134"/>
        <scheme val="minor"/>
      </rPr>
      <t>。家庭人口少，居住环境冷清，或常独自居住。</t>
    </r>
  </si>
  <si>
    <t>内心享受孤独，精神世界独立，但易有孤寂感。</t>
  </si>
  <si>
    <t>与父母缘分较淡，可能早年离家独立，或父母一方早逝/不在身边。</t>
  </si>
  <si>
    <t>1. 增强孤寡倾向组合</t>
  </si>
  <si>
    <r>
      <t>寡宿+紫微</t>
    </r>
    <r>
      <rPr>
        <sz val="11"/>
        <color theme="1"/>
        <rFont val="等线"/>
        <family val="2"/>
        <charset val="134"/>
        <scheme val="minor"/>
      </rPr>
      <t>​</t>
    </r>
  </si>
  <si>
    <t>孤君在野，虽有权势但身边无人，晚年孤独。</t>
  </si>
  <si>
    <t>独居的退休高官；没有子嗣的企业创始人。</t>
  </si>
  <si>
    <r>
      <t>寡宿+天机</t>
    </r>
    <r>
      <rPr>
        <sz val="11"/>
        <color theme="1"/>
        <rFont val="等线"/>
        <family val="2"/>
        <charset val="134"/>
        <scheme val="minor"/>
      </rPr>
      <t>​</t>
    </r>
  </si>
  <si>
    <t>独行谋士，喜独自筹划、旅行，与家人朋友疏于联络。</t>
  </si>
  <si>
    <t>常年出差在外的顾问；独自修行的道士。</t>
  </si>
  <si>
    <r>
      <t>寡宿+太阳</t>
    </r>
    <r>
      <rPr>
        <sz val="11"/>
        <color theme="1"/>
        <rFont val="等线"/>
        <family val="2"/>
        <charset val="134"/>
        <scheme val="minor"/>
      </rPr>
      <t>​</t>
    </r>
  </si>
  <si>
    <t>独明，虽发光发热但照耀不到身边人，与亲人关系疏远。</t>
  </si>
  <si>
    <t>热心公益却顾不上家庭的慈善家；公众人物但家庭冷清。</t>
  </si>
  <si>
    <r>
      <t>寡宿+武曲</t>
    </r>
    <r>
      <rPr>
        <sz val="11"/>
        <color theme="1"/>
        <rFont val="等线"/>
        <family val="2"/>
        <charset val="134"/>
        <scheme val="minor"/>
      </rPr>
      <t>​</t>
    </r>
  </si>
  <si>
    <t>孤军奋战，在事业、求财路上独自拼搏，六亲助力少。</t>
  </si>
  <si>
    <t>独自经营工厂的老板；单打独斗的销售人员。</t>
  </si>
  <si>
    <r>
      <t>寡宿+天同</t>
    </r>
    <r>
      <rPr>
        <sz val="11"/>
        <color theme="1"/>
        <rFont val="等线"/>
        <family val="2"/>
        <charset val="134"/>
        <scheme val="minor"/>
      </rPr>
      <t>​</t>
    </r>
  </si>
  <si>
    <t>独享清福，喜欢一个人享受生活，不喜家庭琐事牵绊。</t>
  </si>
  <si>
    <t>独自周游世界的退休者；享受单身生活的美食家。</t>
  </si>
  <si>
    <r>
      <t>寡宿+廉贞</t>
    </r>
    <r>
      <rPr>
        <sz val="11"/>
        <color theme="1"/>
        <rFont val="等线"/>
        <family val="2"/>
        <charset val="134"/>
        <scheme val="minor"/>
      </rPr>
      <t>​</t>
    </r>
  </si>
  <si>
    <t>独囚，感情自我封闭，或身处复杂环境而被迫独处。</t>
  </si>
  <si>
    <t>独居的艺术家；在监狱或封闭环境中的人。</t>
  </si>
  <si>
    <r>
      <t>寡宿+天府</t>
    </r>
    <r>
      <rPr>
        <sz val="11"/>
        <color theme="1"/>
        <rFont val="等线"/>
        <family val="2"/>
        <charset val="134"/>
        <scheme val="minor"/>
      </rPr>
      <t>​</t>
    </r>
  </si>
  <si>
    <t>独守财库，财富丰厚但独自享用，家庭人丁不旺。</t>
  </si>
  <si>
    <t>拥有多处房产的独居者；守财的单身富翁。</t>
  </si>
  <si>
    <r>
      <t>寡宿+太阴</t>
    </r>
    <r>
      <rPr>
        <sz val="11"/>
        <color theme="1"/>
        <rFont val="等线"/>
        <family val="2"/>
        <charset val="134"/>
        <scheme val="minor"/>
      </rPr>
      <t>​</t>
    </r>
  </si>
  <si>
    <t>独居隐士，喜欢安静、私密的个人空间，逃避人群。</t>
  </si>
  <si>
    <t>隐居山林的作家；夜间独自工作的程序员。</t>
  </si>
  <si>
    <r>
      <t>寡宿+贪狼</t>
    </r>
    <r>
      <rPr>
        <sz val="11"/>
        <color theme="1"/>
        <rFont val="等线"/>
        <family val="2"/>
        <charset val="134"/>
        <scheme val="minor"/>
      </rPr>
      <t>​</t>
    </r>
  </si>
  <si>
    <t>独酌，表面交际广泛，内心空虚，最终常回归独处。</t>
  </si>
  <si>
    <t>社交达人回家后面对空房；沉迷个人嗜好的独身者。</t>
  </si>
  <si>
    <r>
      <t>寡宿+巨门</t>
    </r>
    <r>
      <rPr>
        <sz val="11"/>
        <color theme="1"/>
        <rFont val="等线"/>
        <family val="2"/>
        <charset val="134"/>
        <scheme val="minor"/>
      </rPr>
      <t>​</t>
    </r>
  </si>
  <si>
    <t>独暗，因是非、口角而与家人朋友疏远，主动选择隔离。</t>
  </si>
  <si>
    <t>与家人吵架后独居；因言论被孤立而离群索居。</t>
  </si>
  <si>
    <r>
      <t>寡宿+天相</t>
    </r>
    <r>
      <rPr>
        <sz val="11"/>
        <color theme="1"/>
        <rFont val="等线"/>
        <family val="2"/>
        <charset val="134"/>
        <scheme val="minor"/>
      </rPr>
      <t>​</t>
    </r>
  </si>
  <si>
    <t>独辅，虽善于协调他人，但自己的事却无人可依，独自承担。</t>
  </si>
  <si>
    <t>独自处理所有事务的秘书长；没有助理的协调者。</t>
  </si>
  <si>
    <r>
      <t>寡宿+天梁</t>
    </r>
    <r>
      <rPr>
        <sz val="11"/>
        <color theme="1"/>
        <rFont val="等线"/>
        <family val="2"/>
        <charset val="134"/>
        <scheme val="minor"/>
      </rPr>
      <t>​</t>
    </r>
  </si>
  <si>
    <t>独荫，清高孤傲，乐于助人但自身孤独，有宗教性孤独。</t>
  </si>
  <si>
    <t>独自修行的僧侣；离群索居的义诊医生。</t>
  </si>
  <si>
    <r>
      <t>寡宿+七杀</t>
    </r>
    <r>
      <rPr>
        <sz val="11"/>
        <color theme="1"/>
        <rFont val="等线"/>
        <family val="2"/>
        <charset val="134"/>
        <scheme val="minor"/>
      </rPr>
      <t>​</t>
    </r>
  </si>
  <si>
    <t>独将，习惯单枪匹马完成任务，不屑与人合作。</t>
  </si>
  <si>
    <r>
      <t>寡宿+破军</t>
    </r>
    <r>
      <rPr>
        <sz val="11"/>
        <color theme="1"/>
        <rFont val="等线"/>
        <family val="2"/>
        <charset val="134"/>
        <scheme val="minor"/>
      </rPr>
      <t>​</t>
    </r>
  </si>
  <si>
    <t>独破，喜独自进行改革、破坏，行动常不被人理解而孤立。</t>
  </si>
  <si>
    <r>
      <t>寡宿+孤辰</t>
    </r>
    <r>
      <rPr>
        <sz val="11"/>
        <color theme="1"/>
        <rFont val="等线"/>
        <family val="2"/>
        <charset val="134"/>
        <scheme val="minor"/>
      </rPr>
      <t>​</t>
    </r>
  </si>
  <si>
    <r>
      <t>对星，孤寡倍增</t>
    </r>
    <r>
      <rPr>
        <sz val="11"/>
        <color theme="1"/>
        <rFont val="等线"/>
        <family val="2"/>
        <charset val="134"/>
        <scheme val="minor"/>
      </rPr>
      <t>。形成“孤寡双星”之象，内心孤独且实际独居，六亲缘份极其淡薄，孤独感最为深重。</t>
    </r>
  </si>
  <si>
    <t>终身未婚且远离家人的独居老人；出家修行的僧道。</t>
  </si>
  <si>
    <r>
      <t>寡宿+左辅/右弼</t>
    </r>
    <r>
      <rPr>
        <sz val="11"/>
        <color theme="1"/>
        <rFont val="等线"/>
        <family val="2"/>
        <charset val="134"/>
        <scheme val="minor"/>
      </rPr>
      <t>​</t>
    </r>
  </si>
  <si>
    <t>表面有助手或伴侣，但内心仍有强烈的孤独感，或关系有名无实。</t>
  </si>
  <si>
    <t>有下属或配偶但感情疏远、各自独立的企业家。</t>
  </si>
  <si>
    <r>
      <t>寡宿+文昌/文曲</t>
    </r>
    <r>
      <rPr>
        <sz val="11"/>
        <color theme="1"/>
        <rFont val="等线"/>
        <family val="2"/>
        <charset val="134"/>
        <scheme val="minor"/>
      </rPr>
      <t>​</t>
    </r>
  </si>
  <si>
    <t>孤独的学者/艺术家，在独处中从事创作或研究，作品可能带有孤寂感。</t>
  </si>
  <si>
    <t>离群索居进行创作的作家；独自在实验室研究的科学家。</t>
  </si>
  <si>
    <r>
      <t>寡宿+天魁/天钺</t>
    </r>
    <r>
      <rPr>
        <sz val="11"/>
        <color theme="1"/>
        <rFont val="等线"/>
        <family val="2"/>
        <charset val="134"/>
        <scheme val="minor"/>
      </rPr>
      <t>​</t>
    </r>
  </si>
  <si>
    <t>虽有贵人相助，但贵人关系短暂或疏远，无法改变其孤寡的本质状态。</t>
  </si>
  <si>
    <t>关键时期得到帮助，但事后与贵人再无往来的创业者。</t>
  </si>
  <si>
    <r>
      <t>寡宿+禄存</t>
    </r>
    <r>
      <rPr>
        <sz val="11"/>
        <color theme="1"/>
        <rFont val="等线"/>
        <family val="2"/>
        <charset val="134"/>
        <scheme val="minor"/>
      </rPr>
      <t>​</t>
    </r>
  </si>
  <si>
    <t>独富，独自拥有和享受财富，或因孤独而积累财富。</t>
  </si>
  <si>
    <t>独自管理巨额资产的单身富翁；因节俭独居而存下钱的老人。</t>
  </si>
  <si>
    <r>
      <t>寡宿+火星</t>
    </r>
    <r>
      <rPr>
        <sz val="11"/>
        <color theme="1"/>
        <rFont val="等线"/>
        <family val="2"/>
        <charset val="134"/>
        <scheme val="minor"/>
      </rPr>
      <t>​</t>
    </r>
  </si>
  <si>
    <t>孤寡带暴烈，因脾气暴躁导致关系破裂而独居，或独居生活不平静。</t>
  </si>
  <si>
    <t>因家暴导致离婚独居的人；独居但家中常发生争吵（与同住者）。</t>
  </si>
  <si>
    <r>
      <t>寡宿+铃星</t>
    </r>
    <r>
      <rPr>
        <sz val="11"/>
        <color theme="1"/>
        <rFont val="等线"/>
        <family val="2"/>
        <charset val="134"/>
        <scheme val="minor"/>
      </rPr>
      <t>​</t>
    </r>
  </si>
  <si>
    <t>孤寡带计较，因斤斤计较、疑心重而导致众叛亲离，最终独处。</t>
  </si>
  <si>
    <t>因算计亲人朋友财产而被孤立独居的人。</t>
  </si>
  <si>
    <r>
      <t>寡宿+擎羊</t>
    </r>
    <r>
      <rPr>
        <sz val="11"/>
        <color theme="1"/>
        <rFont val="等线"/>
        <family val="2"/>
        <charset val="134"/>
        <scheme val="minor"/>
      </rPr>
      <t>​</t>
    </r>
  </si>
  <si>
    <t>孤寡带伤害，因冲突、伤害（言语或身体）导致关系决裂而独处。</t>
  </si>
  <si>
    <t>因争斗与子女断绝关系而独居的老人。</t>
  </si>
  <si>
    <r>
      <t>寡宿+陀罗</t>
    </r>
    <r>
      <rPr>
        <sz val="11"/>
        <color theme="1"/>
        <rFont val="等线"/>
        <family val="2"/>
        <charset val="134"/>
        <scheme val="minor"/>
      </rPr>
      <t>​</t>
    </r>
  </si>
  <si>
    <t>孤寡带纠缠，过去的分离反复困扰，或独居状态拖延、反复。</t>
  </si>
  <si>
    <t>离婚后长期无法走出阴影的独居者；反复分居又复合的夫妻。</t>
  </si>
  <si>
    <r>
      <t>寡宿+地空/地劫</t>
    </r>
    <r>
      <rPr>
        <sz val="11"/>
        <color theme="1"/>
        <rFont val="等线"/>
        <family val="2"/>
        <charset val="134"/>
        <scheme val="minor"/>
      </rPr>
      <t>​</t>
    </r>
  </si>
  <si>
    <t>孤寡带空幻，思想脱离世俗，选择精神上的独处，或住所偏僻、不稳定。</t>
  </si>
  <si>
    <t>隐居山林的修行者；经常搬家的独居者。</t>
  </si>
  <si>
    <r>
      <t>1. “寡”与“孤”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寡宿星主“外在孤寡”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实际际遇上的分离、独居状态与缘分淡薄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孤辰星主“内在孤独”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性格的孤僻与内心的孤独感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内心孤寂且实际独处</t>
    </r>
    <r>
      <rPr>
        <sz val="11"/>
        <color theme="1"/>
        <rFont val="等线"/>
        <family val="2"/>
        <charset val="134"/>
        <scheme val="minor"/>
      </rPr>
      <t>，孤寡之性最为严重。单见寡宿，可能实际独居但内心未必孤独。</t>
    </r>
  </si>
  <si>
    <r>
      <t>2. 与“天梁”、“巨门”的区别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天梁是“孤克星”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因清高、孤芳自赏带来的实际距离与独处</t>
    </r>
    <r>
      <rPr>
        <sz val="11"/>
        <color theme="1"/>
        <rFont val="等线"/>
        <family val="2"/>
        <charset val="134"/>
        <scheme val="minor"/>
      </rPr>
      <t>，带有宗教、哲学性的离群。</t>
    </r>
    <r>
      <rPr>
        <b/>
        <sz val="11"/>
        <color theme="1"/>
        <rFont val="等线"/>
        <family val="3"/>
        <charset val="134"/>
        <scheme val="minor"/>
      </rPr>
      <t>巨门是“暗星”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因是非、口舌、怀疑导致的关系破裂与隔绝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寡宿是“孤寡星”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命运安排或自身选择导致的长期独居、缘分浅薄状态</t>
    </r>
    <r>
      <rPr>
        <sz val="11"/>
        <color theme="1"/>
        <rFont val="等线"/>
        <family val="2"/>
        <charset val="134"/>
        <scheme val="minor"/>
      </rPr>
      <t>。天梁是“主动选择远离俗世”，巨门是“因是非被动隔离”，寡宿是“命运使然或习惯性独处”。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</si>
  <si>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：寡宿星所在宫位，指示在人生的哪个领域最容易出现独处、分离、缘分淡薄的实际状况。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</si>
  <si>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，因独处而获利（如独居节省开支、独立研究获成功），或享受孤独带来的清静与自由。见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，主动选择独居，将孤寡状态转化为个人空间的控制权。见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，因独处的品格或成就获得社会认可（如隐士被尊崇）。见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孤寡加剧</t>
    </r>
    <r>
      <rPr>
        <sz val="11"/>
        <color theme="1"/>
        <rFont val="等线"/>
        <family val="2"/>
        <charset val="134"/>
        <scheme val="minor"/>
      </rPr>
      <t>，为独居所苦，遭遇被迫、痛苦的分离，或产生严重的社会适应问题。</t>
    </r>
  </si>
  <si>
    <t>一、破碎定义</t>
  </si>
  <si>
    <t>破坏、损耗、不完整、琐碎</t>
  </si>
  <si>
    <t>象征事物的破裂、损耗、不完整，以及事情的琐碎、反复与不顺利。其性质主凶，带来破坏性与消耗性。</t>
  </si>
  <si>
    <t>乙级星，属阴火。主凶，为损耗、破坏之星。喜与吉星同会以减轻破坏力，也喜与积极主星（如七杀、破军）同会以主动破旧立新。</t>
  </si>
  <si>
    <t>导致事物破裂、损坏、瓦解，如关系破裂、物品损坏、计划失败。</t>
  </si>
  <si>
    <t>在命宫、夫妻宫、官禄宫时尤为明显。</t>
  </si>
  <si>
    <r>
      <t>损耗性</t>
    </r>
    <r>
      <rPr>
        <sz val="11"/>
        <color theme="1"/>
        <rFont val="等线"/>
        <family val="2"/>
        <charset val="134"/>
        <scheme val="minor"/>
      </rPr>
      <t>​</t>
    </r>
  </si>
  <si>
    <t>造成资源、精力、钱财的不断消耗与流失，事倍功半。</t>
  </si>
  <si>
    <t>在财帛宫、疾厄宫时力量强。</t>
  </si>
  <si>
    <r>
      <t>不完整性</t>
    </r>
    <r>
      <rPr>
        <sz val="11"/>
        <color theme="1"/>
        <rFont val="等线"/>
        <family val="2"/>
        <charset val="134"/>
        <scheme val="minor"/>
      </rPr>
      <t>​</t>
    </r>
  </si>
  <si>
    <t>事物难以圆满，总有缺陷、遗憾，或事情做到一半就中断。</t>
  </si>
  <si>
    <t>在田宅宫、子女宫时显著。</t>
  </si>
  <si>
    <r>
      <t>突发性</t>
    </r>
    <r>
      <rPr>
        <sz val="11"/>
        <color theme="1"/>
        <rFont val="等线"/>
        <family val="2"/>
        <charset val="134"/>
        <scheme val="minor"/>
      </rPr>
      <t>​</t>
    </r>
  </si>
  <si>
    <t>破坏与损耗常突然发生，令人措手不及。</t>
  </si>
  <si>
    <t>与火星、铃星同度时显现。</t>
  </si>
  <si>
    <r>
      <t>琐碎性</t>
    </r>
    <r>
      <rPr>
        <sz val="11"/>
        <color theme="1"/>
        <rFont val="等线"/>
        <family val="2"/>
        <charset val="134"/>
        <scheme val="minor"/>
      </rPr>
      <t>​</t>
    </r>
  </si>
  <si>
    <t>事情繁琐、杂乱，需要反复处理，消耗心神。</t>
  </si>
  <si>
    <t>在福德宫、迁移宫时体现。</t>
  </si>
  <si>
    <t>性格挑剔，做事易有头无尾，人生多波折，计划常半途而废。</t>
  </si>
  <si>
    <t>与兄弟姐妹关系易有裂痕，或助力分散、不持久。</t>
  </si>
  <si>
    <t>感情易破裂，争吵多，婚姻不美，或配偶身体不佳。</t>
  </si>
  <si>
    <t>子女缘薄，或子女身体易有损伤，合作易破局。</t>
  </si>
  <si>
    <t>钱财损耗大，破财频繁，或因琐碎小事不断花钱。</t>
  </si>
  <si>
    <t>身体易有破损（如手术、外伤），或慢性消耗性疾病。</t>
  </si>
  <si>
    <t>外出易有波折、损耗，行程易被打断，在外人际关系易破裂。</t>
  </si>
  <si>
    <t>朋友关系不长久，易因小事翻脸，下属流动性大。</t>
  </si>
  <si>
    <t>事业上多挫折，项目易中断，工作内容琐碎繁杂。</t>
  </si>
  <si>
    <t>家宅不宁，易有损坏，家庭关系易破裂，或住所不完整。</t>
  </si>
  <si>
    <r>
      <t>核心宫位</t>
    </r>
    <r>
      <rPr>
        <sz val="11"/>
        <color theme="1"/>
        <rFont val="等线"/>
        <family val="2"/>
        <charset val="134"/>
        <scheme val="minor"/>
      </rPr>
      <t>。思想消极，精神消耗大，常感烦恼，享受不圆满。</t>
    </r>
  </si>
  <si>
    <t>与父母缘分浅，或父母健康有损，得到遗产不完整。</t>
  </si>
  <si>
    <t>1. 增强破坏损耗组合</t>
  </si>
  <si>
    <r>
      <t>破碎+紫微</t>
    </r>
    <r>
      <rPr>
        <sz val="11"/>
        <color theme="1"/>
        <rFont val="等线"/>
        <family val="2"/>
        <charset val="134"/>
        <scheme val="minor"/>
      </rPr>
      <t>​</t>
    </r>
  </si>
  <si>
    <t>权威破损，地位、名誉易受损，或大型计划/机构出现瓦解危机。</t>
  </si>
  <si>
    <t>企业帝国崩塌；重要项目流产。</t>
  </si>
  <si>
    <r>
      <t>破碎+天机</t>
    </r>
    <r>
      <rPr>
        <sz val="11"/>
        <color theme="1"/>
        <rFont val="等线"/>
        <family val="2"/>
        <charset val="134"/>
        <scheme val="minor"/>
      </rPr>
      <t>​</t>
    </r>
  </si>
  <si>
    <t>谋略破碎，计划常被打乱，思维跳跃不连贯，交通工具易损坏。</t>
  </si>
  <si>
    <t>旅行计划屡次变更；电脑频繁故障。</t>
  </si>
  <si>
    <r>
      <t>破碎+太阳</t>
    </r>
    <r>
      <rPr>
        <sz val="11"/>
        <color theme="1"/>
        <rFont val="等线"/>
        <family val="2"/>
        <charset val="134"/>
        <scheme val="minor"/>
      </rPr>
      <t>​</t>
    </r>
  </si>
  <si>
    <t>光明破损，名声有瑕，公开场合失态，与男性关系易破裂。</t>
  </si>
  <si>
    <t>公众人物丑闻；父子关系决裂。</t>
  </si>
  <si>
    <r>
      <t>破碎+武曲</t>
    </r>
    <r>
      <rPr>
        <sz val="11"/>
        <color theme="1"/>
        <rFont val="等线"/>
        <family val="2"/>
        <charset val="134"/>
        <scheme val="minor"/>
      </rPr>
      <t>​</t>
    </r>
  </si>
  <si>
    <t>财帛破损，钱财损耗严重，金属物品易坏，事业中断。</t>
  </si>
  <si>
    <t>投资失败血本无归；机器设备频繁维修。</t>
  </si>
  <si>
    <r>
      <t>破碎+天同</t>
    </r>
    <r>
      <rPr>
        <sz val="11"/>
        <color theme="1"/>
        <rFont val="等线"/>
        <family val="2"/>
        <charset val="134"/>
        <scheme val="minor"/>
      </rPr>
      <t>​</t>
    </r>
  </si>
  <si>
    <t>福气破损，享受被打断，乐极生悲，安逸生活被琐事扰乱。</t>
  </si>
  <si>
    <t>度假时不断接到工作电话；美食吃到异物。</t>
  </si>
  <si>
    <r>
      <t>破碎+廉贞</t>
    </r>
    <r>
      <rPr>
        <sz val="11"/>
        <color theme="1"/>
        <rFont val="等线"/>
        <family val="2"/>
        <charset val="134"/>
        <scheme val="minor"/>
      </rPr>
      <t>​</t>
    </r>
  </si>
  <si>
    <t>精密破损，复杂关系或精密事物（如电路、感情）易出问题。</t>
  </si>
  <si>
    <t>感情纠葛导致身败名裂；精密仪器失灵。</t>
  </si>
  <si>
    <r>
      <t>破碎+天府</t>
    </r>
    <r>
      <rPr>
        <sz val="11"/>
        <color theme="1"/>
        <rFont val="等线"/>
        <family val="2"/>
        <charset val="134"/>
        <scheme val="minor"/>
      </rPr>
      <t>​</t>
    </r>
  </si>
  <si>
    <t>库藏破损，积蓄被消耗，收藏品损坏，稳定的局面被打破。</t>
  </si>
  <si>
    <t>因意外耗光存款；传家宝被打碎。</t>
  </si>
  <si>
    <r>
      <t>破碎+太阴</t>
    </r>
    <r>
      <rPr>
        <sz val="11"/>
        <color theme="1"/>
        <rFont val="等线"/>
        <family val="2"/>
        <charset val="134"/>
        <scheme val="minor"/>
      </rPr>
      <t>​</t>
    </r>
  </si>
  <si>
    <t>阴柔破损，女性关系不利，内心安全感被破坏，房屋漏水等。</t>
  </si>
  <si>
    <t>母女关系紧张；房屋因水管破裂被淹。</t>
  </si>
  <si>
    <r>
      <t>破碎+贪狼</t>
    </r>
    <r>
      <rPr>
        <sz val="11"/>
        <color theme="1"/>
        <rFont val="等线"/>
        <family val="2"/>
        <charset val="134"/>
        <scheme val="minor"/>
      </rPr>
      <t>​</t>
    </r>
  </si>
  <si>
    <t>欲望破损，所求不得，桃花破裂，嗜好带来损耗。</t>
  </si>
  <si>
    <t>恋情突然告吹；沉迷赌博破财。</t>
  </si>
  <si>
    <r>
      <t>破碎+巨门</t>
    </r>
    <r>
      <rPr>
        <sz val="11"/>
        <color theme="1"/>
        <rFont val="等线"/>
        <family val="2"/>
        <charset val="134"/>
        <scheme val="minor"/>
      </rPr>
      <t>​</t>
    </r>
  </si>
  <si>
    <t>口舌破损，因是非争吵导致关系破裂，合同、文书出问题。</t>
  </si>
  <si>
    <t>因诽谤官司缠身；重要文件丢失部分。</t>
  </si>
  <si>
    <r>
      <t>破碎+天相</t>
    </r>
    <r>
      <rPr>
        <sz val="11"/>
        <color theme="1"/>
        <rFont val="等线"/>
        <family val="2"/>
        <charset val="134"/>
        <scheme val="minor"/>
      </rPr>
      <t>​</t>
    </r>
  </si>
  <si>
    <t>印信破损，凭证、证书出问题，形象受损，协调失败。</t>
  </si>
  <si>
    <t>护照损坏无法登机；因丑闻失去公职。</t>
  </si>
  <si>
    <r>
      <t>破碎+天梁</t>
    </r>
    <r>
      <rPr>
        <sz val="11"/>
        <color theme="1"/>
        <rFont val="等线"/>
        <family val="2"/>
        <charset val="134"/>
        <scheme val="minor"/>
      </rPr>
      <t>​</t>
    </r>
  </si>
  <si>
    <t>荫庇破损，靠山倒塌，长辈健康出问题，宗教寄托破灭。</t>
  </si>
  <si>
    <t>后台倒台；寺庙修缮时佛像受损。</t>
  </si>
  <si>
    <r>
      <t>破碎+七杀</t>
    </r>
    <r>
      <rPr>
        <sz val="11"/>
        <color theme="1"/>
        <rFont val="等线"/>
        <family val="2"/>
        <charset val="134"/>
        <scheme val="minor"/>
      </rPr>
      <t>​</t>
    </r>
  </si>
  <si>
    <r>
      <t>破坏力极强</t>
    </r>
    <r>
      <rPr>
        <sz val="11"/>
        <color theme="1"/>
        <rFont val="等线"/>
        <family val="2"/>
        <charset val="134"/>
        <scheme val="minor"/>
      </rPr>
      <t>。暴力性破损，突然的严重打击，如手术、车祸、事业崩盘。</t>
    </r>
  </si>
  <si>
    <t>突发重大事故；公司突然破产。</t>
  </si>
  <si>
    <r>
      <t>破碎+破军</t>
    </r>
    <r>
      <rPr>
        <sz val="11"/>
        <color theme="1"/>
        <rFont val="等线"/>
        <family val="2"/>
        <charset val="134"/>
        <scheme val="minor"/>
      </rPr>
      <t>​</t>
    </r>
  </si>
  <si>
    <r>
      <t>破坏后重建</t>
    </r>
    <r>
      <rPr>
        <sz val="11"/>
        <color theme="1"/>
        <rFont val="等线"/>
        <family val="2"/>
        <charset val="134"/>
        <scheme val="minor"/>
      </rPr>
      <t>。先破后成，但破坏过程剧烈，如拆迁、改革中的巨大损耗。</t>
    </r>
  </si>
  <si>
    <t>企业重组中大量裁员；旧疾手术切除。</t>
  </si>
  <si>
    <r>
      <t>破碎+蜚廉</t>
    </r>
    <r>
      <rPr>
        <sz val="11"/>
        <color theme="1"/>
        <rFont val="等线"/>
        <family val="2"/>
        <charset val="134"/>
        <scheme val="minor"/>
      </rPr>
      <t>​</t>
    </r>
  </si>
  <si>
    <r>
      <t>对星，破坏倍增</t>
    </r>
    <r>
      <rPr>
        <sz val="11"/>
        <color theme="1"/>
        <rFont val="等线"/>
        <family val="2"/>
        <charset val="134"/>
        <scheme val="minor"/>
      </rPr>
      <t>。形成“破碎蜚廉”之象，主是非、破损交加，事情支离破碎，麻烦不断。</t>
    </r>
  </si>
  <si>
    <t>官司缠身且财产受损；项目不断出问题且流言四起。</t>
  </si>
  <si>
    <r>
      <t>破碎+文昌/文曲</t>
    </r>
    <r>
      <rPr>
        <sz val="11"/>
        <color theme="1"/>
        <rFont val="等线"/>
        <family val="2"/>
        <charset val="134"/>
        <scheme val="minor"/>
      </rPr>
      <t>​</t>
    </r>
  </si>
  <si>
    <t>文书破损，考试失利，证书出问题，艺术创作中断或作品被毁。</t>
  </si>
  <si>
    <t>准考证丢失；画作在运输中损坏。</t>
  </si>
  <si>
    <r>
      <t>破碎+左辅/右弼</t>
    </r>
    <r>
      <rPr>
        <sz val="11"/>
        <color theme="1"/>
        <rFont val="等线"/>
        <family val="2"/>
        <charset val="134"/>
        <scheme val="minor"/>
      </rPr>
      <t>​</t>
    </r>
  </si>
  <si>
    <t>助力被破坏，帮手不得力或中途离开，合作方撤资。</t>
  </si>
  <si>
    <t>创业伙伴突然拆伙；助理失误导致项目失败。</t>
  </si>
  <si>
    <r>
      <t>破碎+天魁/天钺</t>
    </r>
    <r>
      <rPr>
        <sz val="11"/>
        <color theme="1"/>
        <rFont val="等线"/>
        <family val="2"/>
        <charset val="134"/>
        <scheme val="minor"/>
      </rPr>
      <t>​</t>
    </r>
  </si>
  <si>
    <t>贵人助力被中断或打折扣，机遇被破坏。</t>
  </si>
  <si>
    <t>即将谈成的合作因意外告吹；贵人自身难保。</t>
  </si>
  <si>
    <r>
      <t>破碎+禄存</t>
    </r>
    <r>
      <rPr>
        <sz val="11"/>
        <color theme="1"/>
        <rFont val="等线"/>
        <family val="2"/>
        <charset val="134"/>
        <scheme val="minor"/>
      </rPr>
      <t>​</t>
    </r>
  </si>
  <si>
    <t>财富破损，存不住钱，或因破损之事破财。</t>
  </si>
  <si>
    <t>攒钱为了买房，结果房子出现严重质量问题。</t>
  </si>
  <si>
    <r>
      <t>破碎+火星</t>
    </r>
    <r>
      <rPr>
        <sz val="11"/>
        <color theme="1"/>
        <rFont val="等线"/>
        <family val="2"/>
        <charset val="134"/>
        <scheme val="minor"/>
      </rPr>
      <t>​</t>
    </r>
  </si>
  <si>
    <t>突发性猛烈破坏，事情突然崩坏，损坏带有爆炸、火灾性质。</t>
  </si>
  <si>
    <t>突发火灾烧毁店铺；因暴怒砸坏东西。</t>
  </si>
  <si>
    <r>
      <t>破碎+铃星</t>
    </r>
    <r>
      <rPr>
        <sz val="11"/>
        <color theme="1"/>
        <rFont val="等线"/>
        <family val="2"/>
        <charset val="134"/>
        <scheme val="minor"/>
      </rPr>
      <t>​</t>
    </r>
  </si>
  <si>
    <t>慢性、纠缠性的破坏，损耗持续发生，如金属疲劳断裂。</t>
  </si>
  <si>
    <t>车辆不断出现小毛病；慢性疾病消耗身体。</t>
  </si>
  <si>
    <r>
      <t>破碎+擎羊</t>
    </r>
    <r>
      <rPr>
        <sz val="11"/>
        <color theme="1"/>
        <rFont val="等线"/>
        <family val="2"/>
        <charset val="134"/>
        <scheme val="minor"/>
      </rPr>
      <t>​</t>
    </r>
  </si>
  <si>
    <t>破坏带直接伤害，如刀伤、手术、激烈冲突导致的破裂。</t>
  </si>
  <si>
    <t>打架受伤缝针；因竞争激烈导致合作破裂。</t>
  </si>
  <si>
    <r>
      <t>破碎+陀罗</t>
    </r>
    <r>
      <rPr>
        <sz val="11"/>
        <color theme="1"/>
        <rFont val="等线"/>
        <family val="2"/>
        <charset val="134"/>
        <scheme val="minor"/>
      </rPr>
      <t>​</t>
    </r>
  </si>
  <si>
    <t>破坏拖延反复，旧问题不断复发，损耗过程漫长。</t>
  </si>
  <si>
    <t>房屋漏水反复维修；旧伤时常疼痛。</t>
  </si>
  <si>
    <r>
      <t>破碎+地空/地劫</t>
    </r>
    <r>
      <rPr>
        <sz val="11"/>
        <color theme="1"/>
        <rFont val="等线"/>
        <family val="2"/>
        <charset val="134"/>
        <scheme val="minor"/>
      </rPr>
      <t>​</t>
    </r>
  </si>
  <si>
    <t>破坏带空幻性，莫名其妙的损耗，或因理想化导致计划破灭。</t>
  </si>
  <si>
    <t>投资虚无缥缈的项目血本无归；因不切实际的想法导致失败。</t>
  </si>
  <si>
    <r>
      <t>1. “破”与“蜚”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破碎星主“内部损耗与破坏”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事物本身的破裂、不完整与资源消耗</t>
    </r>
    <r>
      <rPr>
        <sz val="11"/>
        <color theme="1"/>
        <rFont val="等线"/>
        <family val="2"/>
        <charset val="134"/>
        <scheme val="minor"/>
      </rPr>
      <t>；其对星</t>
    </r>
    <r>
      <rPr>
        <b/>
        <sz val="11"/>
        <color theme="1"/>
        <rFont val="等线"/>
        <family val="3"/>
        <charset val="134"/>
        <scheme val="minor"/>
      </rPr>
      <t>蜚廉星主“外部是非与中伤”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来自外部的谣言、诽谤与小人侵害</t>
    </r>
    <r>
      <rPr>
        <sz val="11"/>
        <color theme="1"/>
        <rFont val="等线"/>
        <family val="2"/>
        <charset val="134"/>
        <scheme val="minor"/>
      </rPr>
      <t>。二者同会，则</t>
    </r>
    <r>
      <rPr>
        <b/>
        <sz val="11"/>
        <color theme="1"/>
        <rFont val="等线"/>
        <family val="3"/>
        <charset val="134"/>
        <scheme val="minor"/>
      </rPr>
      <t>内外交迫，破损与是非齐来</t>
    </r>
    <r>
      <rPr>
        <sz val="11"/>
        <color theme="1"/>
        <rFont val="等线"/>
        <family val="2"/>
        <charset val="134"/>
        <scheme val="minor"/>
      </rPr>
      <t>，凶性大增。单见破碎，可能只有内部损耗而无严重是非。</t>
    </r>
  </si>
  <si>
    <r>
      <t>2. 与“七杀”、“破军”的区别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七杀是“将星”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猛烈、突然的破坏与变革</t>
    </r>
    <r>
      <rPr>
        <sz val="11"/>
        <color theme="1"/>
        <rFont val="等线"/>
        <family val="2"/>
        <charset val="134"/>
        <scheme val="minor"/>
      </rPr>
      <t>，带有肃杀和权威性。</t>
    </r>
    <r>
      <rPr>
        <b/>
        <sz val="11"/>
        <color theme="1"/>
        <rFont val="等线"/>
        <family val="3"/>
        <charset val="134"/>
        <scheme val="minor"/>
      </rPr>
      <t>破军是“耗星”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先破后立、推倒重建</t>
    </r>
    <r>
      <rPr>
        <sz val="11"/>
        <color theme="1"/>
        <rFont val="等线"/>
        <family val="2"/>
        <charset val="134"/>
        <scheme val="minor"/>
      </rPr>
      <t>，破坏是为了创新。</t>
    </r>
    <r>
      <rPr>
        <b/>
        <sz val="11"/>
        <color theme="1"/>
        <rFont val="等线"/>
        <family val="3"/>
        <charset val="134"/>
        <scheme val="minor"/>
      </rPr>
      <t>破碎是“琐碎星”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细碎、反复、不彻底的损耗与破坏</t>
    </r>
    <r>
      <rPr>
        <sz val="11"/>
        <color theme="1"/>
        <rFont val="等线"/>
        <family val="2"/>
        <charset val="134"/>
        <scheme val="minor"/>
      </rPr>
      <t>，使事物支离破碎。七杀是“一刀切”，破军是“拆了盖新的”，破碎是“慢慢碎成渣”。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</si>
  <si>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：破碎星所在宫位，指示在人生的哪个领域最容易出现损耗、破坏、不完整的情况。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</si>
  <si>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，因破损反而得财（如保险理赔、拆迁补偿），但过程仍有损耗。见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，主动进行破坏、切割（如主动终止合同、手术切除），以控制损失。见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，破损之事能被修补、掩盖，或因此获得名声（如修复文物成名）。见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破坏性加剧</t>
    </r>
    <r>
      <rPr>
        <sz val="11"/>
        <color theme="1"/>
        <rFont val="等线"/>
        <family val="2"/>
        <charset val="134"/>
        <scheme val="minor"/>
      </rPr>
      <t>，损耗巨大且无法挽回，事情彻底破碎。</t>
    </r>
  </si>
  <si>
    <t>一、龙德定义</t>
  </si>
  <si>
    <t>贵人、阴德、福报、化解凶厄</t>
  </si>
  <si>
    <t>象征来自有权势、地位或体制内的贵人扶助，以及因过去善行积累的阴德福报在关键时刻显现，能化解灾难、诉讼、是非等凶险。其性质主大吉，代表天赐的福佑与贵人运。</t>
  </si>
  <si>
    <t>乙级星，属阳土。主大吉，为贵人、解厄之星。喜与紫微、天府等贵星同度，力量倍增。即使与煞星同会，亦能减轻其凶性，逢凶化吉。</t>
  </si>
  <si>
    <r>
      <t>贵人相助</t>
    </r>
    <r>
      <rPr>
        <sz val="11"/>
        <color theme="1"/>
        <rFont val="等线"/>
        <family val="2"/>
        <charset val="134"/>
        <scheme val="minor"/>
      </rPr>
      <t>​</t>
    </r>
  </si>
  <si>
    <t>易得有权势、地位或来自官方、大型机构的贵人赏识与帮助。</t>
  </si>
  <si>
    <t>在命宫、迁移宫、官禄宫时尤为明显。</t>
  </si>
  <si>
    <r>
      <t>化解凶厄</t>
    </r>
    <r>
      <rPr>
        <sz val="11"/>
        <color theme="1"/>
        <rFont val="等线"/>
        <family val="2"/>
        <charset val="134"/>
        <scheme val="minor"/>
      </rPr>
      <t>​</t>
    </r>
  </si>
  <si>
    <t>能化解官司、是非、灾难、疾病等凶险，转危为安。</t>
  </si>
  <si>
    <t>与天刑、官符等星同度时力量显现。</t>
  </si>
  <si>
    <r>
      <t>积累阴德</t>
    </r>
    <r>
      <rPr>
        <sz val="11"/>
        <color theme="1"/>
        <rFont val="等线"/>
        <family val="2"/>
        <charset val="134"/>
        <scheme val="minor"/>
      </rPr>
      <t>​</t>
    </r>
  </si>
  <si>
    <t>本人或祖上积有阴德，福报在需要时显现，有“天佑”之象。</t>
  </si>
  <si>
    <t>在福德宫、父母宫时显著。</t>
  </si>
  <si>
    <r>
      <t>提升地位</t>
    </r>
    <r>
      <rPr>
        <sz val="11"/>
        <color theme="1"/>
        <rFont val="等线"/>
        <family val="2"/>
        <charset val="134"/>
        <scheme val="minor"/>
      </rPr>
      <t>​</t>
    </r>
  </si>
  <si>
    <t>因贵人提携或个人德行，获得地位、名誉的提升。</t>
  </si>
  <si>
    <r>
      <t>消灾解讼</t>
    </r>
    <r>
      <rPr>
        <sz val="11"/>
        <color theme="1"/>
        <rFont val="等线"/>
        <family val="2"/>
        <charset val="134"/>
        <scheme val="minor"/>
      </rPr>
      <t>​</t>
    </r>
  </si>
  <si>
    <t>特别利于化解法律诉讼、合同纠纷等官非问题。</t>
  </si>
  <si>
    <t>在官禄宫、交友宫时体现。</t>
  </si>
  <si>
    <t>一生有贵人扶持，逢凶化吉，心地善良，有阴德，社会评价高。</t>
  </si>
  <si>
    <t>兄弟姐妹中有贵人，或能得到同辈、同事的有力帮助。</t>
  </si>
  <si>
    <t>配偶是贵人，或能通过婚姻得到配偶家族的庇护与提携。</t>
  </si>
  <si>
    <t>子女有出息，能成为自己的依靠；合作方是贵人，项目顺利。</t>
  </si>
  <si>
    <t>钱财来得正当且顺利，易因贵人提供机会而获利，避免财务纠纷。</t>
  </si>
  <si>
    <t>遇重病危难时能得良医或转机，化解病灾，身体康复能力强。</t>
  </si>
  <si>
    <r>
      <t>核心宫位</t>
    </r>
    <r>
      <rPr>
        <sz val="11"/>
        <color theme="1"/>
        <rFont val="等线"/>
        <family val="2"/>
        <charset val="134"/>
        <scheme val="minor"/>
      </rPr>
      <t>。在外发展易遇贵人，出门逢凶化吉，得外地人提携。</t>
    </r>
  </si>
  <si>
    <t>下属、朋友是贵人，能得众人拥护帮助，化解人际是非。</t>
  </si>
  <si>
    <t>事业上得领导、上级赏识提拔，化解职场危机，升迁顺利。</t>
  </si>
  <si>
    <t>家宅安宁，遇拆迁、纠纷能得妥善解决；家族有德，庇荫后代。</t>
  </si>
  <si>
    <t>祖上或自身积德深厚，心态平和，常有“如有神助”之感。</t>
  </si>
  <si>
    <t>父母是贵人，得长辈荫庇，或父母有德，能化解家庭危机。</t>
  </si>
  <si>
    <t>1. 增强贵气福报组合</t>
  </si>
  <si>
    <r>
      <t>龙德+紫微</t>
    </r>
    <r>
      <rPr>
        <sz val="11"/>
        <color theme="1"/>
        <rFont val="等线"/>
        <family val="2"/>
        <charset val="134"/>
        <scheme val="minor"/>
      </rPr>
      <t>​</t>
    </r>
  </si>
  <si>
    <t>帝王之德，得最高层级贵人（如政府高官、大企业主）扶持，化解重大危机。</t>
  </si>
  <si>
    <t>企业危机时得到政策支持；惹上官司时遇到公正的大法官。</t>
  </si>
  <si>
    <r>
      <t>龙德+天机</t>
    </r>
    <r>
      <rPr>
        <sz val="11"/>
        <color theme="1"/>
        <rFont val="等线"/>
        <family val="2"/>
        <charset val="134"/>
        <scheme val="minor"/>
      </rPr>
      <t>​</t>
    </r>
  </si>
  <si>
    <t>智谋之德，得聪明、谋士型贵人指点迷津，化解计划中的风险。</t>
  </si>
  <si>
    <t>投资前得高人指点避坑；旅行遇困时得当地人巧妙帮助。</t>
  </si>
  <si>
    <r>
      <t>龙德+太阳</t>
    </r>
    <r>
      <rPr>
        <sz val="11"/>
        <color theme="1"/>
        <rFont val="等线"/>
        <family val="2"/>
        <charset val="134"/>
        <scheme val="minor"/>
      </rPr>
      <t>​</t>
    </r>
  </si>
  <si>
    <t>光明之德，得公开、正直的贵人帮助（如媒体、公众人物），洗刷冤屈。</t>
  </si>
  <si>
    <t>被诬陷时得记者曝光真相；事业上得德高望重者公开推荐。</t>
  </si>
  <si>
    <r>
      <t>龙德+武曲</t>
    </r>
    <r>
      <rPr>
        <sz val="11"/>
        <color theme="1"/>
        <rFont val="等线"/>
        <family val="2"/>
        <charset val="134"/>
        <scheme val="minor"/>
      </rPr>
      <t>​</t>
    </r>
  </si>
  <si>
    <t>财帛之德，得金融、军事、工程领域的贵人帮助，化解财务或执行危机。</t>
  </si>
  <si>
    <t>资金链断裂时得银行支持；工程事故时得专家解决难题。</t>
  </si>
  <si>
    <r>
      <t>龙德+天同</t>
    </r>
    <r>
      <rPr>
        <sz val="11"/>
        <color theme="1"/>
        <rFont val="等线"/>
        <family val="2"/>
        <charset val="134"/>
        <scheme val="minor"/>
      </rPr>
      <t>​</t>
    </r>
  </si>
  <si>
    <t>福气之德，得温和、享乐型贵人关照，化解人际矛盾，转祸为福。</t>
  </si>
  <si>
    <t>人际冲突时有和事佬调解；生病时得到贴心照料而康复。</t>
  </si>
  <si>
    <r>
      <t>龙德+廉贞</t>
    </r>
    <r>
      <rPr>
        <sz val="11"/>
        <color theme="1"/>
        <rFont val="等线"/>
        <family val="2"/>
        <charset val="134"/>
        <scheme val="minor"/>
      </rPr>
      <t>​</t>
    </r>
  </si>
  <si>
    <t>政治之德，得政治、法律、复杂关系中的贵人庇护，化解官非与桃花劫。</t>
  </si>
  <si>
    <t>卷入政治风波时得关键人物保护；感情纠纷得律师巧妙解决。</t>
  </si>
  <si>
    <r>
      <t>龙德+天府</t>
    </r>
    <r>
      <rPr>
        <sz val="11"/>
        <color theme="1"/>
        <rFont val="等线"/>
        <family val="2"/>
        <charset val="134"/>
        <scheme val="minor"/>
      </rPr>
      <t>​</t>
    </r>
  </si>
  <si>
    <t>库藏之德，得财力雄厚或保守稳健的贵人支持，化解经济与信任危机。</t>
  </si>
  <si>
    <t>经济危机时得大财团注资；被怀疑时得资深人士担保。</t>
  </si>
  <si>
    <r>
      <t>龙德+太阴</t>
    </r>
    <r>
      <rPr>
        <sz val="11"/>
        <color theme="1"/>
        <rFont val="等线"/>
        <family val="2"/>
        <charset val="134"/>
        <scheme val="minor"/>
      </rPr>
      <t>​</t>
    </r>
  </si>
  <si>
    <t>阴柔之德，得女性、幕后、地产相关贵人帮助，化解暗中的麻烦。</t>
  </si>
  <si>
    <t>房产纠纷得女性调解人解决；幕后操作遇阻时得关键人物疏通。</t>
  </si>
  <si>
    <r>
      <t>龙德+贪狼</t>
    </r>
    <r>
      <rPr>
        <sz val="11"/>
        <color theme="1"/>
        <rFont val="等线"/>
        <family val="2"/>
        <charset val="134"/>
        <scheme val="minor"/>
      </rPr>
      <t>​</t>
    </r>
  </si>
  <si>
    <t>欲望之德，得交际、艺术、娱乐界贵人帮助，化解桃花与欲望引发的麻烦。</t>
  </si>
  <si>
    <t>桃色纠纷得圈内大佬摆平；艺术创作瓶颈得大师点拨。</t>
  </si>
  <si>
    <r>
      <t>龙德+巨门</t>
    </r>
    <r>
      <rPr>
        <sz val="11"/>
        <color theme="1"/>
        <rFont val="等线"/>
        <family val="2"/>
        <charset val="134"/>
        <scheme val="minor"/>
      </rPr>
      <t>​</t>
    </r>
  </si>
  <si>
    <t>口舌之德，得律师、教师、沟通专家帮助，化解是非口舌与合同纠纷。</t>
  </si>
  <si>
    <t>被诽谤时得名律师辩护；合同陷阱得资深法务指出。</t>
  </si>
  <si>
    <r>
      <t>龙德+天相</t>
    </r>
    <r>
      <rPr>
        <sz val="11"/>
        <color theme="1"/>
        <rFont val="等线"/>
        <family val="2"/>
        <charset val="134"/>
        <scheme val="minor"/>
      </rPr>
      <t>​</t>
    </r>
  </si>
  <si>
    <t>印信之德，得公正、协调型贵人（如公务员、秘书）帮助，化解凭证危机。</t>
  </si>
  <si>
    <t>文件丢失时得有关部门补办；形象危机得公关高手处理。</t>
  </si>
  <si>
    <r>
      <t>龙德+天梁</t>
    </r>
    <r>
      <rPr>
        <sz val="11"/>
        <color theme="1"/>
        <rFont val="等线"/>
        <family val="2"/>
        <charset val="134"/>
        <scheme val="minor"/>
      </rPr>
      <t>​</t>
    </r>
  </si>
  <si>
    <t>荫庇之德，得长辈、医疗、宗教界贵人救助，化解病灾与法律问题。</t>
  </si>
  <si>
    <t>重病得名医救治；法律纠纷得长辈调停。</t>
  </si>
  <si>
    <r>
      <t>龙德+七杀</t>
    </r>
    <r>
      <rPr>
        <sz val="11"/>
        <color theme="1"/>
        <rFont val="等线"/>
        <family val="2"/>
        <charset val="134"/>
        <scheme val="minor"/>
      </rPr>
      <t>​</t>
    </r>
  </si>
  <si>
    <t>肃杀之德，得武职、魄力型贵人帮助，以强硬手段化解突发重大危机。</t>
  </si>
  <si>
    <t>遭遇暴力威胁时得警方保护；企业突变时得铁腕人物接手。</t>
  </si>
  <si>
    <r>
      <t>龙德+破军</t>
    </r>
    <r>
      <rPr>
        <sz val="11"/>
        <color theme="1"/>
        <rFont val="等线"/>
        <family val="2"/>
        <charset val="134"/>
        <scheme val="minor"/>
      </rPr>
      <t>​</t>
    </r>
  </si>
  <si>
    <t>破旧之德，得改革、先锋型贵人帮助，在破坏性变革中保障安全与利益。</t>
  </si>
  <si>
    <t>公司裁员潮中得高层保全；拆迁中得合理补偿与安置。</t>
  </si>
  <si>
    <r>
      <t>帝德相佐</t>
    </r>
    <r>
      <rPr>
        <sz val="11"/>
        <color theme="1"/>
        <rFont val="等线"/>
        <family val="2"/>
        <charset val="134"/>
        <scheme val="minor"/>
      </rPr>
      <t>，贵气达到顶峰，能化解帝王级别的危机，福报深厚。</t>
    </r>
  </si>
  <si>
    <t>国家危难时有救世主般的领袖出现；企业濒临破产时得到国家级援助。</t>
  </si>
  <si>
    <r>
      <t>龙德+天德/月德</t>
    </r>
    <r>
      <rPr>
        <sz val="11"/>
        <color theme="1"/>
        <rFont val="等线"/>
        <family val="2"/>
        <charset val="134"/>
        <scheme val="minor"/>
      </rPr>
      <t>​</t>
    </r>
  </si>
  <si>
    <r>
      <t>三德拱照</t>
    </r>
    <r>
      <rPr>
        <sz val="11"/>
        <color theme="1"/>
        <rFont val="等线"/>
        <family val="2"/>
        <charset val="134"/>
        <scheme val="minor"/>
      </rPr>
      <t>，吉星汇聚，阴德福报最强，一生多逢凶化吉，贵人如云。</t>
    </r>
  </si>
  <si>
    <t>一生屡次大难不死，总有贵人及时相助。</t>
  </si>
  <si>
    <r>
      <t>龙德+天魁/天钺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</si>
  <si>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贵人叠加</t>
    </r>
    <r>
      <rPr>
        <sz val="11"/>
        <color theme="1"/>
        <rFont val="等线"/>
        <family val="2"/>
        <charset val="134"/>
        <scheme val="minor"/>
      </rPr>
      <t>，贵人运极强，天降贵人，机会自动上门，易得意想不到的帮助。</t>
    </r>
  </si>
  <si>
    <t>绝境中遇到陌生贵人慷慨解囊；关键时刻总有贵人引荐。</t>
  </si>
  <si>
    <r>
      <t>龙德+文昌/文曲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</si>
  <si>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德才兼备</t>
    </r>
    <r>
      <rPr>
        <sz val="11"/>
        <color theme="1"/>
        <rFont val="等线"/>
        <family val="2"/>
        <charset val="134"/>
        <scheme val="minor"/>
      </rPr>
      <t>，因才华、文采或良好声誉吸引贵人，化解文书、考试方面的危机。</t>
    </r>
  </si>
  <si>
    <t>因学术成果得大师赏识提携；考试失误却因平时表现优秀被破格录取。</t>
  </si>
  <si>
    <r>
      <t>龙德+左辅/右弼</t>
    </r>
    <r>
      <rPr>
        <sz val="11"/>
        <color theme="1"/>
        <rFont val="等线"/>
        <family val="2"/>
        <charset val="134"/>
        <scheme val="minor"/>
      </rPr>
      <t>​</t>
    </r>
  </si>
  <si>
    <r>
      <t>德助广布</t>
    </r>
    <r>
      <rPr>
        <sz val="11"/>
        <color theme="1"/>
        <rFont val="等线"/>
        <family val="2"/>
        <charset val="134"/>
        <scheme val="minor"/>
      </rPr>
      <t>，贵人众多且助力持久，能得众人拥护，化解群体性危机。</t>
    </r>
  </si>
  <si>
    <t>项目出问题时团队齐心协力共渡难关；竞选时得众多支持者力挺。</t>
  </si>
  <si>
    <r>
      <t>龙德+禄存</t>
    </r>
    <r>
      <rPr>
        <sz val="11"/>
        <color theme="1"/>
        <rFont val="等线"/>
        <family val="2"/>
        <charset val="134"/>
        <scheme val="minor"/>
      </rPr>
      <t>​</t>
    </r>
  </si>
  <si>
    <r>
      <t>德禄双全</t>
    </r>
    <r>
      <rPr>
        <sz val="11"/>
        <color theme="1"/>
        <rFont val="等线"/>
        <family val="2"/>
        <charset val="134"/>
        <scheme val="minor"/>
      </rPr>
      <t>，福报直接转化为财富，因贵人得财，或因德行积累财富。</t>
    </r>
  </si>
  <si>
    <t>因帮助他人而获得丰厚回报；诚信经营赢得大客户长期合作。</t>
  </si>
  <si>
    <r>
      <t>龙德+火星</t>
    </r>
    <r>
      <rPr>
        <sz val="11"/>
        <color theme="1"/>
        <rFont val="等线"/>
        <family val="2"/>
        <charset val="134"/>
        <scheme val="minor"/>
      </rPr>
      <t>​</t>
    </r>
  </si>
  <si>
    <r>
      <t>德制暴戾</t>
    </r>
    <r>
      <rPr>
        <sz val="11"/>
        <color theme="1"/>
        <rFont val="等线"/>
        <family val="2"/>
        <charset val="134"/>
        <scheme val="minor"/>
      </rPr>
      <t>，能化解突如其来的冲突、火灾、官司等暴烈凶事。</t>
    </r>
  </si>
  <si>
    <t>即将发生冲突时被权威人士制止；火灾中被勇敢者救出。</t>
  </si>
  <si>
    <r>
      <t>龙德+铃星</t>
    </r>
    <r>
      <rPr>
        <sz val="11"/>
        <color theme="1"/>
        <rFont val="等线"/>
        <family val="2"/>
        <charset val="134"/>
        <scheme val="minor"/>
      </rPr>
      <t>​</t>
    </r>
  </si>
  <si>
    <r>
      <t>德消阴损</t>
    </r>
    <r>
      <rPr>
        <sz val="11"/>
        <color theme="1"/>
        <rFont val="等线"/>
        <family val="2"/>
        <charset val="134"/>
        <scheme val="minor"/>
      </rPr>
      <t>，能化解拖延、纠缠性的小人暗算、慢性官司或疾病。</t>
    </r>
  </si>
  <si>
    <t>被小人长期诬陷终得清白；慢性病找到良方控制。</t>
  </si>
  <si>
    <r>
      <t>龙德+擎羊</t>
    </r>
    <r>
      <rPr>
        <sz val="11"/>
        <color theme="1"/>
        <rFont val="等线"/>
        <family val="2"/>
        <charset val="134"/>
        <scheme val="minor"/>
      </rPr>
      <t>​</t>
    </r>
  </si>
  <si>
    <r>
      <t>德化刀刑</t>
    </r>
    <r>
      <rPr>
        <sz val="11"/>
        <color theme="1"/>
        <rFont val="等线"/>
        <family val="2"/>
        <charset val="134"/>
        <scheme val="minor"/>
      </rPr>
      <t>，能化解手术、伤害、激烈竞争带来的血光与损失。</t>
    </r>
  </si>
  <si>
    <t>手术非常成功，风险被化解；商业竞争中避免了两败俱伤。</t>
  </si>
  <si>
    <r>
      <t>龙德+陀罗</t>
    </r>
    <r>
      <rPr>
        <sz val="11"/>
        <color theme="1"/>
        <rFont val="等线"/>
        <family val="2"/>
        <charset val="134"/>
        <scheme val="minor"/>
      </rPr>
      <t>​</t>
    </r>
  </si>
  <si>
    <r>
      <t>德解纠缠</t>
    </r>
    <r>
      <rPr>
        <sz val="11"/>
        <color theme="1"/>
        <rFont val="等线"/>
        <family val="2"/>
        <charset val="134"/>
        <scheme val="minor"/>
      </rPr>
      <t>，能化解反复拖延、旧账重提等纠缠不休的麻烦。</t>
    </r>
  </si>
  <si>
    <t>多年的债务纠纷得到和解；旧疾复发时得到根治。</t>
  </si>
  <si>
    <r>
      <t>龙德+地空/地劫</t>
    </r>
    <r>
      <rPr>
        <sz val="11"/>
        <color theme="1"/>
        <rFont val="等线"/>
        <family val="2"/>
        <charset val="134"/>
        <scheme val="minor"/>
      </rPr>
      <t>​</t>
    </r>
  </si>
  <si>
    <r>
      <t>德御虚空</t>
    </r>
    <r>
      <rPr>
        <sz val="11"/>
        <color theme="1"/>
        <rFont val="等线"/>
        <family val="2"/>
        <charset val="134"/>
        <scheme val="minor"/>
      </rPr>
      <t>，能化解因理想空幻、投机导致的破败，在困境中看到希望。</t>
    </r>
  </si>
  <si>
    <t>投资失败山穷水尽时得到转机；虚无的理想得到现实支持。</t>
  </si>
  <si>
    <r>
      <t>1. “龙德”与“天德”、“月德”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龙德星主“权威贵人”与“体制内福报”</t>
    </r>
    <r>
      <rPr>
        <sz val="11"/>
        <color theme="1"/>
        <rFont val="等线"/>
        <family val="2"/>
        <charset val="134"/>
        <scheme val="minor"/>
      </rPr>
      <t>，贵人常具</t>
    </r>
    <r>
      <rPr>
        <b/>
        <sz val="11"/>
        <color theme="1"/>
        <rFont val="等线"/>
        <family val="3"/>
        <charset val="134"/>
        <scheme val="minor"/>
      </rPr>
      <t>权势、地位或来自官方、大型机构</t>
    </r>
    <r>
      <rPr>
        <sz val="11"/>
        <color theme="1"/>
        <rFont val="等线"/>
        <family val="2"/>
        <charset val="134"/>
        <scheme val="minor"/>
      </rPr>
      <t>，福报与</t>
    </r>
    <r>
      <rPr>
        <b/>
        <sz val="11"/>
        <color theme="1"/>
        <rFont val="等线"/>
        <family val="3"/>
        <charset val="134"/>
        <scheme val="minor"/>
      </rPr>
      <t>法律、秩序、社会地位</t>
    </r>
    <r>
      <rPr>
        <sz val="11"/>
        <color theme="1"/>
        <rFont val="等线"/>
        <family val="2"/>
        <charset val="134"/>
        <scheme val="minor"/>
      </rPr>
      <t>相关。</t>
    </r>
    <r>
      <rPr>
        <b/>
        <sz val="11"/>
        <color theme="1"/>
        <rFont val="等线"/>
        <family val="3"/>
        <charset val="134"/>
        <scheme val="minor"/>
      </rPr>
      <t>天德星主“天道好生之德”</t>
    </r>
    <r>
      <rPr>
        <sz val="11"/>
        <color theme="1"/>
        <rFont val="等线"/>
        <family val="2"/>
        <charset val="134"/>
        <scheme val="minor"/>
      </rPr>
      <t>，贵人多为</t>
    </r>
    <r>
      <rPr>
        <b/>
        <sz val="11"/>
        <color theme="1"/>
        <rFont val="等线"/>
        <family val="3"/>
        <charset val="134"/>
        <scheme val="minor"/>
      </rPr>
      <t>普通善良之人或自然机遇</t>
    </r>
    <r>
      <rPr>
        <sz val="11"/>
        <color theme="1"/>
        <rFont val="等线"/>
        <family val="2"/>
        <charset val="134"/>
        <scheme val="minor"/>
      </rPr>
      <t>，福报来自</t>
    </r>
    <r>
      <rPr>
        <b/>
        <sz val="11"/>
        <color theme="1"/>
        <rFont val="等线"/>
        <family val="3"/>
        <charset val="134"/>
        <scheme val="minor"/>
      </rPr>
      <t>天地护佑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月德星主“人伦和睦之德”</t>
    </r>
    <r>
      <rPr>
        <sz val="11"/>
        <color theme="1"/>
        <rFont val="等线"/>
        <family val="2"/>
        <charset val="134"/>
        <scheme val="minor"/>
      </rPr>
      <t>，贵人多为</t>
    </r>
    <r>
      <rPr>
        <b/>
        <sz val="11"/>
        <color theme="1"/>
        <rFont val="等线"/>
        <family val="3"/>
        <charset val="134"/>
        <scheme val="minor"/>
      </rPr>
      <t>女性、亲友或因和睦关系而来</t>
    </r>
    <r>
      <rPr>
        <sz val="11"/>
        <color theme="1"/>
        <rFont val="等线"/>
        <family val="2"/>
        <charset val="134"/>
        <scheme val="minor"/>
      </rPr>
      <t>，福报来自</t>
    </r>
    <r>
      <rPr>
        <b/>
        <sz val="11"/>
        <color theme="1"/>
        <rFont val="等线"/>
        <family val="3"/>
        <charset val="134"/>
        <scheme val="minor"/>
      </rPr>
      <t>人缘积累</t>
    </r>
    <r>
      <rPr>
        <sz val="11"/>
        <color theme="1"/>
        <rFont val="等线"/>
        <family val="2"/>
        <charset val="134"/>
        <scheme val="minor"/>
      </rPr>
      <t>。三者同会为“三德拱照”，福力最强。</t>
    </r>
  </si>
  <si>
    <r>
      <t>2. 与“天魁”、“天钺”的区别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天魁、天钺是“天乙贵人”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机会性的、来自上对下的直接提携与机遇</t>
    </r>
    <r>
      <rPr>
        <sz val="11"/>
        <color theme="1"/>
        <rFont val="等线"/>
        <family val="2"/>
        <charset val="134"/>
        <scheme val="minor"/>
      </rPr>
      <t>，更偏向“机会”。</t>
    </r>
    <r>
      <rPr>
        <b/>
        <sz val="11"/>
        <color theme="1"/>
        <rFont val="等线"/>
        <family val="3"/>
        <charset val="134"/>
        <scheme val="minor"/>
      </rPr>
      <t>龙德是“阴德贵人”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因德行感召的、来自各方（尤其是体制内）的庇护与化解</t>
    </r>
    <r>
      <rPr>
        <sz val="11"/>
        <color theme="1"/>
        <rFont val="等线"/>
        <family val="2"/>
        <charset val="134"/>
        <scheme val="minor"/>
      </rPr>
      <t>，更偏向“福报”与“化解”。天魁天钺是“给你一个机会”，龙德是“帮你渡过难关”。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</si>
  <si>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：龙德星所在宫位，指示在人生的哪个领域最容易得到贵人帮助、积累阴德或化解灾厄。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</si>
  <si>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，贵人直接带来财富机遇，或因积德而发财。见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，贵人赋予权力、地位，或因德行获得权威。见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，因德行获得好名声、社会赞誉，贵人因名望而来。见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贵人助力打折或延迟</t>
    </r>
    <r>
      <rPr>
        <sz val="11"/>
        <color theme="1"/>
        <rFont val="等线"/>
        <family val="2"/>
        <charset val="134"/>
        <scheme val="minor"/>
      </rPr>
      <t>，需更大德行方能化解，或需偿还“德债”。</t>
    </r>
  </si>
  <si>
    <t>一、天德定义</t>
  </si>
  <si>
    <t>天道福德、贵人扶持、化解灾厄</t>
  </si>
  <si>
    <t>象征天道之德，代表来自上天的庇佑、自然的机遇以及因善念善行感召的贵人扶助。其性质主大吉，能化解灾厄、逢凶化吉，尤其擅长化解自然灾祸与意外伤害。</t>
  </si>
  <si>
    <t>乙级星，属阳火。主大吉，为解厄、贵人、福德之星。喜与月德、龙德等吉星同会，福力倍增。即使与煞星同度，亦能减凶增吉，遇难呈祥。</t>
  </si>
  <si>
    <r>
      <t>天道护佑</t>
    </r>
    <r>
      <rPr>
        <sz val="11"/>
        <color theme="1"/>
        <rFont val="等线"/>
        <family val="2"/>
        <charset val="134"/>
        <scheme val="minor"/>
      </rPr>
      <t>​</t>
    </r>
  </si>
  <si>
    <t>冥冥之中有天佑，常能绝处逢生，避开自然灾害与意外灾祸。</t>
  </si>
  <si>
    <t>在命宫、迁移宫、福德宫时尤为明显。</t>
  </si>
  <si>
    <r>
      <t>贵人扶持</t>
    </r>
    <r>
      <rPr>
        <sz val="11"/>
        <color theme="1"/>
        <rFont val="等线"/>
        <family val="2"/>
        <charset val="134"/>
        <scheme val="minor"/>
      </rPr>
      <t>​</t>
    </r>
  </si>
  <si>
    <t>易得心地善良、不计回报的贵人帮助，贵人常在不经意间出现。</t>
  </si>
  <si>
    <t>与天魁、天钺同度时力量显现。</t>
  </si>
  <si>
    <r>
      <t>化解灾厄</t>
    </r>
    <r>
      <rPr>
        <sz val="11"/>
        <color theme="1"/>
        <rFont val="等线"/>
        <family val="2"/>
        <charset val="134"/>
        <scheme val="minor"/>
      </rPr>
      <t>​</t>
    </r>
  </si>
  <si>
    <t>能化解水火灾、交通事故、跌落等意外伤害，以及突发性疾病。</t>
  </si>
  <si>
    <t>与火星、铃星、擎羊等煞星同会时体现其解厄之力。</t>
  </si>
  <si>
    <r>
      <t>积善之报</t>
    </r>
    <r>
      <rPr>
        <sz val="11"/>
        <color theme="1"/>
        <rFont val="等线"/>
        <family val="2"/>
        <charset val="134"/>
        <scheme val="minor"/>
      </rPr>
      <t>​</t>
    </r>
  </si>
  <si>
    <t>本人或祖上积有善行，福报在关键时刻自然显现，有“吉人天相”之象。</t>
  </si>
  <si>
    <r>
      <t>提升福泽</t>
    </r>
    <r>
      <rPr>
        <sz val="11"/>
        <color theme="1"/>
        <rFont val="等线"/>
        <family val="2"/>
        <charset val="134"/>
        <scheme val="minor"/>
      </rPr>
      <t>​</t>
    </r>
  </si>
  <si>
    <t>增加整体福气，使人生道路较为顺遂，减少无妄之灾。</t>
  </si>
  <si>
    <t>在命宫、身宫时显现。</t>
  </si>
  <si>
    <t>一生多得天佑，心地仁慈，乐善好施，危难时常有转机，有惊无险。</t>
  </si>
  <si>
    <t>兄弟姐妹友善，能得手足帮助，或同辈中多善良之人相助。</t>
  </si>
  <si>
    <t>配偶心地善良，是福星，婚姻能化解自身灾厄，感情和睦。</t>
  </si>
  <si>
    <t>子女孝顺有福，能为自己带来福气；合作方诚信善良，合作顺利。</t>
  </si>
  <si>
    <t>钱财来得平稳正当，不易因意外破财，常有意外之财或馈赠。</t>
  </si>
  <si>
    <t>身体健康，抵抗力强，即使患病也易遇良医或找到良方，转危为安。</t>
  </si>
  <si>
    <r>
      <t>核心宫位</t>
    </r>
    <r>
      <rPr>
        <sz val="11"/>
        <color theme="1"/>
        <rFont val="等线"/>
        <family val="2"/>
        <charset val="134"/>
        <scheme val="minor"/>
      </rPr>
      <t>。外出平安，遇险有救，易得外地人无私帮助，旅途顺利。</t>
    </r>
  </si>
  <si>
    <t>朋友、下属多正直善良之辈，能在危难时伸出援手，人际关系和谐。</t>
  </si>
  <si>
    <t>事业上遇困难易得贵人排解，工作环境和谐，少遇小人陷害。</t>
  </si>
  <si>
    <t>家宅平安，少水火之灾，家庭和睦，邻里关系良好。</t>
  </si>
  <si>
    <r>
      <t>核心宫位</t>
    </r>
    <r>
      <rPr>
        <sz val="11"/>
        <color theme="1"/>
        <rFont val="等线"/>
        <family val="2"/>
        <charset val="134"/>
        <scheme val="minor"/>
      </rPr>
      <t>。祖上积德深厚，自身福报大，心态平和，常逢凶化吉。</t>
    </r>
  </si>
  <si>
    <t>父母仁慈有德，得长辈荫庇，家庭有福气，能化解家庭危机。</t>
  </si>
  <si>
    <t>1. 增强福德贵人组合</t>
  </si>
  <si>
    <r>
      <t>天德+紫微</t>
    </r>
    <r>
      <rPr>
        <sz val="11"/>
        <color theme="1"/>
        <rFont val="等线"/>
        <family val="2"/>
        <charset val="134"/>
        <scheme val="minor"/>
      </rPr>
      <t>​</t>
    </r>
  </si>
  <si>
    <t>天佑帝星，得最高级别的天道护佑，能化解重大社会性、政治性危机。</t>
  </si>
  <si>
    <t>政权更迭中得以保全；大型企业危机中因政策转向而获救。</t>
  </si>
  <si>
    <r>
      <t>天德+天机</t>
    </r>
    <r>
      <rPr>
        <sz val="11"/>
        <color theme="1"/>
        <rFont val="等线"/>
        <family val="2"/>
        <charset val="134"/>
        <scheme val="minor"/>
      </rPr>
      <t>​</t>
    </r>
  </si>
  <si>
    <t>天佑智星，谋事得天助，在计划、出行中避开风险，得智者指点。</t>
  </si>
  <si>
    <t>旅行前因预感改签而避开空难；投资决策时得到关键内幕消息（善意提供）。</t>
  </si>
  <si>
    <r>
      <t>天德+太阳</t>
    </r>
    <r>
      <rPr>
        <sz val="11"/>
        <color theme="1"/>
        <rFont val="等线"/>
        <family val="2"/>
        <charset val="134"/>
        <scheme val="minor"/>
      </rPr>
      <t>​</t>
    </r>
  </si>
  <si>
    <t>天佑光明，公开的困难得公众或正义力量支持而化解，名声得保。</t>
  </si>
  <si>
    <t>被冤枉时出现关键证据；公开演讲遇突发状况被观众巧妙化解。</t>
  </si>
  <si>
    <r>
      <t>天德+武曲</t>
    </r>
    <r>
      <rPr>
        <sz val="11"/>
        <color theme="1"/>
        <rFont val="等线"/>
        <family val="2"/>
        <charset val="134"/>
        <scheme val="minor"/>
      </rPr>
      <t>​</t>
    </r>
  </si>
  <si>
    <t>天佑财星，在金融风险、金属伤害中得以保全，得正直的金融界人士帮助。</t>
  </si>
  <si>
    <t>金融危机中资产奇迹般保值；操作重型机械时意外安全无恙。</t>
  </si>
  <si>
    <r>
      <t>天德+天同</t>
    </r>
    <r>
      <rPr>
        <sz val="11"/>
        <color theme="1"/>
        <rFont val="等线"/>
        <family val="2"/>
        <charset val="134"/>
        <scheme val="minor"/>
      </rPr>
      <t>​</t>
    </r>
  </si>
  <si>
    <t>天佑福星，福上加福，享乐中亦能避祸，得温和长者或朋友关照。</t>
  </si>
  <si>
    <t>游玩时避开危险区域；生病时得到朋友无微不至的照顾而快速康复。</t>
  </si>
  <si>
    <r>
      <t>天德+廉贞</t>
    </r>
    <r>
      <rPr>
        <sz val="11"/>
        <color theme="1"/>
        <rFont val="等线"/>
        <family val="2"/>
        <charset val="134"/>
        <scheme val="minor"/>
      </rPr>
      <t>​</t>
    </r>
  </si>
  <si>
    <t>天佑囚星，化解官非、桃花劫与复杂纠纷，得法律界或纪律部门贵人相助。</t>
  </si>
  <si>
    <t>卷入官司时对方撤诉；感情陷阱中被朋友及时点醒。</t>
  </si>
  <si>
    <r>
      <t>天德+天府</t>
    </r>
    <r>
      <rPr>
        <sz val="11"/>
        <color theme="1"/>
        <rFont val="等线"/>
        <family val="2"/>
        <charset val="134"/>
        <scheme val="minor"/>
      </rPr>
      <t>​</t>
    </r>
  </si>
  <si>
    <t>天佑库星，财富与产业得保，避免盗抢、火灾等损失，得稳健人士帮助。</t>
  </si>
  <si>
    <t>仓库火灾中重要货物奇迹般无损；经济动荡时得保守投资者支持。</t>
  </si>
  <si>
    <r>
      <t>天德+太阴</t>
    </r>
    <r>
      <rPr>
        <sz val="11"/>
        <color theme="1"/>
        <rFont val="等线"/>
        <family val="2"/>
        <charset val="134"/>
        <scheme val="minor"/>
      </rPr>
      <t>​</t>
    </r>
  </si>
  <si>
    <t>天佑阴星，避免水险、女性相关灾祸，得女性或幕后贵人暗中相助。</t>
  </si>
  <si>
    <t>乘船遇风浪安全脱险；房产纠纷得女性调解人圆满解决。</t>
  </si>
  <si>
    <r>
      <t>天德+贪狼</t>
    </r>
    <r>
      <rPr>
        <sz val="11"/>
        <color theme="1"/>
        <rFont val="等线"/>
        <family val="2"/>
        <charset val="134"/>
        <scheme val="minor"/>
      </rPr>
      <t>​</t>
    </r>
  </si>
  <si>
    <t>天佑桃花，化解因欲望、交际引发的祸端，得艺术或娱乐界贵人帮助。</t>
  </si>
  <si>
    <t>酒局中避免被陷害；艺术创作瓶颈时灵感自然涌现。</t>
  </si>
  <si>
    <r>
      <t>天德+巨门</t>
    </r>
    <r>
      <rPr>
        <sz val="11"/>
        <color theme="1"/>
        <rFont val="等线"/>
        <family val="2"/>
        <charset val="134"/>
        <scheme val="minor"/>
      </rPr>
      <t>​</t>
    </r>
  </si>
  <si>
    <t>天佑暗星，化解口舌是非、合同陷阱，得律师、教师或沟通专家帮助。</t>
  </si>
  <si>
    <t>被诽谤时谣言不攻自破；签约前发现隐藏条款而避免损失。</t>
  </si>
  <si>
    <r>
      <t>天德+天相</t>
    </r>
    <r>
      <rPr>
        <sz val="11"/>
        <color theme="1"/>
        <rFont val="等线"/>
        <family val="2"/>
        <charset val="134"/>
        <scheme val="minor"/>
      </rPr>
      <t>​</t>
    </r>
  </si>
  <si>
    <t>天佑印星，化解凭证、诚信危机，得公正的公务员或协调者帮助。</t>
  </si>
  <si>
    <t>重要文件失而复得；因诚实守信而获得意外机会。</t>
  </si>
  <si>
    <r>
      <t>天德+天梁</t>
    </r>
    <r>
      <rPr>
        <sz val="11"/>
        <color theme="1"/>
        <rFont val="等线"/>
        <family val="2"/>
        <charset val="134"/>
        <scheme val="minor"/>
      </rPr>
      <t>​</t>
    </r>
  </si>
  <si>
    <t>天佑荫星，化解病灾、法律问题，得医疗、宗教或长辈贵人救助。</t>
  </si>
  <si>
    <t>重病找到偏方治愈；法律纠纷因长辈说情而和解。</t>
  </si>
  <si>
    <r>
      <t>天德+七杀</t>
    </r>
    <r>
      <rPr>
        <sz val="11"/>
        <color theme="1"/>
        <rFont val="等线"/>
        <family val="2"/>
        <charset val="134"/>
        <scheme val="minor"/>
      </rPr>
      <t>​</t>
    </r>
  </si>
  <si>
    <t>天佑将星，化解突发性血光之灾与激烈冲突，得武职或果敢之人帮助。</t>
  </si>
  <si>
    <t>车祸中仅受轻伤；冲突即将升级时被权威人士制止。</t>
  </si>
  <si>
    <r>
      <t>天德+破军</t>
    </r>
    <r>
      <rPr>
        <sz val="11"/>
        <color theme="1"/>
        <rFont val="等线"/>
        <family val="2"/>
        <charset val="134"/>
        <scheme val="minor"/>
      </rPr>
      <t>​</t>
    </r>
  </si>
  <si>
    <t>天佑耗星，在破坏性变动中保障安全，减少损失，得改革者帮助。</t>
  </si>
  <si>
    <t>拆迁中分配到更好的房子；公司重组中意外保住职位。</t>
  </si>
  <si>
    <r>
      <t>天德+月德</t>
    </r>
    <r>
      <rPr>
        <sz val="11"/>
        <color theme="1"/>
        <rFont val="等线"/>
        <family val="2"/>
        <charset val="134"/>
        <scheme val="minor"/>
      </rPr>
      <t>​</t>
    </r>
  </si>
  <si>
    <r>
      <t>德合阴阳</t>
    </r>
    <r>
      <rPr>
        <sz val="11"/>
        <color theme="1"/>
        <rFont val="等线"/>
        <family val="2"/>
        <charset val="134"/>
        <scheme val="minor"/>
      </rPr>
      <t>，阴阳二德相会，福力深厚，能化解绝大多数灾厄，一生平安顺遂。</t>
    </r>
  </si>
  <si>
    <t>多次经历危险均毫发无伤；一生少病少灾。</t>
  </si>
  <si>
    <r>
      <t>天德+龙德</t>
    </r>
    <r>
      <rPr>
        <sz val="11"/>
        <color theme="1"/>
        <rFont val="等线"/>
        <family val="2"/>
        <charset val="134"/>
        <scheme val="minor"/>
      </rPr>
      <t>​</t>
    </r>
  </si>
  <si>
    <r>
      <t>德配天地</t>
    </r>
    <r>
      <rPr>
        <sz val="11"/>
        <color theme="1"/>
        <rFont val="等线"/>
        <family val="2"/>
        <charset val="134"/>
        <scheme val="minor"/>
      </rPr>
      <t>，天道之德与人间贵气结合，福报与权势兼备，能化解重大天灾人祸。</t>
    </r>
  </si>
  <si>
    <t>自然灾害中成为少数幸存者；重大危机中得高层直接干预解决。</t>
  </si>
  <si>
    <r>
      <t>天德+月德+龙德</t>
    </r>
    <r>
      <rPr>
        <sz val="11"/>
        <color theme="1"/>
        <rFont val="等线"/>
        <family val="2"/>
        <charset val="134"/>
        <scheme val="minor"/>
      </rPr>
      <t>​</t>
    </r>
  </si>
  <si>
    <r>
      <t>三德拱照</t>
    </r>
    <r>
      <rPr>
        <sz val="11"/>
        <color theme="1"/>
        <rFont val="等线"/>
        <family val="2"/>
        <charset val="134"/>
        <scheme val="minor"/>
      </rPr>
      <t>，吉星汇聚，福报最强，一生多逢凶化吉，贵人无处不在，遇难呈祥。</t>
    </r>
  </si>
  <si>
    <t>传奇人物，一生屡次大难不死，总有贵人相助，福寿双全。</t>
  </si>
  <si>
    <r>
      <t>天德+天魁/天钺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</si>
  <si>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天德贵人</t>
    </r>
    <r>
      <rPr>
        <sz val="11"/>
        <color theme="1"/>
        <rFont val="等线"/>
        <family val="2"/>
        <charset val="134"/>
        <scheme val="minor"/>
      </rPr>
      <t>，天赐贵人运极强，机遇与庇佑并存，常有意想不到的幸运。</t>
    </r>
  </si>
  <si>
    <t>困境中遇到陌生人鼎力相助；关键时刻总有“天降神兵”。</t>
  </si>
  <si>
    <r>
      <t>天德+文昌/文曲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</si>
  <si>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德蕴文华</t>
    </r>
    <r>
      <rPr>
        <sz val="11"/>
        <color theme="1"/>
        <rFont val="等线"/>
        <family val="2"/>
        <charset val="134"/>
        <scheme val="minor"/>
      </rPr>
      <t>，因才德、善行获得名声与贵人，化解文书、考试方面的危机。</t>
    </r>
  </si>
  <si>
    <t>因善举被报道而获得机会；考试时恰好复习到考题。</t>
  </si>
  <si>
    <r>
      <t>天德+左辅/右弼</t>
    </r>
    <r>
      <rPr>
        <sz val="11"/>
        <color theme="1"/>
        <rFont val="等线"/>
        <family val="2"/>
        <charset val="134"/>
        <scheme val="minor"/>
      </rPr>
      <t>​</t>
    </r>
  </si>
  <si>
    <r>
      <t>德被众人</t>
    </r>
    <r>
      <rPr>
        <sz val="11"/>
        <color theme="1"/>
        <rFont val="等线"/>
        <family val="2"/>
        <charset val="134"/>
        <scheme val="minor"/>
      </rPr>
      <t>，善行感召众人相助，能化解群体性危机，得广泛支持。</t>
    </r>
  </si>
  <si>
    <t>企业危机时员工同心协力共渡难关；社区困难时邻里互助。</t>
  </si>
  <si>
    <r>
      <t>天德+禄存</t>
    </r>
    <r>
      <rPr>
        <sz val="11"/>
        <color theme="1"/>
        <rFont val="等线"/>
        <family val="2"/>
        <charset val="134"/>
        <scheme val="minor"/>
      </rPr>
      <t>​</t>
    </r>
  </si>
  <si>
    <r>
      <t>德福双至</t>
    </r>
    <r>
      <rPr>
        <sz val="11"/>
        <color theme="1"/>
        <rFont val="等线"/>
        <family val="2"/>
        <charset val="134"/>
        <scheme val="minor"/>
      </rPr>
      <t>，福报直接转化为财富与安稳，善有善报，因德得财。</t>
    </r>
  </si>
  <si>
    <t>因拾金不昧而获得丰厚回报；诚信经营带来稳定客源。</t>
  </si>
  <si>
    <r>
      <t>天德+火星</t>
    </r>
    <r>
      <rPr>
        <sz val="11"/>
        <color theme="1"/>
        <rFont val="等线"/>
        <family val="2"/>
        <charset val="134"/>
        <scheme val="minor"/>
      </rPr>
      <t>​</t>
    </r>
  </si>
  <si>
    <r>
      <t>德制天火</t>
    </r>
    <r>
      <rPr>
        <sz val="11"/>
        <color theme="1"/>
        <rFont val="等线"/>
        <family val="2"/>
        <charset val="134"/>
        <scheme val="minor"/>
      </rPr>
      <t>，能化解火灾、爆炸、突发冲突等暴烈灾祸。</t>
    </r>
  </si>
  <si>
    <t>家中失火却仅损及无关紧要之物；街头冲突中流弹擦身而过。</t>
  </si>
  <si>
    <r>
      <t>天德+铃星</t>
    </r>
    <r>
      <rPr>
        <sz val="11"/>
        <color theme="1"/>
        <rFont val="等线"/>
        <family val="2"/>
        <charset val="134"/>
        <scheme val="minor"/>
      </rPr>
      <t>​</t>
    </r>
  </si>
  <si>
    <r>
      <t>德消阴火</t>
    </r>
    <r>
      <rPr>
        <sz val="11"/>
        <color theme="1"/>
        <rFont val="等线"/>
        <family val="2"/>
        <charset val="134"/>
        <scheme val="minor"/>
      </rPr>
      <t>，能化解慢性中毒、纠缠性的是非或拖延的意外伤害。</t>
    </r>
  </si>
  <si>
    <t>食物中毒症状轻微；被长期纠缠的小人突然自行离去。</t>
  </si>
  <si>
    <r>
      <t>天德+擎羊</t>
    </r>
    <r>
      <rPr>
        <sz val="11"/>
        <color theme="1"/>
        <rFont val="等线"/>
        <family val="2"/>
        <charset val="134"/>
        <scheme val="minor"/>
      </rPr>
      <t>​</t>
    </r>
  </si>
  <si>
    <r>
      <t>德化刀锋</t>
    </r>
    <r>
      <rPr>
        <sz val="11"/>
        <color theme="1"/>
        <rFont val="等线"/>
        <family val="2"/>
        <charset val="134"/>
        <scheme val="minor"/>
      </rPr>
      <t>，能化解刀伤、手术、车祸等血光之灾，减轻伤害程度。</t>
    </r>
  </si>
  <si>
    <t>手术非常顺利，恢复极快；车祸中安全气囊及时弹出。</t>
  </si>
  <si>
    <r>
      <t>天德+陀罗</t>
    </r>
    <r>
      <rPr>
        <sz val="11"/>
        <color theme="1"/>
        <rFont val="等线"/>
        <family val="2"/>
        <charset val="134"/>
        <scheme val="minor"/>
      </rPr>
      <t>​</t>
    </r>
  </si>
  <si>
    <r>
      <t>德解缠扰</t>
    </r>
    <r>
      <rPr>
        <sz val="11"/>
        <color theme="1"/>
        <rFont val="等线"/>
        <family val="2"/>
        <charset val="134"/>
        <scheme val="minor"/>
      </rPr>
      <t>，能化解反复发生的意外、旧疾复发或拖延的灾祸。</t>
    </r>
  </si>
  <si>
    <t>旧伤复发却找到根治方法；多次错过班车却避开了事故班次。</t>
  </si>
  <si>
    <r>
      <t>天德+地空/地劫</t>
    </r>
    <r>
      <rPr>
        <sz val="11"/>
        <color theme="1"/>
        <rFont val="等线"/>
        <family val="2"/>
        <charset val="134"/>
        <scheme val="minor"/>
      </rPr>
      <t>​</t>
    </r>
  </si>
  <si>
    <r>
      <t>德御虚空</t>
    </r>
    <r>
      <rPr>
        <sz val="11"/>
        <color theme="1"/>
        <rFont val="等线"/>
        <family val="2"/>
        <charset val="134"/>
        <scheme val="minor"/>
      </rPr>
      <t>，能化解因空想、投机导致的意外破败，在绝境中看到生机。</t>
    </r>
  </si>
  <si>
    <t>探险迷路时意外发现出路；投机失败却因祸得福获得新机遇。</t>
  </si>
  <si>
    <r>
      <t>1. “天德”与“月德”、“龙德”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天德星主“天道之德”</t>
    </r>
    <r>
      <rPr>
        <sz val="11"/>
        <color theme="1"/>
        <rFont val="等线"/>
        <family val="2"/>
        <charset val="134"/>
        <scheme val="minor"/>
      </rPr>
      <t>，贵人多为</t>
    </r>
    <r>
      <rPr>
        <b/>
        <sz val="11"/>
        <color theme="1"/>
        <rFont val="等线"/>
        <family val="3"/>
        <charset val="134"/>
        <scheme val="minor"/>
      </rPr>
      <t>无心插柳的善缘或自然机遇</t>
    </r>
    <r>
      <rPr>
        <sz val="11"/>
        <color theme="1"/>
        <rFont val="等线"/>
        <family val="2"/>
        <charset val="134"/>
        <scheme val="minor"/>
      </rPr>
      <t>，福报来自</t>
    </r>
    <r>
      <rPr>
        <b/>
        <sz val="11"/>
        <color theme="1"/>
        <rFont val="等线"/>
        <family val="3"/>
        <charset val="134"/>
        <scheme val="minor"/>
      </rPr>
      <t>上天护佑与自然力量</t>
    </r>
    <r>
      <rPr>
        <sz val="11"/>
        <color theme="1"/>
        <rFont val="等线"/>
        <family val="2"/>
        <charset val="134"/>
        <scheme val="minor"/>
      </rPr>
      <t>，擅长化解</t>
    </r>
    <r>
      <rPr>
        <b/>
        <sz val="11"/>
        <color theme="1"/>
        <rFont val="等线"/>
        <family val="3"/>
        <charset val="134"/>
        <scheme val="minor"/>
      </rPr>
      <t>自然灾害、意外伤害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月德星主“人伦之德”</t>
    </r>
    <r>
      <rPr>
        <sz val="11"/>
        <color theme="1"/>
        <rFont val="等线"/>
        <family val="2"/>
        <charset val="134"/>
        <scheme val="minor"/>
      </rPr>
      <t>，贵人多为</t>
    </r>
    <r>
      <rPr>
        <b/>
        <sz val="11"/>
        <color theme="1"/>
        <rFont val="等线"/>
        <family val="3"/>
        <charset val="134"/>
        <scheme val="minor"/>
      </rPr>
      <t>女性、亲友或因和睦关系而来</t>
    </r>
    <r>
      <rPr>
        <sz val="11"/>
        <color theme="1"/>
        <rFont val="等线"/>
        <family val="2"/>
        <charset val="134"/>
        <scheme val="minor"/>
      </rPr>
      <t>，福报来自</t>
    </r>
    <r>
      <rPr>
        <b/>
        <sz val="11"/>
        <color theme="1"/>
        <rFont val="等线"/>
        <family val="3"/>
        <charset val="134"/>
        <scheme val="minor"/>
      </rPr>
      <t>人缘积累</t>
    </r>
    <r>
      <rPr>
        <sz val="11"/>
        <color theme="1"/>
        <rFont val="等线"/>
        <family val="2"/>
        <charset val="134"/>
        <scheme val="minor"/>
      </rPr>
      <t>，擅长化解</t>
    </r>
    <r>
      <rPr>
        <b/>
        <sz val="11"/>
        <color theme="1"/>
        <rFont val="等线"/>
        <family val="3"/>
        <charset val="134"/>
        <scheme val="minor"/>
      </rPr>
      <t>人际纷争、慢性病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龙德星主“权威之德”</t>
    </r>
    <r>
      <rPr>
        <sz val="11"/>
        <color theme="1"/>
        <rFont val="等线"/>
        <family val="2"/>
        <charset val="134"/>
        <scheme val="minor"/>
      </rPr>
      <t>，贵人多为</t>
    </r>
    <r>
      <rPr>
        <b/>
        <sz val="11"/>
        <color theme="1"/>
        <rFont val="等线"/>
        <family val="3"/>
        <charset val="134"/>
        <scheme val="minor"/>
      </rPr>
      <t>有权势、地位或体制内人士</t>
    </r>
    <r>
      <rPr>
        <sz val="11"/>
        <color theme="1"/>
        <rFont val="等线"/>
        <family val="2"/>
        <charset val="134"/>
        <scheme val="minor"/>
      </rPr>
      <t>，福报与</t>
    </r>
    <r>
      <rPr>
        <b/>
        <sz val="11"/>
        <color theme="1"/>
        <rFont val="等线"/>
        <family val="3"/>
        <charset val="134"/>
        <scheme val="minor"/>
      </rPr>
      <t>法律、秩序</t>
    </r>
    <r>
      <rPr>
        <sz val="11"/>
        <color theme="1"/>
        <rFont val="等线"/>
        <family val="2"/>
        <charset val="134"/>
        <scheme val="minor"/>
      </rPr>
      <t>相关，擅长化解</t>
    </r>
    <r>
      <rPr>
        <b/>
        <sz val="11"/>
        <color theme="1"/>
        <rFont val="等线"/>
        <family val="3"/>
        <charset val="134"/>
        <scheme val="minor"/>
      </rPr>
      <t>官司、是非、社会性危机</t>
    </r>
    <r>
      <rPr>
        <sz val="11"/>
        <color theme="1"/>
        <rFont val="等线"/>
        <family val="2"/>
        <charset val="134"/>
        <scheme val="minor"/>
      </rPr>
      <t>。三者同会为“三德拱照”，福力最强。</t>
    </r>
  </si>
  <si>
    <r>
      <t>2. 与“天魁”、“天钺”的区别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天魁、天钺是“天乙贵人”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直接的、机会性的提携与机遇</t>
    </r>
    <r>
      <rPr>
        <sz val="11"/>
        <color theme="1"/>
        <rFont val="等线"/>
        <family val="2"/>
        <charset val="134"/>
        <scheme val="minor"/>
      </rPr>
      <t>，更偏向于“给予机会”。</t>
    </r>
    <r>
      <rPr>
        <b/>
        <sz val="11"/>
        <color theme="1"/>
        <rFont val="等线"/>
        <family val="3"/>
        <charset val="134"/>
        <scheme val="minor"/>
      </rPr>
      <t>天德是“福德贵人”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因德行感召的、庇佑性的保护与化解</t>
    </r>
    <r>
      <rPr>
        <sz val="11"/>
        <color theme="1"/>
        <rFont val="等线"/>
        <family val="2"/>
        <charset val="134"/>
        <scheme val="minor"/>
      </rPr>
      <t>，更偏向于“消灾解厄”。天魁天钺是“给你一个机会”，天德是“帮你躲过一劫”。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</si>
  <si>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：天德星所在宫位，指示在人生的哪个领域最容易得到上天庇佑、积累善报或化解意外灾厄。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</si>
  <si>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，福报直接转化为财富收益，善行带来经济回报。见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，因德行获得权威或领导力，能主导化解危机。见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，因善行获得好名声与社会赞誉，福报显扬。见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福报暂时受阻或需偿还</t>
    </r>
    <r>
      <rPr>
        <sz val="11"/>
        <color theme="1"/>
        <rFont val="等线"/>
        <family val="2"/>
        <charset val="134"/>
        <scheme val="minor"/>
      </rPr>
      <t>，行善后未必立即有报，或需经历小考验方能显化福德。</t>
    </r>
  </si>
  <si>
    <t>一、月德定义</t>
  </si>
  <si>
    <t>人缘、阴德、和睦、化解灾厄</t>
  </si>
  <si>
    <t>象征人伦和睦之德，代表通过良好人际关系、家庭和谐以及私下善行积累的福报。其性质主大吉，能化解人际纷争、慢性病痛及由女性、暗昧之事引发的灾厄。</t>
  </si>
  <si>
    <t>乙级星，属阴土。主大吉，为解厄、人缘、和合之星。喜与天德、龙德等吉星同会，福力倍增。能化解由太阴、巨门等阴星及煞星带来的不利影响。</t>
  </si>
  <si>
    <r>
      <t>人缘和睦</t>
    </r>
    <r>
      <rPr>
        <sz val="11"/>
        <color theme="1"/>
        <rFont val="等线"/>
        <family val="2"/>
        <charset val="134"/>
        <scheme val="minor"/>
      </rPr>
      <t>​</t>
    </r>
  </si>
  <si>
    <t>人际关系融洽，易得人好感，尤其得女性、亲友的喜爱与帮助。</t>
  </si>
  <si>
    <t>在命宫、交友宫、夫妻宫时尤为明显。</t>
  </si>
  <si>
    <r>
      <t>化解纷争</t>
    </r>
    <r>
      <rPr>
        <sz val="11"/>
        <color theme="1"/>
        <rFont val="等线"/>
        <family val="2"/>
        <charset val="134"/>
        <scheme val="minor"/>
      </rPr>
      <t>​</t>
    </r>
  </si>
  <si>
    <t>能调和矛盾，平息口舌是非，使人际关系中的冲突得以缓和解决。</t>
  </si>
  <si>
    <t>与巨门、擎羊等星同度时力量显现。</t>
  </si>
  <si>
    <r>
      <t>阴德福报</t>
    </r>
    <r>
      <rPr>
        <sz val="11"/>
        <color theme="1"/>
        <rFont val="等线"/>
        <family val="2"/>
        <charset val="134"/>
        <scheme val="minor"/>
      </rPr>
      <t>​</t>
    </r>
  </si>
  <si>
    <t>因私下善行、孝顺、家庭和睦而积累的福报，在需要时显现。</t>
  </si>
  <si>
    <t>在福德宫、父母宫、田宅宫时显著。</t>
  </si>
  <si>
    <r>
      <t>消灾解病</t>
    </r>
    <r>
      <rPr>
        <sz val="11"/>
        <color theme="1"/>
        <rFont val="等线"/>
        <family val="2"/>
        <charset val="134"/>
        <scheme val="minor"/>
      </rPr>
      <t>​</t>
    </r>
  </si>
  <si>
    <t>特别利于化解慢性疾病、妇科病、情绪病以及由人情世故引发的麻烦。</t>
  </si>
  <si>
    <t>在疾厄宫、福德宫时体现。</t>
  </si>
  <si>
    <r>
      <t>家庭和谐</t>
    </r>
    <r>
      <rPr>
        <sz val="11"/>
        <color theme="1"/>
        <rFont val="等线"/>
        <family val="2"/>
        <charset val="134"/>
        <scheme val="minor"/>
      </rPr>
      <t>​</t>
    </r>
  </si>
  <si>
    <t>促进家庭关系和睦，家人互助，家宅安宁。</t>
  </si>
  <si>
    <t>在田宅宫、兄弟宫时显现。</t>
  </si>
  <si>
    <t>为人温和善良，人缘佳，一生多得女性及亲友助力，逢凶化吉。</t>
  </si>
  <si>
    <t>兄弟姐妹关系和睦，能互相扶持，朋友如同手足。</t>
  </si>
  <si>
    <t>配偶温柔体贴，婚姻生活和谐，能化解感情中的矛盾。</t>
  </si>
  <si>
    <t>子女孝顺，家庭和睦；与合作方关系良好，项目推进顺利。</t>
  </si>
  <si>
    <t>钱财多来自正途及人际合作，不易因纠纷破财，常有馈赠。</t>
  </si>
  <si>
    <t>身体健康，情绪稳定，慢性病易得良医良药调养而好转。</t>
  </si>
  <si>
    <t>在外人缘好，得外地人特别是女性帮助，出行平安。</t>
  </si>
  <si>
    <r>
      <t>核心宫位</t>
    </r>
    <r>
      <rPr>
        <sz val="11"/>
        <color theme="1"/>
        <rFont val="等线"/>
        <family val="2"/>
        <charset val="134"/>
        <scheme val="minor"/>
      </rPr>
      <t>。朋友众多且关系良好，下属忠心，能得众人拥护。</t>
    </r>
  </si>
  <si>
    <t>职场人际关系和谐，与同事、客户合作愉快，减少事业阻力。</t>
  </si>
  <si>
    <t>家庭和睦，家人互助，家宅安宁，邻里关系好。</t>
  </si>
  <si>
    <r>
      <t>核心宫位</t>
    </r>
    <r>
      <rPr>
        <sz val="11"/>
        <color theme="1"/>
        <rFont val="等线"/>
        <family val="2"/>
        <charset val="134"/>
        <scheme val="minor"/>
      </rPr>
      <t>。心地善良，常行善事，内心平和，福泽深厚。</t>
    </r>
  </si>
  <si>
    <t>与父母关系融洽，得长辈疼爱荫庇，家庭充满温情。</t>
  </si>
  <si>
    <t>1. 增强人缘福泽组合</t>
  </si>
  <si>
    <r>
      <t>月德+紫微</t>
    </r>
    <r>
      <rPr>
        <sz val="11"/>
        <color theme="1"/>
        <rFont val="等线"/>
        <family val="2"/>
        <charset val="134"/>
        <scheme val="minor"/>
      </rPr>
      <t>​</t>
    </r>
  </si>
  <si>
    <t>仁德之君，因仁慈与亲和力获得众人拥戴，化解权力斗争中的危机。</t>
  </si>
  <si>
    <t>领导因体恤下属而避免内部叛乱；帝王因施行仁政得民心。</t>
  </si>
  <si>
    <r>
      <t>月德+天机</t>
    </r>
    <r>
      <rPr>
        <sz val="11"/>
        <color theme="1"/>
        <rFont val="等线"/>
        <family val="2"/>
        <charset val="134"/>
        <scheme val="minor"/>
      </rPr>
      <t>​</t>
    </r>
  </si>
  <si>
    <t>善谋之德，通过灵活友善的人际手段化解计划中的障碍，得聪明人帮助。</t>
  </si>
  <si>
    <t>通过巧妙沟通解决合作僵局；旅行中因友善获得当地人指点。</t>
  </si>
  <si>
    <r>
      <t>月德+太阳</t>
    </r>
    <r>
      <rPr>
        <sz val="11"/>
        <color theme="1"/>
        <rFont val="等线"/>
        <family val="2"/>
        <charset val="134"/>
        <scheme val="minor"/>
      </rPr>
      <t>​</t>
    </r>
  </si>
  <si>
    <t>和煦之德，以光明正大且温和的方式处理公众关系，化解公开矛盾。</t>
  </si>
  <si>
    <t>公众人物因亲民形象化解公关危机；以阳光心态调解家庭纠纷。</t>
  </si>
  <si>
    <r>
      <t>月德+武曲</t>
    </r>
    <r>
      <rPr>
        <sz val="11"/>
        <color theme="1"/>
        <rFont val="等线"/>
        <family val="2"/>
        <charset val="134"/>
        <scheme val="minor"/>
      </rPr>
      <t>​</t>
    </r>
  </si>
  <si>
    <t>义利之德，在金钱、事业合作中讲信誉、重情义，化解财务纠纷。</t>
  </si>
  <si>
    <t>因诚信度过财务危机；在强硬谈判中因顾及旧情达成和解。</t>
  </si>
  <si>
    <r>
      <t>月德+天同</t>
    </r>
    <r>
      <rPr>
        <sz val="11"/>
        <color theme="1"/>
        <rFont val="等线"/>
        <family val="2"/>
        <charset val="134"/>
        <scheme val="minor"/>
      </rPr>
      <t>​</t>
    </r>
  </si>
  <si>
    <t>福慧之德，人缘极佳，享受人际和谐带来的福气，化解享乐中的矛盾。</t>
  </si>
  <si>
    <t>在朋友圈中备受关爱；因好脾气化解娱乐场合的冲突。</t>
  </si>
  <si>
    <r>
      <t>月德+廉贞</t>
    </r>
    <r>
      <rPr>
        <sz val="11"/>
        <color theme="1"/>
        <rFont val="等线"/>
        <family val="2"/>
        <charset val="134"/>
        <scheme val="minor"/>
      </rPr>
      <t>​</t>
    </r>
  </si>
  <si>
    <t>和事之德，能化解复杂人际关系和感情纠纷，得女性贵人调解。</t>
  </si>
  <si>
    <t>巧妙处理多角关系避免冲突；在官非中因人情获得谅解。</t>
  </si>
  <si>
    <r>
      <t>月德+天府</t>
    </r>
    <r>
      <rPr>
        <sz val="11"/>
        <color theme="1"/>
        <rFont val="等线"/>
        <family val="2"/>
        <charset val="134"/>
        <scheme val="minor"/>
      </rPr>
      <t>​</t>
    </r>
  </si>
  <si>
    <t>库容之德，因包容、慷慨获得稳定的人际支持，化解利益分配矛盾。</t>
  </si>
  <si>
    <t>家族企业因和睦而长久；因乐于分享赢得合作伙伴信任。</t>
  </si>
  <si>
    <r>
      <t>月德+太阴</t>
    </r>
    <r>
      <rPr>
        <sz val="11"/>
        <color theme="1"/>
        <rFont val="等线"/>
        <family val="2"/>
        <charset val="134"/>
        <scheme val="minor"/>
      </rPr>
      <t>​</t>
    </r>
  </si>
  <si>
    <r>
      <t>阴德相济</t>
    </r>
    <r>
      <rPr>
        <sz val="11"/>
        <color theme="1"/>
        <rFont val="等线"/>
        <family val="2"/>
        <charset val="134"/>
        <scheme val="minor"/>
      </rPr>
      <t>，女性缘佳，通过体贴、关怀积累深厚阴德，化解暗昧之忧。</t>
    </r>
  </si>
  <si>
    <t>因照顾家人而得福报；通过女性朋友解决幕后麻烦。</t>
  </si>
  <si>
    <r>
      <t>月德+贪狼</t>
    </r>
    <r>
      <rPr>
        <sz val="11"/>
        <color theme="1"/>
        <rFont val="等线"/>
        <family val="2"/>
        <charset val="134"/>
        <scheme val="minor"/>
      </rPr>
      <t>​</t>
    </r>
  </si>
  <si>
    <t>圆融之德，将交际手腕用于正途，化解桃花劫，在娱乐界得人缘。</t>
  </si>
  <si>
    <t>艺术家因人格魅力获得支持；巧妙回避酒色陷阱。</t>
  </si>
  <si>
    <r>
      <t>月德+巨门</t>
    </r>
    <r>
      <rPr>
        <sz val="11"/>
        <color theme="1"/>
        <rFont val="等线"/>
        <family val="2"/>
        <charset val="134"/>
        <scheme val="minor"/>
      </rPr>
      <t>​</t>
    </r>
  </si>
  <si>
    <r>
      <t>化口为和</t>
    </r>
    <r>
      <rPr>
        <sz val="11"/>
        <color theme="1"/>
        <rFont val="等线"/>
        <family val="2"/>
        <charset val="134"/>
        <scheme val="minor"/>
      </rPr>
      <t>，以温和言语化解是非口舌，变争执为沟通。</t>
    </r>
  </si>
  <si>
    <t>调解员成功平息纠纷；用真诚道歉化解误会。</t>
  </si>
  <si>
    <r>
      <t>月德+天相</t>
    </r>
    <r>
      <rPr>
        <sz val="11"/>
        <color theme="1"/>
        <rFont val="等线"/>
        <family val="2"/>
        <charset val="134"/>
        <scheme val="minor"/>
      </rPr>
      <t>​</t>
    </r>
  </si>
  <si>
    <t>辅佐之德，因乐于助人、公正协调而获得广泛人脉与信任。</t>
  </si>
  <si>
    <t>秘书因善解人意成为关键人物；因公平处理事务得众人信服。</t>
  </si>
  <si>
    <r>
      <t>月德+天梁</t>
    </r>
    <r>
      <rPr>
        <sz val="11"/>
        <color theme="1"/>
        <rFont val="等线"/>
        <family val="2"/>
        <charset val="134"/>
        <scheme val="minor"/>
      </rPr>
      <t>​</t>
    </r>
  </si>
  <si>
    <t>荫人之德，因慈悲、庇佑他人而积累善缘，化解病灾与法律问题。</t>
  </si>
  <si>
    <t>医生因仁心仁术获得患者感激；长辈因慈爱调解家族矛盾。</t>
  </si>
  <si>
    <r>
      <t>月德+七杀</t>
    </r>
    <r>
      <rPr>
        <sz val="11"/>
        <color theme="1"/>
        <rFont val="等线"/>
        <family val="2"/>
        <charset val="134"/>
        <scheme val="minor"/>
      </rPr>
      <t>​</t>
    </r>
  </si>
  <si>
    <t>刚柔之德，以柔和手段化解刚性冲突，在激烈竞争中得人相助。</t>
  </si>
  <si>
    <t>将领因爱兵如子获得死力；在激烈商战中因旧谊获得喘息之机。</t>
  </si>
  <si>
    <r>
      <t>月德+破军</t>
    </r>
    <r>
      <rPr>
        <sz val="11"/>
        <color theme="1"/>
        <rFont val="等线"/>
        <family val="2"/>
        <charset val="134"/>
        <scheme val="minor"/>
      </rPr>
      <t>​</t>
    </r>
  </si>
  <si>
    <t>破旧立和，在变动改革中注重人情，减少阻力，得旧人理解。</t>
  </si>
  <si>
    <t>改革者因妥善安置老员工而顺利推进；拆迁中因情感沟通获得配合。</t>
  </si>
  <si>
    <r>
      <t>月德+天德</t>
    </r>
    <r>
      <rPr>
        <sz val="11"/>
        <color theme="1"/>
        <rFont val="等线"/>
        <family val="2"/>
        <charset val="134"/>
        <scheme val="minor"/>
      </rPr>
      <t>​</t>
    </r>
  </si>
  <si>
    <r>
      <t>德合阴阳</t>
    </r>
    <r>
      <rPr>
        <sz val="11"/>
        <color theme="1"/>
        <rFont val="等线"/>
        <family val="2"/>
        <charset val="134"/>
        <scheme val="minor"/>
      </rPr>
      <t>，阴阳二德相会，天人护佑，福力深厚，能化解绝大多数灾厄，尤利人缘与自然庇佑。</t>
    </r>
  </si>
  <si>
    <t>人缘好且常遇自然巧合避祸；家庭和睦且家宅平安。</t>
  </si>
  <si>
    <r>
      <t>月德+龙德</t>
    </r>
    <r>
      <rPr>
        <sz val="11"/>
        <color theme="1"/>
        <rFont val="等线"/>
        <family val="2"/>
        <charset val="134"/>
        <scheme val="minor"/>
      </rPr>
      <t>​</t>
    </r>
  </si>
  <si>
    <r>
      <t>德通人天</t>
    </r>
    <r>
      <rPr>
        <sz val="11"/>
        <color theme="1"/>
        <rFont val="等线"/>
        <family val="2"/>
        <charset val="134"/>
        <scheme val="minor"/>
      </rPr>
      <t>，人缘与权势结合，得众人拥护及体制内贵人帮助，化解人际与官方难题。</t>
    </r>
  </si>
  <si>
    <t>因群众支持获得上级提拔；纠纷中既有民意支持又有官方调解。</t>
  </si>
  <si>
    <r>
      <t>月德+天德+龙德</t>
    </r>
    <r>
      <rPr>
        <sz val="11"/>
        <color theme="1"/>
        <rFont val="等线"/>
        <family val="2"/>
        <charset val="134"/>
        <scheme val="minor"/>
      </rPr>
      <t>​</t>
    </r>
  </si>
  <si>
    <r>
      <t>三德拱照</t>
    </r>
    <r>
      <rPr>
        <sz val="11"/>
        <color theme="1"/>
        <rFont val="等线"/>
        <family val="2"/>
        <charset val="134"/>
        <scheme val="minor"/>
      </rPr>
      <t>，吉星汇聚，福报最强，一生贵人遍地，逢凶化吉，人缘、天佑、官贵俱全。</t>
    </r>
  </si>
  <si>
    <t>德高望重者，一生顺遂，危难时总有多方力量相助。</t>
  </si>
  <si>
    <r>
      <t>月德+天魁/天钺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</si>
  <si>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人缘贵人</t>
    </r>
    <r>
      <rPr>
        <sz val="11"/>
        <color theme="1"/>
        <rFont val="等线"/>
        <family val="2"/>
        <charset val="134"/>
        <scheme val="minor"/>
      </rPr>
      <t>，因良好人缘吸引天降贵人，机遇常通过人际关系而来。</t>
    </r>
  </si>
  <si>
    <t>因朋友引荐获得关键机会；因善待他人而获意外提拔。</t>
  </si>
  <si>
    <r>
      <t>月德+文昌/文曲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</si>
  <si>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德才悦人</t>
    </r>
    <r>
      <rPr>
        <sz val="11"/>
        <color theme="1"/>
        <rFont val="等线"/>
        <family val="2"/>
        <charset val="134"/>
        <scheme val="minor"/>
      </rPr>
      <t>，因才华、谈吐与品德获得人缘与名声，化解文书、学术纠纷。</t>
    </r>
  </si>
  <si>
    <t>学者因谦和受尊重；作家因作品充满温情受欢迎。</t>
  </si>
  <si>
    <r>
      <t>月德+左辅/右弼</t>
    </r>
    <r>
      <rPr>
        <sz val="11"/>
        <color theme="1"/>
        <rFont val="等线"/>
        <family val="2"/>
        <charset val="134"/>
        <scheme val="minor"/>
      </rPr>
      <t>​</t>
    </r>
  </si>
  <si>
    <r>
      <t>德助广布</t>
    </r>
    <r>
      <rPr>
        <sz val="11"/>
        <color theme="1"/>
        <rFont val="等线"/>
        <family val="2"/>
        <charset val="134"/>
        <scheme val="minor"/>
      </rPr>
      <t>，助力众多且关系持久，能得团队鼎力支持，化解集体矛盾。</t>
    </r>
  </si>
  <si>
    <t>项目经理因善于团结团队成功；社团领袖因得人心而壮大。</t>
  </si>
  <si>
    <r>
      <t>月德+禄存</t>
    </r>
    <r>
      <rPr>
        <sz val="11"/>
        <color theme="1"/>
        <rFont val="等线"/>
        <family val="2"/>
        <charset val="134"/>
        <scheme val="minor"/>
      </rPr>
      <t>​</t>
    </r>
  </si>
  <si>
    <r>
      <t>德缘聚财</t>
    </r>
    <r>
      <rPr>
        <sz val="11"/>
        <color theme="1"/>
        <rFont val="等线"/>
        <family val="2"/>
        <charset val="134"/>
        <scheme val="minor"/>
      </rPr>
      <t>，人缘直接带来财富与合作机会，因和睦生财。</t>
    </r>
  </si>
  <si>
    <t>因客户关系好生意兴隆；因家庭和睦而获得财产支持。</t>
  </si>
  <si>
    <r>
      <t>月德+火星</t>
    </r>
    <r>
      <rPr>
        <sz val="11"/>
        <color theme="1"/>
        <rFont val="等线"/>
        <family val="2"/>
        <charset val="134"/>
        <scheme val="minor"/>
      </rPr>
      <t>​</t>
    </r>
  </si>
  <si>
    <r>
      <t>德化暴戾</t>
    </r>
    <r>
      <rPr>
        <sz val="11"/>
        <color theme="1"/>
        <rFont val="等线"/>
        <family val="2"/>
        <charset val="134"/>
        <scheme val="minor"/>
      </rPr>
      <t>，能以柔克刚，化解突如其来的怒火与冲突。</t>
    </r>
  </si>
  <si>
    <t>在争吵即将爆发时用幽默化解；冲突双方因给面子而平息。</t>
  </si>
  <si>
    <r>
      <t>月德+铃星</t>
    </r>
    <r>
      <rPr>
        <sz val="11"/>
        <color theme="1"/>
        <rFont val="等线"/>
        <family val="2"/>
        <charset val="134"/>
        <scheme val="minor"/>
      </rPr>
      <t>​</t>
    </r>
  </si>
  <si>
    <r>
      <t>德消积怨</t>
    </r>
    <r>
      <rPr>
        <sz val="11"/>
        <color theme="1"/>
        <rFont val="等线"/>
        <family val="2"/>
        <charset val="134"/>
        <scheme val="minor"/>
      </rPr>
      <t>，能化解长期积累的怨气、嫉妒与慢性的人际摩擦。</t>
    </r>
  </si>
  <si>
    <t>解开心结与多年老友和好；平息团队中的长期内耗。</t>
  </si>
  <si>
    <r>
      <t>月德+擎羊</t>
    </r>
    <r>
      <rPr>
        <sz val="11"/>
        <color theme="1"/>
        <rFont val="等线"/>
        <family val="2"/>
        <charset val="134"/>
        <scheme val="minor"/>
      </rPr>
      <t>​</t>
    </r>
  </si>
  <si>
    <r>
      <t>德止干戈</t>
    </r>
    <r>
      <rPr>
        <sz val="11"/>
        <color theme="1"/>
        <rFont val="等线"/>
        <family val="2"/>
        <charset val="134"/>
        <scheme val="minor"/>
      </rPr>
      <t>，能化解直接的冲突、伤害与诉讼，变对立为和解。</t>
    </r>
  </si>
  <si>
    <t>官司开庭前达成和解；肢体冲突被劝止。</t>
  </si>
  <si>
    <r>
      <t>月德+陀罗</t>
    </r>
    <r>
      <rPr>
        <sz val="11"/>
        <color theme="1"/>
        <rFont val="等线"/>
        <family val="2"/>
        <charset val="134"/>
        <scheme val="minor"/>
      </rPr>
      <t>​</t>
    </r>
  </si>
  <si>
    <r>
      <t>德解心结</t>
    </r>
    <r>
      <rPr>
        <sz val="11"/>
        <color theme="1"/>
        <rFont val="等线"/>
        <family val="2"/>
        <charset val="134"/>
        <scheme val="minor"/>
      </rPr>
      <t>，能化解反复纠缠、拖延的人际恩怨与旧日心结。</t>
    </r>
  </si>
  <si>
    <t>化解家族世仇；让反复闹事的同事心服口服。</t>
  </si>
  <si>
    <r>
      <t>月德+地空/地劫</t>
    </r>
    <r>
      <rPr>
        <sz val="11"/>
        <color theme="1"/>
        <rFont val="等线"/>
        <family val="2"/>
        <charset val="134"/>
        <scheme val="minor"/>
      </rPr>
      <t>​</t>
    </r>
  </si>
  <si>
    <r>
      <t>德御孤僻</t>
    </r>
    <r>
      <rPr>
        <sz val="11"/>
        <color theme="1"/>
        <rFont val="等线"/>
        <family val="2"/>
        <charset val="134"/>
        <scheme val="minor"/>
      </rPr>
      <t>，能化解因孤僻、空想导致的人际疏离，融入群体。</t>
    </r>
  </si>
  <si>
    <t>让性格孤僻者感受到温暖；将不切实际的想法转化为团队合作。</t>
  </si>
  <si>
    <r>
      <t>1. “月德”与“天德”、“龙德”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月德星主“人伦之德”</t>
    </r>
    <r>
      <rPr>
        <sz val="11"/>
        <color theme="1"/>
        <rFont val="等线"/>
        <family val="2"/>
        <charset val="134"/>
        <scheme val="minor"/>
      </rPr>
      <t>，福报与贵人主要来源于</t>
    </r>
    <r>
      <rPr>
        <b/>
        <sz val="11"/>
        <color theme="1"/>
        <rFont val="等线"/>
        <family val="3"/>
        <charset val="134"/>
        <scheme val="minor"/>
      </rPr>
      <t>人际关系、家庭和睦与私下善行</t>
    </r>
    <r>
      <rPr>
        <sz val="11"/>
        <color theme="1"/>
        <rFont val="等线"/>
        <family val="2"/>
        <charset val="134"/>
        <scheme val="minor"/>
      </rPr>
      <t>，擅长化解</t>
    </r>
    <r>
      <rPr>
        <b/>
        <sz val="11"/>
        <color theme="1"/>
        <rFont val="等线"/>
        <family val="3"/>
        <charset val="134"/>
        <scheme val="minor"/>
      </rPr>
      <t>人际纷争、慢性病、女性相关麻烦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天德星主“天道之德”</t>
    </r>
    <r>
      <rPr>
        <sz val="11"/>
        <color theme="1"/>
        <rFont val="等线"/>
        <family val="2"/>
        <charset val="134"/>
        <scheme val="minor"/>
      </rPr>
      <t>，福报来源于</t>
    </r>
    <r>
      <rPr>
        <b/>
        <sz val="11"/>
        <color theme="1"/>
        <rFont val="等线"/>
        <family val="3"/>
        <charset val="134"/>
        <scheme val="minor"/>
      </rPr>
      <t>上天护佑与自然机遇</t>
    </r>
    <r>
      <rPr>
        <sz val="11"/>
        <color theme="1"/>
        <rFont val="等线"/>
        <family val="2"/>
        <charset val="134"/>
        <scheme val="minor"/>
      </rPr>
      <t>，擅长化解</t>
    </r>
    <r>
      <rPr>
        <b/>
        <sz val="11"/>
        <color theme="1"/>
        <rFont val="等线"/>
        <family val="3"/>
        <charset val="134"/>
        <scheme val="minor"/>
      </rPr>
      <t>自然灾害、意外伤害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龙德星主“权威之德”</t>
    </r>
    <r>
      <rPr>
        <sz val="11"/>
        <color theme="1"/>
        <rFont val="等线"/>
        <family val="2"/>
        <charset val="134"/>
        <scheme val="minor"/>
      </rPr>
      <t>，福报与贵人来源于</t>
    </r>
    <r>
      <rPr>
        <b/>
        <sz val="11"/>
        <color theme="1"/>
        <rFont val="等线"/>
        <family val="3"/>
        <charset val="134"/>
        <scheme val="minor"/>
      </rPr>
      <t>权势、地位与体制</t>
    </r>
    <r>
      <rPr>
        <sz val="11"/>
        <color theme="1"/>
        <rFont val="等线"/>
        <family val="2"/>
        <charset val="134"/>
        <scheme val="minor"/>
      </rPr>
      <t>，擅长化解</t>
    </r>
    <r>
      <rPr>
        <b/>
        <sz val="11"/>
        <color theme="1"/>
        <rFont val="等线"/>
        <family val="3"/>
        <charset val="134"/>
        <scheme val="minor"/>
      </rPr>
      <t>官司、是非、社会性危机</t>
    </r>
    <r>
      <rPr>
        <sz val="11"/>
        <color theme="1"/>
        <rFont val="等线"/>
        <family val="2"/>
        <charset val="134"/>
        <scheme val="minor"/>
      </rPr>
      <t>。月德重“人和”，天德重“天时”，龙德重“权势”。</t>
    </r>
  </si>
  <si>
    <r>
      <t>2. 与“左辅”、“右弼”的区别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左辅、右弼是“实际助力星”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直接的、实际的帮助与人员支持</t>
    </r>
    <r>
      <rPr>
        <sz val="11"/>
        <color theme="1"/>
        <rFont val="等线"/>
        <family val="2"/>
        <charset val="134"/>
        <scheme val="minor"/>
      </rPr>
      <t>，更偏向“有形之手”。</t>
    </r>
    <r>
      <rPr>
        <b/>
        <sz val="11"/>
        <color theme="1"/>
        <rFont val="等线"/>
        <family val="3"/>
        <charset val="134"/>
        <scheme val="minor"/>
      </rPr>
      <t>月德是“人缘福德星”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因个人品德、和睦关系带来的好感、善意与隐形支持</t>
    </r>
    <r>
      <rPr>
        <sz val="11"/>
        <color theme="1"/>
        <rFont val="等线"/>
        <family val="2"/>
        <charset val="134"/>
        <scheme val="minor"/>
      </rPr>
      <t>，更偏向“无形之缘”。左辅右弼是“有人来帮你”，月德是“大家都喜欢你，愿意帮你”。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</si>
  <si>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：月德星所在宫位，指示在人生的哪个领域最容易通过人缘、和睦积累福报，或化解该领域的人际矛盾与慢性问题。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</si>
  <si>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，人缘直接带来财富收益，因合作、馈赠得财。见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，因良好人际关系获得领导权或影响力，善于协调众人。见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，因品德与人缘获得好名声、社会赞誉，成为受人尊敬的长者。见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人缘福报发挥受阻</t>
    </r>
    <r>
      <rPr>
        <sz val="11"/>
        <color theme="1"/>
        <rFont val="等线"/>
        <family val="2"/>
        <charset val="134"/>
        <scheme val="minor"/>
      </rPr>
      <t>，需更主动维系关系，或好心未必立即得好报，但长期仍有效验。</t>
    </r>
  </si>
  <si>
    <t>一、天空定义</t>
  </si>
  <si>
    <t>空亡、空想、精神、灵感、消失</t>
  </si>
  <si>
    <t>象征虚空、空亡、精神层面的思考与灵感，以及事物的突然消失、落空、不成。其性质主“空”，吉凶参半，偏向于精神领域的吉，物质领域的凶。代表超脱、想象力，也代表虚无、不实、失去。</t>
  </si>
  <si>
    <t>乙级星，属阴火。主“空”，吉凶参半。喜与天机、太阴、文昌、文曲等主星同度，可增强灵感与精神力量；忌与煞星同会，则加重其空幻不实、一事无成之性。</t>
  </si>
  <si>
    <r>
      <t>空想/灵感</t>
    </r>
    <r>
      <rPr>
        <sz val="11"/>
        <color theme="1"/>
        <rFont val="等线"/>
        <family val="2"/>
        <charset val="134"/>
        <scheme val="minor"/>
      </rPr>
      <t>​</t>
    </r>
  </si>
  <si>
    <t>思想天马行空，富有想象力和创造力，但也易流于空想、不切实际。</t>
  </si>
  <si>
    <r>
      <t>空亡/消失</t>
    </r>
    <r>
      <rPr>
        <sz val="11"/>
        <color theme="1"/>
        <rFont val="等线"/>
        <family val="2"/>
        <charset val="134"/>
        <scheme val="minor"/>
      </rPr>
      <t>​</t>
    </r>
  </si>
  <si>
    <t>事物容易落空、消失、不成，如机会溜走、物品遗失、计划取消。</t>
  </si>
  <si>
    <t>在财帛宫、官禄宫时力量显现。</t>
  </si>
  <si>
    <r>
      <t>精神超脱</t>
    </r>
    <r>
      <rPr>
        <sz val="11"/>
        <color theme="1"/>
        <rFont val="等线"/>
        <family val="2"/>
        <charset val="134"/>
        <scheme val="minor"/>
      </rPr>
      <t>​</t>
    </r>
  </si>
  <si>
    <t>对世俗名利看得较淡，有宗教、哲学或精神层面的追求，喜独处思考。</t>
  </si>
  <si>
    <t>在福德宫、迁移宫时显著。</t>
  </si>
  <si>
    <r>
      <t>突发性空</t>
    </r>
    <r>
      <rPr>
        <sz val="11"/>
        <color theme="1"/>
        <rFont val="等线"/>
        <family val="2"/>
        <charset val="134"/>
        <scheme val="minor"/>
      </rPr>
      <t>​</t>
    </r>
  </si>
  <si>
    <t>失去或落空常是突然发生的，令人措手不及。</t>
  </si>
  <si>
    <r>
      <t>虚空不实</t>
    </r>
    <r>
      <rPr>
        <sz val="11"/>
        <color theme="1"/>
        <rFont val="等线"/>
        <family val="2"/>
        <charset val="134"/>
        <scheme val="minor"/>
      </rPr>
      <t>​</t>
    </r>
  </si>
  <si>
    <t>事情虚而不实，表面热闹内里空，或承诺无法兑现。</t>
  </si>
  <si>
    <t>在交友宫、夫妻宫时体现。</t>
  </si>
  <si>
    <t>思想独特，有创意，但易脱离现实；人生际遇大起大落，有成有败。</t>
  </si>
  <si>
    <t>与兄弟姐妹缘分较薄，或关系疏远、想法难以沟通。</t>
  </si>
  <si>
    <t>感情易有空虚感，配偶或自己精神需求高，婚姻中易有精神层面的隔阂。</t>
  </si>
  <si>
    <t>子女缘薄，或子女想法独特；合作计划易落空。</t>
  </si>
  <si>
    <t>钱财不易积聚，左手进右手出，易有意外破耗，或投资易成泡影。</t>
  </si>
  <si>
    <t>身体易有虚弱、气血不足之症，或患难以诊断的疑难杂症。</t>
  </si>
  <si>
    <t>在外易感到孤独，喜精神漫游；外出发展易遇波折，计划常变。</t>
  </si>
  <si>
    <t>朋友关系淡薄，知己少；下属或合作伙伴易变动、不实。</t>
  </si>
  <si>
    <t>事业上想法多但落实难，职业变动大，或从事与精神、虚空相关的行业。</t>
  </si>
  <si>
    <t>家宅内部空旷，人气不旺；房产交易易生变数，或住所不稳定。</t>
  </si>
  <si>
    <r>
      <t>核心宫位</t>
    </r>
    <r>
      <rPr>
        <sz val="11"/>
        <color theme="1"/>
        <rFont val="等线"/>
        <family val="2"/>
        <charset val="134"/>
        <scheme val="minor"/>
      </rPr>
      <t>。精神世界丰富，有灵感，但易感空虚、孤独，思想超脱。</t>
    </r>
  </si>
  <si>
    <t>与父母缘分较浅，或父母思想独特，对自己管束少。</t>
  </si>
  <si>
    <t>1. 增强空性/灵感组合</t>
  </si>
  <si>
    <r>
      <t>天空+紫微</t>
    </r>
    <r>
      <rPr>
        <sz val="11"/>
        <color theme="1"/>
        <rFont val="等线"/>
        <family val="2"/>
        <charset val="134"/>
        <scheme val="minor"/>
      </rPr>
      <t>​</t>
    </r>
  </si>
  <si>
    <t>帝星悬空，理想过高，不切实际，追求虚名，或能在精神领域成为领袖。</t>
  </si>
  <si>
    <t>好高骛远，制定无法实现的宏伟计划；成为思想家、精神导师。</t>
  </si>
  <si>
    <r>
      <t>天空+天机</t>
    </r>
    <r>
      <rPr>
        <sz val="11"/>
        <color theme="1"/>
        <rFont val="等线"/>
        <family val="2"/>
        <charset val="134"/>
        <scheme val="minor"/>
      </rPr>
      <t>​</t>
    </r>
  </si>
  <si>
    <t>智星悬空，思维跳跃，灵感迸发，但计划多变，难以持久。</t>
  </si>
  <si>
    <t>创意工作者，点子多但执行力弱；旅行计划常因突发奇想而改变。</t>
  </si>
  <si>
    <r>
      <t>天空+太阳</t>
    </r>
    <r>
      <rPr>
        <sz val="11"/>
        <color theme="1"/>
        <rFont val="等线"/>
        <family val="2"/>
        <charset val="134"/>
        <scheme val="minor"/>
      </rPr>
      <t>​</t>
    </r>
  </si>
  <si>
    <t>明灯悬空，名声虚浮，华而不实，或追求光明但空洞的理想。</t>
  </si>
  <si>
    <t>沽名钓誉，有名无实；投身于空洞的口号式运动。</t>
  </si>
  <si>
    <r>
      <t>天空+武曲</t>
    </r>
    <r>
      <rPr>
        <sz val="11"/>
        <color theme="1"/>
        <rFont val="等线"/>
        <family val="2"/>
        <charset val="134"/>
        <scheme val="minor"/>
      </rPr>
      <t>​</t>
    </r>
  </si>
  <si>
    <t>财星悬空，钱财虚耗，投资易成空，或追求财富却总觉空虚。</t>
  </si>
  <si>
    <t>投资失败血本无归；赚到钱后却感到迷茫，不知为何而赚。</t>
  </si>
  <si>
    <r>
      <t>天空+天同</t>
    </r>
    <r>
      <rPr>
        <sz val="11"/>
        <color theme="1"/>
        <rFont val="等线"/>
        <family val="2"/>
        <charset val="134"/>
        <scheme val="minor"/>
      </rPr>
      <t>​</t>
    </r>
  </si>
  <si>
    <t>福星悬空，享受落空，乐极生悲，或精神上的享乐多于物质。</t>
  </si>
  <si>
    <t>期待的度假因故取消；沉浸在音乐、艺术中获得满足。</t>
  </si>
  <si>
    <r>
      <t>天空+廉贞</t>
    </r>
    <r>
      <rPr>
        <sz val="11"/>
        <color theme="1"/>
        <rFont val="等线"/>
        <family val="2"/>
        <charset val="134"/>
        <scheme val="minor"/>
      </rPr>
      <t>​</t>
    </r>
  </si>
  <si>
    <t>囚星悬空，感情空虚，复杂关系易成幻影，或沉迷虚拟情感。</t>
  </si>
  <si>
    <t>网恋见光死；陷入不切实际的政治幻想。</t>
  </si>
  <si>
    <r>
      <t>天空+天府</t>
    </r>
    <r>
      <rPr>
        <sz val="11"/>
        <color theme="1"/>
        <rFont val="等线"/>
        <family val="2"/>
        <charset val="134"/>
        <scheme val="minor"/>
      </rPr>
      <t>​</t>
    </r>
  </si>
  <si>
    <t>库星悬空，库存虚空，积蓄难聚，稳定局面下隐藏危机。</t>
  </si>
  <si>
    <t>看似富裕却负债累累；稳定的工作突然消失。</t>
  </si>
  <si>
    <r>
      <t>天空+太阴</t>
    </r>
    <r>
      <rPr>
        <sz val="11"/>
        <color theme="1"/>
        <rFont val="等线"/>
        <family val="2"/>
        <charset val="134"/>
        <scheme val="minor"/>
      </rPr>
      <t>​</t>
    </r>
  </si>
  <si>
    <r>
      <t>阴空相济</t>
    </r>
    <r>
      <rPr>
        <sz val="11"/>
        <color theme="1"/>
        <rFont val="等线"/>
        <family val="2"/>
        <charset val="134"/>
        <scheme val="minor"/>
      </rPr>
      <t>，想象力丰富，艺术灵感强，但情绪易感空虚、忧郁。</t>
    </r>
  </si>
  <si>
    <t>诗人、艺术家，创作源于空虚感；夜晚常感孤独。</t>
  </si>
  <si>
    <r>
      <t>天空+贪狼</t>
    </r>
    <r>
      <rPr>
        <sz val="11"/>
        <color theme="1"/>
        <rFont val="等线"/>
        <family val="2"/>
        <charset val="134"/>
        <scheme val="minor"/>
      </rPr>
      <t>​</t>
    </r>
  </si>
  <si>
    <t>欲望悬空，所求不得，桃花成空，嗜好转为精神追求。</t>
  </si>
  <si>
    <t>拼命追求某人却得不到；将物欲转化为对宗教的虔诚。</t>
  </si>
  <si>
    <r>
      <t>天空+巨门</t>
    </r>
    <r>
      <rPr>
        <sz val="11"/>
        <color theme="1"/>
        <rFont val="等线"/>
        <family val="2"/>
        <charset val="134"/>
        <scheme val="minor"/>
      </rPr>
      <t>​</t>
    </r>
  </si>
  <si>
    <t>暗星悬空，是非落空，流言自散，或思考深邃的哲学问题。</t>
  </si>
  <si>
    <t>诽谤之言无人相信；沉迷于研究虚无的宇宙真理。</t>
  </si>
  <si>
    <r>
      <t>天空+天相</t>
    </r>
    <r>
      <rPr>
        <sz val="11"/>
        <color theme="1"/>
        <rFont val="等线"/>
        <family val="2"/>
        <charset val="134"/>
        <scheme val="minor"/>
      </rPr>
      <t>​</t>
    </r>
  </si>
  <si>
    <t>印星悬空，凭证失效，承诺成空，形象虚浮。</t>
  </si>
  <si>
    <t>合同因故作废；塑造的人设崩塌。</t>
  </si>
  <si>
    <r>
      <t>天空+天梁</t>
    </r>
    <r>
      <rPr>
        <sz val="11"/>
        <color theme="1"/>
        <rFont val="等线"/>
        <family val="2"/>
        <charset val="134"/>
        <scheme val="minor"/>
      </rPr>
      <t>​</t>
    </r>
  </si>
  <si>
    <t>荫星悬空，靠山不稳，长辈助力落空，或追求精神上的荫庇。</t>
  </si>
  <si>
    <t>预期的遗产未能获得；在宗教中寻找心灵寄托。</t>
  </si>
  <si>
    <r>
      <t>天空+七杀</t>
    </r>
    <r>
      <rPr>
        <sz val="11"/>
        <color theme="1"/>
        <rFont val="等线"/>
        <family val="2"/>
        <charset val="134"/>
        <scheme val="minor"/>
      </rPr>
      <t>​</t>
    </r>
  </si>
  <si>
    <t>杀星悬空，暴烈之事突然落空，灾难消弭于无形，或精神决断。</t>
  </si>
  <si>
    <t>预期的冲突并未发生；突然下定决心出家。</t>
  </si>
  <si>
    <r>
      <t>天空+破军</t>
    </r>
    <r>
      <rPr>
        <sz val="11"/>
        <color theme="1"/>
        <rFont val="等线"/>
        <family val="2"/>
        <charset val="134"/>
        <scheme val="minor"/>
      </rPr>
      <t>​</t>
    </r>
  </si>
  <si>
    <t>耗星悬空，破坏力落空，变革无果，或破旧立新的想法难以实现。</t>
  </si>
  <si>
    <t>改革计划不了了之；想搬家却一直未能成行。</t>
  </si>
  <si>
    <r>
      <t>天空+地空</t>
    </r>
    <r>
      <rPr>
        <sz val="11"/>
        <color theme="1"/>
        <rFont val="等线"/>
        <family val="2"/>
        <charset val="134"/>
        <scheme val="minor"/>
      </rPr>
      <t>​</t>
    </r>
  </si>
  <si>
    <r>
      <t>空上加空</t>
    </r>
    <r>
      <rPr>
        <sz val="11"/>
        <color theme="1"/>
        <rFont val="等线"/>
        <family val="2"/>
        <charset val="134"/>
        <scheme val="minor"/>
      </rPr>
      <t>，空亡性质倍增，万事成空，精神空虚感极强，但灵感也极强。</t>
    </r>
  </si>
  <si>
    <t>计划十有九空；哲学家、出家人格局，看破红尘。</t>
  </si>
  <si>
    <r>
      <t>天空+地劫</t>
    </r>
    <r>
      <rPr>
        <sz val="11"/>
        <color theme="1"/>
        <rFont val="等线"/>
        <family val="2"/>
        <charset val="134"/>
        <scheme val="minor"/>
      </rPr>
      <t>​</t>
    </r>
  </si>
  <si>
    <r>
      <t>空劫并临</t>
    </r>
    <r>
      <rPr>
        <sz val="11"/>
        <color theme="1"/>
        <rFont val="等线"/>
        <family val="2"/>
        <charset val="134"/>
        <scheme val="minor"/>
      </rPr>
      <t>，空想与破耗交织，想法奇特但难以实现，且过程中多损耗。</t>
    </r>
  </si>
  <si>
    <t>发明家构思奇妙但无法量产；投资古怪项目损失惨重。</t>
  </si>
  <si>
    <r>
      <t>天空+文昌/文曲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</si>
  <si>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空灵文华</t>
    </r>
    <r>
      <rPr>
        <sz val="11"/>
        <color theme="1"/>
        <rFont val="等线"/>
        <family val="2"/>
        <charset val="134"/>
        <scheme val="minor"/>
      </rPr>
      <t>，空想转化为艺术、文学灵感，但作品可能曲高和寡。</t>
    </r>
  </si>
  <si>
    <t>创作出充满想象力的抽象画；写出的小说叫好不叫座。</t>
  </si>
  <si>
    <r>
      <t>天空+左辅/右弼</t>
    </r>
    <r>
      <rPr>
        <sz val="11"/>
        <color theme="1"/>
        <rFont val="等线"/>
        <family val="2"/>
        <charset val="134"/>
        <scheme val="minor"/>
      </rPr>
      <t>​</t>
    </r>
  </si>
  <si>
    <r>
      <t>空有助力</t>
    </r>
    <r>
      <rPr>
        <sz val="11"/>
        <color theme="1"/>
        <rFont val="等线"/>
        <family val="2"/>
        <charset val="134"/>
        <scheme val="minor"/>
      </rPr>
      <t>，帮手或机会看似有，实则无力或最终落空。</t>
    </r>
  </si>
  <si>
    <t>承诺帮忙的朋友临时变卦；看似好的合作机会最后没下文。</t>
  </si>
  <si>
    <r>
      <t>天空+天魁/天钺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</si>
  <si>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空遇贵人</t>
    </r>
    <r>
      <rPr>
        <sz val="11"/>
        <color theme="1"/>
        <rFont val="等线"/>
        <family val="2"/>
        <charset val="134"/>
        <scheme val="minor"/>
      </rPr>
      <t>，贵人助力不实或来得快去得也快，机遇抓不住。</t>
    </r>
  </si>
  <si>
    <t>贵人口头承诺却无实际行动；机会出现却因犹豫而错过。</t>
  </si>
  <si>
    <r>
      <t>天空+禄存</t>
    </r>
    <r>
      <rPr>
        <sz val="11"/>
        <color theme="1"/>
        <rFont val="等线"/>
        <family val="2"/>
        <charset val="134"/>
        <scheme val="minor"/>
      </rPr>
      <t>​</t>
    </r>
  </si>
  <si>
    <r>
      <t>空库并存</t>
    </r>
    <r>
      <rPr>
        <sz val="11"/>
        <color theme="1"/>
        <rFont val="等线"/>
        <family val="2"/>
        <charset val="134"/>
        <scheme val="minor"/>
      </rPr>
      <t>，钱财有积聚但总觉得不够、不满足，或为虚名虚利而财。</t>
    </r>
  </si>
  <si>
    <t>攒钱为了一个虚幻的目标（如买一座不存在的岛）；因虚名获得钱财。</t>
  </si>
  <si>
    <r>
      <t>天空+火星</t>
    </r>
    <r>
      <rPr>
        <sz val="11"/>
        <color theme="1"/>
        <rFont val="等线"/>
        <family val="2"/>
        <charset val="134"/>
        <scheme val="minor"/>
      </rPr>
      <t>​</t>
    </r>
  </si>
  <si>
    <r>
      <t>空性爆发</t>
    </r>
    <r>
      <rPr>
        <sz val="11"/>
        <color theme="1"/>
        <rFont val="等线"/>
        <family val="2"/>
        <charset val="134"/>
        <scheme val="minor"/>
      </rPr>
      <t>，空想突然中断或落空，带来激烈的失落或顿悟。</t>
    </r>
  </si>
  <si>
    <t>灵感突然枯竭；期待已久的会面被突然取消而暴怒。</t>
  </si>
  <si>
    <r>
      <t>天空+铃星</t>
    </r>
    <r>
      <rPr>
        <sz val="11"/>
        <color theme="1"/>
        <rFont val="等线"/>
        <family val="2"/>
        <charset val="134"/>
        <scheme val="minor"/>
      </rPr>
      <t>​</t>
    </r>
  </si>
  <si>
    <r>
      <t>空性纠缠</t>
    </r>
    <r>
      <rPr>
        <sz val="11"/>
        <color theme="1"/>
        <rFont val="等线"/>
        <family val="2"/>
        <charset val="134"/>
        <scheme val="minor"/>
      </rPr>
      <t>，空想与失落感反复纠缠，慢性地感到空虚不满足。</t>
    </r>
  </si>
  <si>
    <t>长期沉迷于不切实际的幻想；对失去的东西念念不忘。</t>
  </si>
  <si>
    <r>
      <t>天空+擎羊</t>
    </r>
    <r>
      <rPr>
        <sz val="11"/>
        <color theme="1"/>
        <rFont val="等线"/>
        <family val="2"/>
        <charset val="134"/>
        <scheme val="minor"/>
      </rPr>
      <t>​</t>
    </r>
  </si>
  <si>
    <r>
      <t>空性伤损</t>
    </r>
    <r>
      <rPr>
        <sz val="11"/>
        <color theme="1"/>
        <rFont val="等线"/>
        <family val="2"/>
        <charset val="134"/>
        <scheme val="minor"/>
      </rPr>
      <t>，因落空、失去而产生直接的伤害或冲突。</t>
    </r>
  </si>
  <si>
    <t>因计划落空与人发生争执；因希望破灭而自我伤害。</t>
  </si>
  <si>
    <r>
      <t>天空+陀罗</t>
    </r>
    <r>
      <rPr>
        <sz val="11"/>
        <color theme="1"/>
        <rFont val="等线"/>
        <family val="2"/>
        <charset val="134"/>
        <scheme val="minor"/>
      </rPr>
      <t>​</t>
    </r>
  </si>
  <si>
    <r>
      <t>空性拖延</t>
    </r>
    <r>
      <rPr>
        <sz val="11"/>
        <color theme="1"/>
        <rFont val="等线"/>
        <family val="2"/>
        <charset val="134"/>
        <scheme val="minor"/>
      </rPr>
      <t>，落空之事反复拖延，空想萦绕不去，成心病。</t>
    </r>
  </si>
  <si>
    <t>一个想法反复琢磨却从不行动；失去的机会总是回想。</t>
  </si>
  <si>
    <r>
      <t>天空+天马</t>
    </r>
    <r>
      <rPr>
        <sz val="11"/>
        <color theme="1"/>
        <rFont val="等线"/>
        <family val="2"/>
        <charset val="134"/>
        <scheme val="minor"/>
      </rPr>
      <t>​</t>
    </r>
  </si>
  <si>
    <r>
      <t>空性奔驰</t>
    </r>
    <r>
      <rPr>
        <sz val="11"/>
        <color theme="1"/>
        <rFont val="等线"/>
        <family val="2"/>
        <charset val="134"/>
        <scheme val="minor"/>
      </rPr>
      <t>，思想漂泊不定，或奔波劳碌却一场空。</t>
    </r>
  </si>
  <si>
    <t>旅行者永远在寻找精神家园；频繁换工作却无成就。</t>
  </si>
  <si>
    <r>
      <t>1. “天空”与“地空”、“地劫”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天空星主“精神之空”与“突然消失”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思想、灵感的空灵性以及事物的突然落空、不成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地空星主“半空折翅”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成而后败、事与愿违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地劫星主“劫煞”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物质层面的破耗、波动与劫难</t>
    </r>
    <r>
      <rPr>
        <sz val="11"/>
        <color theme="1"/>
        <rFont val="等线"/>
        <family val="2"/>
        <charset val="134"/>
        <scheme val="minor"/>
      </rPr>
      <t>。天空是“想法没了”或“东西突然不见了”，地空是“快要成了却失败了”，地劫是“实实在在的损失”。</t>
    </r>
  </si>
  <si>
    <r>
      <t>2. 与“文昌”、“文曲”的区别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文昌、文曲是“才艺星”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系统性的学习、规范的才华与文艺表现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天空是“灵感星”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突发性的、跳跃的、非理性的灵感与空想</t>
    </r>
    <r>
      <rPr>
        <sz val="11"/>
        <color theme="1"/>
        <rFont val="等线"/>
        <family val="2"/>
        <charset val="134"/>
        <scheme val="minor"/>
      </rPr>
      <t>。文昌文曲是“科班才子”，天空是“灵感天才”。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</si>
  <si>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：天空星所在宫位，指示在人生的哪个领域最容易产生空想、灵感，或遭遇落空、消失的情况。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</si>
  <si>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，空想可能带来财富机遇（如创意变现），但财来财去快。见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，将空想付诸行动加以控制，或突然的消失/放弃带来权力变化。见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，空灵的思想获得名声，或因“空”的哲学、艺术成就得名。见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空亡性质加剧</t>
    </r>
    <r>
      <rPr>
        <sz val="11"/>
        <color theme="1"/>
        <rFont val="等线"/>
        <family val="2"/>
        <charset val="134"/>
        <scheme val="minor"/>
      </rPr>
      <t>，失落感重，事情必然落空，精神空虚。</t>
    </r>
  </si>
  <si>
    <t>一、天寿定义</t>
  </si>
  <si>
    <r>
      <t>1. “天寿”与“天梁”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天寿星主“寿命长度与健康基础”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生命力的强弱、寿命的长短和身体的稳定性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天梁星主“荫庇与化解病灾”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遇到病灾时的解救、荫佑之力</t>
    </r>
    <r>
      <rPr>
        <sz val="11"/>
        <color theme="1"/>
        <rFont val="等线"/>
        <family val="2"/>
        <charset val="134"/>
        <scheme val="minor"/>
      </rPr>
      <t>。天寿是“活得长、底子好”，天梁是“病有救、难有帮”。二者同会，为健康长寿上佳组合。</t>
    </r>
  </si>
  <si>
    <r>
      <t>2. 与“天同”的区别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天同星主“福气与享受”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精神与物质的享受、安逸度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天寿星主“寿命与健康”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生命时间的长度与身体状态</t>
    </r>
    <r>
      <rPr>
        <sz val="11"/>
        <color theme="1"/>
        <rFont val="等线"/>
        <family val="2"/>
        <charset val="134"/>
        <scheme val="minor"/>
      </rPr>
      <t>。天同是“活得舒服”，天寿是“活得长久”。二者同会，则为“福寿双全”。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</si>
  <si>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：天寿星所在宫位，指示在人生的哪个领域具有持久性、稳定性，或在该领域需要关注健康与长期发展。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</si>
  <si>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，健康带来财富，或长期稳定的收益，长寿且富足。见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，对健康、寿命有强大的掌控力，或事情持久且稳固。见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，因健康长寿获得好名声，成为养生典范。见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健康稳定性受损</t>
    </r>
    <r>
      <rPr>
        <sz val="11"/>
        <color theme="1"/>
        <rFont val="等线"/>
        <family val="2"/>
        <charset val="134"/>
        <scheme val="minor"/>
      </rPr>
      <t>，长寿但多病，或长期受某事困扰，过程拖沓不吉。</t>
    </r>
  </si>
  <si>
    <t>一、天刑定义</t>
  </si>
  <si>
    <r>
      <t>3. 宫位定领域</t>
    </r>
    <r>
      <rPr>
        <sz val="11"/>
        <color theme="1"/>
        <rFont val="等线"/>
        <family val="2"/>
        <charset val="134"/>
        <scheme val="minor"/>
      </rPr>
      <t>：天刑星所在宫位，指示在人生的哪个领域容易受到规则约束、经历惩戒伤害，或在该领域需要动用法律、医疗手段解决问题。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</si>
  <si>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，将刑伤转化为财富，如律师费、手术费收入，或因规则获利。见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，强化法律权威或医疗技术，掌握惩戒或治疗之权。见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，因法律、医疗成就得名，或诉讼、手术过程公开、名誉无损。见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刑伤性质加剧</t>
    </r>
    <r>
      <rPr>
        <sz val="11"/>
        <color theme="1"/>
        <rFont val="等线"/>
        <family val="2"/>
        <charset val="134"/>
        <scheme val="minor"/>
      </rPr>
      <t>，官非必然，手术难免，业力显现，痛苦加深。</t>
    </r>
  </si>
  <si>
    <t>一、铃星定义</t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</si>
  <si>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，将阴谋、技术转化为财富，如从事间谍、精密技术行业得利，但财源隐晦。见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，强化暗中控制力与技术权威，善于权谋。见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，因精密技术、暗中策划获得名声，或阴谋被美化。见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阴火性质加剧</t>
    </r>
    <r>
      <rPr>
        <sz val="11"/>
        <color theme="1"/>
        <rFont val="等线"/>
        <family val="2"/>
        <charset val="134"/>
        <scheme val="minor"/>
      </rPr>
      <t>，嫉妒心最强，暗算必然发生，慢性病加重，拖延无解。</t>
    </r>
  </si>
  <si>
    <t>一、火星定义</t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</si>
  <si>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，将爆发力转化为急财，如短线投机获利，但财来财去极快。见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，强化爆发力与行动控制权，但更显急躁专横。见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，因突发表现、紧急处理获得名声，但名来得快去得也快。见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阳火性质加剧</t>
    </r>
    <r>
      <rPr>
        <sz val="11"/>
        <color theme="1"/>
        <rFont val="等线"/>
        <family val="2"/>
        <charset val="134"/>
        <scheme val="minor"/>
      </rPr>
      <t>，冲突必然发生，灾祸突发且猛烈，急躁达到顶点。</t>
    </r>
  </si>
  <si>
    <t>一、地劫定义</t>
  </si>
  <si>
    <t>在官禄宫、迁移宫时力量显现。</t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</si>
  <si>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，破耗中偶得意外之财，但财来财去，难以留存，或通过独特方式赚钱。见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，试图掌控波动与破耗，在变动行业中掌权，或性格更显孤傲不羁。见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，因独特的才华、思想或经历困境而获得名声。见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破耗性质加剧</t>
    </r>
    <r>
      <rPr>
        <sz val="11"/>
        <color theme="1"/>
        <rFont val="等线"/>
        <family val="2"/>
        <charset val="134"/>
        <scheme val="minor"/>
      </rPr>
      <t>，损失必然且巨大，波动剧烈，空亡感最强。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</si>
  <si>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，将空想、灵感转化为财富，如创意变现，但财来虚花。见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，强化对精神世界的控制力或理想化的执行力，但可能更脱离实际。见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，因独特的思想、灵感或超脱的态度获得名声。见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空亡性质加剧</t>
    </r>
    <r>
      <rPr>
        <sz val="11"/>
        <color theme="1"/>
        <rFont val="等线"/>
        <family val="2"/>
        <charset val="134"/>
        <scheme val="minor"/>
      </rPr>
      <t>，理想必然破灭，精神极度空虚，虚耗最甚。</t>
    </r>
  </si>
  <si>
    <t>一、陀罗定义</t>
  </si>
  <si>
    <r>
      <t>2. 与“天梁”的区别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天梁星主“荫庇、化解与拖延”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最终能解决问题、带来福荫，其拖延带有保护和等待时机的意味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陀罗星主“纯粹的拖延与反复”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过程本身的缓慢与胶着，不必然带来好结果</t>
    </r>
    <r>
      <rPr>
        <sz val="11"/>
        <color theme="1"/>
        <rFont val="等线"/>
        <family val="2"/>
        <charset val="134"/>
        <scheme val="minor"/>
      </rPr>
      <t>。天梁是“病拖延但终能治愈”，陀罗是“病拖延且反复发作”。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</si>
  <si>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：陀罗星所在宫位，指示在人生的哪个领域容易遭遇拖延、反复、需要耐心坚持。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</si>
  <si>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，将拖延转化为细水长流的财富，如长期投资获利，但过程漫长。见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，强化坚持力与控制欲，在缓慢过程中掌握主导权。见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，因耐心、坚持获得名声，或因处理旧事、慢性问题获得声誉。见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拖延性质加剧</t>
    </r>
    <r>
      <rPr>
        <sz val="11"/>
        <color theme="1"/>
        <rFont val="等线"/>
        <family val="2"/>
        <charset val="134"/>
        <scheme val="minor"/>
      </rPr>
      <t>，事情必然反复纠缠无解，慢性病加重。</t>
    </r>
  </si>
  <si>
    <t>一、擎羊定义</t>
  </si>
  <si>
    <r>
      <t>1. “擎羊”与“火星”、“铃星”、“陀罗”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擎羊是“明枪”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直接、主动、外显的伤害与竞争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火星是“阳火”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公开的、突发的、猛烈的伤害与冲突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铃星是“阴火”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暗中的、持续的、阴性的伤害与煎熬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陀罗星是“暗金”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拖延、反复、纠缠</t>
    </r>
    <r>
      <rPr>
        <sz val="11"/>
        <color theme="1"/>
        <rFont val="等线"/>
        <family val="2"/>
        <charset val="134"/>
        <scheme val="minor"/>
      </rPr>
      <t>。擎羊是“迎面一刀”，火星是“突然爆炸”，铃星是“慢性中毒”，陀罗是“来回折腾拖着你”。</t>
    </r>
  </si>
  <si>
    <r>
      <t>2. 与“七杀”的区别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七杀星主“肃杀、决断与变动”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大型的、决定性的变动与风险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擎羊星主“直接的伤害与竞争”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具体的、外显的冲突与刑伤</t>
    </r>
    <r>
      <rPr>
        <sz val="11"/>
        <color theme="1"/>
        <rFont val="等线"/>
        <family val="2"/>
        <charset val="134"/>
        <scheme val="minor"/>
      </rPr>
      <t>。七杀是“大军压境的肃杀之气”，擎羊是“短兵相接的白刃之战”。</t>
    </r>
  </si>
  <si>
    <r>
      <t>3. 宫位定领域</t>
    </r>
    <r>
      <rPr>
        <sz val="11"/>
        <color theme="1"/>
        <rFont val="等线"/>
        <family val="2"/>
        <charset val="134"/>
        <scheme val="minor"/>
      </rPr>
      <t>：擎羊星所在宫位，指示在人生的哪个领域容易发生直接冲突、面临激烈竞争，或需要运用决断力和开创力，也指示该领域易有手术、外伤。</t>
    </r>
  </si>
  <si>
    <r>
      <t>4.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，将竞争力转化为财禄，如竞争获利，但易因财惹争端。见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，强化决断力与竞争中的掌控权，但更显霸道。见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，因竞争、决断或处理危机获得名声，但名中带煞。见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伤害性质加剧</t>
    </r>
    <r>
      <rPr>
        <sz val="11"/>
        <color theme="1"/>
        <rFont val="等线"/>
        <family val="2"/>
        <charset val="134"/>
        <scheme val="minor"/>
      </rPr>
      <t>，冲突必然发生且后果严重，刑伤最显。</t>
    </r>
  </si>
  <si>
    <t>一、天马定义</t>
  </si>
  <si>
    <r>
      <t>2. “禄马交驰”格局</t>
    </r>
    <r>
      <rPr>
        <sz val="11"/>
        <color theme="1"/>
        <rFont val="等线"/>
        <family val="2"/>
        <charset val="134"/>
        <scheme val="minor"/>
      </rPr>
      <t>：天马与</t>
    </r>
    <r>
      <rPr>
        <b/>
        <sz val="11"/>
        <color theme="1"/>
        <rFont val="等线"/>
        <family val="3"/>
        <charset val="134"/>
        <scheme val="minor"/>
      </rPr>
      <t>禄存</t>
    </r>
    <r>
      <rPr>
        <sz val="11"/>
        <color theme="1"/>
        <rFont val="等线"/>
        <family val="2"/>
        <charset val="134"/>
        <scheme val="minor"/>
      </rPr>
      <t>或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在三方四正（尤其是财帛、迁移、命宫）相会，即构成“禄马交驰”格，主大富，尤利远方求财、国际贸易、物流交通等行业。</t>
    </r>
  </si>
  <si>
    <r>
      <t>3. “马头带箭”格局</t>
    </r>
    <r>
      <rPr>
        <sz val="11"/>
        <color theme="1"/>
        <rFont val="等线"/>
        <family val="2"/>
        <charset val="134"/>
        <scheme val="minor"/>
      </rPr>
      <t>：天马与</t>
    </r>
    <r>
      <rPr>
        <b/>
        <sz val="11"/>
        <color theme="1"/>
        <rFont val="等线"/>
        <family val="3"/>
        <charset val="134"/>
        <scheme val="minor"/>
      </rPr>
      <t>擎羊</t>
    </r>
    <r>
      <rPr>
        <sz val="11"/>
        <color theme="1"/>
        <rFont val="等线"/>
        <family val="2"/>
        <charset val="134"/>
        <scheme val="minor"/>
      </rPr>
      <t>同度在迁移宫，且命宫或三方有</t>
    </r>
    <r>
      <rPr>
        <b/>
        <sz val="11"/>
        <color theme="1"/>
        <rFont val="等线"/>
        <family val="3"/>
        <charset val="134"/>
        <scheme val="minor"/>
      </rPr>
      <t>贪狼</t>
    </r>
    <r>
      <rPr>
        <sz val="11"/>
        <color theme="1"/>
        <rFont val="等线"/>
        <family val="2"/>
        <charset val="134"/>
        <scheme val="minor"/>
      </rPr>
      <t>，构成“马头带箭”格，主武职荣显，但一生多惊险，大起大落。若与陀罗同度，则为“马失前蹄”，主变动多阻。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</si>
  <si>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：天马星所在宫位，指示在人生的哪个领域容易发生变动、需要奔波，或在该领域变动能带来机遇。</t>
    </r>
  </si>
  <si>
    <r>
      <t>5.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，变动带来财禄，为“禄马交驰”之应。见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，变动中掌权，调动升职。见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，变动中获名声，如因出差、旅行出名。见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变动性质加剧但多劳少获</t>
    </r>
    <r>
      <rPr>
        <sz val="11"/>
        <color theme="1"/>
        <rFont val="等线"/>
        <family val="2"/>
        <charset val="134"/>
        <scheme val="minor"/>
      </rPr>
      <t>，奔波劳碌，变动多波折、损失。</t>
    </r>
  </si>
  <si>
    <t>一、天钺定义</t>
  </si>
  <si>
    <t>在夫妻宫、命宫时体现。</t>
  </si>
  <si>
    <r>
      <t>外貌气质</t>
    </r>
    <r>
      <rPr>
        <sz val="11"/>
        <color theme="1"/>
        <rFont val="等线"/>
        <family val="2"/>
        <charset val="134"/>
        <scheme val="minor"/>
      </rPr>
      <t>​</t>
    </r>
  </si>
  <si>
    <t>在命宫、身宫时显著。</t>
  </si>
  <si>
    <r>
      <t>天钺+化科</t>
    </r>
    <r>
      <rPr>
        <sz val="11"/>
        <color theme="1"/>
        <rFont val="等线"/>
        <family val="2"/>
        <charset val="134"/>
        <scheme val="minor"/>
      </rPr>
      <t>​</t>
    </r>
  </si>
  <si>
    <r>
      <t>贵气扬名</t>
    </r>
    <r>
      <rPr>
        <sz val="11"/>
        <color theme="1"/>
        <rFont val="等线"/>
        <family val="2"/>
        <charset val="134"/>
        <scheme val="minor"/>
      </rPr>
      <t>，贵人助其获得名声，易因女性关系成名，科甲功名显赫。</t>
    </r>
  </si>
  <si>
    <r>
      <t>天钺+化忌</t>
    </r>
    <r>
      <rPr>
        <sz val="11"/>
        <color theme="1"/>
        <rFont val="等线"/>
        <family val="2"/>
        <charset val="134"/>
        <scheme val="minor"/>
      </rPr>
      <t>​</t>
    </r>
  </si>
  <si>
    <r>
      <t>贵气受阻</t>
    </r>
    <r>
      <rPr>
        <sz val="11"/>
        <color theme="1"/>
        <rFont val="等线"/>
        <family val="2"/>
        <charset val="134"/>
        <scheme val="minor"/>
      </rPr>
      <t>，贵人助力变成困扰，易因女性惹麻烦，感情纠纷，钱财不聚。</t>
    </r>
  </si>
  <si>
    <r>
      <t>1. “天钺”与“天魁”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天钺星为“阴贵”、“玉堂贵人”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暗中、间接、来自女性或长辈的助力</t>
    </r>
    <r>
      <rPr>
        <sz val="11"/>
        <color theme="1"/>
        <rFont val="等线"/>
        <family val="2"/>
        <charset val="134"/>
        <scheme val="minor"/>
      </rPr>
      <t>，其帮助往往在危难时雪中送炭，且不为人知。</t>
    </r>
    <r>
      <rPr>
        <b/>
        <sz val="11"/>
        <color theme="1"/>
        <rFont val="等线"/>
        <family val="3"/>
        <charset val="134"/>
        <scheme val="minor"/>
      </rPr>
      <t>天魁星为“阳贵”、“天乙贵人”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明显、直接、来自男性或平辈的助力</t>
    </r>
    <r>
      <rPr>
        <sz val="11"/>
        <color theme="1"/>
        <rFont val="等线"/>
        <family val="2"/>
        <charset val="134"/>
        <scheme val="minor"/>
      </rPr>
      <t>，其帮助公开且按章程办事。二者皆主科名、贵人，但助力方式与来源不同。</t>
    </r>
  </si>
  <si>
    <r>
      <t>2. “坐贵向贵”格局</t>
    </r>
    <r>
      <rPr>
        <sz val="11"/>
        <color theme="1"/>
        <rFont val="等线"/>
        <family val="2"/>
        <charset val="134"/>
        <scheme val="minor"/>
      </rPr>
      <t>：天魁与天钺一在命宫，一在迁移宫（或三方四正）相会，即成“坐贵向贵”格，主一生贵人运极强，逢凶化吉，科甲有成。</t>
    </r>
  </si>
  <si>
    <r>
      <t>3. 时间效应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四十岁（或五十岁）前为贵人星</t>
    </r>
    <r>
      <rPr>
        <sz val="11"/>
        <color theme="1"/>
        <rFont val="等线"/>
        <family val="2"/>
        <charset val="134"/>
        <scheme val="minor"/>
      </rPr>
      <t>，助力显著；</t>
    </r>
    <r>
      <rPr>
        <b/>
        <sz val="11"/>
        <color theme="1"/>
        <rFont val="等线"/>
        <family val="3"/>
        <charset val="134"/>
        <scheme val="minor"/>
      </rPr>
      <t>四十岁（或五十岁）后可能转化为小人星</t>
    </r>
    <r>
      <rPr>
        <sz val="11"/>
        <color theme="1"/>
        <rFont val="等线"/>
        <family val="2"/>
        <charset val="134"/>
        <scheme val="minor"/>
      </rPr>
      <t>，需防助力伴随条件交换、投资骗局或健康问题被隐瞒。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</si>
  <si>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：天钺星所在宫位，指示在人生的哪个领域容易得到女性、长辈或权威机构的暗中帮助与机遇。</t>
    </r>
  </si>
  <si>
    <r>
      <t>5.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，贵人助力直接转化为财禄，易因女性得财。见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，贵人助其掌握实权，得女性上司提拔。见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，贵人助其获得科名、声誉，考试运佳。见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贵人性质变质</t>
    </r>
    <r>
      <rPr>
        <sz val="11"/>
        <color theme="1"/>
        <rFont val="等线"/>
        <family val="2"/>
        <charset val="134"/>
        <scheme val="minor"/>
      </rPr>
      <t>，易因女性惹麻烦，助力反成拖累，感情与钱财多困扰。</t>
    </r>
  </si>
  <si>
    <t>一、天魁定义</t>
  </si>
  <si>
    <r>
      <t>性格特质</t>
    </r>
    <r>
      <rPr>
        <sz val="11"/>
        <color theme="1"/>
        <rFont val="等线"/>
        <family val="2"/>
        <charset val="134"/>
        <scheme val="minor"/>
      </rPr>
      <t>​</t>
    </r>
  </si>
  <si>
    <r>
      <t>交友宫（奴仆宫）</t>
    </r>
    <r>
      <rPr>
        <sz val="11"/>
        <color theme="1"/>
        <rFont val="等线"/>
        <family val="2"/>
        <charset val="134"/>
        <scheme val="minor"/>
      </rPr>
      <t>​</t>
    </r>
  </si>
  <si>
    <r>
      <t>天魁+化科</t>
    </r>
    <r>
      <rPr>
        <sz val="11"/>
        <color theme="1"/>
        <rFont val="等线"/>
        <family val="2"/>
        <charset val="134"/>
        <scheme val="minor"/>
      </rPr>
      <t>​</t>
    </r>
  </si>
  <si>
    <r>
      <t>贵气扬名</t>
    </r>
    <r>
      <rPr>
        <sz val="11"/>
        <color theme="1"/>
        <rFont val="等线"/>
        <family val="2"/>
        <charset val="134"/>
        <scheme val="minor"/>
      </rPr>
      <t>，贵人助其获得名声，易因男性关系成名，科甲功名显赫，声名更隆。</t>
    </r>
  </si>
  <si>
    <r>
      <t>天魁+化忌</t>
    </r>
    <r>
      <rPr>
        <sz val="11"/>
        <color theme="1"/>
        <rFont val="等线"/>
        <family val="2"/>
        <charset val="134"/>
        <scheme val="minor"/>
      </rPr>
      <t>​</t>
    </r>
  </si>
  <si>
    <r>
      <t>贵气受阻</t>
    </r>
    <r>
      <rPr>
        <sz val="11"/>
        <color theme="1"/>
        <rFont val="等线"/>
        <family val="2"/>
        <charset val="134"/>
        <scheme val="minor"/>
      </rPr>
      <t>，贵人助力变成困扰，易因男性惹麻烦，或过度依赖贵人。</t>
    </r>
  </si>
  <si>
    <r>
      <t>1. “天魁”与“天钺”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天魁星为“阳贵”、“天乙贵人”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明显、直接、公开、来自男性或平辈的助力</t>
    </r>
    <r>
      <rPr>
        <sz val="11"/>
        <color theme="1"/>
        <rFont val="等线"/>
        <family val="2"/>
        <charset val="134"/>
        <scheme val="minor"/>
      </rPr>
      <t>，其帮助按章程办事，当事人能明确察觉。</t>
    </r>
    <r>
      <rPr>
        <b/>
        <sz val="11"/>
        <color theme="1"/>
        <rFont val="等线"/>
        <family val="3"/>
        <charset val="134"/>
        <scheme val="minor"/>
      </rPr>
      <t>天钺星为“阴贵”、“玉堂贵人”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暗中、间接、隐秘、来自女性或长辈的助力</t>
    </r>
    <r>
      <rPr>
        <sz val="11"/>
        <color theme="1"/>
        <rFont val="等线"/>
        <family val="2"/>
        <charset val="134"/>
        <scheme val="minor"/>
      </rPr>
      <t>，其帮助往往在危难时雪中送炭，且不为人知。二者皆主科名、贵人，但助力方式与来源不同。</t>
    </r>
  </si>
  <si>
    <r>
      <t>2. “坐贵向贵”格局</t>
    </r>
    <r>
      <rPr>
        <sz val="11"/>
        <color theme="1"/>
        <rFont val="等线"/>
        <family val="2"/>
        <charset val="134"/>
        <scheme val="minor"/>
      </rPr>
      <t>：天魁与天钺一在命宫，一在迁移宫（或三方四正）相会，即成“坐贵向贵”格，主一生贵人运极强，逢凶化吉，科甲有成，男女皆主富贵，但也主易得异性垂青。</t>
    </r>
  </si>
  <si>
    <r>
      <t>3. 时间效应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四十岁（或五十岁）前为贵人星</t>
    </r>
    <r>
      <rPr>
        <sz val="11"/>
        <color theme="1"/>
        <rFont val="等线"/>
        <family val="2"/>
        <charset val="134"/>
        <scheme val="minor"/>
      </rPr>
      <t>，助力显著；</t>
    </r>
    <r>
      <rPr>
        <b/>
        <sz val="11"/>
        <color theme="1"/>
        <rFont val="等线"/>
        <family val="3"/>
        <charset val="134"/>
        <scheme val="minor"/>
      </rPr>
      <t>四十岁（或五十岁）后可能转化为小人星或桃花星</t>
    </r>
    <r>
      <rPr>
        <sz val="11"/>
        <color theme="1"/>
        <rFont val="等线"/>
        <family val="2"/>
        <charset val="134"/>
        <scheme val="minor"/>
      </rPr>
      <t>，需防过度依赖、助力变质，或中年后桃花困扰。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</si>
  <si>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：天魁星所在宫位，指示在人生的哪个领域容易得到男性、长辈或权威机构的公开帮助与机遇。</t>
    </r>
  </si>
  <si>
    <r>
      <t>5.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，贵人助力直接转化为财禄，易因男性得财。见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，贵人助其掌握实权，得男性上司提拔。见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，贵人助其获得科名、声誉，考试运佳，声名更隆。见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贵人性质变质</t>
    </r>
    <r>
      <rPr>
        <sz val="11"/>
        <color theme="1"/>
        <rFont val="等线"/>
        <family val="2"/>
        <charset val="134"/>
        <scheme val="minor"/>
      </rPr>
      <t>，易因男性惹麻烦，助力反成拖累，或产生依赖心理。</t>
    </r>
  </si>
  <si>
    <r>
      <t>6. 行业倾向</t>
    </r>
    <r>
      <rPr>
        <sz val="11"/>
        <color theme="1"/>
        <rFont val="等线"/>
        <family val="2"/>
        <charset val="134"/>
        <scheme val="minor"/>
      </rPr>
      <t>：适合公共关系、公教、文职、中介经纪人、编辑、园艺、演艺、旧书摊、古董店、导游、律师、音乐家、画家、医师、模特等。</t>
    </r>
  </si>
  <si>
    <t>一、右弼定义</t>
  </si>
  <si>
    <t>暗中助力、调和人际关系、增进机缘、桃花、变动、转向</t>
  </si>
  <si>
    <r>
      <t>1. 人（性格、行为、关系）：</t>
    </r>
    <r>
      <rPr>
        <sz val="11"/>
        <color theme="1"/>
        <rFont val="等线"/>
        <family val="2"/>
        <charset val="134"/>
        <scheme val="minor"/>
      </rPr>
      <t>​ 思维与行为模式具有</t>
    </r>
    <r>
      <rPr>
        <b/>
        <sz val="11"/>
        <color theme="1"/>
        <rFont val="等线"/>
        <family val="3"/>
        <charset val="134"/>
        <scheme val="minor"/>
      </rPr>
      <t>灵活性、迂回性</t>
    </r>
    <r>
      <rPr>
        <sz val="11"/>
        <color theme="1"/>
        <rFont val="等线"/>
        <family val="2"/>
        <charset val="134"/>
        <scheme val="minor"/>
      </rPr>
      <t>。不喜正面冲突，善于换位思考，扮演</t>
    </r>
    <r>
      <rPr>
        <b/>
        <sz val="11"/>
        <color theme="1"/>
        <rFont val="等线"/>
        <family val="3"/>
        <charset val="134"/>
        <scheme val="minor"/>
      </rPr>
      <t>协调者、中介者、幕后推手</t>
    </r>
    <r>
      <rPr>
        <sz val="11"/>
        <color theme="1"/>
        <rFont val="等线"/>
        <family val="2"/>
        <charset val="134"/>
        <scheme val="minor"/>
      </rPr>
      <t>的角色。人际关系上，是</t>
    </r>
    <r>
      <rPr>
        <b/>
        <sz val="11"/>
        <color theme="1"/>
        <rFont val="等线"/>
        <family val="3"/>
        <charset val="134"/>
        <scheme val="minor"/>
      </rPr>
      <t>连接的桥梁</t>
    </r>
    <r>
      <rPr>
        <sz val="11"/>
        <color theme="1"/>
        <rFont val="等线"/>
        <family val="2"/>
        <charset val="134"/>
        <scheme val="minor"/>
      </rPr>
      <t>，其助力常通过第三方间接达成。人生角色易有</t>
    </r>
    <r>
      <rPr>
        <b/>
        <sz val="11"/>
        <color theme="1"/>
        <rFont val="等线"/>
        <family val="3"/>
        <charset val="134"/>
        <scheme val="minor"/>
      </rPr>
      <t>重复或转换</t>
    </r>
    <r>
      <rPr>
        <sz val="11"/>
        <color theme="1"/>
        <rFont val="等线"/>
        <family val="2"/>
        <charset val="134"/>
        <scheme val="minor"/>
      </rPr>
      <t>，如再婚、换岗。</t>
    </r>
  </si>
  <si>
    <r>
      <t>2. 事（事件、过程）：</t>
    </r>
    <r>
      <rPr>
        <sz val="11"/>
        <color theme="1"/>
        <rFont val="等线"/>
        <family val="2"/>
        <charset val="134"/>
        <scheme val="minor"/>
      </rPr>
      <t>​ 事件发展过程中出现</t>
    </r>
    <r>
      <rPr>
        <b/>
        <sz val="11"/>
        <color theme="1"/>
        <rFont val="等线"/>
        <family val="3"/>
        <charset val="134"/>
        <scheme val="minor"/>
      </rPr>
      <t>转折、变更、反复</t>
    </r>
    <r>
      <rPr>
        <sz val="11"/>
        <color theme="1"/>
        <rFont val="等线"/>
        <family val="2"/>
        <charset val="134"/>
        <scheme val="minor"/>
      </rPr>
      <t>。主</t>
    </r>
    <r>
      <rPr>
        <b/>
        <sz val="11"/>
        <color theme="1"/>
        <rFont val="等线"/>
        <family val="3"/>
        <charset val="134"/>
        <scheme val="minor"/>
      </rPr>
      <t>计划外的调整、解决方案的替换、道路的转弯</t>
    </r>
    <r>
      <rPr>
        <sz val="11"/>
        <color theme="1"/>
        <rFont val="等线"/>
        <family val="2"/>
        <charset val="134"/>
        <scheme val="minor"/>
      </rPr>
      <t>。也代表</t>
    </r>
    <r>
      <rPr>
        <b/>
        <sz val="11"/>
        <color theme="1"/>
        <rFont val="等线"/>
        <family val="3"/>
        <charset val="134"/>
        <scheme val="minor"/>
      </rPr>
      <t>事情的重复发生</t>
    </r>
    <r>
      <rPr>
        <sz val="11"/>
        <color theme="1"/>
        <rFont val="等线"/>
        <family val="2"/>
        <charset val="134"/>
        <scheme val="minor"/>
      </rPr>
      <t>，即“</t>
    </r>
    <r>
      <rPr>
        <b/>
        <sz val="11"/>
        <color theme="1"/>
        <rFont val="等线"/>
        <family val="3"/>
        <charset val="134"/>
        <scheme val="minor"/>
      </rPr>
      <t>又一次</t>
    </r>
    <r>
      <rPr>
        <sz val="11"/>
        <color theme="1"/>
        <rFont val="等线"/>
        <family val="2"/>
        <charset val="134"/>
        <scheme val="minor"/>
      </rPr>
      <t>”，如再次协商、重新处理、循环出现。</t>
    </r>
  </si>
  <si>
    <r>
      <t>3. 物（物体、空间、形态）：</t>
    </r>
    <r>
      <rPr>
        <sz val="11"/>
        <color theme="1"/>
        <rFont val="等线"/>
        <family val="2"/>
        <charset val="134"/>
        <scheme val="minor"/>
      </rPr>
      <t>​ 指代具有</t>
    </r>
    <r>
      <rPr>
        <b/>
        <sz val="11"/>
        <color theme="1"/>
        <rFont val="等线"/>
        <family val="3"/>
        <charset val="134"/>
        <scheme val="minor"/>
      </rPr>
      <t>弯曲、弧形、可转向、辅助</t>
    </r>
    <r>
      <rPr>
        <sz val="11"/>
        <color theme="1"/>
        <rFont val="等线"/>
        <family val="2"/>
        <charset val="134"/>
        <scheme val="minor"/>
      </rPr>
      <t>属性的事物。如：</t>
    </r>
    <r>
      <rPr>
        <b/>
        <sz val="11"/>
        <color theme="1"/>
        <rFont val="等线"/>
        <family val="3"/>
        <charset val="134"/>
        <scheme val="minor"/>
      </rPr>
      <t>转角、岔路、弯道、螺丝刀（扭转工具）、备份零件、副本、复印件</t>
    </r>
    <r>
      <rPr>
        <sz val="11"/>
        <color theme="1"/>
        <rFont val="等线"/>
        <family val="2"/>
        <charset val="134"/>
        <scheme val="minor"/>
      </rPr>
      <t>。在空间上，代表</t>
    </r>
    <r>
      <rPr>
        <b/>
        <sz val="11"/>
        <color theme="1"/>
        <rFont val="等线"/>
        <family val="3"/>
        <charset val="134"/>
        <scheme val="minor"/>
      </rPr>
      <t>旁侧、辅助位置、曲折的路径</t>
    </r>
    <r>
      <rPr>
        <sz val="11"/>
        <color theme="1"/>
        <rFont val="等线"/>
        <family val="2"/>
        <charset val="134"/>
        <scheme val="minor"/>
      </rPr>
      <t>。</t>
    </r>
  </si>
  <si>
    <t>整合自《金刚佛光-紫占课程手册》中关于右弼“转向”、“变动”、“机缘”、“重复”等核心概念的深度阐释与类象推演。</t>
  </si>
  <si>
    <r>
      <t>乙级星，属</t>
    </r>
    <r>
      <rPr>
        <b/>
        <sz val="11"/>
        <color theme="1"/>
        <rFont val="等线"/>
        <family val="3"/>
        <charset val="134"/>
        <scheme val="minor"/>
      </rPr>
      <t>阴水</t>
    </r>
    <r>
      <rPr>
        <sz val="11"/>
        <color theme="1"/>
        <rFont val="等线"/>
        <family val="2"/>
        <charset val="134"/>
        <scheme val="minor"/>
      </rPr>
      <t>（亦有资料称阴土）。主吉，为</t>
    </r>
    <r>
      <rPr>
        <b/>
        <sz val="11"/>
        <color theme="1"/>
        <rFont val="等线"/>
        <family val="3"/>
        <charset val="134"/>
        <scheme val="minor"/>
      </rPr>
      <t>六吉星</t>
    </r>
    <r>
      <rPr>
        <sz val="11"/>
        <color theme="1"/>
        <rFont val="等线"/>
        <family val="2"/>
        <charset val="134"/>
        <scheme val="minor"/>
      </rPr>
      <t>之一，</t>
    </r>
    <r>
      <rPr>
        <b/>
        <sz val="11"/>
        <color theme="1"/>
        <rFont val="等线"/>
        <family val="3"/>
        <charset val="134"/>
        <scheme val="minor"/>
      </rPr>
      <t>南斗助星</t>
    </r>
    <r>
      <rPr>
        <sz val="11"/>
        <color theme="1"/>
        <rFont val="等线"/>
        <family val="2"/>
        <charset val="134"/>
        <scheme val="minor"/>
      </rPr>
      <t>，司</t>
    </r>
    <r>
      <rPr>
        <b/>
        <sz val="11"/>
        <color theme="1"/>
        <rFont val="等线"/>
        <family val="3"/>
        <charset val="134"/>
        <scheme val="minor"/>
      </rPr>
      <t>制令</t>
    </r>
    <r>
      <rPr>
        <sz val="11"/>
        <color theme="1"/>
        <rFont val="等线"/>
        <family val="2"/>
        <charset val="134"/>
        <scheme val="minor"/>
      </rPr>
      <t>。在十二宫中均无落陷，仅有旺弱之分，故</t>
    </r>
    <r>
      <rPr>
        <b/>
        <sz val="11"/>
        <color theme="1"/>
        <rFont val="等线"/>
        <family val="3"/>
        <charset val="134"/>
        <scheme val="minor"/>
      </rPr>
      <t>到处降福</t>
    </r>
    <r>
      <rPr>
        <sz val="11"/>
        <color theme="1"/>
        <rFont val="等线"/>
        <family val="2"/>
        <charset val="134"/>
        <scheme val="minor"/>
      </rPr>
      <t>。与左辅星成对出现（“辅弼拱主”）力量最强，单守力量稍弱。喜入命宫三合，主高格局。</t>
    </r>
  </si>
  <si>
    <r>
      <t>暗中助力</t>
    </r>
    <r>
      <rPr>
        <sz val="11"/>
        <color theme="1"/>
        <rFont val="等线"/>
        <family val="2"/>
        <charset val="134"/>
        <scheme val="minor"/>
      </rPr>
      <t>​</t>
    </r>
  </si>
  <si>
    <r>
      <t>一生易得</t>
    </r>
    <r>
      <rPr>
        <b/>
        <sz val="11"/>
        <color theme="1"/>
        <rFont val="等线"/>
        <family val="3"/>
        <charset val="134"/>
        <scheme val="minor"/>
      </rPr>
      <t>暗中、间接的贵人相助</t>
    </r>
    <r>
      <rPr>
        <sz val="11"/>
        <color theme="1"/>
        <rFont val="等线"/>
        <family val="2"/>
        <charset val="134"/>
        <scheme val="minor"/>
      </rPr>
      <t>，助力多来自平辈、晚辈或机缘巧合，当事人常不易察觉，如雪中送炭、意外转机。</t>
    </r>
  </si>
  <si>
    <r>
      <t>机缘/变动</t>
    </r>
    <r>
      <rPr>
        <sz val="11"/>
        <color theme="1"/>
        <rFont val="等线"/>
        <family val="2"/>
        <charset val="134"/>
        <scheme val="minor"/>
      </rPr>
      <t>​</t>
    </r>
  </si>
  <si>
    <r>
      <t>主</t>
    </r>
    <r>
      <rPr>
        <b/>
        <sz val="11"/>
        <color theme="1"/>
        <rFont val="等线"/>
        <family val="3"/>
        <charset val="134"/>
        <scheme val="minor"/>
      </rPr>
      <t>机缘、巧合、转向、变动</t>
    </r>
    <r>
      <rPr>
        <sz val="11"/>
        <color theme="1"/>
        <rFont val="等线"/>
        <family val="2"/>
        <charset val="134"/>
        <scheme val="minor"/>
      </rPr>
      <t>。事情发展常有意外转折，或计划改变，道路转弯，转换方式。</t>
    </r>
  </si>
  <si>
    <t>在迁移宫、官禄宫时力量显现。</t>
  </si>
  <si>
    <r>
      <t>桃花性质</t>
    </r>
    <r>
      <rPr>
        <sz val="11"/>
        <color theme="1"/>
        <rFont val="等线"/>
        <family val="2"/>
        <charset val="134"/>
        <scheme val="minor"/>
      </rPr>
      <t>​</t>
    </r>
  </si>
  <si>
    <r>
      <t>带</t>
    </r>
    <r>
      <rPr>
        <b/>
        <sz val="11"/>
        <color theme="1"/>
        <rFont val="等线"/>
        <family val="3"/>
        <charset val="134"/>
        <scheme val="minor"/>
      </rPr>
      <t>桃花性质</t>
    </r>
    <r>
      <rPr>
        <sz val="11"/>
        <color theme="1"/>
        <rFont val="等线"/>
        <family val="2"/>
        <charset val="134"/>
        <scheme val="minor"/>
      </rPr>
      <t>，易有感情困扰、异性缘佳，但多为暗桃花、不公开的缘分。</t>
    </r>
  </si>
  <si>
    <r>
      <t>中等身材，长圆形脸，大眼睛、双眼皮，睫毛很长。脸色青白。</t>
    </r>
    <r>
      <rPr>
        <b/>
        <sz val="11"/>
        <color theme="1"/>
        <rFont val="等线"/>
        <family val="3"/>
        <charset val="134"/>
        <scheme val="minor"/>
      </rPr>
      <t>厚重清秀，度量宽宏</t>
    </r>
    <r>
      <rPr>
        <sz val="11"/>
        <color theme="1"/>
        <rFont val="等线"/>
        <family val="2"/>
        <charset val="134"/>
        <scheme val="minor"/>
      </rPr>
      <t>，好助人，有机谋，精通文墨，为人大方随和。</t>
    </r>
  </si>
  <si>
    <r>
      <t>性格</t>
    </r>
    <r>
      <rPr>
        <b/>
        <sz val="11"/>
        <color theme="1"/>
        <rFont val="等线"/>
        <family val="3"/>
        <charset val="134"/>
        <scheme val="minor"/>
      </rPr>
      <t>圆融通透</t>
    </r>
    <r>
      <rPr>
        <sz val="11"/>
        <color theme="1"/>
        <rFont val="等线"/>
        <family val="2"/>
        <charset val="134"/>
        <scheme val="minor"/>
      </rPr>
      <t>，不喜欢与人正面冲突，待人处事懂得换位思考，有亲和力。</t>
    </r>
    <r>
      <rPr>
        <b/>
        <sz val="11"/>
        <color theme="1"/>
        <rFont val="等线"/>
        <family val="3"/>
        <charset val="134"/>
        <scheme val="minor"/>
      </rPr>
      <t>不喜争强好胜</t>
    </r>
    <r>
      <rPr>
        <sz val="11"/>
        <color theme="1"/>
        <rFont val="等线"/>
        <family val="2"/>
        <charset val="134"/>
        <scheme val="minor"/>
      </rPr>
      <t>，更愿在幕后出力，功劳常让给别人。</t>
    </r>
    <r>
      <rPr>
        <b/>
        <sz val="11"/>
        <color theme="1"/>
        <rFont val="等线"/>
        <family val="3"/>
        <charset val="134"/>
        <scheme val="minor"/>
      </rPr>
      <t>耿直、善计划、小心谨慎、讲义气、有责任心</t>
    </r>
    <r>
      <rPr>
        <sz val="11"/>
        <color theme="1"/>
        <rFont val="等线"/>
        <family val="2"/>
        <charset val="134"/>
        <scheme val="minor"/>
      </rPr>
      <t>，但性情</t>
    </r>
    <r>
      <rPr>
        <b/>
        <sz val="11"/>
        <color theme="1"/>
        <rFont val="等线"/>
        <family val="3"/>
        <charset val="134"/>
        <scheme val="minor"/>
      </rPr>
      <t>急躁、刚强</t>
    </r>
    <r>
      <rPr>
        <sz val="11"/>
        <color theme="1"/>
        <rFont val="等线"/>
        <family val="2"/>
        <charset val="134"/>
        <scheme val="minor"/>
      </rPr>
      <t>，且有干涉和压迫的倾向。</t>
    </r>
  </si>
  <si>
    <r>
      <t>执行监督</t>
    </r>
    <r>
      <rPr>
        <sz val="11"/>
        <color theme="1"/>
        <rFont val="等线"/>
        <family val="2"/>
        <charset val="134"/>
        <scheme val="minor"/>
      </rPr>
      <t>​</t>
    </r>
  </si>
  <si>
    <r>
      <t>有</t>
    </r>
    <r>
      <rPr>
        <b/>
        <sz val="11"/>
        <color theme="1"/>
        <rFont val="等线"/>
        <family val="3"/>
        <charset val="134"/>
        <scheme val="minor"/>
      </rPr>
      <t>执行、监督之责</t>
    </r>
    <r>
      <rPr>
        <sz val="11"/>
        <color theme="1"/>
        <rFont val="等线"/>
        <family val="2"/>
        <charset val="134"/>
        <scheme val="minor"/>
      </rPr>
      <t>，能辅助他人完成事务，善于协调、谋划。</t>
    </r>
  </si>
  <si>
    <t>在官禄宫、交友宫时显现。</t>
  </si>
  <si>
    <r>
      <t>一生</t>
    </r>
    <r>
      <rPr>
        <b/>
        <sz val="11"/>
        <color theme="1"/>
        <rFont val="等线"/>
        <family val="3"/>
        <charset val="134"/>
        <scheme val="minor"/>
      </rPr>
      <t>贵人运强</t>
    </r>
    <r>
      <rPr>
        <sz val="11"/>
        <color theme="1"/>
        <rFont val="等线"/>
        <family val="2"/>
        <charset val="134"/>
        <scheme val="minor"/>
      </rPr>
      <t>，尤其多得</t>
    </r>
    <r>
      <rPr>
        <b/>
        <sz val="11"/>
        <color theme="1"/>
        <rFont val="等线"/>
        <family val="3"/>
        <charset val="134"/>
        <scheme val="minor"/>
      </rPr>
      <t>平辈、晚辈或机缘巧合的暗中提携</t>
    </r>
    <r>
      <rPr>
        <sz val="11"/>
        <color theme="1"/>
        <rFont val="等线"/>
        <family val="2"/>
        <charset val="134"/>
        <scheme val="minor"/>
      </rPr>
      <t>，逢凶化吉。性格温和善良、心思细腻，擅长人际交往与协调。</t>
    </r>
    <r>
      <rPr>
        <b/>
        <sz val="11"/>
        <color theme="1"/>
        <rFont val="等线"/>
        <family val="3"/>
        <charset val="134"/>
        <scheme val="minor"/>
      </rPr>
      <t>重感情、讲义气</t>
    </r>
    <r>
      <rPr>
        <sz val="11"/>
        <color theme="1"/>
        <rFont val="等线"/>
        <family val="2"/>
        <charset val="134"/>
        <scheme val="minor"/>
      </rPr>
      <t>，但需注意因异性缘佳而带来的感情困扰。若与紫微、天府等吉星会照，则福气更厚；若逢煞忌，则需防感情波折与小人暗算，但整体仍以吉论，多能逢凶化吉。</t>
    </r>
  </si>
  <si>
    <t>与兄弟姐妹关系融洽，彼此能互相扶持、共同成长。兄弟姊妹多具上进心，能互相激励，在学业或事业上有所成就，且多为命主人生中的贵人，能在关键时刻提供实质帮助。可有兄弟三人，若与紫微、天府、天同、天相、昌、曲同宫，可有兄弟四五人。若与四煞星同宫，兄弟间不和睦。</t>
  </si>
  <si>
    <r>
      <t>婚姻需注意第三者介入</t>
    </r>
    <r>
      <rPr>
        <sz val="11"/>
        <color theme="1"/>
        <rFont val="等线"/>
        <family val="2"/>
        <charset val="134"/>
        <scheme val="minor"/>
      </rPr>
      <t>。主会因配偶的同心协力而大有发展。若逢昌、曲，男主其妻貌美。若与天机、太阴同宫，男有妾，女夫吉。若与日、月、巨门、火、铃、武曲、七杀同宫，主夫妻缘分浅。若与贪狼、廉贞、六煞星同宫，宜娶年长、性刚之女为妻。</t>
    </r>
    <r>
      <rPr>
        <b/>
        <sz val="11"/>
        <color theme="1"/>
        <rFont val="等线"/>
        <family val="3"/>
        <charset val="134"/>
        <scheme val="minor"/>
      </rPr>
      <t>若右弼独在夫妻宫，必主其配偶先死。男、女命，即使夫妻宫无煞星，均主其人二婚</t>
    </r>
    <r>
      <rPr>
        <sz val="11"/>
        <color theme="1"/>
        <rFont val="等线"/>
        <family val="2"/>
        <charset val="134"/>
        <scheme val="minor"/>
      </rPr>
      <t>，尤其是如果辅、弼之中仅一星在夫妻宫者，更易重婚。右弼入夫妻宫者，乃桃花之象，其人必二度婚姻。不论男女，婚前多与异性交往。若婚后另有情人，则需看命宫中是否有桃花星而论轻重。相比左辅而言，右弼比较多嘴，且会有实际行动，故其人的两性问题比较严重，若再有贵人之星加在，则多是非。</t>
    </r>
  </si>
  <si>
    <r>
      <t>子女多具才能，聪明有贵气，好读书，有才华，且独立性强，是命主的骄傲。</t>
    </r>
    <r>
      <rPr>
        <b/>
        <sz val="11"/>
        <color theme="1"/>
        <rFont val="等线"/>
        <family val="3"/>
        <charset val="134"/>
        <scheme val="minor"/>
      </rPr>
      <t>主“多”或“变动”</t>
    </r>
    <r>
      <rPr>
        <sz val="11"/>
        <color theme="1"/>
        <rFont val="等线"/>
        <family val="2"/>
        <charset val="134"/>
        <scheme val="minor"/>
      </rPr>
      <t>，可能有多子女，或子女缘分有变动（如换学生、换下属）。</t>
    </r>
  </si>
  <si>
    <r>
      <t>一生财运顺遂，求财多有机遇，常有</t>
    </r>
    <r>
      <rPr>
        <b/>
        <sz val="11"/>
        <color theme="1"/>
        <rFont val="等线"/>
        <family val="3"/>
        <charset val="134"/>
        <scheme val="minor"/>
      </rPr>
      <t>暗中、间接的财源或他人资助</t>
    </r>
    <r>
      <rPr>
        <sz val="11"/>
        <color theme="1"/>
        <rFont val="等线"/>
        <family val="2"/>
        <charset val="134"/>
        <scheme val="minor"/>
      </rPr>
      <t>，尤其在财务周转困难时，易得朋友、同辈或机缘带来的财富。</t>
    </r>
  </si>
  <si>
    <t>主其人健康良好，但易患上火下热之症、湿热病或被开水烫伤。若与六煞星同宫，多灾。若左辅、右弼加四煞入疾厄宫，主其人会被窃。</t>
  </si>
  <si>
    <r>
      <t>在外发展机遇多，易得</t>
    </r>
    <r>
      <rPr>
        <b/>
        <sz val="11"/>
        <color theme="1"/>
        <rFont val="等线"/>
        <family val="3"/>
        <charset val="134"/>
        <scheme val="minor"/>
      </rPr>
      <t>暗中贵人提携</t>
    </r>
    <r>
      <rPr>
        <sz val="11"/>
        <color theme="1"/>
        <rFont val="等线"/>
        <family val="2"/>
        <charset val="134"/>
        <scheme val="minor"/>
      </rPr>
      <t>，尤其适合异地发展，出行多遇机缘巧合，变动中得利。</t>
    </r>
  </si>
  <si>
    <t>一生人缘佳，部属、朋友多，有助力且忠实，社交圈中易得平辈、晚辈的暗中支持，在关键时刻常获朋友鼎力相助。</t>
  </si>
  <si>
    <r>
      <t>官禄宫（事业宫）</t>
    </r>
    <r>
      <rPr>
        <sz val="11"/>
        <color theme="1"/>
        <rFont val="等线"/>
        <family val="2"/>
        <charset val="134"/>
        <scheme val="minor"/>
      </rPr>
      <t>​</t>
    </r>
  </si>
  <si>
    <r>
      <t>在职场中易得</t>
    </r>
    <r>
      <rPr>
        <b/>
        <sz val="11"/>
        <color theme="1"/>
        <rFont val="等线"/>
        <family val="3"/>
        <charset val="134"/>
        <scheme val="minor"/>
      </rPr>
      <t>同僚、下属或机缘的暗中助力</t>
    </r>
    <r>
      <rPr>
        <sz val="11"/>
        <color theme="1"/>
        <rFont val="等线"/>
        <family val="2"/>
        <charset val="134"/>
        <scheme val="minor"/>
      </rPr>
      <t>，事业上常有意外机遇，适合军警、辅助、协调类工作。若与紫微、天府、昌、曲同宫，主其人财官双美。尤其若与文昌同宫，则为贵格，其人文章出众。若与四煞星同宫，主其人进退不一。若与空、劫同宫，其人有被黜降之可能。</t>
    </r>
  </si>
  <si>
    <r>
      <t>家宅安稳，易得</t>
    </r>
    <r>
      <rPr>
        <b/>
        <sz val="11"/>
        <color theme="1"/>
        <rFont val="等线"/>
        <family val="3"/>
        <charset val="134"/>
        <scheme val="minor"/>
      </rPr>
      <t>平辈、晚辈资助置业</t>
    </r>
    <r>
      <rPr>
        <sz val="11"/>
        <color theme="1"/>
        <rFont val="等线"/>
        <family val="2"/>
        <charset val="134"/>
        <scheme val="minor"/>
      </rPr>
      <t>，或家中有水道、井泉等象。附近可能有弯曲的河道、深巷内的住宅、倚楼的小屋、别墅。</t>
    </r>
  </si>
  <si>
    <r>
      <t>精神世界常有</t>
    </r>
    <r>
      <rPr>
        <b/>
        <sz val="11"/>
        <color theme="1"/>
        <rFont val="等线"/>
        <family val="3"/>
        <charset val="134"/>
        <scheme val="minor"/>
      </rPr>
      <t>暗中福荫</t>
    </r>
    <r>
      <rPr>
        <sz val="11"/>
        <color theme="1"/>
        <rFont val="等线"/>
        <family val="2"/>
        <charset val="134"/>
        <scheme val="minor"/>
      </rPr>
      <t>，心态乐观，相信机缘，享受来自人际关系的暗中支持。</t>
    </r>
  </si>
  <si>
    <t>若右弼独在，则不刑克。加吉星者，父母福禄双全，与父母有缘，且得到庇荫。若与四煞星同宫，则主其人退祖、刑伤，宜二姓重拜。</t>
  </si>
  <si>
    <t>1. 增强助力/变动组合</t>
  </si>
  <si>
    <r>
      <t>右弼+紫微</t>
    </r>
    <r>
      <rPr>
        <sz val="11"/>
        <color theme="1"/>
        <rFont val="等线"/>
        <family val="2"/>
        <charset val="134"/>
        <scheme val="minor"/>
      </rPr>
      <t>​</t>
    </r>
  </si>
  <si>
    <r>
      <t>帝星得暗助</t>
    </r>
    <r>
      <rPr>
        <sz val="11"/>
        <color theme="1"/>
        <rFont val="等线"/>
        <family val="2"/>
        <charset val="134"/>
        <scheme val="minor"/>
      </rPr>
      <t>，得同僚、下属或机缘的暗中扶持，在管理、领导岗位上得心应手，但助力隐蔽。</t>
    </r>
  </si>
  <si>
    <t>企业高管得得力下属暗中支持；君王得近臣辅佐。</t>
  </si>
  <si>
    <r>
      <t>右弼+天机</t>
    </r>
    <r>
      <rPr>
        <sz val="11"/>
        <color theme="1"/>
        <rFont val="等线"/>
        <family val="2"/>
        <charset val="134"/>
        <scheme val="minor"/>
      </rPr>
      <t>​</t>
    </r>
  </si>
  <si>
    <r>
      <t>智星转向</t>
    </r>
    <r>
      <rPr>
        <sz val="11"/>
        <color theme="1"/>
        <rFont val="等线"/>
        <family val="2"/>
        <charset val="134"/>
        <scheme val="minor"/>
      </rPr>
      <t>，思维灵活多变，计划常有意外转折，</t>
    </r>
    <r>
      <rPr>
        <b/>
        <sz val="11"/>
        <color theme="1"/>
        <rFont val="等线"/>
        <family val="3"/>
        <charset val="134"/>
        <scheme val="minor"/>
      </rPr>
      <t>车开偏了；同样的事绕不出来，算不出来，事情绕不出来了；道路转弯；转换运动的方式</t>
    </r>
    <r>
      <rPr>
        <sz val="11"/>
        <color theme="1"/>
        <rFont val="等线"/>
        <family val="2"/>
        <charset val="134"/>
        <scheme val="minor"/>
      </rPr>
      <t>。适合策划、交通、变动性行业。</t>
    </r>
  </si>
  <si>
    <t>策划案中途改变方向；出行路线临时变更。</t>
  </si>
  <si>
    <r>
      <t>右弼+太阳</t>
    </r>
    <r>
      <rPr>
        <sz val="11"/>
        <color theme="1"/>
        <rFont val="等线"/>
        <family val="2"/>
        <charset val="134"/>
        <scheme val="minor"/>
      </rPr>
      <t>​</t>
    </r>
  </si>
  <si>
    <r>
      <t>日照暗流</t>
    </r>
    <r>
      <rPr>
        <sz val="11"/>
        <color theme="1"/>
        <rFont val="等线"/>
        <family val="2"/>
        <charset val="134"/>
        <scheme val="minor"/>
      </rPr>
      <t>，名声得暗中宣扬，适合公关、传媒，易因机缘巧合成名，但助力不为人知。</t>
    </r>
  </si>
  <si>
    <t>因偶然事件被媒体报道成名；幕后推手塑造公众形象。</t>
  </si>
  <si>
    <r>
      <t>右弼+武曲</t>
    </r>
    <r>
      <rPr>
        <sz val="11"/>
        <color theme="1"/>
        <rFont val="等线"/>
        <family val="2"/>
        <charset val="134"/>
        <scheme val="minor"/>
      </rPr>
      <t>​</t>
    </r>
  </si>
  <si>
    <r>
      <t>刚金遇暗助</t>
    </r>
    <r>
      <rPr>
        <sz val="11"/>
        <color theme="1"/>
        <rFont val="等线"/>
        <family val="2"/>
        <charset val="134"/>
        <scheme val="minor"/>
      </rPr>
      <t>，求财得同辈、下属或机缘暗中资助，适合金融、军警领域，但过程隐蔽。</t>
    </r>
  </si>
  <si>
    <t>同事暗中介绍客户；意外获得投资机会。</t>
  </si>
  <si>
    <r>
      <t>右弼+天同</t>
    </r>
    <r>
      <rPr>
        <sz val="11"/>
        <color theme="1"/>
        <rFont val="等线"/>
        <family val="2"/>
        <charset val="134"/>
        <scheme val="minor"/>
      </rPr>
      <t>​</t>
    </r>
  </si>
  <si>
    <r>
      <t>福星暗荫</t>
    </r>
    <r>
      <rPr>
        <sz val="11"/>
        <color theme="1"/>
        <rFont val="等线"/>
        <family val="2"/>
        <charset val="134"/>
        <scheme val="minor"/>
      </rPr>
      <t>，享受来自平辈、晚辈的福荫，生活安逸，易得暗中照顾，乐享其成。</t>
    </r>
  </si>
  <si>
    <t>朋友暗中帮忙解决困难；晚辈默默孝敬。</t>
  </si>
  <si>
    <r>
      <t>右弼+廉贞</t>
    </r>
    <r>
      <rPr>
        <sz val="11"/>
        <color theme="1"/>
        <rFont val="等线"/>
        <family val="2"/>
        <charset val="134"/>
        <scheme val="minor"/>
      </rPr>
      <t>​</t>
    </r>
  </si>
  <si>
    <r>
      <t>囚星遇暗赦</t>
    </r>
    <r>
      <rPr>
        <sz val="11"/>
        <color theme="1"/>
        <rFont val="等线"/>
        <family val="2"/>
        <charset val="134"/>
        <scheme val="minor"/>
      </rPr>
      <t>，困境中得同辈、下属或机缘暗中解救，化解官非，感情上易有暗桃花。</t>
    </r>
  </si>
  <si>
    <t>同事暗中帮助化解官司；有隐秘恋情。</t>
  </si>
  <si>
    <r>
      <t>右弼+天府</t>
    </r>
    <r>
      <rPr>
        <sz val="11"/>
        <color theme="1"/>
        <rFont val="等线"/>
        <family val="2"/>
        <charset val="134"/>
        <scheme val="minor"/>
      </rPr>
      <t>​</t>
    </r>
  </si>
  <si>
    <r>
      <t>库星藏暗宝</t>
    </r>
    <r>
      <rPr>
        <sz val="11"/>
        <color theme="1"/>
        <rFont val="等线"/>
        <family val="2"/>
        <charset val="134"/>
        <scheme val="minor"/>
      </rPr>
      <t>，财富积累得同辈、下属或机缘暗中助力，适合管理、仓储，易得暗财。</t>
    </r>
  </si>
  <si>
    <t>下属暗中为公司创造利润；意外发现财富机会。</t>
  </si>
  <si>
    <r>
      <t>右弼+太阴</t>
    </r>
    <r>
      <rPr>
        <sz val="11"/>
        <color theme="1"/>
        <rFont val="等线"/>
        <family val="2"/>
        <charset val="134"/>
        <scheme val="minor"/>
      </rPr>
      <t>​</t>
    </r>
  </si>
  <si>
    <r>
      <t>阴水变质</t>
    </r>
    <r>
      <rPr>
        <sz val="11"/>
        <color theme="1"/>
        <rFont val="等线"/>
        <family val="2"/>
        <charset val="134"/>
        <scheme val="minor"/>
      </rPr>
      <t>，储存的东西性质改变，</t>
    </r>
    <r>
      <rPr>
        <b/>
        <sz val="11"/>
        <color theme="1"/>
        <rFont val="等线"/>
        <family val="3"/>
        <charset val="134"/>
        <scheme val="minor"/>
      </rPr>
      <t>女人转变，水变质了，里面存的东西的性质变了。存进去的东西本质改变</t>
    </r>
    <r>
      <rPr>
        <sz val="11"/>
        <color theme="1"/>
        <rFont val="等线"/>
        <family val="2"/>
        <charset val="134"/>
        <scheme val="minor"/>
      </rPr>
      <t>。感情、财富有暗中转变。</t>
    </r>
  </si>
  <si>
    <t>存款用途意外改变；女性朋友关系性质转变。</t>
  </si>
  <si>
    <r>
      <t>右弼+贪狼</t>
    </r>
    <r>
      <rPr>
        <sz val="11"/>
        <color theme="1"/>
        <rFont val="等线"/>
        <family val="2"/>
        <charset val="134"/>
        <scheme val="minor"/>
      </rPr>
      <t>​</t>
    </r>
  </si>
  <si>
    <r>
      <t>欲星转向</t>
    </r>
    <r>
      <rPr>
        <sz val="11"/>
        <color theme="1"/>
        <rFont val="等线"/>
        <family val="2"/>
        <charset val="134"/>
        <scheme val="minor"/>
      </rPr>
      <t>，欲望转移或扭曲，</t>
    </r>
    <r>
      <rPr>
        <b/>
        <sz val="11"/>
        <color theme="1"/>
        <rFont val="等线"/>
        <family val="3"/>
        <charset val="134"/>
        <scheme val="minor"/>
      </rPr>
      <t>物体扭住了，卷起来，拧衣服，把水拧干了，欲望转移了。换个东西。物体扭曲了，把什么东西换来换去</t>
    </r>
    <r>
      <rPr>
        <sz val="11"/>
        <color theme="1"/>
        <rFont val="等线"/>
        <family val="2"/>
        <charset val="134"/>
        <scheme val="minor"/>
      </rPr>
      <t>。桃花暗动，易有隐秘情欲。</t>
    </r>
  </si>
  <si>
    <t>兴趣爱好突然改变；感情对象暗中更换。</t>
  </si>
  <si>
    <r>
      <t>右弼+巨门</t>
    </r>
    <r>
      <rPr>
        <sz val="11"/>
        <color theme="1"/>
        <rFont val="等线"/>
        <family val="2"/>
        <charset val="134"/>
        <scheme val="minor"/>
      </rPr>
      <t>​</t>
    </r>
  </si>
  <si>
    <r>
      <t>暗星改口</t>
    </r>
    <r>
      <rPr>
        <sz val="11"/>
        <color theme="1"/>
        <rFont val="等线"/>
        <family val="2"/>
        <charset val="134"/>
        <scheme val="minor"/>
      </rPr>
      <t>，是非口舌得同辈暗中调解，或话风一转，</t>
    </r>
    <r>
      <rPr>
        <b/>
        <sz val="11"/>
        <color theme="1"/>
        <rFont val="等线"/>
        <family val="3"/>
        <charset val="134"/>
        <scheme val="minor"/>
      </rPr>
      <t>改口(不完全是假话)，风水改换门庭</t>
    </r>
    <r>
      <rPr>
        <sz val="11"/>
        <color theme="1"/>
        <rFont val="等线"/>
        <family val="2"/>
        <charset val="134"/>
        <scheme val="minor"/>
      </rPr>
      <t>。适合咨询、法律，但需防承诺反复。</t>
    </r>
  </si>
  <si>
    <t>谈判中对方突然改口；风水布局暗中调整。</t>
  </si>
  <si>
    <r>
      <t>右弼+天相</t>
    </r>
    <r>
      <rPr>
        <sz val="11"/>
        <color theme="1"/>
        <rFont val="等线"/>
        <family val="2"/>
        <charset val="134"/>
        <scheme val="minor"/>
      </rPr>
      <t>​</t>
    </r>
  </si>
  <si>
    <r>
      <t>印星暗合</t>
    </r>
    <r>
      <rPr>
        <sz val="11"/>
        <color theme="1"/>
        <rFont val="等线"/>
        <family val="2"/>
        <charset val="134"/>
        <scheme val="minor"/>
      </rPr>
      <t>，文书、合约得同辈、下属暗中促成，形象塑造得暗中帮助，适合秘书、协调工作。</t>
    </r>
  </si>
  <si>
    <t>同事暗中促成合同签订；幕后团队塑造个人形象。</t>
  </si>
  <si>
    <r>
      <t>右弼+天梁</t>
    </r>
    <r>
      <rPr>
        <sz val="11"/>
        <color theme="1"/>
        <rFont val="等线"/>
        <family val="2"/>
        <charset val="134"/>
        <scheme val="minor"/>
      </rPr>
      <t>​</t>
    </r>
  </si>
  <si>
    <r>
      <t>荫星暗助</t>
    </r>
    <r>
      <rPr>
        <sz val="11"/>
        <color theme="1"/>
        <rFont val="等线"/>
        <family val="2"/>
        <charset val="134"/>
        <scheme val="minor"/>
      </rPr>
      <t>，荫庇之力来自平辈、晚辈或机缘，疾病易遇良医（尤其是同辈介绍），宗教、慈善缘分深。</t>
    </r>
  </si>
  <si>
    <t>朋友介绍良医；偶然参与慈善活动。</t>
  </si>
  <si>
    <r>
      <t>右弼+七杀</t>
    </r>
    <r>
      <rPr>
        <sz val="11"/>
        <color theme="1"/>
        <rFont val="等线"/>
        <family val="2"/>
        <charset val="134"/>
        <scheme val="minor"/>
      </rPr>
      <t>​</t>
    </r>
  </si>
  <si>
    <r>
      <t>杀星暗渡</t>
    </r>
    <r>
      <rPr>
        <sz val="11"/>
        <color theme="1"/>
        <rFont val="等线"/>
        <family val="2"/>
        <charset val="134"/>
        <scheme val="minor"/>
      </rPr>
      <t>，风险与变动中得同辈、下属或机缘暗中化解，适合军警、外科，但过程惊险。</t>
    </r>
  </si>
  <si>
    <t>战友暗中掩护脱险；手术中得助手意外帮助。</t>
  </si>
  <si>
    <r>
      <t>右弼+破军</t>
    </r>
    <r>
      <rPr>
        <sz val="11"/>
        <color theme="1"/>
        <rFont val="等线"/>
        <family val="2"/>
        <charset val="134"/>
        <scheme val="minor"/>
      </rPr>
      <t>​</t>
    </r>
  </si>
  <si>
    <r>
      <t>耗星暗补</t>
    </r>
    <r>
      <rPr>
        <sz val="11"/>
        <color theme="1"/>
        <rFont val="等线"/>
        <family val="2"/>
        <charset val="134"/>
        <scheme val="minor"/>
      </rPr>
      <t>，破旧立新过程中得同辈、下属或机缘暗中资助，适合改革、开拓，但消耗隐蔽。</t>
    </r>
  </si>
  <si>
    <t>同事暗中支持改革；意外资源支持创业。</t>
  </si>
  <si>
    <r>
      <t>右弼+左辅</t>
    </r>
    <r>
      <rPr>
        <sz val="11"/>
        <color theme="1"/>
        <rFont val="等线"/>
        <family val="2"/>
        <charset val="134"/>
        <scheme val="minor"/>
      </rPr>
      <t>​</t>
    </r>
  </si>
  <si>
    <r>
      <t>左右拱照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阴阳助力兼备</t>
    </r>
    <r>
      <rPr>
        <sz val="11"/>
        <color theme="1"/>
        <rFont val="等线"/>
        <family val="2"/>
        <charset val="134"/>
        <scheme val="minor"/>
      </rPr>
      <t>，明暗贵人皆有，助力最强，管理能力、协调能力极佳，</t>
    </r>
    <r>
      <rPr>
        <b/>
        <sz val="11"/>
        <color theme="1"/>
        <rFont val="等线"/>
        <family val="3"/>
        <charset val="134"/>
        <scheme val="minor"/>
      </rPr>
      <t>富贵不小，财官双美</t>
    </r>
    <r>
      <rPr>
        <sz val="11"/>
        <color theme="1"/>
        <rFont val="等线"/>
        <family val="2"/>
        <charset val="134"/>
        <scheme val="minor"/>
      </rPr>
      <t>。力量顺序：</t>
    </r>
    <r>
      <rPr>
        <b/>
        <sz val="11"/>
        <color theme="1"/>
        <rFont val="等线"/>
        <family val="3"/>
        <charset val="134"/>
        <scheme val="minor"/>
      </rPr>
      <t>两夹 &gt; 三合 &gt; 同宫</t>
    </r>
    <r>
      <rPr>
        <sz val="11"/>
        <color theme="1"/>
        <rFont val="等线"/>
        <family val="2"/>
        <charset val="134"/>
        <scheme val="minor"/>
      </rPr>
      <t>。</t>
    </r>
  </si>
  <si>
    <r>
      <t>右弼+文昌/文曲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</si>
  <si>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右弼文星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感情丰富，有才艺</t>
    </r>
    <r>
      <rPr>
        <sz val="11"/>
        <color theme="1"/>
        <rFont val="等线"/>
        <family val="2"/>
        <charset val="134"/>
        <scheme val="minor"/>
      </rPr>
      <t>，利于考试、学术、文艺，暗中助力与才华结合，易因文采获暗中赏识。</t>
    </r>
  </si>
  <si>
    <r>
      <t>右弼+天魁/天钺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</si>
  <si>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右弼遇贵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机运多</t>
    </r>
    <r>
      <rPr>
        <sz val="11"/>
        <color theme="1"/>
        <rFont val="等线"/>
        <family val="2"/>
        <charset val="134"/>
        <scheme val="minor"/>
      </rPr>
      <t>，暗中助力与明显贵人结合，机遇倍增，逢凶化吉之力强。</t>
    </r>
  </si>
  <si>
    <r>
      <t>右弼+禄存</t>
    </r>
    <r>
      <rPr>
        <sz val="11"/>
        <color theme="1"/>
        <rFont val="等线"/>
        <family val="2"/>
        <charset val="134"/>
        <scheme val="minor"/>
      </rPr>
      <t>​</t>
    </r>
  </si>
  <si>
    <r>
      <t>暗助得禄</t>
    </r>
    <r>
      <rPr>
        <sz val="11"/>
        <color theme="1"/>
        <rFont val="等线"/>
        <family val="2"/>
        <charset val="134"/>
        <scheme val="minor"/>
      </rPr>
      <t>，暗中助力带来财富，易得同辈、晚辈赠财或通过机缘得财，适合稳定投资。</t>
    </r>
  </si>
  <si>
    <r>
      <t>右弼+天马</t>
    </r>
    <r>
      <rPr>
        <sz val="11"/>
        <color theme="1"/>
        <rFont val="等线"/>
        <family val="2"/>
        <charset val="134"/>
        <scheme val="minor"/>
      </rPr>
      <t>​</t>
    </r>
  </si>
  <si>
    <r>
      <t>暗动奔驰</t>
    </r>
    <r>
      <rPr>
        <sz val="11"/>
        <color theme="1"/>
        <rFont val="等线"/>
        <family val="2"/>
        <charset val="134"/>
        <scheme val="minor"/>
      </rPr>
      <t>，变动中得暗中助力，尤其在外地、旅途中得同辈、机缘帮助，适合外贸、变动性行业。</t>
    </r>
  </si>
  <si>
    <r>
      <t>右弼+火星</t>
    </r>
    <r>
      <rPr>
        <sz val="11"/>
        <color theme="1"/>
        <rFont val="等线"/>
        <family val="2"/>
        <charset val="134"/>
        <scheme val="minor"/>
      </rPr>
      <t>​</t>
    </r>
  </si>
  <si>
    <r>
      <t>暗助带急</t>
    </r>
    <r>
      <rPr>
        <sz val="11"/>
        <color theme="1"/>
        <rFont val="等线"/>
        <family val="2"/>
        <charset val="134"/>
        <scheme val="minor"/>
      </rPr>
      <t>，暗中助力来得突然但可能伴随纷争，</t>
    </r>
    <r>
      <rPr>
        <b/>
        <sz val="11"/>
        <color theme="1"/>
        <rFont val="等线"/>
        <family val="3"/>
        <charset val="134"/>
        <scheme val="minor"/>
      </rPr>
      <t>钱财不聚，感情多困扰</t>
    </r>
    <r>
      <rPr>
        <sz val="11"/>
        <color theme="1"/>
        <rFont val="等线"/>
        <family val="2"/>
        <charset val="134"/>
        <scheme val="minor"/>
      </rPr>
      <t>。若右弼、文曲、火星同在命宫，其人身有异痣。</t>
    </r>
  </si>
  <si>
    <r>
      <t>右弼+铃星</t>
    </r>
    <r>
      <rPr>
        <sz val="11"/>
        <color theme="1"/>
        <rFont val="等线"/>
        <family val="2"/>
        <charset val="134"/>
        <scheme val="minor"/>
      </rPr>
      <t>​</t>
    </r>
  </si>
  <si>
    <r>
      <t>暗助藏忧</t>
    </r>
    <r>
      <rPr>
        <sz val="11"/>
        <color theme="1"/>
        <rFont val="等线"/>
        <family val="2"/>
        <charset val="134"/>
        <scheme val="minor"/>
      </rPr>
      <t>，暗中助力过程不顺利，带煎熬，</t>
    </r>
    <r>
      <rPr>
        <b/>
        <sz val="11"/>
        <color theme="1"/>
        <rFont val="等线"/>
        <family val="3"/>
        <charset val="134"/>
        <scheme val="minor"/>
      </rPr>
      <t>钱财不聚，感情多困扰</t>
    </r>
    <r>
      <rPr>
        <sz val="11"/>
        <color theme="1"/>
        <rFont val="等线"/>
        <family val="2"/>
        <charset val="134"/>
        <scheme val="minor"/>
      </rPr>
      <t>。</t>
    </r>
  </si>
  <si>
    <r>
      <t>右弼+擎羊</t>
    </r>
    <r>
      <rPr>
        <sz val="11"/>
        <color theme="1"/>
        <rFont val="等线"/>
        <family val="2"/>
        <charset val="134"/>
        <scheme val="minor"/>
      </rPr>
      <t>​</t>
    </r>
  </si>
  <si>
    <r>
      <t>暗助带伤</t>
    </r>
    <r>
      <rPr>
        <sz val="11"/>
        <color theme="1"/>
        <rFont val="等线"/>
        <family val="2"/>
        <charset val="134"/>
        <scheme val="minor"/>
      </rPr>
      <t>，暗中助力伴随竞争或冲突，</t>
    </r>
    <r>
      <rPr>
        <b/>
        <sz val="11"/>
        <color theme="1"/>
        <rFont val="等线"/>
        <family val="3"/>
        <charset val="134"/>
        <scheme val="minor"/>
      </rPr>
      <t>钱财不聚，感情多困扰</t>
    </r>
    <r>
      <rPr>
        <sz val="11"/>
        <color theme="1"/>
        <rFont val="等线"/>
        <family val="2"/>
        <charset val="134"/>
        <scheme val="minor"/>
      </rPr>
      <t>。若与廉贞、擎羊同入命宫，主其人作盗贼，且遭伤。</t>
    </r>
  </si>
  <si>
    <r>
      <t>右弼+陀罗</t>
    </r>
    <r>
      <rPr>
        <sz val="11"/>
        <color theme="1"/>
        <rFont val="等线"/>
        <family val="2"/>
        <charset val="134"/>
        <scheme val="minor"/>
      </rPr>
      <t>​</t>
    </r>
  </si>
  <si>
    <r>
      <t>暗助拖延</t>
    </r>
    <r>
      <rPr>
        <sz val="11"/>
        <color theme="1"/>
        <rFont val="等线"/>
        <family val="2"/>
        <charset val="134"/>
        <scheme val="minor"/>
      </rPr>
      <t>，暗中助力来得缓慢反复，</t>
    </r>
    <r>
      <rPr>
        <b/>
        <sz val="11"/>
        <color theme="1"/>
        <rFont val="等线"/>
        <family val="3"/>
        <charset val="134"/>
        <scheme val="minor"/>
      </rPr>
      <t>钱财不聚，感情多困扰</t>
    </r>
    <r>
      <rPr>
        <sz val="11"/>
        <color theme="1"/>
        <rFont val="等线"/>
        <family val="2"/>
        <charset val="134"/>
        <scheme val="minor"/>
      </rPr>
      <t>。</t>
    </r>
  </si>
  <si>
    <r>
      <t>右弼+地空</t>
    </r>
    <r>
      <rPr>
        <sz val="11"/>
        <color theme="1"/>
        <rFont val="等线"/>
        <family val="2"/>
        <charset val="134"/>
        <scheme val="minor"/>
      </rPr>
      <t>​</t>
    </r>
  </si>
  <si>
    <r>
      <t>暗助落空</t>
    </r>
    <r>
      <rPr>
        <sz val="11"/>
        <color theme="1"/>
        <rFont val="等线"/>
        <family val="2"/>
        <charset val="134"/>
        <scheme val="minor"/>
      </rPr>
      <t>，暗中助力可能落空或转向精神层面，理想化的帮助，</t>
    </r>
    <r>
      <rPr>
        <b/>
        <sz val="11"/>
        <color theme="1"/>
        <rFont val="等线"/>
        <family val="3"/>
        <charset val="134"/>
        <scheme val="minor"/>
      </rPr>
      <t>钱财不聚</t>
    </r>
    <r>
      <rPr>
        <sz val="11"/>
        <color theme="1"/>
        <rFont val="等线"/>
        <family val="2"/>
        <charset val="134"/>
        <scheme val="minor"/>
      </rPr>
      <t>。若与空、劫同宫，其人有被黜降之可能。</t>
    </r>
  </si>
  <si>
    <r>
      <t>右弼+地劫</t>
    </r>
    <r>
      <rPr>
        <sz val="11"/>
        <color theme="1"/>
        <rFont val="等线"/>
        <family val="2"/>
        <charset val="134"/>
        <scheme val="minor"/>
      </rPr>
      <t>​</t>
    </r>
  </si>
  <si>
    <r>
      <t>暗助带劫</t>
    </r>
    <r>
      <rPr>
        <sz val="11"/>
        <color theme="1"/>
        <rFont val="等线"/>
        <family val="2"/>
        <charset val="134"/>
        <scheme val="minor"/>
      </rPr>
      <t>，暗中助力伴随破耗，得助后反而有损失，</t>
    </r>
    <r>
      <rPr>
        <b/>
        <sz val="11"/>
        <color theme="1"/>
        <rFont val="等线"/>
        <family val="3"/>
        <charset val="134"/>
        <scheme val="minor"/>
      </rPr>
      <t>钱财不聚</t>
    </r>
    <r>
      <rPr>
        <sz val="11"/>
        <color theme="1"/>
        <rFont val="等线"/>
        <family val="2"/>
        <charset val="134"/>
        <scheme val="minor"/>
      </rPr>
      <t>。</t>
    </r>
  </si>
  <si>
    <r>
      <t>右弼+化禄</t>
    </r>
    <r>
      <rPr>
        <sz val="11"/>
        <color theme="1"/>
        <rFont val="等线"/>
        <family val="2"/>
        <charset val="134"/>
        <scheme val="minor"/>
      </rPr>
      <t>​</t>
    </r>
  </si>
  <si>
    <r>
      <t>暗助生财</t>
    </r>
    <r>
      <rPr>
        <sz val="11"/>
        <color theme="1"/>
        <rFont val="等线"/>
        <family val="2"/>
        <charset val="134"/>
        <scheme val="minor"/>
      </rPr>
      <t>，暗中助力直接转化为财富机遇，易因同辈、机缘得财。</t>
    </r>
  </si>
  <si>
    <r>
      <t>右弼+化权</t>
    </r>
    <r>
      <rPr>
        <sz val="11"/>
        <color theme="1"/>
        <rFont val="等线"/>
        <family val="2"/>
        <charset val="134"/>
        <scheme val="minor"/>
      </rPr>
      <t>​</t>
    </r>
  </si>
  <si>
    <r>
      <t>暗助掌权</t>
    </r>
    <r>
      <rPr>
        <sz val="11"/>
        <color theme="1"/>
        <rFont val="等线"/>
        <family val="2"/>
        <charset val="134"/>
        <scheme val="minor"/>
      </rPr>
      <t>，暗中助力使其掌握实权，易得同辈、下属拥戴，地位提升。</t>
    </r>
  </si>
  <si>
    <r>
      <t>右弼+化科</t>
    </r>
    <r>
      <rPr>
        <sz val="11"/>
        <color theme="1"/>
        <rFont val="等线"/>
        <family val="2"/>
        <charset val="134"/>
        <scheme val="minor"/>
      </rPr>
      <t>​</t>
    </r>
  </si>
  <si>
    <r>
      <t>暗助扬名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善思考，有助力</t>
    </r>
    <r>
      <rPr>
        <sz val="11"/>
        <color theme="1"/>
        <rFont val="等线"/>
        <family val="2"/>
        <charset val="134"/>
        <scheme val="minor"/>
      </rPr>
      <t>，暗中助其获得名声，易因机缘巧合成名，</t>
    </r>
    <r>
      <rPr>
        <b/>
        <sz val="11"/>
        <color theme="1"/>
        <rFont val="等线"/>
        <family val="3"/>
        <charset val="134"/>
        <scheme val="minor"/>
      </rPr>
      <t>行运逢之，主解厄</t>
    </r>
    <r>
      <rPr>
        <sz val="11"/>
        <color theme="1"/>
        <rFont val="等线"/>
        <family val="2"/>
        <charset val="134"/>
        <scheme val="minor"/>
      </rPr>
      <t>。</t>
    </r>
  </si>
  <si>
    <r>
      <t>右弼+化忌</t>
    </r>
    <r>
      <rPr>
        <sz val="11"/>
        <color theme="1"/>
        <rFont val="等线"/>
        <family val="2"/>
        <charset val="134"/>
        <scheme val="minor"/>
      </rPr>
      <t>​</t>
    </r>
  </si>
  <si>
    <r>
      <t>暗助受阻</t>
    </r>
    <r>
      <rPr>
        <sz val="11"/>
        <color theme="1"/>
        <rFont val="等线"/>
        <family val="2"/>
        <charset val="134"/>
        <scheme val="minor"/>
      </rPr>
      <t>，暗中助力变成困扰，易因同辈、机缘惹麻烦，感情纠纷，钱财不聚。</t>
    </r>
  </si>
  <si>
    <r>
      <t>1. “右弼”与“左辅”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右弼星为“阴助”、“暗贵人”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暗中、间接、隐蔽、来自平辈或晚辈的助力</t>
    </r>
    <r>
      <rPr>
        <sz val="11"/>
        <color theme="1"/>
        <rFont val="等线"/>
        <family val="2"/>
        <charset val="134"/>
        <scheme val="minor"/>
      </rPr>
      <t>，其帮助往往在机缘巧合下发生，当事人不易察觉。</t>
    </r>
    <r>
      <rPr>
        <b/>
        <sz val="11"/>
        <color theme="1"/>
        <rFont val="等线"/>
        <family val="3"/>
        <charset val="134"/>
        <scheme val="minor"/>
      </rPr>
      <t>左辅星为“阳助”、“明贵人”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明显、直接、公开、来自长辈或上级的助力</t>
    </r>
    <r>
      <rPr>
        <sz val="11"/>
        <color theme="1"/>
        <rFont val="等线"/>
        <family val="2"/>
        <charset val="134"/>
        <scheme val="minor"/>
      </rPr>
      <t>，其帮助公开且稳定。二者皆主助力、贵人，但助力方式与来源不同。</t>
    </r>
  </si>
  <si>
    <r>
      <t>2. “辅弼拱主”格局</t>
    </r>
    <r>
      <rPr>
        <sz val="11"/>
        <color theme="1"/>
        <rFont val="等线"/>
        <family val="2"/>
        <charset val="134"/>
        <scheme val="minor"/>
      </rPr>
      <t>：左辅与右弼在命宫三方四正（尤其是命、迁、官、财）相会，即成“辅弼拱主”格，主一生得助力极强，明暗贵人皆有，事业顺遂，管理能力强。</t>
    </r>
  </si>
  <si>
    <r>
      <t>3. 桃花性质</t>
    </r>
    <r>
      <rPr>
        <sz val="11"/>
        <color theme="1"/>
        <rFont val="等线"/>
        <family val="2"/>
        <charset val="134"/>
        <scheme val="minor"/>
      </rPr>
      <t>：右弼星带</t>
    </r>
    <r>
      <rPr>
        <b/>
        <sz val="11"/>
        <color theme="1"/>
        <rFont val="等线"/>
        <family val="3"/>
        <charset val="134"/>
        <scheme val="minor"/>
      </rPr>
      <t>桃花性质</t>
    </r>
    <r>
      <rPr>
        <sz val="11"/>
        <color theme="1"/>
        <rFont val="等线"/>
        <family val="2"/>
        <charset val="134"/>
        <scheme val="minor"/>
      </rPr>
      <t>，与廉贞、贪狼、文曲、红鸾、天喜、咸池、天姚、沐浴等桃花星会照，易有感情困扰。在夫妻宫尤其需注意</t>
    </r>
    <r>
      <rPr>
        <b/>
        <sz val="11"/>
        <color theme="1"/>
        <rFont val="等线"/>
        <family val="3"/>
        <charset val="134"/>
        <scheme val="minor"/>
      </rPr>
      <t>二婚、第三者</t>
    </r>
    <r>
      <rPr>
        <sz val="11"/>
        <color theme="1"/>
        <rFont val="等线"/>
        <family val="2"/>
        <charset val="134"/>
        <scheme val="minor"/>
      </rPr>
      <t>的可能。</t>
    </r>
  </si>
  <si>
    <r>
      <t>4. “转向”与“又一次”的本质</t>
    </r>
    <r>
      <rPr>
        <sz val="11"/>
        <color theme="1"/>
        <rFont val="等线"/>
        <family val="2"/>
        <charset val="134"/>
        <scheme val="minor"/>
      </rPr>
      <t>：其“转向”本质源于其</t>
    </r>
    <r>
      <rPr>
        <b/>
        <sz val="11"/>
        <color theme="1"/>
        <rFont val="等线"/>
        <family val="3"/>
        <charset val="134"/>
        <scheme val="minor"/>
      </rPr>
      <t>间接、迂回、辅助</t>
    </r>
    <r>
      <rPr>
        <sz val="11"/>
        <color theme="1"/>
        <rFont val="等线"/>
        <family val="2"/>
        <charset val="134"/>
        <scheme val="minor"/>
      </rPr>
      <t>的特性，体现在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为思维行为的灵活性，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为发展过程的转折与变更，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为弯曲、转角的形态。其“又一次”本质源于其</t>
    </r>
    <r>
      <rPr>
        <b/>
        <sz val="11"/>
        <color theme="1"/>
        <rFont val="等线"/>
        <family val="3"/>
        <charset val="134"/>
        <scheme val="minor"/>
      </rPr>
      <t>重复、辅助、备份</t>
    </r>
    <r>
      <rPr>
        <sz val="11"/>
        <color theme="1"/>
        <rFont val="等线"/>
        <family val="2"/>
        <charset val="134"/>
        <scheme val="minor"/>
      </rPr>
      <t>的特性，体现在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为角色的再次承担（如再婚），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为过程的重复发生，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为副本、复印件。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</si>
  <si>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：右弼星所在宫位，指示在人生的哪个领域容易得到平辈、晚辈或机缘的暗中帮助与意外机遇，也指示该领域易有变动、转向或重复。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</si>
  <si>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，暗中助力直接转化为财禄，易因同辈、机缘得财。见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，暗中助其掌握实权，得下属拥戴。见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善思考，有助力</t>
    </r>
    <r>
      <rPr>
        <sz val="11"/>
        <color theme="1"/>
        <rFont val="等线"/>
        <family val="2"/>
        <charset val="134"/>
        <scheme val="minor"/>
      </rPr>
      <t>，暗中助其获得名声，解厄消灾。见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暗中助力变质</t>
    </r>
    <r>
      <rPr>
        <sz val="11"/>
        <color theme="1"/>
        <rFont val="等线"/>
        <family val="2"/>
        <charset val="134"/>
        <scheme val="minor"/>
      </rPr>
      <t>，易因同辈、机缘惹麻烦，助力反成拖累，感情与钱财多困扰。</t>
    </r>
  </si>
  <si>
    <r>
      <t>7. 地理类象</t>
    </r>
    <r>
      <rPr>
        <sz val="11"/>
        <color theme="1"/>
        <rFont val="等线"/>
        <family val="2"/>
        <charset val="134"/>
        <scheme val="minor"/>
      </rPr>
      <t>：月夜，下弦月。右厢房，亲戚的家，深巷内的住宅，倚楼的小屋，别墅，弯曲的河道。人工运河、渠道、溪流、水坑、精致小巧建筑物。</t>
    </r>
  </si>
  <si>
    <t>明显助力、稳定支持、平辈贵人、重复、增加</t>
  </si>
  <si>
    <r>
      <t>1. 人（性格、行为、关系）：</t>
    </r>
    <r>
      <rPr>
        <sz val="11"/>
        <color theme="1"/>
        <rFont val="等线"/>
        <family val="2"/>
        <charset val="134"/>
        <scheme val="minor"/>
      </rPr>
      <t>​ 性格</t>
    </r>
    <r>
      <rPr>
        <b/>
        <sz val="11"/>
        <color theme="1"/>
        <rFont val="等线"/>
        <family val="3"/>
        <charset val="134"/>
        <scheme val="minor"/>
      </rPr>
      <t>敦厚、稳重、忠诚、有计划性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公开、直接、主动的帮助者</t>
    </r>
    <r>
      <rPr>
        <sz val="11"/>
        <color theme="1"/>
        <rFont val="等线"/>
        <family val="2"/>
        <charset val="134"/>
        <scheme val="minor"/>
      </rPr>
      <t>。人际关系上，代表来自</t>
    </r>
    <r>
      <rPr>
        <b/>
        <sz val="11"/>
        <color theme="1"/>
        <rFont val="等线"/>
        <family val="3"/>
        <charset val="134"/>
        <scheme val="minor"/>
      </rPr>
      <t>平辈、同事、合作伙伴</t>
    </r>
    <r>
      <rPr>
        <sz val="11"/>
        <color theme="1"/>
        <rFont val="等线"/>
        <family val="2"/>
        <charset val="134"/>
        <scheme val="minor"/>
      </rPr>
      <t>的实质性帮助，是双向的互助关系。为人慷慨、乐善好施，有容人之量，是可靠的伙伴与执行者。</t>
    </r>
  </si>
  <si>
    <r>
      <t>2. 事（事件、过程）：</t>
    </r>
    <r>
      <rPr>
        <sz val="11"/>
        <color theme="1"/>
        <rFont val="等线"/>
        <family val="2"/>
        <charset val="134"/>
        <scheme val="minor"/>
      </rPr>
      <t>​ 事件发展</t>
    </r>
    <r>
      <rPr>
        <b/>
        <sz val="11"/>
        <color theme="1"/>
        <rFont val="等线"/>
        <family val="3"/>
        <charset val="134"/>
        <scheme val="minor"/>
      </rPr>
      <t>稳定、按部就班、计划性强</t>
    </r>
    <r>
      <rPr>
        <sz val="11"/>
        <color theme="1"/>
        <rFont val="等线"/>
        <family val="2"/>
        <charset val="134"/>
        <scheme val="minor"/>
      </rPr>
      <t>。主</t>
    </r>
    <r>
      <rPr>
        <b/>
        <sz val="11"/>
        <color theme="1"/>
        <rFont val="等线"/>
        <family val="3"/>
        <charset val="134"/>
        <scheme val="minor"/>
      </rPr>
      <t>事情的重复发生、第二次机会、数量的增加</t>
    </r>
    <r>
      <rPr>
        <sz val="11"/>
        <color theme="1"/>
        <rFont val="等线"/>
        <family val="2"/>
        <charset val="134"/>
        <scheme val="minor"/>
      </rPr>
      <t>。也代表</t>
    </r>
    <r>
      <rPr>
        <b/>
        <sz val="11"/>
        <color theme="1"/>
        <rFont val="等线"/>
        <family val="3"/>
        <charset val="134"/>
        <scheme val="minor"/>
      </rPr>
      <t>计划周密、执行稳健</t>
    </r>
    <r>
      <rPr>
        <sz val="11"/>
        <color theme="1"/>
        <rFont val="等线"/>
        <family val="2"/>
        <charset val="134"/>
        <scheme val="minor"/>
      </rPr>
      <t>，不喜投机，适合守成。过程公开、明显，助力直接可见。</t>
    </r>
  </si>
  <si>
    <r>
      <t>3. 物（物体、空间、形态）：</t>
    </r>
    <r>
      <rPr>
        <sz val="11"/>
        <color theme="1"/>
        <rFont val="等线"/>
        <family val="2"/>
        <charset val="134"/>
        <scheme val="minor"/>
      </rPr>
      <t>​ 指代具有</t>
    </r>
    <r>
      <rPr>
        <b/>
        <sz val="11"/>
        <color theme="1"/>
        <rFont val="等线"/>
        <family val="3"/>
        <charset val="134"/>
        <scheme val="minor"/>
      </rPr>
      <t>重复、备份、左侧、厚重、稳定</t>
    </r>
    <r>
      <rPr>
        <sz val="11"/>
        <color theme="1"/>
        <rFont val="等线"/>
        <family val="2"/>
        <charset val="134"/>
        <scheme val="minor"/>
      </rPr>
      <t>属性的事物。如：</t>
    </r>
    <r>
      <rPr>
        <b/>
        <sz val="11"/>
        <color theme="1"/>
        <rFont val="等线"/>
        <family val="3"/>
        <charset val="134"/>
        <scheme val="minor"/>
      </rPr>
      <t>重复的物品、副本、复印件、备份零件、左侧的房屋（左厢房）、高坡、土山、厚重的家具、稳定的结构</t>
    </r>
    <r>
      <rPr>
        <sz val="11"/>
        <color theme="1"/>
        <rFont val="等线"/>
        <family val="2"/>
        <charset val="134"/>
        <scheme val="minor"/>
      </rPr>
      <t>。在空间上，代表</t>
    </r>
    <r>
      <rPr>
        <b/>
        <sz val="11"/>
        <color theme="1"/>
        <rFont val="等线"/>
        <family val="3"/>
        <charset val="134"/>
        <scheme val="minor"/>
      </rPr>
      <t>左侧、外侧、高处、稳固的场所</t>
    </r>
    <r>
      <rPr>
        <sz val="11"/>
        <color theme="1"/>
        <rFont val="等线"/>
        <family val="2"/>
        <charset val="134"/>
        <scheme val="minor"/>
      </rPr>
      <t>。</t>
    </r>
  </si>
  <si>
    <t>整合自《金刚佛光-紫占课程手册》中关于左辅“助力”、“稳定”、“重复”、“增加”等核心概念的深度阐释与类象推演。</t>
  </si>
  <si>
    <r>
      <t>乙级星，属</t>
    </r>
    <r>
      <rPr>
        <b/>
        <sz val="11"/>
        <color theme="1"/>
        <rFont val="等线"/>
        <family val="3"/>
        <charset val="134"/>
        <scheme val="minor"/>
      </rPr>
      <t>阳土</t>
    </r>
    <r>
      <rPr>
        <sz val="11"/>
        <color theme="1"/>
        <rFont val="等线"/>
        <family val="2"/>
        <charset val="134"/>
        <scheme val="minor"/>
      </rPr>
      <t>。主吉，为</t>
    </r>
    <r>
      <rPr>
        <b/>
        <sz val="11"/>
        <color theme="1"/>
        <rFont val="等线"/>
        <family val="3"/>
        <charset val="134"/>
        <scheme val="minor"/>
      </rPr>
      <t>六吉星</t>
    </r>
    <r>
      <rPr>
        <sz val="11"/>
        <color theme="1"/>
        <rFont val="等线"/>
        <family val="2"/>
        <charset val="134"/>
        <scheme val="minor"/>
      </rPr>
      <t>之一，</t>
    </r>
    <r>
      <rPr>
        <b/>
        <sz val="11"/>
        <color theme="1"/>
        <rFont val="等线"/>
        <family val="3"/>
        <charset val="134"/>
        <scheme val="minor"/>
      </rPr>
      <t>北斗助星</t>
    </r>
    <r>
      <rPr>
        <sz val="11"/>
        <color theme="1"/>
        <rFont val="等线"/>
        <family val="2"/>
        <charset val="134"/>
        <scheme val="minor"/>
      </rPr>
      <t>，司</t>
    </r>
    <r>
      <rPr>
        <b/>
        <sz val="11"/>
        <color theme="1"/>
        <rFont val="等线"/>
        <family val="3"/>
        <charset val="134"/>
        <scheme val="minor"/>
      </rPr>
      <t>制令</t>
    </r>
    <r>
      <rPr>
        <sz val="11"/>
        <color theme="1"/>
        <rFont val="等线"/>
        <family val="2"/>
        <charset val="134"/>
        <scheme val="minor"/>
      </rPr>
      <t>。在十二宫中均无落陷，仅有旺弱之分，故</t>
    </r>
    <r>
      <rPr>
        <b/>
        <sz val="11"/>
        <color theme="1"/>
        <rFont val="等线"/>
        <family val="3"/>
        <charset val="134"/>
        <scheme val="minor"/>
      </rPr>
      <t>到处降福</t>
    </r>
    <r>
      <rPr>
        <sz val="11"/>
        <color theme="1"/>
        <rFont val="等线"/>
        <family val="2"/>
        <charset val="134"/>
        <scheme val="minor"/>
      </rPr>
      <t>。与右弼星成对出现（“辅弼拱主”）力量最强，单守力量稍弱。喜入命宫三合，主高格局。</t>
    </r>
    <r>
      <rPr>
        <b/>
        <sz val="11"/>
        <color theme="1"/>
        <rFont val="等线"/>
        <family val="3"/>
        <charset val="134"/>
        <scheme val="minor"/>
      </rPr>
      <t>唯不利于夫妻宫</t>
    </r>
    <r>
      <rPr>
        <sz val="11"/>
        <color theme="1"/>
        <rFont val="等线"/>
        <family val="2"/>
        <charset val="134"/>
        <scheme val="minor"/>
      </rPr>
      <t>，单见主婚姻易有第三者或二婚倾向。</t>
    </r>
  </si>
  <si>
    <r>
      <t>明显助力</t>
    </r>
    <r>
      <rPr>
        <sz val="11"/>
        <color theme="1"/>
        <rFont val="等线"/>
        <family val="2"/>
        <charset val="134"/>
        <scheme val="minor"/>
      </rPr>
      <t>​</t>
    </r>
  </si>
  <si>
    <r>
      <t>一生易得</t>
    </r>
    <r>
      <rPr>
        <b/>
        <sz val="11"/>
        <color theme="1"/>
        <rFont val="等线"/>
        <family val="3"/>
        <charset val="134"/>
        <scheme val="minor"/>
      </rPr>
      <t>公开、直接、实质性的贵人相助</t>
    </r>
    <r>
      <rPr>
        <sz val="11"/>
        <color theme="1"/>
        <rFont val="等线"/>
        <family val="2"/>
        <charset val="134"/>
        <scheme val="minor"/>
      </rPr>
      <t>，助力多来自</t>
    </r>
    <r>
      <rPr>
        <b/>
        <sz val="11"/>
        <color theme="1"/>
        <rFont val="等线"/>
        <family val="3"/>
        <charset val="134"/>
        <scheme val="minor"/>
      </rPr>
      <t>平辈、同事、合作伙伴</t>
    </r>
    <r>
      <rPr>
        <sz val="11"/>
        <color theme="1"/>
        <rFont val="等线"/>
        <family val="2"/>
        <charset val="134"/>
        <scheme val="minor"/>
      </rPr>
      <t>，帮助方式明确、可见，如出钱、出力、推荐。</t>
    </r>
  </si>
  <si>
    <r>
      <t>稳定/重复</t>
    </r>
    <r>
      <rPr>
        <sz val="11"/>
        <color theme="1"/>
        <rFont val="等线"/>
        <family val="2"/>
        <charset val="134"/>
        <scheme val="minor"/>
      </rPr>
      <t>​</t>
    </r>
  </si>
  <si>
    <r>
      <t>主</t>
    </r>
    <r>
      <rPr>
        <b/>
        <sz val="11"/>
        <color theme="1"/>
        <rFont val="等线"/>
        <family val="3"/>
        <charset val="134"/>
        <scheme val="minor"/>
      </rPr>
      <t>稳定、按部就班、计划性强</t>
    </r>
    <r>
      <rPr>
        <sz val="11"/>
        <color theme="1"/>
        <rFont val="等线"/>
        <family val="2"/>
        <charset val="134"/>
        <scheme val="minor"/>
      </rPr>
      <t>。事情发展</t>
    </r>
    <r>
      <rPr>
        <b/>
        <sz val="11"/>
        <color theme="1"/>
        <rFont val="等线"/>
        <family val="3"/>
        <charset val="134"/>
        <scheme val="minor"/>
      </rPr>
      <t>稳健，不喜变动</t>
    </r>
    <r>
      <rPr>
        <sz val="11"/>
        <color theme="1"/>
        <rFont val="等线"/>
        <family val="2"/>
        <charset val="134"/>
        <scheme val="minor"/>
      </rPr>
      <t>。也代表</t>
    </r>
    <r>
      <rPr>
        <b/>
        <sz val="11"/>
        <color theme="1"/>
        <rFont val="等线"/>
        <family val="3"/>
        <charset val="134"/>
        <scheme val="minor"/>
      </rPr>
      <t>重复、增加、第二次</t>
    </r>
    <r>
      <rPr>
        <sz val="11"/>
        <color theme="1"/>
        <rFont val="等线"/>
        <family val="2"/>
        <charset val="134"/>
        <scheme val="minor"/>
      </rPr>
      <t>，如再次机会、额外收获、数量增多。</t>
    </r>
  </si>
  <si>
    <t>在事业、财帛方面体现为稳定增长；在事件上可能表示事情需要重复做。</t>
  </si>
  <si>
    <r>
      <t>中高身材，略胖，长方圆形脸，脸色黄白</t>
    </r>
    <r>
      <rPr>
        <sz val="11"/>
        <color theme="1"/>
        <rFont val="等线"/>
        <family val="2"/>
        <charset val="134"/>
        <scheme val="minor"/>
      </rPr>
      <t>。大眼睛、双眼皮，睫毛很长。相貌敦厚，举止端庄，乐观进取。</t>
    </r>
  </si>
  <si>
    <r>
      <t>为人</t>
    </r>
    <r>
      <rPr>
        <b/>
        <sz val="11"/>
        <color theme="1"/>
        <rFont val="等线"/>
        <family val="3"/>
        <charset val="134"/>
        <scheme val="minor"/>
      </rPr>
      <t>厚道、仁慈、耿直、随和大方，心怀宽恕，有容人之量</t>
    </r>
    <r>
      <rPr>
        <sz val="11"/>
        <color theme="1"/>
        <rFont val="等线"/>
        <family val="2"/>
        <charset val="134"/>
        <scheme val="minor"/>
      </rPr>
      <t>。做事</t>
    </r>
    <r>
      <rPr>
        <b/>
        <sz val="11"/>
        <color theme="1"/>
        <rFont val="等线"/>
        <family val="3"/>
        <charset val="134"/>
        <scheme val="minor"/>
      </rPr>
      <t>颇有条理，稳健谨慎，计划性强</t>
    </r>
    <r>
      <rPr>
        <sz val="11"/>
        <color theme="1"/>
        <rFont val="等线"/>
        <family val="2"/>
        <charset val="134"/>
        <scheme val="minor"/>
      </rPr>
      <t>。性好助人，乐善好施，信义卓著。聪明机灵，有谋略，忠厚耿直，宽厚量大，踏实，有包容力。</t>
    </r>
    <r>
      <rPr>
        <b/>
        <sz val="11"/>
        <color theme="1"/>
        <rFont val="等线"/>
        <family val="3"/>
        <charset val="134"/>
        <scheme val="minor"/>
      </rPr>
      <t>不喜主动惹是生非，一旦有事，则能挺胸、乐观应对</t>
    </r>
    <r>
      <rPr>
        <sz val="11"/>
        <color theme="1"/>
        <rFont val="等线"/>
        <family val="2"/>
        <charset val="134"/>
        <scheme val="minor"/>
      </rPr>
      <t>。</t>
    </r>
  </si>
  <si>
    <r>
      <t>领导才能</t>
    </r>
    <r>
      <rPr>
        <sz val="11"/>
        <color theme="1"/>
        <rFont val="等线"/>
        <family val="2"/>
        <charset val="134"/>
        <scheme val="minor"/>
      </rPr>
      <t>​</t>
    </r>
  </si>
  <si>
    <r>
      <t>有</t>
    </r>
    <r>
      <rPr>
        <b/>
        <sz val="11"/>
        <color theme="1"/>
        <rFont val="等线"/>
        <family val="3"/>
        <charset val="134"/>
        <scheme val="minor"/>
      </rPr>
      <t>领导才能、策划能力</t>
    </r>
    <r>
      <rPr>
        <sz val="11"/>
        <color theme="1"/>
        <rFont val="等线"/>
        <family val="2"/>
        <charset val="134"/>
        <scheme val="minor"/>
      </rPr>
      <t>，善于组织、协调，但多居于</t>
    </r>
    <r>
      <rPr>
        <b/>
        <sz val="11"/>
        <color theme="1"/>
        <rFont val="等线"/>
        <family val="3"/>
        <charset val="134"/>
        <scheme val="minor"/>
      </rPr>
      <t>辅佐他人的位置</t>
    </r>
    <r>
      <rPr>
        <sz val="11"/>
        <color theme="1"/>
        <rFont val="等线"/>
        <family val="2"/>
        <charset val="134"/>
        <scheme val="minor"/>
      </rPr>
      <t>，是优秀的副手、管理者。</t>
    </r>
  </si>
  <si>
    <t>在官禄宫、命宫时显现。</t>
  </si>
  <si>
    <r>
      <t>一生</t>
    </r>
    <r>
      <rPr>
        <b/>
        <sz val="11"/>
        <color theme="1"/>
        <rFont val="等线"/>
        <family val="3"/>
        <charset val="134"/>
        <scheme val="minor"/>
      </rPr>
      <t>贵人运强</t>
    </r>
    <r>
      <rPr>
        <sz val="11"/>
        <color theme="1"/>
        <rFont val="等线"/>
        <family val="2"/>
        <charset val="134"/>
        <scheme val="minor"/>
      </rPr>
      <t>，尤其多得</t>
    </r>
    <r>
      <rPr>
        <b/>
        <sz val="11"/>
        <color theme="1"/>
        <rFont val="等线"/>
        <family val="3"/>
        <charset val="134"/>
        <scheme val="minor"/>
      </rPr>
      <t>平辈、同事的公开、实质性帮助</t>
    </r>
    <r>
      <rPr>
        <sz val="11"/>
        <color theme="1"/>
        <rFont val="等线"/>
        <family val="2"/>
        <charset val="134"/>
        <scheme val="minor"/>
      </rPr>
      <t>，为人敦厚稳重，有领导才能，计划性强，一生顺遂少灾。若与紫微、天府、化禄、化权在三方拱照，主文武大贵。若命宫无正曜单守左辅，父母宫又见火铃，则为养子或偏房、外室所生。</t>
    </r>
  </si>
  <si>
    <t>与兄弟姐妹关系融洽，彼此感情深厚，能互相扶持。兄弟姐妹多为聪明灵巧之人，是命主人生中的重要助力。若左辅星庙旺且无煞星冲破，则兄弟间团结友爱；若逢煞忌，则需注意因利益分配或意见不合而产生矛盾。</t>
  </si>
  <si>
    <r>
      <t>婚姻需注意第三者介入或二婚倾向</t>
    </r>
    <r>
      <rPr>
        <sz val="11"/>
        <color theme="1"/>
        <rFont val="等线"/>
        <family val="2"/>
        <charset val="134"/>
        <scheme val="minor"/>
      </rPr>
      <t>。主配偶稳重顾家，是可靠的贤内助，但婚姻生活可能较为平淡，缺乏激情。若左辅独坐夫妻宫，</t>
    </r>
    <r>
      <rPr>
        <b/>
        <sz val="11"/>
        <color theme="1"/>
        <rFont val="等线"/>
        <family val="3"/>
        <charset val="134"/>
        <scheme val="minor"/>
      </rPr>
      <t>必主其配偶先死。男、女命，即使夫妻宫无煞星，均主其人二婚</t>
    </r>
    <r>
      <rPr>
        <sz val="11"/>
        <color theme="1"/>
        <rFont val="等线"/>
        <family val="2"/>
        <charset val="134"/>
        <scheme val="minor"/>
      </rPr>
      <t>。若与煞忌同度，更验。对感情之事有超脱现实的想法，为追求理想而不惜抛开顾忌。</t>
    </r>
  </si>
  <si>
    <t>子女数量较多，通常有三男二女之象，且子女贤良孝顺，人缘佳，在社会上能成才成器，是命主的骄傲与助力。</t>
  </si>
  <si>
    <t>一生财运稳定，求财多得同辈、合作伙伴的公开帮助，适合通过合作、稳定职业获利。若与右弼夹财帛宫，且财帛宫正曜化禄，主富。</t>
  </si>
  <si>
    <t>主其人健康良好，但易患上火下冷、湿热之疾，或易被热水烫伤。若与四煞星同宫，多灾。</t>
  </si>
  <si>
    <t>在外发展多得同辈、朋友的公开帮助，人缘佳，适合外出发展，易得机遇。</t>
  </si>
  <si>
    <t>部属、朋友多，且忠实有助力，能提供实质性支持。社交圈中贵人云集，多为平辈。</t>
  </si>
  <si>
    <t>在职场中易得同僚、下属的公开助力，事业稳定，适合管理、辅佐、策划类工作，能居高位但多为副手。若与右弼夹官禄宫，且官禄宫正曜化禄、权、科，主贵。</t>
  </si>
  <si>
    <t>家宅安稳，易得同辈资助置业，或家产丰厚。附近可能有高坡、土山、左厢房、商业机构、靠大厦旁之高楼。</t>
  </si>
  <si>
    <t>精神世界乐观、有包容力，公正正派，很会调整心态，晚年安享，福德全美。女命逢之，防婚姻波折。</t>
  </si>
  <si>
    <t>父母之能力较强，事业有成，与父母有缘，且得到庇荫。若与空劫同宫，必克其一；若与文昌同宫，父母有寿；若与昌曲、桃花星同宫，父母易有离异；若与廉贞同宫，父母早离。</t>
  </si>
  <si>
    <t>1. 增强助力/稳定组合</t>
  </si>
  <si>
    <r>
      <t>左辅+紫微</t>
    </r>
    <r>
      <rPr>
        <sz val="11"/>
        <color theme="1"/>
        <rFont val="等线"/>
        <family val="2"/>
        <charset val="134"/>
        <scheme val="minor"/>
      </rPr>
      <t>​</t>
    </r>
  </si>
  <si>
    <r>
      <t>帝星得明助</t>
    </r>
    <r>
      <rPr>
        <sz val="11"/>
        <color theme="1"/>
        <rFont val="等线"/>
        <family val="2"/>
        <charset val="134"/>
        <scheme val="minor"/>
      </rPr>
      <t>，得同僚、下属的公开、直接扶持，在管理、领导岗位上如虎添翼，能成为紫微帝星的得力臂膀，掌权柄，但多为辅佐之位。</t>
    </r>
  </si>
  <si>
    <t>企业中的二把手、政府中的副职领导。</t>
  </si>
  <si>
    <r>
      <t>左辅+天机</t>
    </r>
    <r>
      <rPr>
        <sz val="11"/>
        <color theme="1"/>
        <rFont val="等线"/>
        <family val="2"/>
        <charset val="134"/>
        <scheme val="minor"/>
      </rPr>
      <t>​</t>
    </r>
  </si>
  <si>
    <r>
      <t>智星得助</t>
    </r>
    <r>
      <rPr>
        <sz val="11"/>
        <color theme="1"/>
        <rFont val="等线"/>
        <family val="2"/>
        <charset val="134"/>
        <scheme val="minor"/>
      </rPr>
      <t>，计划与谋略得到同辈的公开支持，适合策划、顾问、交通行业，思维周密，执行稳健。</t>
    </r>
  </si>
  <si>
    <t>策划团队中的核心成员；交通项目的协调者。</t>
  </si>
  <si>
    <r>
      <t>左辅+太阳</t>
    </r>
    <r>
      <rPr>
        <sz val="11"/>
        <color theme="1"/>
        <rFont val="等线"/>
        <family val="2"/>
        <charset val="134"/>
        <scheme val="minor"/>
      </rPr>
      <t>​</t>
    </r>
  </si>
  <si>
    <r>
      <t>日照得助</t>
    </r>
    <r>
      <rPr>
        <sz val="11"/>
        <color theme="1"/>
        <rFont val="等线"/>
        <family val="2"/>
        <charset val="134"/>
        <scheme val="minor"/>
      </rPr>
      <t>，名声与事业得同辈公开宣扬与支持，适合公关、教育、传媒，易因合作获名。</t>
    </r>
  </si>
  <si>
    <t>合作成名的公众人物；教育机构的合作创办者。</t>
  </si>
  <si>
    <r>
      <t>左辅+武曲</t>
    </r>
    <r>
      <rPr>
        <sz val="11"/>
        <color theme="1"/>
        <rFont val="等线"/>
        <family val="2"/>
        <charset val="134"/>
        <scheme val="minor"/>
      </rPr>
      <t>​</t>
    </r>
  </si>
  <si>
    <r>
      <t>刚金得助</t>
    </r>
    <r>
      <rPr>
        <sz val="11"/>
        <color theme="1"/>
        <rFont val="等线"/>
        <family val="2"/>
        <charset val="134"/>
        <scheme val="minor"/>
      </rPr>
      <t>，求财得同辈、合作伙伴的公开资助，适合金融、军警领域的合作，财运稳定。</t>
    </r>
  </si>
  <si>
    <t>金融合作伙伴；军警系统中的搭档。</t>
  </si>
  <si>
    <r>
      <t>左辅+天同</t>
    </r>
    <r>
      <rPr>
        <sz val="11"/>
        <color theme="1"/>
        <rFont val="等线"/>
        <family val="2"/>
        <charset val="134"/>
        <scheme val="minor"/>
      </rPr>
      <t>​</t>
    </r>
  </si>
  <si>
    <r>
      <t>福星得助</t>
    </r>
    <r>
      <rPr>
        <sz val="11"/>
        <color theme="1"/>
        <rFont val="等线"/>
        <family val="2"/>
        <charset val="134"/>
        <scheme val="minor"/>
      </rPr>
      <t>，享受来自同辈的福荫与照顾，生活安逸，合作愉快，乐享其成。</t>
    </r>
  </si>
  <si>
    <t>与朋友合伙享受生活；得到同事关照的职场人。</t>
  </si>
  <si>
    <r>
      <t>左辅+廉贞</t>
    </r>
    <r>
      <rPr>
        <sz val="11"/>
        <color theme="1"/>
        <rFont val="等线"/>
        <family val="2"/>
        <charset val="134"/>
        <scheme val="minor"/>
      </rPr>
      <t>​</t>
    </r>
  </si>
  <si>
    <r>
      <t>囚星得助</t>
    </r>
    <r>
      <rPr>
        <sz val="11"/>
        <color theme="1"/>
        <rFont val="等线"/>
        <family val="2"/>
        <charset val="134"/>
        <scheme val="minor"/>
      </rPr>
      <t>（但需防破格），困境中得同辈公开解救，但</t>
    </r>
    <r>
      <rPr>
        <b/>
        <sz val="11"/>
        <color theme="1"/>
        <rFont val="等线"/>
        <family val="3"/>
        <charset val="134"/>
        <scheme val="minor"/>
      </rPr>
      <t>左辅最怕与廉贞同宫，此为破格，主有官非，易破败，会有不测之刑</t>
    </r>
    <r>
      <rPr>
        <sz val="11"/>
        <color theme="1"/>
        <rFont val="等线"/>
        <family val="2"/>
        <charset val="134"/>
        <scheme val="minor"/>
      </rPr>
      <t>。若再加会擎羊时更糟。女命若遇此种组合入夫妻宫，会遭强暴之灾。</t>
    </r>
  </si>
  <si>
    <t>同事帮助化解官司，但过程可能引发新问题。</t>
  </si>
  <si>
    <r>
      <t>左辅+天府</t>
    </r>
    <r>
      <rPr>
        <sz val="11"/>
        <color theme="1"/>
        <rFont val="等线"/>
        <family val="2"/>
        <charset val="134"/>
        <scheme val="minor"/>
      </rPr>
      <t>​</t>
    </r>
  </si>
  <si>
    <r>
      <t>库星得助</t>
    </r>
    <r>
      <rPr>
        <sz val="11"/>
        <color theme="1"/>
        <rFont val="等线"/>
        <family val="2"/>
        <charset val="134"/>
        <scheme val="minor"/>
      </rPr>
      <t>，财富积累得同辈、合作伙伴的公开助力，适合管理、仓储、合作经营，家产丰厚。</t>
    </r>
  </si>
  <si>
    <t>商业合作伙伴；家族企业中的管理者。</t>
  </si>
  <si>
    <r>
      <t>左辅+太阴</t>
    </r>
    <r>
      <rPr>
        <sz val="11"/>
        <color theme="1"/>
        <rFont val="等线"/>
        <family val="2"/>
        <charset val="134"/>
        <scheme val="minor"/>
      </rPr>
      <t>​</t>
    </r>
  </si>
  <si>
    <r>
      <t>阴财得助</t>
    </r>
    <r>
      <rPr>
        <sz val="11"/>
        <color theme="1"/>
        <rFont val="等线"/>
        <family val="2"/>
        <charset val="134"/>
        <scheme val="minor"/>
      </rPr>
      <t>，财富（尤其暗财、房地产）得同辈公开帮助而增加，适合合作投资房地产、艺术。</t>
    </r>
  </si>
  <si>
    <t>房地产合作投资者；艺术项目的合伙赞助人。</t>
  </si>
  <si>
    <r>
      <t>左辅+贪狼</t>
    </r>
    <r>
      <rPr>
        <sz val="11"/>
        <color theme="1"/>
        <rFont val="等线"/>
        <family val="2"/>
        <charset val="134"/>
        <scheme val="minor"/>
      </rPr>
      <t>​</t>
    </r>
  </si>
  <si>
    <r>
      <t>欲星得助</t>
    </r>
    <r>
      <rPr>
        <sz val="11"/>
        <color theme="1"/>
        <rFont val="等线"/>
        <family val="2"/>
        <charset val="134"/>
        <scheme val="minor"/>
      </rPr>
      <t>，欲望与才华得同辈公开支持，适合演艺、外交、合作求财，但需防桃花纠纷。</t>
    </r>
  </si>
  <si>
    <t>演艺圈的合作搭档；商业合作中的交际者。</t>
  </si>
  <si>
    <r>
      <t>左辅+巨门</t>
    </r>
    <r>
      <rPr>
        <sz val="11"/>
        <color theme="1"/>
        <rFont val="等线"/>
        <family val="2"/>
        <charset val="134"/>
        <scheme val="minor"/>
      </rPr>
      <t>​</t>
    </r>
  </si>
  <si>
    <r>
      <t>暗星得助</t>
    </r>
    <r>
      <rPr>
        <sz val="11"/>
        <color theme="1"/>
        <rFont val="等线"/>
        <family val="2"/>
        <charset val="134"/>
        <scheme val="minor"/>
      </rPr>
      <t>，是非口舌得同辈公开调解，适合法律、咨询、合作沟通，但需防承诺反复。</t>
    </r>
  </si>
  <si>
    <t>法律团队中的合作者；咨询公司的合伙人。</t>
  </si>
  <si>
    <r>
      <t>左辅+天相</t>
    </r>
    <r>
      <rPr>
        <sz val="11"/>
        <color theme="1"/>
        <rFont val="等线"/>
        <family val="2"/>
        <charset val="134"/>
        <scheme val="minor"/>
      </rPr>
      <t>​</t>
    </r>
  </si>
  <si>
    <r>
      <t>印星得助</t>
    </r>
    <r>
      <rPr>
        <sz val="11"/>
        <color theme="1"/>
        <rFont val="等线"/>
        <family val="2"/>
        <charset val="134"/>
        <scheme val="minor"/>
      </rPr>
      <t>，文书、合约、形象得同辈公开促成与帮助，适合秘书、公关、公职中的合作。</t>
    </r>
  </si>
  <si>
    <t>政府部门的合作官员；公关公司的合伙人。</t>
  </si>
  <si>
    <r>
      <t>左辅+天梁</t>
    </r>
    <r>
      <rPr>
        <sz val="11"/>
        <color theme="1"/>
        <rFont val="等线"/>
        <family val="2"/>
        <charset val="134"/>
        <scheme val="minor"/>
      </rPr>
      <t>​</t>
    </r>
  </si>
  <si>
    <r>
      <t>荫星得助</t>
    </r>
    <r>
      <rPr>
        <sz val="11"/>
        <color theme="1"/>
        <rFont val="等线"/>
        <family val="2"/>
        <charset val="134"/>
        <scheme val="minor"/>
      </rPr>
      <t>，荫庇之力来自同辈，疾病易遇良医（尤其是同辈介绍），宗教、慈善合作缘分深。</t>
    </r>
  </si>
  <si>
    <t>慈善组织的合作发起人；医疗团队的搭档。</t>
  </si>
  <si>
    <r>
      <t>左辅+七杀</t>
    </r>
    <r>
      <rPr>
        <sz val="11"/>
        <color theme="1"/>
        <rFont val="等线"/>
        <family val="2"/>
        <charset val="134"/>
        <scheme val="minor"/>
      </rPr>
      <t>​</t>
    </r>
  </si>
  <si>
    <r>
      <t>杀星得助</t>
    </r>
    <r>
      <rPr>
        <sz val="11"/>
        <color theme="1"/>
        <rFont val="等线"/>
        <family val="2"/>
        <charset val="134"/>
        <scheme val="minor"/>
      </rPr>
      <t>，风险与变动中得同辈公开支持与化解，适合军警、外科领域的合作，但过程需谨慎。</t>
    </r>
  </si>
  <si>
    <t>军警行动中的战友；外科手术中的助手。</t>
  </si>
  <si>
    <r>
      <t>左辅+破军</t>
    </r>
    <r>
      <rPr>
        <sz val="11"/>
        <color theme="1"/>
        <rFont val="等线"/>
        <family val="2"/>
        <charset val="134"/>
        <scheme val="minor"/>
      </rPr>
      <t>​</t>
    </r>
  </si>
  <si>
    <r>
      <t>耗星得助</t>
    </r>
    <r>
      <rPr>
        <sz val="11"/>
        <color theme="1"/>
        <rFont val="等线"/>
        <family val="2"/>
        <charset val="134"/>
        <scheme val="minor"/>
      </rPr>
      <t>，破旧立新过程中得同辈公开资助与支持，适合改革、开拓领域的合作，但消耗明显。</t>
    </r>
  </si>
  <si>
    <t>创业合作伙伴；改革项目中的同盟者。</t>
  </si>
  <si>
    <r>
      <t>左辅+右弼</t>
    </r>
    <r>
      <rPr>
        <sz val="11"/>
        <color theme="1"/>
        <rFont val="等线"/>
        <family val="2"/>
        <charset val="134"/>
        <scheme val="minor"/>
      </rPr>
      <t>​</t>
    </r>
  </si>
  <si>
    <r>
      <t>左右拱照（辅弼拱主）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阴阳助力兼备</t>
    </r>
    <r>
      <rPr>
        <sz val="11"/>
        <color theme="1"/>
        <rFont val="等线"/>
        <family val="2"/>
        <charset val="134"/>
        <scheme val="minor"/>
      </rPr>
      <t>，明暗贵人皆有，助力最强，管理能力、协调能力极佳，</t>
    </r>
    <r>
      <rPr>
        <b/>
        <sz val="11"/>
        <color theme="1"/>
        <rFont val="等线"/>
        <family val="3"/>
        <charset val="134"/>
        <scheme val="minor"/>
      </rPr>
      <t>富贵不小，财官双美</t>
    </r>
    <r>
      <rPr>
        <sz val="11"/>
        <color theme="1"/>
        <rFont val="等线"/>
        <family val="2"/>
        <charset val="134"/>
        <scheme val="minor"/>
      </rPr>
      <t>。力量顺序：</t>
    </r>
    <r>
      <rPr>
        <b/>
        <sz val="11"/>
        <color theme="1"/>
        <rFont val="等线"/>
        <family val="3"/>
        <charset val="134"/>
        <scheme val="minor"/>
      </rPr>
      <t>两夹 &gt; 三合 &gt; 同宫</t>
    </r>
    <r>
      <rPr>
        <sz val="11"/>
        <color theme="1"/>
        <rFont val="等线"/>
        <family val="2"/>
        <charset val="134"/>
        <scheme val="minor"/>
      </rPr>
      <t>。</t>
    </r>
  </si>
  <si>
    <r>
      <t>左辅+文昌/文曲</t>
    </r>
    <r>
      <rPr>
        <sz val="11"/>
        <color theme="1"/>
        <rFont val="等线"/>
        <family val="2"/>
        <charset val="134"/>
        <scheme val="minor"/>
      </rPr>
      <t>​</t>
    </r>
  </si>
  <si>
    <r>
      <t>左辅文星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感情丰富，有才艺</t>
    </r>
    <r>
      <rPr>
        <sz val="11"/>
        <color theme="1"/>
        <rFont val="等线"/>
        <family val="2"/>
        <charset val="134"/>
        <scheme val="minor"/>
      </rPr>
      <t>，利于考试、学术、文艺，公开助力与才华结合，易因文采获公开赏识。若与文昌同宫，且三方有吉星拱照，不加煞星者，其人尊居八座。</t>
    </r>
  </si>
  <si>
    <r>
      <t>左辅+天魁/天钺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</si>
  <si>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左辅遇贵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机运多</t>
    </r>
    <r>
      <rPr>
        <sz val="11"/>
        <color theme="1"/>
        <rFont val="等线"/>
        <family val="2"/>
        <charset val="134"/>
        <scheme val="minor"/>
      </rPr>
      <t>，公开助力与明显贵人结合，机遇倍增，逢凶化吉之力强。若辅、弼与天魁或天钺同入命宫，主其人福寿全美。女命逢之，主其人能旺夫益子。</t>
    </r>
  </si>
  <si>
    <r>
      <t>左辅+禄存</t>
    </r>
    <r>
      <rPr>
        <sz val="11"/>
        <color theme="1"/>
        <rFont val="等线"/>
        <family val="2"/>
        <charset val="134"/>
        <scheme val="minor"/>
      </rPr>
      <t>​</t>
    </r>
  </si>
  <si>
    <r>
      <t>明助得禄</t>
    </r>
    <r>
      <rPr>
        <sz val="11"/>
        <color theme="1"/>
        <rFont val="等线"/>
        <family val="2"/>
        <charset val="134"/>
        <scheme val="minor"/>
      </rPr>
      <t>，公开助力带来稳定财富，易得同辈赠财或通过合作得财，适合稳定投资。</t>
    </r>
  </si>
  <si>
    <r>
      <t>左辅+天马</t>
    </r>
    <r>
      <rPr>
        <sz val="11"/>
        <color theme="1"/>
        <rFont val="等线"/>
        <family val="2"/>
        <charset val="134"/>
        <scheme val="minor"/>
      </rPr>
      <t>​</t>
    </r>
  </si>
  <si>
    <r>
      <t>明动奔驰</t>
    </r>
    <r>
      <rPr>
        <sz val="11"/>
        <color theme="1"/>
        <rFont val="等线"/>
        <family val="2"/>
        <charset val="134"/>
        <scheme val="minor"/>
      </rPr>
      <t>，变动中得公开助力，尤其在外地、旅途中得同辈、朋友帮助，适合外贸、变动性行业的合作。</t>
    </r>
  </si>
  <si>
    <r>
      <t>左辅+火星</t>
    </r>
    <r>
      <rPr>
        <sz val="11"/>
        <color theme="1"/>
        <rFont val="等线"/>
        <family val="2"/>
        <charset val="134"/>
        <scheme val="minor"/>
      </rPr>
      <t>​</t>
    </r>
  </si>
  <si>
    <r>
      <t>明助带急</t>
    </r>
    <r>
      <rPr>
        <sz val="11"/>
        <color theme="1"/>
        <rFont val="等线"/>
        <family val="2"/>
        <charset val="134"/>
        <scheme val="minor"/>
      </rPr>
      <t>，公开助力来得突然但可能伴随纷争，</t>
    </r>
    <r>
      <rPr>
        <b/>
        <sz val="11"/>
        <color theme="1"/>
        <rFont val="等线"/>
        <family val="3"/>
        <charset val="134"/>
        <scheme val="minor"/>
      </rPr>
      <t>多变动，勇于面对问题来解决</t>
    </r>
    <r>
      <rPr>
        <sz val="11"/>
        <color theme="1"/>
        <rFont val="等线"/>
        <family val="2"/>
        <charset val="134"/>
        <scheme val="minor"/>
      </rPr>
      <t>。若与煞星同宫，主其人富贵不久，事业多变动。</t>
    </r>
  </si>
  <si>
    <r>
      <t>左辅+铃星</t>
    </r>
    <r>
      <rPr>
        <sz val="11"/>
        <color theme="1"/>
        <rFont val="等线"/>
        <family val="2"/>
        <charset val="134"/>
        <scheme val="minor"/>
      </rPr>
      <t>​</t>
    </r>
  </si>
  <si>
    <r>
      <t>明助藏忧</t>
    </r>
    <r>
      <rPr>
        <sz val="11"/>
        <color theme="1"/>
        <rFont val="等线"/>
        <family val="2"/>
        <charset val="134"/>
        <scheme val="minor"/>
      </rPr>
      <t>，公开助力过程不顺利，带煎熬，需耐心应对。</t>
    </r>
  </si>
  <si>
    <r>
      <t>左辅+擎羊</t>
    </r>
    <r>
      <rPr>
        <sz val="11"/>
        <color theme="1"/>
        <rFont val="等线"/>
        <family val="2"/>
        <charset val="134"/>
        <scheme val="minor"/>
      </rPr>
      <t>​</t>
    </r>
  </si>
  <si>
    <r>
      <t>明助带伤</t>
    </r>
    <r>
      <rPr>
        <sz val="11"/>
        <color theme="1"/>
        <rFont val="等线"/>
        <family val="2"/>
        <charset val="134"/>
        <scheme val="minor"/>
      </rPr>
      <t>，公开助力伴随竞争或冲突，</t>
    </r>
    <r>
      <rPr>
        <b/>
        <sz val="11"/>
        <color theme="1"/>
        <rFont val="等线"/>
        <family val="3"/>
        <charset val="134"/>
        <scheme val="minor"/>
      </rPr>
      <t>感情多波折，勇于面对问题来解决</t>
    </r>
    <r>
      <rPr>
        <sz val="11"/>
        <color theme="1"/>
        <rFont val="等线"/>
        <family val="2"/>
        <charset val="134"/>
        <scheme val="minor"/>
      </rPr>
      <t>。若与廉贞、擎羊同宫，主其人会遭刑盗。</t>
    </r>
  </si>
  <si>
    <r>
      <t>左辅+陀罗</t>
    </r>
    <r>
      <rPr>
        <sz val="11"/>
        <color theme="1"/>
        <rFont val="等线"/>
        <family val="2"/>
        <charset val="134"/>
        <scheme val="minor"/>
      </rPr>
      <t>​</t>
    </r>
  </si>
  <si>
    <r>
      <t>明助拖延</t>
    </r>
    <r>
      <rPr>
        <sz val="11"/>
        <color theme="1"/>
        <rFont val="等线"/>
        <family val="2"/>
        <charset val="134"/>
        <scheme val="minor"/>
      </rPr>
      <t>，公开助力来得缓慢反复，需耐心等待。</t>
    </r>
  </si>
  <si>
    <r>
      <t>左辅+地空</t>
    </r>
    <r>
      <rPr>
        <sz val="11"/>
        <color theme="1"/>
        <rFont val="等线"/>
        <family val="2"/>
        <charset val="134"/>
        <scheme val="minor"/>
      </rPr>
      <t>​</t>
    </r>
  </si>
  <si>
    <r>
      <t>明助落空</t>
    </r>
    <r>
      <rPr>
        <sz val="11"/>
        <color theme="1"/>
        <rFont val="等线"/>
        <family val="2"/>
        <charset val="134"/>
        <scheme val="minor"/>
      </rPr>
      <t>，公开助力可能落空或转向精神层面，理想化的帮助。</t>
    </r>
  </si>
  <si>
    <r>
      <t>左辅+地劫</t>
    </r>
    <r>
      <rPr>
        <sz val="11"/>
        <color theme="1"/>
        <rFont val="等线"/>
        <family val="2"/>
        <charset val="134"/>
        <scheme val="minor"/>
      </rPr>
      <t>​</t>
    </r>
  </si>
  <si>
    <r>
      <t>明助带劫</t>
    </r>
    <r>
      <rPr>
        <sz val="11"/>
        <color theme="1"/>
        <rFont val="等线"/>
        <family val="2"/>
        <charset val="134"/>
        <scheme val="minor"/>
      </rPr>
      <t>，公开助力伴随破耗，得助后反而有损失。</t>
    </r>
  </si>
  <si>
    <r>
      <t>左辅+化禄</t>
    </r>
    <r>
      <rPr>
        <sz val="11"/>
        <color theme="1"/>
        <rFont val="等线"/>
        <family val="2"/>
        <charset val="134"/>
        <scheme val="minor"/>
      </rPr>
      <t>​</t>
    </r>
  </si>
  <si>
    <r>
      <t>明助生财</t>
    </r>
    <r>
      <rPr>
        <sz val="11"/>
        <color theme="1"/>
        <rFont val="等线"/>
        <family val="2"/>
        <charset val="134"/>
        <scheme val="minor"/>
      </rPr>
      <t>，公开助力直接转化为财富机遇，易因合作、同辈关系得财。</t>
    </r>
  </si>
  <si>
    <r>
      <t>左辅+化权</t>
    </r>
    <r>
      <rPr>
        <sz val="11"/>
        <color theme="1"/>
        <rFont val="等线"/>
        <family val="2"/>
        <charset val="134"/>
        <scheme val="minor"/>
      </rPr>
      <t>​</t>
    </r>
  </si>
  <si>
    <r>
      <t>明助掌权</t>
    </r>
    <r>
      <rPr>
        <sz val="11"/>
        <color theme="1"/>
        <rFont val="等线"/>
        <family val="2"/>
        <charset val="134"/>
        <scheme val="minor"/>
      </rPr>
      <t>，公开助力使其掌握实权，易得同辈、下属拥戴，地位提升。</t>
    </r>
  </si>
  <si>
    <r>
      <t>左辅+化科</t>
    </r>
    <r>
      <rPr>
        <sz val="11"/>
        <color theme="1"/>
        <rFont val="等线"/>
        <family val="2"/>
        <charset val="134"/>
        <scheme val="minor"/>
      </rPr>
      <t>​</t>
    </r>
  </si>
  <si>
    <r>
      <t>明助扬名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有才华，有助力</t>
    </r>
    <r>
      <rPr>
        <sz val="11"/>
        <color theme="1"/>
        <rFont val="等线"/>
        <family val="2"/>
        <charset val="134"/>
        <scheme val="minor"/>
      </rPr>
      <t>，公开助其获得名声，易因合作、同辈关系成名，</t>
    </r>
    <r>
      <rPr>
        <b/>
        <sz val="11"/>
        <color theme="1"/>
        <rFont val="等线"/>
        <family val="3"/>
        <charset val="134"/>
        <scheme val="minor"/>
      </rPr>
      <t>行运逢之，主解厄</t>
    </r>
    <r>
      <rPr>
        <sz val="11"/>
        <color theme="1"/>
        <rFont val="等线"/>
        <family val="2"/>
        <charset val="134"/>
        <scheme val="minor"/>
      </rPr>
      <t>。</t>
    </r>
  </si>
  <si>
    <r>
      <t>左辅+化忌</t>
    </r>
    <r>
      <rPr>
        <sz val="11"/>
        <color theme="1"/>
        <rFont val="等线"/>
        <family val="2"/>
        <charset val="134"/>
        <scheme val="minor"/>
      </rPr>
      <t>​</t>
    </r>
  </si>
  <si>
    <r>
      <t>明助受阻</t>
    </r>
    <r>
      <rPr>
        <sz val="11"/>
        <color theme="1"/>
        <rFont val="等线"/>
        <family val="2"/>
        <charset val="134"/>
        <scheme val="minor"/>
      </rPr>
      <t>，公开助力变成困扰，易因合作、同辈关系惹麻烦，助力反成拖累。</t>
    </r>
  </si>
  <si>
    <r>
      <t>1. “左辅”与“右弼”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左辅星为“阳助”、“明贵人”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明显、直接、公开、来自平辈或同事的助力</t>
    </r>
    <r>
      <rPr>
        <sz val="11"/>
        <color theme="1"/>
        <rFont val="等线"/>
        <family val="2"/>
        <charset val="134"/>
        <scheme val="minor"/>
      </rPr>
      <t>，其帮助公开、稳定、实质性。</t>
    </r>
    <r>
      <rPr>
        <b/>
        <sz val="11"/>
        <color theme="1"/>
        <rFont val="等线"/>
        <family val="3"/>
        <charset val="134"/>
        <scheme val="minor"/>
      </rPr>
      <t>右弼星为“阴助”、“暗贵人”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暗中、间接、隐蔽、来自平辈或晚辈的助力</t>
    </r>
    <r>
      <rPr>
        <sz val="11"/>
        <color theme="1"/>
        <rFont val="等线"/>
        <family val="2"/>
        <charset val="134"/>
        <scheme val="minor"/>
      </rPr>
      <t>，其帮助往往在机缘巧合下发生，当事人不易察觉。二者皆主助力、贵人，但助力方式与来源不同。</t>
    </r>
  </si>
  <si>
    <r>
      <t>2. “辅弼拱主”格局</t>
    </r>
    <r>
      <rPr>
        <sz val="11"/>
        <color theme="1"/>
        <rFont val="等线"/>
        <family val="2"/>
        <charset val="134"/>
        <scheme val="minor"/>
      </rPr>
      <t>：左辅与右弼在命宫三方四正（尤其是命、迁、官、财）相会，即成“辅弼拱主”格，主一生得助力极强，明暗贵人皆有，事业顺遂，管理能力强，多居于辅佐他人的位置。</t>
    </r>
  </si>
  <si>
    <r>
      <t>3. “重复”与“增加”的本质</t>
    </r>
    <r>
      <rPr>
        <sz val="11"/>
        <color theme="1"/>
        <rFont val="等线"/>
        <family val="2"/>
        <charset val="134"/>
        <scheme val="minor"/>
      </rPr>
      <t>：其“重复”本质源于其</t>
    </r>
    <r>
      <rPr>
        <b/>
        <sz val="11"/>
        <color theme="1"/>
        <rFont val="等线"/>
        <family val="3"/>
        <charset val="134"/>
        <scheme val="minor"/>
      </rPr>
      <t>稳定、辅助、备份</t>
    </r>
    <r>
      <rPr>
        <sz val="11"/>
        <color theme="1"/>
        <rFont val="等线"/>
        <family val="2"/>
        <charset val="134"/>
        <scheme val="minor"/>
      </rPr>
      <t>的特性，体现在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为角色的再次承担（如再婚），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为过程的重复发生（第二次机会），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为副本、复印件、备份零件。其“增加”本质源于其</t>
    </r>
    <r>
      <rPr>
        <b/>
        <sz val="11"/>
        <color theme="1"/>
        <rFont val="等线"/>
        <family val="3"/>
        <charset val="134"/>
        <scheme val="minor"/>
      </rPr>
      <t>辅助、多</t>
    </r>
    <r>
      <rPr>
        <sz val="11"/>
        <color theme="1"/>
        <rFont val="等线"/>
        <family val="2"/>
        <charset val="134"/>
        <scheme val="minor"/>
      </rPr>
      <t>的特性，体现在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为帮手增多，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为数量、规模的扩大，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为额外的物品。</t>
    </r>
  </si>
  <si>
    <r>
      <t>4. 夫妻宫的特殊性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夫妻宫最不宜单见左辅或右弼</t>
    </r>
    <r>
      <rPr>
        <sz val="11"/>
        <color theme="1"/>
        <rFont val="等线"/>
        <family val="2"/>
        <charset val="134"/>
        <scheme val="minor"/>
      </rPr>
      <t>，主第三者插足，或多三角恋爱关系，易有“再一次”婚姻的含义。因其为“辅助”星，在婚姻中暗示“多出来的帮手”，即第三者。若与煞忌同度，更验。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</si>
  <si>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：左辅星所在宫位，指示在人生的哪个领域容易得到平辈、同事的公开帮助与稳定支持，也指示该领域易有“重复”、“增加”的现象。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</si>
  <si>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，公开助力直接转化为财禄，易因合作、同辈关系得财。见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，公开助其掌握实权，得下属拥戴。见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有才华，有助力</t>
    </r>
    <r>
      <rPr>
        <sz val="11"/>
        <color theme="1"/>
        <rFont val="等线"/>
        <family val="2"/>
        <charset val="134"/>
        <scheme val="minor"/>
      </rPr>
      <t>，公开助其获得名声，解厄消灾。见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公开助力变质</t>
    </r>
    <r>
      <rPr>
        <sz val="11"/>
        <color theme="1"/>
        <rFont val="等线"/>
        <family val="2"/>
        <charset val="134"/>
        <scheme val="minor"/>
      </rPr>
      <t>，易因合作、同辈关系惹麻烦，助力反成拖累。</t>
    </r>
  </si>
  <si>
    <r>
      <t>7. 地理类象</t>
    </r>
    <r>
      <rPr>
        <sz val="11"/>
        <color theme="1"/>
        <rFont val="等线"/>
        <family val="2"/>
        <charset val="134"/>
        <scheme val="minor"/>
      </rPr>
      <t>：上弦月。龙砂，左厢房，高坡，土山，在外侧的住宅，靠大厦旁之高楼，商业机构。</t>
    </r>
  </si>
  <si>
    <t>一、文曲定义</t>
  </si>
  <si>
    <t>才艺、口才、灵感、创意、异路功名、桃花、文墨、名声</t>
  </si>
  <si>
    <r>
      <t>1. 人（性格、行为、关系）：</t>
    </r>
    <r>
      <rPr>
        <sz val="11"/>
        <color theme="1"/>
        <rFont val="等线"/>
        <family val="2"/>
        <charset val="134"/>
        <scheme val="minor"/>
      </rPr>
      <t>​ 思维与表达方式具有</t>
    </r>
    <r>
      <rPr>
        <b/>
        <sz val="11"/>
        <color theme="1"/>
        <rFont val="等线"/>
        <family val="3"/>
        <charset val="134"/>
        <scheme val="minor"/>
      </rPr>
      <t>灵活性、感性、艺术性</t>
    </r>
    <r>
      <rPr>
        <sz val="11"/>
        <color theme="1"/>
        <rFont val="等线"/>
        <family val="2"/>
        <charset val="134"/>
        <scheme val="minor"/>
      </rPr>
      <t>。为人</t>
    </r>
    <r>
      <rPr>
        <b/>
        <sz val="11"/>
        <color theme="1"/>
        <rFont val="等线"/>
        <family val="3"/>
        <charset val="134"/>
        <scheme val="minor"/>
      </rPr>
      <t>聪明伶俐，善口舌辩论，多学多能</t>
    </r>
    <r>
      <rPr>
        <sz val="11"/>
        <color theme="1"/>
        <rFont val="等线"/>
        <family val="2"/>
        <charset val="134"/>
        <scheme val="minor"/>
      </rPr>
      <t>，但</t>
    </r>
    <r>
      <rPr>
        <b/>
        <sz val="11"/>
        <color theme="1"/>
        <rFont val="等线"/>
        <family val="3"/>
        <charset val="134"/>
        <scheme val="minor"/>
      </rPr>
      <t>略带孤僻，爱粉饰</t>
    </r>
    <r>
      <rPr>
        <sz val="11"/>
        <color theme="1"/>
        <rFont val="等线"/>
        <family val="2"/>
        <charset val="134"/>
        <scheme val="minor"/>
      </rPr>
      <t>。是</t>
    </r>
    <r>
      <rPr>
        <b/>
        <sz val="11"/>
        <color theme="1"/>
        <rFont val="等线"/>
        <family val="3"/>
        <charset val="134"/>
        <scheme val="minor"/>
      </rPr>
      <t>才艺的展现者、灵感的捕捉者、非正统路径的成功者</t>
    </r>
    <r>
      <rPr>
        <sz val="11"/>
        <color theme="1"/>
        <rFont val="等线"/>
        <family val="2"/>
        <charset val="134"/>
        <scheme val="minor"/>
      </rPr>
      <t>。人际关系上，凭借才艺与口才吸引人，易有</t>
    </r>
    <r>
      <rPr>
        <b/>
        <sz val="11"/>
        <color theme="1"/>
        <rFont val="等线"/>
        <family val="3"/>
        <charset val="134"/>
        <scheme val="minor"/>
      </rPr>
      <t>桃花缘分</t>
    </r>
    <r>
      <rPr>
        <sz val="11"/>
        <color theme="1"/>
        <rFont val="等线"/>
        <family val="2"/>
        <charset val="134"/>
        <scheme val="minor"/>
      </rPr>
      <t>。</t>
    </r>
  </si>
  <si>
    <r>
      <t>2. 事（事件、过程）：</t>
    </r>
    <r>
      <rPr>
        <sz val="11"/>
        <color theme="1"/>
        <rFont val="等线"/>
        <family val="2"/>
        <charset val="134"/>
        <scheme val="minor"/>
      </rPr>
      <t>​ 事件发展过程</t>
    </r>
    <r>
      <rPr>
        <b/>
        <sz val="11"/>
        <color theme="1"/>
        <rFont val="等线"/>
        <family val="3"/>
        <charset val="134"/>
        <scheme val="minor"/>
      </rPr>
      <t>充满灵感与变数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非正统、非主流的成功路径</t>
    </r>
    <r>
      <rPr>
        <sz val="11"/>
        <color theme="1"/>
        <rFont val="等线"/>
        <family val="2"/>
        <charset val="134"/>
        <scheme val="minor"/>
      </rPr>
      <t>（异路功名）。也代表</t>
    </r>
    <r>
      <rPr>
        <b/>
        <sz val="11"/>
        <color theme="1"/>
        <rFont val="等线"/>
        <family val="3"/>
        <charset val="134"/>
        <scheme val="minor"/>
      </rPr>
      <t>文书、契约、证书、支票</t>
    </r>
    <r>
      <rPr>
        <sz val="11"/>
        <color theme="1"/>
        <rFont val="等线"/>
        <family val="2"/>
        <charset val="134"/>
        <scheme val="minor"/>
      </rPr>
      <t>等文件的往来与处理。过程</t>
    </r>
    <r>
      <rPr>
        <b/>
        <sz val="11"/>
        <color theme="1"/>
        <rFont val="等线"/>
        <family val="3"/>
        <charset val="134"/>
        <scheme val="minor"/>
      </rPr>
      <t>感性、浪漫、富有创意</t>
    </r>
    <r>
      <rPr>
        <sz val="11"/>
        <color theme="1"/>
        <rFont val="等线"/>
        <family val="2"/>
        <charset val="134"/>
        <scheme val="minor"/>
      </rPr>
      <t>，但可能</t>
    </r>
    <r>
      <rPr>
        <b/>
        <sz val="11"/>
        <color theme="1"/>
        <rFont val="等线"/>
        <family val="3"/>
        <charset val="134"/>
        <scheme val="minor"/>
      </rPr>
      <t>不够稳定、计划性弱</t>
    </r>
    <r>
      <rPr>
        <sz val="11"/>
        <color theme="1"/>
        <rFont val="等线"/>
        <family val="2"/>
        <charset val="134"/>
        <scheme val="minor"/>
      </rPr>
      <t>。</t>
    </r>
  </si>
  <si>
    <r>
      <t>3. 物（物体、空间、形态）：</t>
    </r>
    <r>
      <rPr>
        <sz val="11"/>
        <color theme="1"/>
        <rFont val="等线"/>
        <family val="2"/>
        <charset val="134"/>
        <scheme val="minor"/>
      </rPr>
      <t>​ 指代具有</t>
    </r>
    <r>
      <rPr>
        <b/>
        <sz val="11"/>
        <color theme="1"/>
        <rFont val="等线"/>
        <family val="3"/>
        <charset val="134"/>
        <scheme val="minor"/>
      </rPr>
      <t>艺术性、流动性、感性</t>
    </r>
    <r>
      <rPr>
        <sz val="11"/>
        <color theme="1"/>
        <rFont val="等线"/>
        <family val="2"/>
        <charset val="134"/>
        <scheme val="minor"/>
      </rPr>
      <t>属性的事物。如：</t>
    </r>
    <r>
      <rPr>
        <b/>
        <sz val="11"/>
        <color theme="1"/>
        <rFont val="等线"/>
        <family val="3"/>
        <charset val="134"/>
        <scheme val="minor"/>
      </rPr>
      <t>琴棋书画、音乐、美术、工艺品、回廊、水池、水道、小坡、艺品店、戏院、补习班、书店</t>
    </r>
    <r>
      <rPr>
        <sz val="11"/>
        <color theme="1"/>
        <rFont val="等线"/>
        <family val="2"/>
        <charset val="134"/>
        <scheme val="minor"/>
      </rPr>
      <t>。也代表</t>
    </r>
    <r>
      <rPr>
        <b/>
        <sz val="11"/>
        <color theme="1"/>
        <rFont val="等线"/>
        <family val="3"/>
        <charset val="134"/>
        <scheme val="minor"/>
      </rPr>
      <t>无形的精神财富、灵感、创意</t>
    </r>
    <r>
      <rPr>
        <sz val="11"/>
        <color theme="1"/>
        <rFont val="等线"/>
        <family val="2"/>
        <charset val="134"/>
        <scheme val="minor"/>
      </rPr>
      <t>。</t>
    </r>
  </si>
  <si>
    <t>整合自《金刚佛光-紫占课程手册》中关于文曲“才艺”、“口才”、“异路功名”、“桃花”等核心概念的深度阐释与类象推演。</t>
  </si>
  <si>
    <r>
      <t>乙级星，属</t>
    </r>
    <r>
      <rPr>
        <b/>
        <sz val="11"/>
        <color theme="1"/>
        <rFont val="等线"/>
        <family val="3"/>
        <charset val="134"/>
        <scheme val="minor"/>
      </rPr>
      <t>阴水</t>
    </r>
    <r>
      <rPr>
        <sz val="11"/>
        <color theme="1"/>
        <rFont val="等线"/>
        <family val="2"/>
        <charset val="134"/>
        <scheme val="minor"/>
      </rPr>
      <t>。主吉，为</t>
    </r>
    <r>
      <rPr>
        <b/>
        <sz val="11"/>
        <color theme="1"/>
        <rFont val="等线"/>
        <family val="3"/>
        <charset val="134"/>
        <scheme val="minor"/>
      </rPr>
      <t>六吉星</t>
    </r>
    <r>
      <rPr>
        <sz val="11"/>
        <color theme="1"/>
        <rFont val="等线"/>
        <family val="2"/>
        <charset val="134"/>
        <scheme val="minor"/>
      </rPr>
      <t>之一，</t>
    </r>
    <r>
      <rPr>
        <b/>
        <sz val="11"/>
        <color theme="1"/>
        <rFont val="等线"/>
        <family val="3"/>
        <charset val="134"/>
        <scheme val="minor"/>
      </rPr>
      <t>北斗助星</t>
    </r>
    <r>
      <rPr>
        <sz val="11"/>
        <color theme="1"/>
        <rFont val="等线"/>
        <family val="2"/>
        <charset val="134"/>
        <scheme val="minor"/>
      </rPr>
      <t>，司</t>
    </r>
    <r>
      <rPr>
        <b/>
        <sz val="11"/>
        <color theme="1"/>
        <rFont val="等线"/>
        <family val="3"/>
        <charset val="134"/>
        <scheme val="minor"/>
      </rPr>
      <t>科甲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舌辩</t>
    </r>
    <r>
      <rPr>
        <sz val="11"/>
        <color theme="1"/>
        <rFont val="等线"/>
        <family val="2"/>
        <charset val="134"/>
        <scheme val="minor"/>
      </rPr>
      <t>。为</t>
    </r>
    <r>
      <rPr>
        <b/>
        <sz val="11"/>
        <color theme="1"/>
        <rFont val="等线"/>
        <family val="3"/>
        <charset val="134"/>
        <scheme val="minor"/>
      </rPr>
      <t>时系星</t>
    </r>
    <r>
      <rPr>
        <sz val="11"/>
        <color theme="1"/>
        <rFont val="等线"/>
        <family val="2"/>
        <charset val="134"/>
        <scheme val="minor"/>
      </rPr>
      <t>，故反应快，来得快，去得也快。又名“</t>
    </r>
    <r>
      <rPr>
        <b/>
        <sz val="11"/>
        <color theme="1"/>
        <rFont val="等线"/>
        <family val="3"/>
        <charset val="134"/>
        <scheme val="minor"/>
      </rPr>
      <t>暗曜</t>
    </r>
    <r>
      <rPr>
        <sz val="11"/>
        <color theme="1"/>
        <rFont val="等线"/>
        <family val="2"/>
        <charset val="134"/>
        <scheme val="minor"/>
      </rPr>
      <t>”。喜庙旺（丑、巳、酉为人庙；卯、未、亥为旺），忌落陷（寅、午、戌为落陷）。与文昌星同属文星，但</t>
    </r>
    <r>
      <rPr>
        <b/>
        <sz val="11"/>
        <color theme="1"/>
        <rFont val="等线"/>
        <family val="3"/>
        <charset val="134"/>
        <scheme val="minor"/>
      </rPr>
      <t>文昌主正统学术、功名利禄；文曲主才艺、口才、异路功名</t>
    </r>
    <r>
      <rPr>
        <sz val="11"/>
        <color theme="1"/>
        <rFont val="等线"/>
        <family val="2"/>
        <charset val="134"/>
        <scheme val="minor"/>
      </rPr>
      <t>。文曲带</t>
    </r>
    <r>
      <rPr>
        <b/>
        <sz val="11"/>
        <color theme="1"/>
        <rFont val="等线"/>
        <family val="3"/>
        <charset val="134"/>
        <scheme val="minor"/>
      </rPr>
      <t>桃花性质</t>
    </r>
    <r>
      <rPr>
        <sz val="11"/>
        <color theme="1"/>
        <rFont val="等线"/>
        <family val="2"/>
        <charset val="134"/>
        <scheme val="minor"/>
      </rPr>
      <t>，需防感情困扰。</t>
    </r>
  </si>
  <si>
    <r>
      <t>才艺与口才</t>
    </r>
    <r>
      <rPr>
        <sz val="11"/>
        <color theme="1"/>
        <rFont val="等线"/>
        <family val="2"/>
        <charset val="134"/>
        <scheme val="minor"/>
      </rPr>
      <t>​</t>
    </r>
  </si>
  <si>
    <r>
      <t>主</t>
    </r>
    <r>
      <rPr>
        <b/>
        <sz val="11"/>
        <color theme="1"/>
        <rFont val="等线"/>
        <family val="3"/>
        <charset val="134"/>
        <scheme val="minor"/>
      </rPr>
      <t>艺术才华、口才、表演能力</t>
    </r>
    <r>
      <rPr>
        <sz val="11"/>
        <color theme="1"/>
        <rFont val="等线"/>
        <family val="2"/>
        <charset val="134"/>
        <scheme val="minor"/>
      </rPr>
      <t>。在音乐、绘画、歌舞、演艺、写作、演讲、辩论等方面有天赋。聪明，学习能力强，但偏向</t>
    </r>
    <r>
      <rPr>
        <b/>
        <sz val="11"/>
        <color theme="1"/>
        <rFont val="等线"/>
        <family val="3"/>
        <charset val="134"/>
        <scheme val="minor"/>
      </rPr>
      <t>感性、灵性</t>
    </r>
    <r>
      <rPr>
        <sz val="11"/>
        <color theme="1"/>
        <rFont val="等线"/>
        <family val="2"/>
        <charset val="134"/>
        <scheme val="minor"/>
      </rPr>
      <t>的领域。</t>
    </r>
  </si>
  <si>
    <r>
      <t>异路功名</t>
    </r>
    <r>
      <rPr>
        <sz val="11"/>
        <color theme="1"/>
        <rFont val="等线"/>
        <family val="2"/>
        <charset val="134"/>
        <scheme val="minor"/>
      </rPr>
      <t>​</t>
    </r>
  </si>
  <si>
    <r>
      <t>主</t>
    </r>
    <r>
      <rPr>
        <b/>
        <sz val="11"/>
        <color theme="1"/>
        <rFont val="等线"/>
        <family val="3"/>
        <charset val="134"/>
        <scheme val="minor"/>
      </rPr>
      <t>非正统途径的成功</t>
    </r>
    <r>
      <rPr>
        <sz val="11"/>
        <color theme="1"/>
        <rFont val="等线"/>
        <family val="2"/>
        <charset val="134"/>
        <scheme val="minor"/>
      </rPr>
      <t>（异路功名）。不喜按部就班，常通过才艺、创意、特殊技能或非主流渠道获得名声与成就。</t>
    </r>
  </si>
  <si>
    <r>
      <t>带</t>
    </r>
    <r>
      <rPr>
        <b/>
        <sz val="11"/>
        <color theme="1"/>
        <rFont val="等线"/>
        <family val="3"/>
        <charset val="134"/>
        <scheme val="minor"/>
      </rPr>
      <t>桃花性质</t>
    </r>
    <r>
      <rPr>
        <sz val="11"/>
        <color theme="1"/>
        <rFont val="等线"/>
        <family val="2"/>
        <charset val="134"/>
        <scheme val="minor"/>
      </rPr>
      <t>，易因才艺、风度、口才吸引异性，感情丰富、浪漫，但需防感情困扰、多角恋。</t>
    </r>
  </si>
  <si>
    <t>在命宫、夫妻宫、福德宫时体现。</t>
  </si>
  <si>
    <r>
      <t>眉目清秀、俊雅磊落</t>
    </r>
    <r>
      <rPr>
        <sz val="11"/>
        <color theme="1"/>
        <rFont val="等线"/>
        <family val="2"/>
        <charset val="134"/>
        <scheme val="minor"/>
      </rPr>
      <t>，相貌端正，气质优雅，有文艺气息，身上常有异痣。</t>
    </r>
  </si>
  <si>
    <r>
      <t>为人</t>
    </r>
    <r>
      <rPr>
        <b/>
        <sz val="11"/>
        <color theme="1"/>
        <rFont val="等线"/>
        <family val="3"/>
        <charset val="134"/>
        <scheme val="minor"/>
      </rPr>
      <t>聪明、多学多能、反应快、能言善辩</t>
    </r>
    <r>
      <rPr>
        <sz val="11"/>
        <color theme="1"/>
        <rFont val="等线"/>
        <family val="2"/>
        <charset val="134"/>
        <scheme val="minor"/>
      </rPr>
      <t>。但</t>
    </r>
    <r>
      <rPr>
        <b/>
        <sz val="11"/>
        <color theme="1"/>
        <rFont val="等线"/>
        <family val="3"/>
        <charset val="134"/>
        <scheme val="minor"/>
      </rPr>
      <t>心胸不如文昌宽大</t>
    </r>
    <r>
      <rPr>
        <sz val="11"/>
        <color theme="1"/>
        <rFont val="等线"/>
        <family val="2"/>
        <charset val="134"/>
        <scheme val="minor"/>
      </rPr>
      <t>，对现实常有不满，</t>
    </r>
    <r>
      <rPr>
        <b/>
        <sz val="11"/>
        <color theme="1"/>
        <rFont val="等线"/>
        <family val="3"/>
        <charset val="134"/>
        <scheme val="minor"/>
      </rPr>
      <t>略带孤僻，爱粉饰</t>
    </r>
    <r>
      <rPr>
        <sz val="11"/>
        <color theme="1"/>
        <rFont val="等线"/>
        <family val="2"/>
        <charset val="134"/>
        <scheme val="minor"/>
      </rPr>
      <t>，内在敏锐善变。性</t>
    </r>
    <r>
      <rPr>
        <b/>
        <sz val="11"/>
        <color theme="1"/>
        <rFont val="等线"/>
        <family val="3"/>
        <charset val="134"/>
        <scheme val="minor"/>
      </rPr>
      <t>浪漫、感性、富有灵感</t>
    </r>
    <r>
      <rPr>
        <sz val="11"/>
        <color theme="1"/>
        <rFont val="等线"/>
        <family val="2"/>
        <charset val="134"/>
        <scheme val="minor"/>
      </rPr>
      <t>。</t>
    </r>
  </si>
  <si>
    <r>
      <t>文书契约</t>
    </r>
    <r>
      <rPr>
        <sz val="11"/>
        <color theme="1"/>
        <rFont val="等线"/>
        <family val="2"/>
        <charset val="134"/>
        <scheme val="minor"/>
      </rPr>
      <t>​</t>
    </r>
  </si>
  <si>
    <r>
      <t>主</t>
    </r>
    <r>
      <rPr>
        <b/>
        <sz val="11"/>
        <color theme="1"/>
        <rFont val="等线"/>
        <family val="3"/>
        <charset val="134"/>
        <scheme val="minor"/>
      </rPr>
      <t>天理、文件文书、证书、支票</t>
    </r>
    <r>
      <rPr>
        <sz val="11"/>
        <color theme="1"/>
        <rFont val="等线"/>
        <family val="2"/>
        <charset val="134"/>
        <scheme val="minor"/>
      </rPr>
      <t>。与文书、契约、法律文件、证书等相关。</t>
    </r>
  </si>
  <si>
    <t>在官禄宫、父母宫时显现。</t>
  </si>
  <si>
    <r>
      <t>主其人</t>
    </r>
    <r>
      <rPr>
        <b/>
        <sz val="11"/>
        <color theme="1"/>
        <rFont val="等线"/>
        <family val="3"/>
        <charset val="134"/>
        <scheme val="minor"/>
      </rPr>
      <t>聪明伶俐，善口舌辩论，多才多艺</t>
    </r>
    <r>
      <rPr>
        <sz val="11"/>
        <color theme="1"/>
        <rFont val="等线"/>
        <family val="2"/>
        <charset val="134"/>
        <scheme val="minor"/>
      </rPr>
      <t>，有艺术天赋，但个性略带孤僻。一生与文艺、口才、玄学缘分深，易获异路功名。</t>
    </r>
    <r>
      <rPr>
        <b/>
        <sz val="11"/>
        <color theme="1"/>
        <rFont val="等线"/>
        <family val="3"/>
        <charset val="134"/>
        <scheme val="minor"/>
      </rPr>
      <t>身上常有异痣</t>
    </r>
    <r>
      <rPr>
        <sz val="11"/>
        <color theme="1"/>
        <rFont val="等线"/>
        <family val="2"/>
        <charset val="134"/>
        <scheme val="minor"/>
      </rPr>
      <t>。若庙旺无煞，可因才艺成名；若落陷或逢煞忌，则才华难伸，易有感情困扰或文书麻烦。女命文曲独坐，需防桃花过重。</t>
    </r>
  </si>
  <si>
    <t>兄弟姐妹中多有才华横溢、口才好或从事文艺工作者，彼此能互相启发，在才艺上交流多。</t>
  </si>
  <si>
    <r>
      <t>配偶多才多艺，浪漫有情调，但感情生活可能较为感性、多变。</t>
    </r>
    <r>
      <rPr>
        <b/>
        <sz val="11"/>
        <color theme="1"/>
        <rFont val="等线"/>
        <family val="3"/>
        <charset val="134"/>
        <scheme val="minor"/>
      </rPr>
      <t>文曲带桃花，在夫妻宫需防感情困扰、第三者介入</t>
    </r>
    <r>
      <rPr>
        <sz val="11"/>
        <color theme="1"/>
        <rFont val="等线"/>
        <family val="2"/>
        <charset val="134"/>
        <scheme val="minor"/>
      </rPr>
      <t>。若文曲化忌或与煞星同度，主婚姻多波折，易因感情或金钱产生是非。女命尤需注意。</t>
    </r>
  </si>
  <si>
    <t>子女聪明，有艺术天赋，口才好，好歌舞，但可能比较任性，教育需注重引导其才华。</t>
  </si>
  <si>
    <t>求财方式多与才艺、口才、创意相关，如从事演艺、写作、设计、咨询等行业获利。适合以“文”进财。若文曲化忌，需防因文书、契约失误破财。</t>
  </si>
  <si>
    <t>主肾、生殖系统、泌尿系统健康。文曲属水，落陷或逢煞忌时，需防相关疾病。亦主情志失调、神经衰弱。</t>
  </si>
  <si>
    <t>在外发展易因才艺、口才获得机遇，适合从事需要对外沟通、表演的行业。外出多遇文艺相关活动或贵人。</t>
  </si>
  <si>
    <t>朋友、部属多才多艺，或有艺术气质，但需防朋友中有口是心非、桃花过重者。</t>
  </si>
  <si>
    <t>适合从事文艺、教育、传媒、咨询、玄学、设计等需要才艺与口才的行业。易获异路功名，不喜刻板工作。若文曲化科，更利考试、竞赛。逢煞忌，则需防同行诽谤或文书纠纷。</t>
  </si>
  <si>
    <t>家宅布置有艺术气息，可能靠近学校、文化场所、水池等。若正曜吉利，主装修美丽、有层次。</t>
  </si>
  <si>
    <t>精神世界丰富，追求浪漫与艺术享受，内心敏感，善感多情。增加精神上的享受与浪漫情怀。</t>
  </si>
  <si>
    <t>父母可能有艺术修养或从事文职工作，重视子女的教育与才艺培养。</t>
  </si>
  <si>
    <t>1. 增强才艺/灵感组合</t>
  </si>
  <si>
    <r>
      <t>文曲+紫微</t>
    </r>
    <r>
      <rPr>
        <sz val="11"/>
        <color theme="1"/>
        <rFont val="等线"/>
        <family val="2"/>
        <charset val="134"/>
        <scheme val="minor"/>
      </rPr>
      <t>​</t>
    </r>
  </si>
  <si>
    <r>
      <t>帝星文华</t>
    </r>
    <r>
      <rPr>
        <sz val="11"/>
        <color theme="1"/>
        <rFont val="等线"/>
        <family val="2"/>
        <charset val="134"/>
        <scheme val="minor"/>
      </rPr>
      <t>，才华得显贵之位加持，适合从事文化管理、艺术领导工作，能将才艺与权力结合，但需防才高招妒。</t>
    </r>
  </si>
  <si>
    <t>文化部门的官员；艺术机构的领导者。</t>
  </si>
  <si>
    <r>
      <t>文曲+天机</t>
    </r>
    <r>
      <rPr>
        <sz val="11"/>
        <color theme="1"/>
        <rFont val="等线"/>
        <family val="2"/>
        <charset val="134"/>
        <scheme val="minor"/>
      </rPr>
      <t>​</t>
    </r>
  </si>
  <si>
    <r>
      <t>智星文曲</t>
    </r>
    <r>
      <rPr>
        <sz val="11"/>
        <color theme="1"/>
        <rFont val="等线"/>
        <family val="2"/>
        <charset val="134"/>
        <scheme val="minor"/>
      </rPr>
      <t>，思维敏捷，口才便给，适合策划、咨询、传媒、玄学，灵感丰富，但想法多变。</t>
    </r>
  </si>
  <si>
    <t>策划师；脱口秀演员；命理师。</t>
  </si>
  <si>
    <r>
      <t>文曲+太阳</t>
    </r>
    <r>
      <rPr>
        <sz val="11"/>
        <color theme="1"/>
        <rFont val="等线"/>
        <family val="2"/>
        <charset val="134"/>
        <scheme val="minor"/>
      </rPr>
      <t>​</t>
    </r>
  </si>
  <si>
    <r>
      <t>日照文华</t>
    </r>
    <r>
      <rPr>
        <sz val="11"/>
        <color theme="1"/>
        <rFont val="等线"/>
        <family val="2"/>
        <charset val="134"/>
        <scheme val="minor"/>
      </rPr>
      <t>，才华得名声宣扬，适合教育、出版、传媒，易因才艺获名，但需防桃花是非。</t>
    </r>
  </si>
  <si>
    <t>知名教师；畅销书作家；媒体人。</t>
  </si>
  <si>
    <r>
      <t>文曲+武曲</t>
    </r>
    <r>
      <rPr>
        <sz val="11"/>
        <color theme="1"/>
        <rFont val="等线"/>
        <family val="2"/>
        <charset val="134"/>
        <scheme val="minor"/>
      </rPr>
      <t>​</t>
    </r>
  </si>
  <si>
    <r>
      <t>刚金遇水</t>
    </r>
    <r>
      <rPr>
        <sz val="11"/>
        <color theme="1"/>
        <rFont val="等线"/>
        <family val="2"/>
        <charset val="134"/>
        <scheme val="minor"/>
      </rPr>
      <t>，刚柔并济，适合将才艺与金融、技术结合，如金融分析师兼作家，技术工程师兼音乐家。在亥宫同度，主学识渊博；在戌宫同度，可减少武曲的孤独与文曲的桃花。</t>
    </r>
  </si>
  <si>
    <r>
      <t>文曲+天同</t>
    </r>
    <r>
      <rPr>
        <sz val="11"/>
        <color theme="1"/>
        <rFont val="等线"/>
        <family val="2"/>
        <charset val="134"/>
        <scheme val="minor"/>
      </rPr>
      <t>​</t>
    </r>
  </si>
  <si>
    <r>
      <t>福星文采</t>
    </r>
    <r>
      <rPr>
        <sz val="11"/>
        <color theme="1"/>
        <rFont val="等线"/>
        <family val="2"/>
        <charset val="134"/>
        <scheme val="minor"/>
      </rPr>
      <t>，才华与福气结合，生活安逸中展现才艺，适合艺术创作、休闲产业，但需防过于懒散。</t>
    </r>
  </si>
  <si>
    <t>自由艺术家；休闲产业策划者。</t>
  </si>
  <si>
    <r>
      <t>文曲+廉贞</t>
    </r>
    <r>
      <rPr>
        <sz val="11"/>
        <color theme="1"/>
        <rFont val="等线"/>
        <family val="2"/>
        <charset val="134"/>
        <scheme val="minor"/>
      </rPr>
      <t>​</t>
    </r>
  </si>
  <si>
    <r>
      <t>囚星遇艺</t>
    </r>
    <r>
      <rPr>
        <sz val="11"/>
        <color theme="1"/>
        <rFont val="等线"/>
        <family val="2"/>
        <charset val="134"/>
        <scheme val="minor"/>
      </rPr>
      <t>（需防破格），才华与感情、官非交织。文曲能减弱廉贞的煞气，使其变得懂礼貌，可以上台面，可以从事政务工作。但若组合不佳，易因才华惹桃花劫或官非。</t>
    </r>
  </si>
  <si>
    <t>从事政务的文艺工作者；但需防感情纠纷影响事业。</t>
  </si>
  <si>
    <r>
      <t>文曲+天府</t>
    </r>
    <r>
      <rPr>
        <sz val="11"/>
        <color theme="1"/>
        <rFont val="等线"/>
        <family val="2"/>
        <charset val="134"/>
        <scheme val="minor"/>
      </rPr>
      <t>​</t>
    </r>
  </si>
  <si>
    <r>
      <t>库藏文华</t>
    </r>
    <r>
      <rPr>
        <sz val="11"/>
        <color theme="1"/>
        <rFont val="等线"/>
        <family val="2"/>
        <charset val="134"/>
        <scheme val="minor"/>
      </rPr>
      <t>，才华有库收藏，能通过才艺积累财富，适合艺术管理、收藏、金融文艺结合领域。</t>
    </r>
  </si>
  <si>
    <t>艺术收藏家；文化基金管理者。</t>
  </si>
  <si>
    <r>
      <t>文曲+太阴</t>
    </r>
    <r>
      <rPr>
        <sz val="11"/>
        <color theme="1"/>
        <rFont val="等线"/>
        <family val="2"/>
        <charset val="134"/>
        <scheme val="minor"/>
      </rPr>
      <t>​</t>
    </r>
  </si>
  <si>
    <r>
      <t>阴水文曲</t>
    </r>
    <r>
      <rPr>
        <sz val="11"/>
        <color theme="1"/>
        <rFont val="等线"/>
        <family val="2"/>
        <charset val="134"/>
        <scheme val="minor"/>
      </rPr>
      <t>，才华内敛、感性，适合艺术、玄学、心理学、写作，灵感源于内心与夜晚。若同宫，主玄学天赋觉醒，适占卜、心理咨询。</t>
    </r>
  </si>
  <si>
    <t>诗人；心理咨询师；玄学研究者。</t>
  </si>
  <si>
    <r>
      <t>文曲+贪狼</t>
    </r>
    <r>
      <rPr>
        <sz val="11"/>
        <color theme="1"/>
        <rFont val="等线"/>
        <family val="2"/>
        <charset val="134"/>
        <scheme val="minor"/>
      </rPr>
      <t>​</t>
    </r>
  </si>
  <si>
    <r>
      <t>桃花文曲</t>
    </r>
    <r>
      <rPr>
        <sz val="11"/>
        <color theme="1"/>
        <rFont val="等线"/>
        <family val="2"/>
        <charset val="134"/>
        <scheme val="minor"/>
      </rPr>
      <t>，才艺与桃花并旺，适合演艺、外交、娱乐行业，魅力十足，但需防沉溺酒色。若与火星同宫，主跨界掌权（如艺人转型制片人）。</t>
    </r>
  </si>
  <si>
    <t>演艺明星；社交达人。</t>
  </si>
  <si>
    <r>
      <t>文曲+巨门</t>
    </r>
    <r>
      <rPr>
        <sz val="11"/>
        <color theme="1"/>
        <rFont val="等线"/>
        <family val="2"/>
        <charset val="134"/>
        <scheme val="minor"/>
      </rPr>
      <t>​</t>
    </r>
  </si>
  <si>
    <r>
      <t>暗曜争辉</t>
    </r>
    <r>
      <rPr>
        <sz val="11"/>
        <color theme="1"/>
        <rFont val="等线"/>
        <family val="2"/>
        <charset val="134"/>
        <scheme val="minor"/>
      </rPr>
      <t>（女命尤忌），口才与是非交织，适合法律、咨询、评论，但易惹口舌官司，女命更需防感情困扰、多角恋。若文曲独坐戌宫，三合会照太阳、巨门，称为“桃花滚滚格”，桃花如浪，感情困扰多。</t>
    </r>
  </si>
  <si>
    <t>律师；评论员；但需防口舌与感情纠纷。</t>
  </si>
  <si>
    <r>
      <t>文曲+天相</t>
    </r>
    <r>
      <rPr>
        <sz val="11"/>
        <color theme="1"/>
        <rFont val="等线"/>
        <family val="2"/>
        <charset val="134"/>
        <scheme val="minor"/>
      </rPr>
      <t>​</t>
    </r>
  </si>
  <si>
    <r>
      <t>印星文华</t>
    </r>
    <r>
      <rPr>
        <sz val="11"/>
        <color theme="1"/>
        <rFont val="等线"/>
        <family val="2"/>
        <charset val="134"/>
        <scheme val="minor"/>
      </rPr>
      <t>，才华得官方或权威认可，适合公职、秘书、公关中的文艺工作，形象佳。</t>
    </r>
  </si>
  <si>
    <t>政府文化官员；企业公关。</t>
  </si>
  <si>
    <r>
      <t>文曲+天梁</t>
    </r>
    <r>
      <rPr>
        <sz val="11"/>
        <color theme="1"/>
        <rFont val="等线"/>
        <family val="2"/>
        <charset val="134"/>
        <scheme val="minor"/>
      </rPr>
      <t>​</t>
    </r>
  </si>
  <si>
    <r>
      <t>荫星文曲</t>
    </r>
    <r>
      <rPr>
        <sz val="11"/>
        <color theme="1"/>
        <rFont val="等线"/>
        <family val="2"/>
        <charset val="134"/>
        <scheme val="minor"/>
      </rPr>
      <t>，才华得长辈荫庇，适合教育、医疗、宗教领域的文艺工作，有济世情怀。</t>
    </r>
  </si>
  <si>
    <t>医学教授；宗教艺术研究者。</t>
  </si>
  <si>
    <r>
      <t>文曲+七杀</t>
    </r>
    <r>
      <rPr>
        <sz val="11"/>
        <color theme="1"/>
        <rFont val="等线"/>
        <family val="2"/>
        <charset val="134"/>
        <scheme val="minor"/>
      </rPr>
      <t>​</t>
    </r>
  </si>
  <si>
    <r>
      <t>杀星遇艺</t>
    </r>
    <r>
      <rPr>
        <sz val="11"/>
        <color theme="1"/>
        <rFont val="等线"/>
        <family val="2"/>
        <charset val="134"/>
        <scheme val="minor"/>
      </rPr>
      <t>，才华在变动与风险中展现，适合军警文艺、外科艺术（如军旅作家、医疗插画师），但过程激烈。</t>
    </r>
  </si>
  <si>
    <t>战地记者；医疗题材艺术家。</t>
  </si>
  <si>
    <r>
      <t>文曲+破军</t>
    </r>
    <r>
      <rPr>
        <sz val="11"/>
        <color theme="1"/>
        <rFont val="等线"/>
        <family val="2"/>
        <charset val="134"/>
        <scheme val="minor"/>
      </rPr>
      <t>​</t>
    </r>
  </si>
  <si>
    <r>
      <t>耗星文曲</t>
    </r>
    <r>
      <rPr>
        <sz val="11"/>
        <color theme="1"/>
        <rFont val="等线"/>
        <family val="2"/>
        <charset val="134"/>
        <scheme val="minor"/>
      </rPr>
      <t>，才华在破旧立新中消耗与创造，适合先锋艺术、改革领域的创作，但需防才华过度消耗。</t>
    </r>
  </si>
  <si>
    <t>先锋艺术家；改革领域的创作者。</t>
  </si>
  <si>
    <r>
      <t>文曲+文昌</t>
    </r>
    <r>
      <rPr>
        <sz val="11"/>
        <color theme="1"/>
        <rFont val="等线"/>
        <family val="2"/>
        <charset val="134"/>
        <scheme val="minor"/>
      </rPr>
      <t>​</t>
    </r>
  </si>
  <si>
    <r>
      <t>文星拱命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昌曲齐会</t>
    </r>
    <r>
      <rPr>
        <sz val="11"/>
        <color theme="1"/>
        <rFont val="等线"/>
        <family val="2"/>
        <charset val="134"/>
        <scheme val="minor"/>
      </rPr>
      <t>，才华横溢，文武双全，科甲功名显赫。文昌主正统学术，文曲主才艺口才，二者结合，</t>
    </r>
    <r>
      <rPr>
        <b/>
        <sz val="11"/>
        <color theme="1"/>
        <rFont val="等线"/>
        <family val="3"/>
        <charset val="134"/>
        <scheme val="minor"/>
      </rPr>
      <t>利考试、学术、文艺</t>
    </r>
    <r>
      <rPr>
        <sz val="11"/>
        <color theme="1"/>
        <rFont val="等线"/>
        <family val="2"/>
        <charset val="134"/>
        <scheme val="minor"/>
      </rPr>
      <t>，但需防桃花。若昌曲在命宫或三方四正会照，无煞冲破，主富贵。</t>
    </r>
  </si>
  <si>
    <r>
      <t>文曲+左辅/右弼</t>
    </r>
    <r>
      <rPr>
        <sz val="11"/>
        <color theme="1"/>
        <rFont val="等线"/>
        <family val="2"/>
        <charset val="134"/>
        <scheme val="minor"/>
      </rPr>
      <t>​</t>
    </r>
  </si>
  <si>
    <r>
      <t>文星得助</t>
    </r>
    <r>
      <rPr>
        <sz val="11"/>
        <color theme="1"/>
        <rFont val="等线"/>
        <family val="2"/>
        <charset val="134"/>
        <scheme val="minor"/>
      </rPr>
      <t>，才华得贵人扶持，易因才艺获同辈、晚辈帮助，适合合作开展文艺事业。</t>
    </r>
  </si>
  <si>
    <r>
      <t>文曲+天魁/天钺</t>
    </r>
    <r>
      <rPr>
        <sz val="11"/>
        <color theme="1"/>
        <rFont val="等线"/>
        <family val="2"/>
        <charset val="134"/>
        <scheme val="minor"/>
      </rPr>
      <t>​</t>
    </r>
  </si>
  <si>
    <r>
      <t>文星遇贵</t>
    </r>
    <r>
      <rPr>
        <sz val="11"/>
        <color theme="1"/>
        <rFont val="等线"/>
        <family val="2"/>
        <charset val="134"/>
        <scheme val="minor"/>
      </rPr>
      <t>，才华得贵人赏识提携，易因才艺获科名、机遇，逢凶化吉。</t>
    </r>
  </si>
  <si>
    <r>
      <t>文曲+禄存</t>
    </r>
    <r>
      <rPr>
        <sz val="11"/>
        <color theme="1"/>
        <rFont val="等线"/>
        <family val="2"/>
        <charset val="134"/>
        <scheme val="minor"/>
      </rPr>
      <t>​</t>
    </r>
  </si>
  <si>
    <r>
      <t>文星带禄</t>
    </r>
    <r>
      <rPr>
        <sz val="11"/>
        <color theme="1"/>
        <rFont val="等线"/>
        <family val="2"/>
        <charset val="134"/>
        <scheme val="minor"/>
      </rPr>
      <t>，才华能直接转化为财富，易因才艺获利，适合将艺术商业化。若在三方四正加会照文昌星，称为“</t>
    </r>
    <r>
      <rPr>
        <b/>
        <sz val="11"/>
        <color theme="1"/>
        <rFont val="等线"/>
        <family val="3"/>
        <charset val="134"/>
        <scheme val="minor"/>
      </rPr>
      <t>禄文拱命格</t>
    </r>
    <r>
      <rPr>
        <sz val="11"/>
        <color theme="1"/>
        <rFont val="等线"/>
        <family val="2"/>
        <charset val="134"/>
        <scheme val="minor"/>
      </rPr>
      <t>”，主富贵，能因文而进财。</t>
    </r>
  </si>
  <si>
    <r>
      <t>文曲+天马</t>
    </r>
    <r>
      <rPr>
        <sz val="11"/>
        <color theme="1"/>
        <rFont val="等线"/>
        <family val="2"/>
        <charset val="134"/>
        <scheme val="minor"/>
      </rPr>
      <t>​</t>
    </r>
  </si>
  <si>
    <r>
      <t>文星奔驰</t>
    </r>
    <r>
      <rPr>
        <sz val="11"/>
        <color theme="1"/>
        <rFont val="等线"/>
        <family val="2"/>
        <charset val="134"/>
        <scheme val="minor"/>
      </rPr>
      <t>，才华在变动、奔波中展现，适合需要移动的文艺工作，如巡回演出、旅行写作。</t>
    </r>
  </si>
  <si>
    <r>
      <t>文曲+火星</t>
    </r>
    <r>
      <rPr>
        <sz val="11"/>
        <color theme="1"/>
        <rFont val="等线"/>
        <family val="2"/>
        <charset val="134"/>
        <scheme val="minor"/>
      </rPr>
      <t>​</t>
    </r>
  </si>
  <si>
    <r>
      <t>文星带急</t>
    </r>
    <r>
      <rPr>
        <sz val="11"/>
        <color theme="1"/>
        <rFont val="等线"/>
        <family val="2"/>
        <charset val="134"/>
        <scheme val="minor"/>
      </rPr>
      <t>，才华发挥急躁，灵感来得快也去得快，易因才艺惹纷争。若文曲、火星、右弼同在命宫，其人身有异痣。</t>
    </r>
  </si>
  <si>
    <r>
      <t>文曲+铃星</t>
    </r>
    <r>
      <rPr>
        <sz val="11"/>
        <color theme="1"/>
        <rFont val="等线"/>
        <family val="2"/>
        <charset val="134"/>
        <scheme val="minor"/>
      </rPr>
      <t>​</t>
    </r>
  </si>
  <si>
    <r>
      <t>文星藏忧</t>
    </r>
    <r>
      <rPr>
        <sz val="11"/>
        <color theme="1"/>
        <rFont val="等线"/>
        <family val="2"/>
        <charset val="134"/>
        <scheme val="minor"/>
      </rPr>
      <t>，才华发挥过程多煎熬、不顺，易怀才不遇。</t>
    </r>
  </si>
  <si>
    <r>
      <t>文曲+擎羊</t>
    </r>
    <r>
      <rPr>
        <sz val="11"/>
        <color theme="1"/>
        <rFont val="等线"/>
        <family val="2"/>
        <charset val="134"/>
        <scheme val="minor"/>
      </rPr>
      <t>​</t>
    </r>
  </si>
  <si>
    <r>
      <t>文星带伤</t>
    </r>
    <r>
      <rPr>
        <sz val="11"/>
        <color theme="1"/>
        <rFont val="等线"/>
        <family val="2"/>
        <charset val="134"/>
        <scheme val="minor"/>
      </rPr>
      <t>，才华易招嫉妒、竞争或伤害，需防因才惹祸。</t>
    </r>
  </si>
  <si>
    <r>
      <t>文曲+陀罗</t>
    </r>
    <r>
      <rPr>
        <sz val="11"/>
        <color theme="1"/>
        <rFont val="等线"/>
        <family val="2"/>
        <charset val="134"/>
        <scheme val="minor"/>
      </rPr>
      <t>​</t>
    </r>
  </si>
  <si>
    <r>
      <t>文星拖延</t>
    </r>
    <r>
      <rPr>
        <sz val="11"/>
        <color theme="1"/>
        <rFont val="等线"/>
        <family val="2"/>
        <charset val="134"/>
        <scheme val="minor"/>
      </rPr>
      <t>，才华发挥缓慢、反复，学习过程多周折。若文曲化忌又与陀罗同宫，正曜组合不好时，只宜从事技术类工作，很难从事文职。</t>
    </r>
  </si>
  <si>
    <r>
      <t>文曲+地空</t>
    </r>
    <r>
      <rPr>
        <sz val="11"/>
        <color theme="1"/>
        <rFont val="等线"/>
        <family val="2"/>
        <charset val="134"/>
        <scheme val="minor"/>
      </rPr>
      <t>​</t>
    </r>
  </si>
  <si>
    <r>
      <t>文星落空</t>
    </r>
    <r>
      <rPr>
        <sz val="11"/>
        <color theme="1"/>
        <rFont val="等线"/>
        <family val="2"/>
        <charset val="134"/>
        <scheme val="minor"/>
      </rPr>
      <t>，才华理想化，难以落实，或转向精神层面，易有奇特灵感但难被世俗理解。</t>
    </r>
  </si>
  <si>
    <r>
      <t>文曲+地劫</t>
    </r>
    <r>
      <rPr>
        <sz val="11"/>
        <color theme="1"/>
        <rFont val="等线"/>
        <family val="2"/>
        <charset val="134"/>
        <scheme val="minor"/>
      </rPr>
      <t>​</t>
    </r>
  </si>
  <si>
    <r>
      <t>文星带劫</t>
    </r>
    <r>
      <rPr>
        <sz val="11"/>
        <color theme="1"/>
        <rFont val="等线"/>
        <family val="2"/>
        <charset val="134"/>
        <scheme val="minor"/>
      </rPr>
      <t>，才华易遭破耗、中断，创作过程多波折。</t>
    </r>
  </si>
  <si>
    <r>
      <t>文曲+化禄</t>
    </r>
    <r>
      <rPr>
        <sz val="11"/>
        <color theme="1"/>
        <rFont val="等线"/>
        <family val="2"/>
        <charset val="134"/>
        <scheme val="minor"/>
      </rPr>
      <t>​</t>
    </r>
  </si>
  <si>
    <r>
      <t>文星生财</t>
    </r>
    <r>
      <rPr>
        <sz val="11"/>
        <color theme="1"/>
        <rFont val="等线"/>
        <family val="2"/>
        <charset val="134"/>
        <scheme val="minor"/>
      </rPr>
      <t>，才华直接带来财富机遇，易因才艺、口才获利。</t>
    </r>
  </si>
  <si>
    <r>
      <t>文曲+化权</t>
    </r>
    <r>
      <rPr>
        <sz val="11"/>
        <color theme="1"/>
        <rFont val="等线"/>
        <family val="2"/>
        <charset val="134"/>
        <scheme val="minor"/>
      </rPr>
      <t>​</t>
    </r>
  </si>
  <si>
    <r>
      <t>文星掌权</t>
    </r>
    <r>
      <rPr>
        <sz val="11"/>
        <color theme="1"/>
        <rFont val="等线"/>
        <family val="2"/>
        <charset val="134"/>
        <scheme val="minor"/>
      </rPr>
      <t>，才华使其掌握话语权或管理权，易成为文艺领域的权威或领导者。</t>
    </r>
  </si>
  <si>
    <r>
      <t>文曲+化科</t>
    </r>
    <r>
      <rPr>
        <sz val="11"/>
        <color theme="1"/>
        <rFont val="等线"/>
        <family val="2"/>
        <charset val="134"/>
        <scheme val="minor"/>
      </rPr>
      <t>​</t>
    </r>
  </si>
  <si>
    <r>
      <t>文星扬名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才华受权威认可</t>
    </r>
    <r>
      <rPr>
        <sz val="11"/>
        <color theme="1"/>
        <rFont val="等线"/>
        <family val="2"/>
        <charset val="134"/>
        <scheme val="minor"/>
      </rPr>
      <t>，利考试、竞赛、发表，易因才艺获名声。文曲化科，才艺受权威认可，考试竞赛易拔头筹（但需防感情纠纷）。</t>
    </r>
  </si>
  <si>
    <r>
      <t>文曲+化忌</t>
    </r>
    <r>
      <rPr>
        <sz val="11"/>
        <color theme="1"/>
        <rFont val="等线"/>
        <family val="2"/>
        <charset val="134"/>
        <scheme val="minor"/>
      </rPr>
      <t>​</t>
    </r>
  </si>
  <si>
    <r>
      <t>文星受阻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才华难伸，易有文书、契约、名誉方面的失误、纠纷</t>
    </r>
    <r>
      <rPr>
        <sz val="11"/>
        <color theme="1"/>
        <rFont val="等线"/>
        <family val="2"/>
        <charset val="134"/>
        <scheme val="minor"/>
      </rPr>
      <t>。主艺术、才艺难伸，易在感情、金钱、口舌上产生是非与困扰。若更逢廉贞、火、铃星，留意会贻误时机；若遇桃花星，更不利感情。</t>
    </r>
  </si>
  <si>
    <r>
      <t>1. “文曲”与“文昌”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文曲星属阴水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感性、才艺、口才、异路功名、桃花</t>
    </r>
    <r>
      <rPr>
        <sz val="11"/>
        <color theme="1"/>
        <rFont val="等线"/>
        <family val="2"/>
        <charset val="134"/>
        <scheme val="minor"/>
      </rPr>
      <t>，其才华表现</t>
    </r>
    <r>
      <rPr>
        <b/>
        <sz val="11"/>
        <color theme="1"/>
        <rFont val="等线"/>
        <family val="3"/>
        <charset val="134"/>
        <scheme val="minor"/>
      </rPr>
      <t>灵活、多变、重灵感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文昌星属阳金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理性、学术、功名、正统科举、文书</t>
    </r>
    <r>
      <rPr>
        <sz val="11"/>
        <color theme="1"/>
        <rFont val="等线"/>
        <family val="2"/>
        <charset val="134"/>
        <scheme val="minor"/>
      </rPr>
      <t>，其才华表现</t>
    </r>
    <r>
      <rPr>
        <b/>
        <sz val="11"/>
        <color theme="1"/>
        <rFont val="等线"/>
        <family val="3"/>
        <charset val="134"/>
        <scheme val="minor"/>
      </rPr>
      <t>稳定、系统、重规则</t>
    </r>
    <r>
      <rPr>
        <sz val="11"/>
        <color theme="1"/>
        <rFont val="等线"/>
        <family val="2"/>
        <charset val="134"/>
        <scheme val="minor"/>
      </rPr>
      <t>。二者皆主文采，但领域与性质不同。</t>
    </r>
  </si>
  <si>
    <r>
      <t>2. “异路功名”的本质</t>
    </r>
    <r>
      <rPr>
        <sz val="11"/>
        <color theme="1"/>
        <rFont val="等线"/>
        <family val="2"/>
        <charset val="134"/>
        <scheme val="minor"/>
      </rPr>
      <t>：文曲的成功路径</t>
    </r>
    <r>
      <rPr>
        <b/>
        <sz val="11"/>
        <color theme="1"/>
        <rFont val="等线"/>
        <family val="3"/>
        <charset val="134"/>
        <scheme val="minor"/>
      </rPr>
      <t>非正统、非主流</t>
    </r>
    <r>
      <rPr>
        <sz val="11"/>
        <color theme="1"/>
        <rFont val="等线"/>
        <family val="2"/>
        <charset val="134"/>
        <scheme val="minor"/>
      </rPr>
      <t>，常通过才艺、创意、特殊技能或机缘巧合获得名声与成就，不喜按部就班的科举或职场晋升。</t>
    </r>
  </si>
  <si>
    <r>
      <t>3. “桃花”性质</t>
    </r>
    <r>
      <rPr>
        <sz val="11"/>
        <color theme="1"/>
        <rFont val="等线"/>
        <family val="2"/>
        <charset val="134"/>
        <scheme val="minor"/>
      </rPr>
      <t>：文曲为</t>
    </r>
    <r>
      <rPr>
        <b/>
        <sz val="11"/>
        <color theme="1"/>
        <rFont val="等线"/>
        <family val="3"/>
        <charset val="134"/>
        <scheme val="minor"/>
      </rPr>
      <t>带桃花的星曜</t>
    </r>
    <r>
      <rPr>
        <sz val="11"/>
        <color theme="1"/>
        <rFont val="等线"/>
        <family val="2"/>
        <charset val="134"/>
        <scheme val="minor"/>
      </rPr>
      <t>，因其才艺、风度、感性特质易吸引异性。与廉贞、贪狼、右弼、红鸾、天喜、咸池、天姚、沐浴等桃花星会照，桃花更重，需防感情困扰。</t>
    </r>
  </si>
  <si>
    <r>
      <t>4. “暗曜”特性</t>
    </r>
    <r>
      <rPr>
        <sz val="11"/>
        <color theme="1"/>
        <rFont val="等线"/>
        <family val="2"/>
        <charset val="134"/>
        <scheme val="minor"/>
      </rPr>
      <t>：文曲又名“暗曜”，其才华、灵感有时是</t>
    </r>
    <r>
      <rPr>
        <b/>
        <sz val="11"/>
        <color theme="1"/>
        <rFont val="等线"/>
        <family val="3"/>
        <charset val="134"/>
        <scheme val="minor"/>
      </rPr>
      <t>内敛、暗藏、不为人知</t>
    </r>
    <r>
      <rPr>
        <sz val="11"/>
        <color theme="1"/>
        <rFont val="等线"/>
        <family val="2"/>
        <charset val="134"/>
        <scheme val="minor"/>
      </rPr>
      <t>的，需要时机激发。也主</t>
    </r>
    <r>
      <rPr>
        <b/>
        <sz val="11"/>
        <color theme="1"/>
        <rFont val="等线"/>
        <family val="3"/>
        <charset val="134"/>
        <scheme val="minor"/>
      </rPr>
      <t>暗中进行的文艺活动、私下交易</t>
    </r>
    <r>
      <rPr>
        <sz val="11"/>
        <color theme="1"/>
        <rFont val="等线"/>
        <family val="2"/>
        <charset val="134"/>
        <scheme val="minor"/>
      </rPr>
      <t>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</si>
  <si>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：文曲星所在宫位，指示在人生的哪个领域容易展现才华、获得异路功名，也指示该领域易有桃花、文书往来。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</si>
  <si>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，才华直接转化为财禄，易因才艺获利。见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，才华使其掌握话语权。见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才华受权威认可</t>
    </r>
    <r>
      <rPr>
        <sz val="11"/>
        <color theme="1"/>
        <rFont val="等线"/>
        <family val="2"/>
        <charset val="134"/>
        <scheme val="minor"/>
      </rPr>
      <t>，利考试、扬名。见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才华受阻</t>
    </r>
    <r>
      <rPr>
        <sz val="11"/>
        <color theme="1"/>
        <rFont val="等线"/>
        <family val="2"/>
        <charset val="134"/>
        <scheme val="minor"/>
      </rPr>
      <t>，易有文书麻烦、名誉受损、感情困扰。</t>
    </r>
  </si>
  <si>
    <r>
      <t>7. 地理类象</t>
    </r>
    <r>
      <rPr>
        <sz val="11"/>
        <color theme="1"/>
        <rFont val="等线"/>
        <family val="2"/>
        <charset val="134"/>
        <scheme val="minor"/>
      </rPr>
      <t>：春雨，春风，小雨，微风。学校，公家机关，水池，水道，回廊，小坡，图书馆，艺品店，戏院，补习班，书店。</t>
    </r>
  </si>
  <si>
    <t>一、文昌定义</t>
  </si>
  <si>
    <t>正、偏、传播、科甲、文书、才华、名声</t>
  </si>
  <si>
    <t>整合自《金刚佛光-紫占课程手册》中关于文昌“正”、“偏”、“传播”等核心概念的深度阐释与类象推演。</t>
  </si>
  <si>
    <t>在命宫、福德宫、田宅宫时，主心术正邪。</t>
  </si>
  <si>
    <t>在父母宫、迁移宫、交友宫时，主消息传递。</t>
  </si>
  <si>
    <t>在官禄宫、父母宫时，利于考试、文书。</t>
  </si>
  <si>
    <t>在命宫、官禄宫时显现。</t>
  </si>
  <si>
    <t>在命宫、交友宫时，主对外发言。</t>
  </si>
  <si>
    <t>1. 增强正/偏/传播性质组合</t>
  </si>
  <si>
    <t>重要人物或核心团队心术不正或行为偏斜。</t>
  </si>
  <si>
    <t>信息传递错误；道路规划偏离；车辆有隐蔽问题。</t>
  </si>
  <si>
    <t>偏见；外貌不对称；从事新闻工作的男性；公开传播（可能偏颇）的信息。</t>
  </si>
  <si>
    <t>非法收入；支票往来；银行短信；牙齿不齐；金属变形。</t>
  </si>
  <si>
    <t>扭曲的感受；不正的念头；心灵感应、托梦等超常信息传递。</t>
  </si>
  <si>
    <t>执法错误；电路故障；血液指标异常；恶性肿瘤。</t>
  </si>
  <si>
    <t>歪斜的建筑；不正规的网络群组；心术不正；胎位不正。</t>
  </si>
  <si>
    <t>记忆错误；心术不正的女性或外遇；水质有问题。</t>
  </si>
  <si>
    <t>扭曲的欲望；睡姿或用手习惯；病变或多余的肉体组织。</t>
  </si>
  <si>
    <t>牙齿或嘴唇缺陷；吃奇怪的东西；传播谣言；歪斜的门；冷门专业；偏科。</t>
  </si>
  <si>
    <t>饮食习惯异常；奇装异服；不恰当的关心或偏心；过度保护导致孩子体弱。</t>
  </si>
  <si>
    <t>领导失职；公信力丧失；亲子鉴定疑问；祭祖错误；遗传疾病；驼背；公共事件传播（尤其丑闻）。</t>
  </si>
  <si>
    <t>线条不直；平面歪斜。</t>
  </si>
  <si>
    <r>
      <t>核心象征</t>
    </r>
    <r>
      <rPr>
        <sz val="12"/>
        <color theme="1"/>
        <rFont val="等线"/>
        <family val="3"/>
        <charset val="134"/>
        <scheme val="minor"/>
      </rPr>
      <t>​</t>
    </r>
  </si>
  <si>
    <r>
      <t>本质</t>
    </r>
    <r>
      <rPr>
        <sz val="12"/>
        <color theme="1"/>
        <rFont val="等线"/>
        <family val="3"/>
        <charset val="134"/>
        <scheme val="minor"/>
      </rPr>
      <t>​</t>
    </r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</si>
  <si>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思维与行为模式具有</t>
    </r>
    <r>
      <rPr>
        <b/>
        <sz val="12"/>
        <color theme="1"/>
        <rFont val="等线"/>
        <family val="3"/>
        <charset val="134"/>
        <scheme val="minor"/>
      </rPr>
      <t>正邪两面性、传播性</t>
    </r>
    <r>
      <rPr>
        <sz val="12"/>
        <color theme="1"/>
        <rFont val="等线"/>
        <family val="3"/>
        <charset val="134"/>
        <scheme val="minor"/>
      </rPr>
      <t>。为人</t>
    </r>
    <r>
      <rPr>
        <b/>
        <sz val="12"/>
        <color theme="1"/>
        <rFont val="等线"/>
        <family val="3"/>
        <charset val="134"/>
        <scheme val="minor"/>
      </rPr>
      <t>聪明，有才华</t>
    </r>
    <r>
      <rPr>
        <sz val="12"/>
        <color theme="1"/>
        <rFont val="等线"/>
        <family val="3"/>
        <charset val="134"/>
        <scheme val="minor"/>
      </rPr>
      <t>，但心术可能</t>
    </r>
    <r>
      <rPr>
        <b/>
        <sz val="12"/>
        <color theme="1"/>
        <rFont val="等线"/>
        <family val="3"/>
        <charset val="134"/>
        <scheme val="minor"/>
      </rPr>
      <t>不正或偏斜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信息的传递者、言论的发布者、正邪的评判者</t>
    </r>
    <r>
      <rPr>
        <sz val="12"/>
        <color theme="1"/>
        <rFont val="等线"/>
        <family val="3"/>
        <charset val="134"/>
        <scheme val="minor"/>
      </rPr>
      <t>。人际关系上，代表</t>
    </r>
    <r>
      <rPr>
        <b/>
        <sz val="12"/>
        <color theme="1"/>
        <rFont val="等线"/>
        <family val="3"/>
        <charset val="134"/>
        <scheme val="minor"/>
      </rPr>
      <t>沟通、传播、代言</t>
    </r>
    <r>
      <rPr>
        <sz val="12"/>
        <color theme="1"/>
        <rFont val="等线"/>
        <family val="3"/>
        <charset val="134"/>
        <scheme val="minor"/>
      </rPr>
      <t>，也可能是</t>
    </r>
    <r>
      <rPr>
        <b/>
        <sz val="12"/>
        <color theme="1"/>
        <rFont val="等线"/>
        <family val="3"/>
        <charset val="134"/>
        <scheme val="minor"/>
      </rPr>
      <t>心术不正、传播谣言</t>
    </r>
    <r>
      <rPr>
        <sz val="12"/>
        <color theme="1"/>
        <rFont val="等线"/>
        <family val="3"/>
        <charset val="134"/>
        <scheme val="minor"/>
      </rPr>
      <t>之人。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</si>
  <si>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与信息传递、正邪判断、公开传播相关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科甲、考试、文书、契约</t>
    </r>
    <r>
      <rPr>
        <sz val="12"/>
        <color theme="1"/>
        <rFont val="等线"/>
        <family val="3"/>
        <charset val="134"/>
        <scheme val="minor"/>
      </rPr>
      <t>等正式事务，但也代表</t>
    </r>
    <r>
      <rPr>
        <b/>
        <sz val="12"/>
        <color theme="1"/>
        <rFont val="等线"/>
        <family val="3"/>
        <charset val="134"/>
        <scheme val="minor"/>
      </rPr>
      <t>偏门、不正之事、谣言的传播</t>
    </r>
    <r>
      <rPr>
        <sz val="12"/>
        <color theme="1"/>
        <rFont val="等线"/>
        <family val="3"/>
        <charset val="134"/>
        <scheme val="minor"/>
      </rPr>
      <t>。过程</t>
    </r>
    <r>
      <rPr>
        <b/>
        <sz val="12"/>
        <color theme="1"/>
        <rFont val="等线"/>
        <family val="3"/>
        <charset val="134"/>
        <scheme val="minor"/>
      </rPr>
      <t>公开、有影响力</t>
    </r>
    <r>
      <rPr>
        <sz val="12"/>
        <color theme="1"/>
        <rFont val="等线"/>
        <family val="3"/>
        <charset val="134"/>
        <scheme val="minor"/>
      </rPr>
      <t>，但性质可能</t>
    </r>
    <r>
      <rPr>
        <b/>
        <sz val="12"/>
        <color theme="1"/>
        <rFont val="等线"/>
        <family val="3"/>
        <charset val="134"/>
        <scheme val="minor"/>
      </rPr>
      <t>正或偏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</si>
  <si>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指代具有</t>
    </r>
    <r>
      <rPr>
        <b/>
        <sz val="12"/>
        <color theme="1"/>
        <rFont val="等线"/>
        <family val="3"/>
        <charset val="134"/>
        <scheme val="minor"/>
      </rPr>
      <t>传播、连接、偏斜</t>
    </r>
    <r>
      <rPr>
        <sz val="12"/>
        <color theme="1"/>
        <rFont val="等线"/>
        <family val="3"/>
        <charset val="134"/>
        <scheme val="minor"/>
      </rPr>
      <t>属性的事物。如：</t>
    </r>
    <r>
      <rPr>
        <b/>
        <sz val="12"/>
        <color theme="1"/>
        <rFont val="等线"/>
        <family val="3"/>
        <charset val="134"/>
        <scheme val="minor"/>
      </rPr>
      <t>文书、证书、支票、信息、网络、媒体、歪斜的物体、不对称的结构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DNA、遗传信息、偏斜的路径</t>
    </r>
    <r>
      <rPr>
        <sz val="12"/>
        <color theme="1"/>
        <rFont val="等线"/>
        <family val="3"/>
        <charset val="134"/>
        <scheme val="minor"/>
      </rPr>
      <t>。</t>
    </r>
  </si>
  <si>
    <r>
      <t>吉凶辩证</t>
    </r>
    <r>
      <rPr>
        <sz val="12"/>
        <color theme="1"/>
        <rFont val="等线"/>
        <family val="3"/>
        <charset val="134"/>
        <scheme val="minor"/>
      </rPr>
      <t>​</t>
    </r>
  </si>
  <si>
    <r>
      <t>乙级星，属</t>
    </r>
    <r>
      <rPr>
        <b/>
        <sz val="12"/>
        <color theme="1"/>
        <rFont val="等线"/>
        <family val="3"/>
        <charset val="134"/>
        <scheme val="minor"/>
      </rPr>
      <t>阳金</t>
    </r>
    <r>
      <rPr>
        <sz val="12"/>
        <color theme="1"/>
        <rFont val="等线"/>
        <family val="3"/>
        <charset val="134"/>
        <scheme val="minor"/>
      </rPr>
      <t>。主吉，为</t>
    </r>
    <r>
      <rPr>
        <b/>
        <sz val="12"/>
        <color theme="1"/>
        <rFont val="等线"/>
        <family val="3"/>
        <charset val="134"/>
        <scheme val="minor"/>
      </rPr>
      <t>六吉星</t>
    </r>
    <r>
      <rPr>
        <sz val="12"/>
        <color theme="1"/>
        <rFont val="等线"/>
        <family val="3"/>
        <charset val="134"/>
        <scheme val="minor"/>
      </rPr>
      <t>之一，</t>
    </r>
    <r>
      <rPr>
        <b/>
        <sz val="12"/>
        <color theme="1"/>
        <rFont val="等线"/>
        <family val="3"/>
        <charset val="134"/>
        <scheme val="minor"/>
      </rPr>
      <t>南斗助星</t>
    </r>
    <r>
      <rPr>
        <sz val="12"/>
        <color theme="1"/>
        <rFont val="等线"/>
        <family val="3"/>
        <charset val="134"/>
        <scheme val="minor"/>
      </rPr>
      <t>，司</t>
    </r>
    <r>
      <rPr>
        <b/>
        <sz val="12"/>
        <color theme="1"/>
        <rFont val="等线"/>
        <family val="3"/>
        <charset val="134"/>
        <scheme val="minor"/>
      </rPr>
      <t>科甲</t>
    </r>
    <r>
      <rPr>
        <sz val="12"/>
        <color theme="1"/>
        <rFont val="等线"/>
        <family val="3"/>
        <charset val="134"/>
        <scheme val="minor"/>
      </rPr>
      <t>。传统认为主</t>
    </r>
    <r>
      <rPr>
        <b/>
        <sz val="12"/>
        <color theme="1"/>
        <rFont val="等线"/>
        <family val="3"/>
        <charset val="134"/>
        <scheme val="minor"/>
      </rPr>
      <t>科甲、功名、文书才华</t>
    </r>
    <r>
      <rPr>
        <sz val="12"/>
        <color theme="1"/>
        <rFont val="等线"/>
        <family val="3"/>
        <charset val="134"/>
        <scheme val="minor"/>
      </rPr>
      <t>，但在紫占中，其</t>
    </r>
    <r>
      <rPr>
        <b/>
        <sz val="12"/>
        <color theme="1"/>
        <rFont val="等线"/>
        <family val="3"/>
        <charset val="134"/>
        <scheme val="minor"/>
      </rPr>
      <t>核心是“正”或“偏”，以及“传播”</t>
    </r>
    <r>
      <rPr>
        <sz val="12"/>
        <color theme="1"/>
        <rFont val="等线"/>
        <family val="3"/>
        <charset val="134"/>
        <scheme val="minor"/>
      </rPr>
      <t>。五行属金，</t>
    </r>
    <r>
      <rPr>
        <b/>
        <sz val="12"/>
        <color theme="1"/>
        <rFont val="等线"/>
        <family val="3"/>
        <charset val="134"/>
        <scheme val="minor"/>
      </rPr>
      <t>20%传达信息，80%论正或不正</t>
    </r>
    <r>
      <rPr>
        <sz val="12"/>
        <color theme="1"/>
        <rFont val="等线"/>
        <family val="3"/>
        <charset val="134"/>
        <scheme val="minor"/>
      </rPr>
      <t>。喜庙旺，忌落陷。与文曲星同属文星，但</t>
    </r>
    <r>
      <rPr>
        <b/>
        <sz val="12"/>
        <color theme="1"/>
        <rFont val="等线"/>
        <family val="3"/>
        <charset val="134"/>
        <scheme val="minor"/>
      </rPr>
      <t>文昌主正、偏与传播；文曲主才艺、口才、异路功名</t>
    </r>
    <r>
      <rPr>
        <sz val="12"/>
        <color theme="1"/>
        <rFont val="等线"/>
        <family val="3"/>
        <charset val="134"/>
        <scheme val="minor"/>
      </rPr>
      <t>。文昌化科时代表正；化忌时代表不正。</t>
    </r>
  </si>
  <si>
    <r>
      <t>正与偏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</si>
  <si>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正或不正</t>
    </r>
    <r>
      <rPr>
        <sz val="12"/>
        <color theme="1"/>
        <rFont val="等线"/>
        <family val="3"/>
        <charset val="134"/>
        <scheme val="minor"/>
      </rPr>
      <t>。化科时为正，化忌时为不正。在心念上，主</t>
    </r>
    <r>
      <rPr>
        <b/>
        <sz val="12"/>
        <color theme="1"/>
        <rFont val="等线"/>
        <family val="3"/>
        <charset val="134"/>
        <scheme val="minor"/>
      </rPr>
      <t>心术正邪</t>
    </r>
    <r>
      <rPr>
        <sz val="12"/>
        <color theme="1"/>
        <rFont val="等线"/>
        <family val="3"/>
        <charset val="134"/>
        <scheme val="minor"/>
      </rPr>
      <t>；在事件上，主</t>
    </r>
    <r>
      <rPr>
        <b/>
        <sz val="12"/>
        <color theme="1"/>
        <rFont val="等线"/>
        <family val="3"/>
        <charset val="134"/>
        <scheme val="minor"/>
      </rPr>
      <t>事情的性质是否正当</t>
    </r>
    <r>
      <rPr>
        <sz val="12"/>
        <color theme="1"/>
        <rFont val="等线"/>
        <family val="3"/>
        <charset val="134"/>
        <scheme val="minor"/>
      </rPr>
      <t>；在物体上，主</t>
    </r>
    <r>
      <rPr>
        <b/>
        <sz val="12"/>
        <color theme="1"/>
        <rFont val="等线"/>
        <family val="3"/>
        <charset val="134"/>
        <scheme val="minor"/>
      </rPr>
      <t>是否歪斜、不对称</t>
    </r>
    <r>
      <rPr>
        <sz val="12"/>
        <color theme="1"/>
        <rFont val="等线"/>
        <family val="3"/>
        <charset val="134"/>
        <scheme val="minor"/>
      </rPr>
      <t>。</t>
    </r>
  </si>
  <si>
    <r>
      <t>传播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</si>
  <si>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信息、消息、知识的传递与传播</t>
    </r>
    <r>
      <rPr>
        <sz val="12"/>
        <color theme="1"/>
        <rFont val="等线"/>
        <family val="3"/>
        <charset val="134"/>
        <scheme val="minor"/>
      </rPr>
      <t>。无论是正面的消息（如金榜题名）还是负面的谣言（坏事传千里），都具备传播性。</t>
    </r>
  </si>
  <si>
    <r>
      <t>科甲文书</t>
    </r>
    <r>
      <rPr>
        <sz val="12"/>
        <color theme="1"/>
        <rFont val="等线"/>
        <family val="3"/>
        <charset val="134"/>
        <scheme val="minor"/>
      </rPr>
      <t>​</t>
    </r>
  </si>
  <si>
    <r>
      <t>传统象义，代表</t>
    </r>
    <r>
      <rPr>
        <b/>
        <sz val="12"/>
        <color theme="1"/>
        <rFont val="等线"/>
        <family val="3"/>
        <charset val="134"/>
        <scheme val="minor"/>
      </rPr>
      <t>考试、功名、文书、契约、支票</t>
    </r>
    <r>
      <rPr>
        <sz val="12"/>
        <color theme="1"/>
        <rFont val="等线"/>
        <family val="3"/>
        <charset val="134"/>
        <scheme val="minor"/>
      </rPr>
      <t>等正式文件与资格。这是其“正”的一面在特定领域的应用结果。</t>
    </r>
  </si>
  <si>
    <r>
      <t>才华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</si>
  <si>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聪明、有才华</t>
    </r>
    <r>
      <rPr>
        <sz val="12"/>
        <color theme="1"/>
        <rFont val="等线"/>
        <family val="3"/>
        <charset val="134"/>
        <scheme val="minor"/>
      </rPr>
      <t>，但才华可能用于正道或偏门。</t>
    </r>
  </si>
  <si>
    <r>
      <t>代言与发言</t>
    </r>
    <r>
      <rPr>
        <sz val="12"/>
        <color theme="1"/>
        <rFont val="等线"/>
        <family val="3"/>
        <charset val="134"/>
        <scheme val="minor"/>
      </rPr>
      <t>​</t>
    </r>
  </si>
  <si>
    <r>
      <t>代表</t>
    </r>
    <r>
      <rPr>
        <b/>
        <sz val="12"/>
        <color theme="1"/>
        <rFont val="等线"/>
        <family val="3"/>
        <charset val="134"/>
        <scheme val="minor"/>
      </rPr>
      <t>代言人、新闻发言人、公开言论的发布者</t>
    </r>
    <r>
      <rPr>
        <sz val="12"/>
        <color theme="1"/>
        <rFont val="等线"/>
        <family val="3"/>
        <charset val="134"/>
        <scheme val="minor"/>
      </rPr>
      <t>。</t>
    </r>
  </si>
  <si>
    <r>
      <t>命宫</t>
    </r>
    <r>
      <rPr>
        <sz val="12"/>
        <color theme="1"/>
        <rFont val="等线"/>
        <family val="3"/>
        <charset val="134"/>
        <scheme val="minor"/>
      </rPr>
      <t>​</t>
    </r>
  </si>
  <si>
    <r>
      <t>看与什么星同宫。若与说话、沟通类星同度，此人可能天生从事传播类工作。若</t>
    </r>
    <r>
      <rPr>
        <b/>
        <sz val="12"/>
        <color theme="1"/>
        <rFont val="等线"/>
        <family val="3"/>
        <charset val="134"/>
        <scheme val="minor"/>
      </rPr>
      <t>文曲+文昌</t>
    </r>
    <r>
      <rPr>
        <sz val="12"/>
        <color theme="1"/>
        <rFont val="等线"/>
        <family val="3"/>
        <charset val="134"/>
        <scheme val="minor"/>
      </rPr>
      <t>同宫，应的不好就是一肚子坏水。若</t>
    </r>
    <r>
      <rPr>
        <b/>
        <sz val="12"/>
        <color theme="1"/>
        <rFont val="等线"/>
        <family val="3"/>
        <charset val="134"/>
        <scheme val="minor"/>
      </rPr>
      <t>天府+文曲</t>
    </r>
    <r>
      <rPr>
        <sz val="12"/>
        <color theme="1"/>
        <rFont val="等线"/>
        <family val="3"/>
        <charset val="134"/>
        <scheme val="minor"/>
      </rPr>
      <t>，则腹中有锦绣。代表此人是</t>
    </r>
    <r>
      <rPr>
        <b/>
        <sz val="12"/>
        <color theme="1"/>
        <rFont val="等线"/>
        <family val="3"/>
        <charset val="134"/>
        <scheme val="minor"/>
      </rPr>
      <t>信息的传递者或心术可能不正</t>
    </r>
    <r>
      <rPr>
        <sz val="12"/>
        <color theme="1"/>
        <rFont val="等线"/>
        <family val="3"/>
        <charset val="134"/>
        <scheme val="minor"/>
      </rPr>
      <t>。若福德或田宅也有文昌，更需留意心术。</t>
    </r>
  </si>
  <si>
    <r>
      <t>兄弟宫</t>
    </r>
    <r>
      <rPr>
        <sz val="12"/>
        <color theme="1"/>
        <rFont val="等线"/>
        <family val="3"/>
        <charset val="134"/>
        <scheme val="minor"/>
      </rPr>
      <t>​</t>
    </r>
  </si>
  <si>
    <r>
      <t>可能代表</t>
    </r>
    <r>
      <rPr>
        <b/>
        <sz val="12"/>
        <color theme="1"/>
        <rFont val="等线"/>
        <family val="3"/>
        <charset val="134"/>
        <scheme val="minor"/>
      </rPr>
      <t>母亲有不良行为</t>
    </r>
    <r>
      <rPr>
        <sz val="12"/>
        <color theme="1"/>
        <rFont val="等线"/>
        <family val="3"/>
        <charset val="134"/>
        <scheme val="minor"/>
      </rPr>
      <t>，或母亲是</t>
    </r>
    <r>
      <rPr>
        <b/>
        <sz val="12"/>
        <color theme="1"/>
        <rFont val="等线"/>
        <family val="3"/>
        <charset val="134"/>
        <scheme val="minor"/>
      </rPr>
      <t>继母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兄弟不是正兄弟</t>
    </r>
    <r>
      <rPr>
        <sz val="12"/>
        <color theme="1"/>
        <rFont val="等线"/>
        <family val="3"/>
        <charset val="134"/>
        <scheme val="minor"/>
      </rPr>
      <t>，如同母异父、同父异母。</t>
    </r>
  </si>
  <si>
    <r>
      <t>夫妻宫</t>
    </r>
    <r>
      <rPr>
        <sz val="12"/>
        <color theme="1"/>
        <rFont val="等线"/>
        <family val="3"/>
        <charset val="134"/>
        <scheme val="minor"/>
      </rPr>
      <t>​</t>
    </r>
  </si>
  <si>
    <r>
      <t>感情不正规，偏了</t>
    </r>
    <r>
      <rPr>
        <sz val="12"/>
        <color theme="1"/>
        <rFont val="等线"/>
        <family val="3"/>
        <charset val="134"/>
        <scheme val="minor"/>
      </rPr>
      <t>。可能代表</t>
    </r>
    <r>
      <rPr>
        <b/>
        <sz val="12"/>
        <color theme="1"/>
        <rFont val="等线"/>
        <family val="3"/>
        <charset val="134"/>
        <scheme val="minor"/>
      </rPr>
      <t>二房、喜欢外面的、婚外情</t>
    </r>
    <r>
      <rPr>
        <sz val="12"/>
        <color theme="1"/>
        <rFont val="等线"/>
        <family val="3"/>
        <charset val="134"/>
        <scheme val="minor"/>
      </rPr>
      <t>。若文昌化科，二奶可能转正。</t>
    </r>
  </si>
  <si>
    <r>
      <t>子女宫</t>
    </r>
    <r>
      <rPr>
        <sz val="12"/>
        <color theme="1"/>
        <rFont val="等线"/>
        <family val="3"/>
        <charset val="134"/>
        <scheme val="minor"/>
      </rPr>
      <t>​</t>
    </r>
  </si>
  <si>
    <r>
      <t>DNA：不是自己孩子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孩子有不好的习惯、偏科、性格偏激</t>
    </r>
    <r>
      <rPr>
        <sz val="12"/>
        <color theme="1"/>
        <rFont val="等线"/>
        <family val="3"/>
        <charset val="134"/>
        <scheme val="minor"/>
      </rPr>
      <t>。对于教师而言，子女宫文昌代表</t>
    </r>
    <r>
      <rPr>
        <b/>
        <sz val="12"/>
        <color theme="1"/>
        <rFont val="等线"/>
        <family val="3"/>
        <charset val="134"/>
        <scheme val="minor"/>
      </rPr>
      <t>传播知识</t>
    </r>
    <r>
      <rPr>
        <sz val="12"/>
        <color theme="1"/>
        <rFont val="等线"/>
        <family val="3"/>
        <charset val="134"/>
        <scheme val="minor"/>
      </rPr>
      <t>。在性方面，可能代表</t>
    </r>
    <r>
      <rPr>
        <b/>
        <sz val="12"/>
        <color theme="1"/>
        <rFont val="等线"/>
        <family val="3"/>
        <charset val="134"/>
        <scheme val="minor"/>
      </rPr>
      <t>性取向偏、怪癖</t>
    </r>
    <r>
      <rPr>
        <sz val="12"/>
        <color theme="1"/>
        <rFont val="等线"/>
        <family val="3"/>
        <charset val="134"/>
        <scheme val="minor"/>
      </rPr>
      <t>。</t>
    </r>
  </si>
  <si>
    <r>
      <t>偏财</t>
    </r>
    <r>
      <rPr>
        <sz val="12"/>
        <color theme="1"/>
        <rFont val="等线"/>
        <family val="3"/>
        <charset val="134"/>
        <scheme val="minor"/>
      </rPr>
      <t>。容易有</t>
    </r>
    <r>
      <rPr>
        <b/>
        <sz val="12"/>
        <color theme="1"/>
        <rFont val="等线"/>
        <family val="3"/>
        <charset val="134"/>
        <scheme val="minor"/>
      </rPr>
      <t>不正之财、擦边球的财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挣宣传、传达的钱</t>
    </r>
    <r>
      <rPr>
        <sz val="12"/>
        <color theme="1"/>
        <rFont val="等线"/>
        <family val="3"/>
        <charset val="134"/>
        <scheme val="minor"/>
      </rPr>
      <t>，如广告、传媒收入，或</t>
    </r>
    <r>
      <rPr>
        <b/>
        <sz val="12"/>
        <color theme="1"/>
        <rFont val="等线"/>
        <family val="3"/>
        <charset val="134"/>
        <scheme val="minor"/>
      </rPr>
      <t>转账汇款</t>
    </r>
    <r>
      <rPr>
        <sz val="12"/>
        <color theme="1"/>
        <rFont val="等线"/>
        <family val="3"/>
        <charset val="134"/>
        <scheme val="minor"/>
      </rPr>
      <t>。</t>
    </r>
  </si>
  <si>
    <r>
      <t>脸长歪了，牙长歪了</t>
    </r>
    <r>
      <rPr>
        <sz val="12"/>
        <color theme="1"/>
        <rFont val="等线"/>
        <family val="3"/>
        <charset val="134"/>
        <scheme val="minor"/>
      </rPr>
      <t>（尤其与巨门同宫时）。</t>
    </r>
    <r>
      <rPr>
        <b/>
        <sz val="12"/>
        <color theme="1"/>
        <rFont val="等线"/>
        <family val="3"/>
        <charset val="134"/>
        <scheme val="minor"/>
      </rPr>
      <t>身体左右不对称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指标异常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肉身不良习惯</t>
    </r>
    <r>
      <rPr>
        <sz val="12"/>
        <color theme="1"/>
        <rFont val="等线"/>
        <family val="3"/>
        <charset val="134"/>
        <scheme val="minor"/>
      </rPr>
      <t>，如抖腿、抽烟、喝酒等。在传递层面，可代表</t>
    </r>
    <r>
      <rPr>
        <b/>
        <sz val="12"/>
        <color theme="1"/>
        <rFont val="等线"/>
        <family val="3"/>
        <charset val="134"/>
        <scheme val="minor"/>
      </rPr>
      <t>肢体语言、手语、舞蹈</t>
    </r>
    <r>
      <rPr>
        <sz val="12"/>
        <color theme="1"/>
        <rFont val="等线"/>
        <family val="3"/>
        <charset val="134"/>
        <scheme val="minor"/>
      </rPr>
      <t>。疾厄是第二个命宫，最好不要有文昌。</t>
    </r>
  </si>
  <si>
    <r>
      <t>未来或过去</t>
    </r>
    <r>
      <rPr>
        <sz val="12"/>
        <color theme="1"/>
        <rFont val="等线"/>
        <family val="3"/>
        <charset val="134"/>
        <scheme val="minor"/>
      </rPr>
      <t>（紫占中可以代表过去）。代表</t>
    </r>
    <r>
      <rPr>
        <b/>
        <sz val="12"/>
        <color theme="1"/>
        <rFont val="等线"/>
        <family val="3"/>
        <charset val="134"/>
        <scheme val="minor"/>
      </rPr>
      <t>外界传递什么消息</t>
    </r>
    <r>
      <rPr>
        <sz val="12"/>
        <color theme="1"/>
        <rFont val="等线"/>
        <family val="3"/>
        <charset val="134"/>
        <scheme val="minor"/>
      </rPr>
      <t>，如高考消息、恋爱消息、国外消息。也代表</t>
    </r>
    <r>
      <rPr>
        <b/>
        <sz val="12"/>
        <color theme="1"/>
        <rFont val="等线"/>
        <family val="3"/>
        <charset val="134"/>
        <scheme val="minor"/>
      </rPr>
      <t>外界给了偏斜的消息</t>
    </r>
    <r>
      <rPr>
        <sz val="12"/>
        <color theme="1"/>
        <rFont val="等线"/>
        <family val="3"/>
        <charset val="134"/>
        <scheme val="minor"/>
      </rPr>
      <t>。</t>
    </r>
  </si>
  <si>
    <r>
      <t>对外界说什么，新闻发言人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外人是否会影响你？外人不正</t>
    </r>
    <r>
      <rPr>
        <sz val="12"/>
        <color theme="1"/>
        <rFont val="等线"/>
        <family val="3"/>
        <charset val="134"/>
        <scheme val="minor"/>
      </rPr>
      <t>。若交友宫使得命宫文昌化忌，代表外人导致命主心术不正。</t>
    </r>
  </si>
  <si>
    <r>
      <t>官禄宫</t>
    </r>
    <r>
      <rPr>
        <sz val="12"/>
        <color theme="1"/>
        <rFont val="等线"/>
        <family val="3"/>
        <charset val="134"/>
        <scheme val="minor"/>
      </rPr>
      <t>​</t>
    </r>
  </si>
  <si>
    <r>
      <t>传播：往外发送东西</t>
    </r>
    <r>
      <rPr>
        <sz val="12"/>
        <color theme="1"/>
        <rFont val="等线"/>
        <family val="3"/>
        <charset val="134"/>
        <scheme val="minor"/>
      </rPr>
      <t>。代表事业与传播、发送信息相关。</t>
    </r>
  </si>
  <si>
    <r>
      <t>祖训；家风不正；容易心有邪念</t>
    </r>
    <r>
      <rPr>
        <sz val="12"/>
        <color theme="1"/>
        <rFont val="等线"/>
        <family val="3"/>
        <charset val="134"/>
        <scheme val="minor"/>
      </rPr>
      <t>。田宅宫代表天魂的想法，若田宅宫有文昌，尤其自化忌，代表其对世界的方式是拧着来的，需谨慎交往。</t>
    </r>
  </si>
  <si>
    <r>
      <t>福德宫</t>
    </r>
    <r>
      <rPr>
        <sz val="12"/>
        <color theme="1"/>
        <rFont val="等线"/>
        <family val="3"/>
        <charset val="134"/>
        <scheme val="minor"/>
      </rPr>
      <t>​</t>
    </r>
  </si>
  <si>
    <r>
      <t>想歪了，三观不正</t>
    </r>
    <r>
      <rPr>
        <sz val="12"/>
        <color theme="1"/>
        <rFont val="等线"/>
        <family val="3"/>
        <charset val="134"/>
        <scheme val="minor"/>
      </rPr>
      <t>（福德宫、田宅宫同论）。人有邪念。若福德宫文昌自化忌，代表其对世界的方式是拧着来的，需谨慎交往。</t>
    </r>
  </si>
  <si>
    <r>
      <t>有可能是传递消息，传播类知识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父母不正，认干爹，养父母</t>
    </r>
    <r>
      <rPr>
        <sz val="12"/>
        <color theme="1"/>
        <rFont val="等线"/>
        <family val="3"/>
        <charset val="134"/>
        <scheme val="minor"/>
      </rPr>
      <t>。</t>
    </r>
  </si>
  <si>
    <r>
      <t>文昌+紫微</t>
    </r>
    <r>
      <rPr>
        <sz val="12"/>
        <color theme="1"/>
        <rFont val="等线"/>
        <family val="3"/>
        <charset val="134"/>
        <scheme val="minor"/>
      </rPr>
      <t>​</t>
    </r>
  </si>
  <si>
    <r>
      <t>高大上+正/偏</t>
    </r>
    <r>
      <rPr>
        <sz val="12"/>
        <color theme="1"/>
        <rFont val="等线"/>
        <family val="3"/>
        <charset val="134"/>
        <scheme val="minor"/>
      </rPr>
      <t>。紫微代表高大上、独立、重要。组合后可能表示：</t>
    </r>
    <r>
      <rPr>
        <b/>
        <sz val="12"/>
        <color theme="1"/>
        <rFont val="等线"/>
        <family val="3"/>
        <charset val="134"/>
        <scheme val="minor"/>
      </rPr>
      <t>上梁不正下梁歪</t>
    </r>
    <r>
      <rPr>
        <sz val="12"/>
        <color theme="1"/>
        <rFont val="等线"/>
        <family val="3"/>
        <charset val="134"/>
        <scheme val="minor"/>
      </rPr>
      <t>；或</t>
    </r>
    <r>
      <rPr>
        <b/>
        <sz val="12"/>
        <color theme="1"/>
        <rFont val="等线"/>
        <family val="3"/>
        <charset val="134"/>
        <scheme val="minor"/>
      </rPr>
      <t>核心团队歪了</t>
    </r>
    <r>
      <rPr>
        <sz val="12"/>
        <color theme="1"/>
        <rFont val="等线"/>
        <family val="3"/>
        <charset val="134"/>
        <scheme val="minor"/>
      </rPr>
      <t>。</t>
    </r>
  </si>
  <si>
    <r>
      <t>文昌+天机</t>
    </r>
    <r>
      <rPr>
        <sz val="12"/>
        <color theme="1"/>
        <rFont val="等线"/>
        <family val="3"/>
        <charset val="134"/>
        <scheme val="minor"/>
      </rPr>
      <t>​</t>
    </r>
  </si>
  <si>
    <r>
      <t>动/车/道路+正/偏/传播</t>
    </r>
    <r>
      <rPr>
        <sz val="12"/>
        <color theme="1"/>
        <rFont val="等线"/>
        <family val="3"/>
        <charset val="134"/>
        <scheme val="minor"/>
      </rPr>
      <t>。天机主动、车、道路。组合后可能表示：</t>
    </r>
    <r>
      <rPr>
        <b/>
        <sz val="12"/>
        <color theme="1"/>
        <rFont val="等线"/>
        <family val="3"/>
        <charset val="134"/>
        <scheme val="minor"/>
      </rPr>
      <t>传递偏了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道路偏了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车偏了，大修过没看出来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走歪了</t>
    </r>
    <r>
      <rPr>
        <sz val="12"/>
        <color theme="1"/>
        <rFont val="等线"/>
        <family val="3"/>
        <charset val="134"/>
        <scheme val="minor"/>
      </rPr>
      <t>。</t>
    </r>
  </si>
  <si>
    <r>
      <t>文昌+太阳</t>
    </r>
    <r>
      <rPr>
        <sz val="12"/>
        <color theme="1"/>
        <rFont val="等线"/>
        <family val="3"/>
        <charset val="134"/>
        <scheme val="minor"/>
      </rPr>
      <t>​</t>
    </r>
  </si>
  <si>
    <r>
      <t>看/男人/发散/公开+正/偏/传播</t>
    </r>
    <r>
      <rPr>
        <sz val="12"/>
        <color theme="1"/>
        <rFont val="等线"/>
        <family val="3"/>
        <charset val="134"/>
        <scheme val="minor"/>
      </rPr>
      <t>。太阳主看、男人、发散、公开。组合后可能表示：</t>
    </r>
    <r>
      <rPr>
        <b/>
        <sz val="12"/>
        <color theme="1"/>
        <rFont val="等线"/>
        <family val="3"/>
        <charset val="134"/>
        <scheme val="minor"/>
      </rPr>
      <t>看偏了，看斜了，有色眼镜看人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眼睛斜鼻子歪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男人不正，男人做新闻的工作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发散传递出去，传递偏了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公开传递</t>
    </r>
    <r>
      <rPr>
        <sz val="12"/>
        <color theme="1"/>
        <rFont val="等线"/>
        <family val="3"/>
        <charset val="134"/>
        <scheme val="minor"/>
      </rPr>
      <t>。</t>
    </r>
  </si>
  <si>
    <r>
      <t>文昌+武曲</t>
    </r>
    <r>
      <rPr>
        <sz val="12"/>
        <color theme="1"/>
        <rFont val="等线"/>
        <family val="3"/>
        <charset val="134"/>
        <scheme val="minor"/>
      </rPr>
      <t>​</t>
    </r>
  </si>
  <si>
    <r>
      <t>钱/硬的/金属+正/偏/传播</t>
    </r>
    <r>
      <rPr>
        <sz val="12"/>
        <color theme="1"/>
        <rFont val="等线"/>
        <family val="3"/>
        <charset val="134"/>
        <scheme val="minor"/>
      </rPr>
      <t>。武曲主钱、硬的、金属。组合后可能表示：</t>
    </r>
    <r>
      <rPr>
        <b/>
        <sz val="12"/>
        <color theme="1"/>
        <rFont val="等线"/>
        <family val="3"/>
        <charset val="134"/>
        <scheme val="minor"/>
      </rPr>
      <t>不正之财，偏财，擦边球的财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传递钱财：支票</t>
    </r>
    <r>
      <rPr>
        <sz val="12"/>
        <color theme="1"/>
        <rFont val="等线"/>
        <family val="3"/>
        <charset val="134"/>
        <scheme val="minor"/>
      </rPr>
      <t>；若加破军，代表</t>
    </r>
    <r>
      <rPr>
        <b/>
        <sz val="12"/>
        <color theme="1"/>
        <rFont val="等线"/>
        <family val="3"/>
        <charset val="134"/>
        <scheme val="minor"/>
      </rPr>
      <t>打钱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短信通知到账</t>
    </r>
    <r>
      <rPr>
        <sz val="12"/>
        <color theme="1"/>
        <rFont val="等线"/>
        <family val="3"/>
        <charset val="134"/>
        <scheme val="minor"/>
      </rPr>
      <t>（发信息是文昌，信息内容文曲）；身体上：</t>
    </r>
    <r>
      <rPr>
        <b/>
        <sz val="12"/>
        <color theme="1"/>
        <rFont val="等线"/>
        <family val="3"/>
        <charset val="134"/>
        <scheme val="minor"/>
      </rPr>
      <t>牙歪了，骨折了，骨质增生</t>
    </r>
    <r>
      <rPr>
        <sz val="12"/>
        <color theme="1"/>
        <rFont val="等线"/>
        <family val="3"/>
        <charset val="134"/>
        <scheme val="minor"/>
      </rPr>
      <t>；物体上：</t>
    </r>
    <r>
      <rPr>
        <b/>
        <sz val="12"/>
        <color theme="1"/>
        <rFont val="等线"/>
        <family val="3"/>
        <charset val="134"/>
        <scheme val="minor"/>
      </rPr>
      <t>铁歪了</t>
    </r>
    <r>
      <rPr>
        <sz val="12"/>
        <color theme="1"/>
        <rFont val="等线"/>
        <family val="3"/>
        <charset val="134"/>
        <scheme val="minor"/>
      </rPr>
      <t>。</t>
    </r>
  </si>
  <si>
    <r>
      <t>文昌+天同</t>
    </r>
    <r>
      <rPr>
        <sz val="12"/>
        <color theme="1"/>
        <rFont val="等线"/>
        <family val="3"/>
        <charset val="134"/>
        <scheme val="minor"/>
      </rPr>
      <t>​</t>
    </r>
  </si>
  <si>
    <r>
      <t>想法/缘分/感受+正/偏/传播</t>
    </r>
    <r>
      <rPr>
        <sz val="12"/>
        <color theme="1"/>
        <rFont val="等线"/>
        <family val="3"/>
        <charset val="134"/>
        <scheme val="minor"/>
      </rPr>
      <t>。天同主想法、缘分、感受。组合后可能表示：</t>
    </r>
    <r>
      <rPr>
        <b/>
        <sz val="12"/>
        <color theme="1"/>
        <rFont val="等线"/>
        <family val="3"/>
        <charset val="134"/>
        <scheme val="minor"/>
      </rPr>
      <t>感受歪了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想法：心不正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传递想法，他心通（传递），托梦，道念</t>
    </r>
    <r>
      <rPr>
        <sz val="12"/>
        <color theme="1"/>
        <rFont val="等线"/>
        <family val="3"/>
        <charset val="134"/>
        <scheme val="minor"/>
      </rPr>
      <t>。</t>
    </r>
  </si>
  <si>
    <r>
      <t>文昌+廉贞</t>
    </r>
    <r>
      <rPr>
        <sz val="12"/>
        <color theme="1"/>
        <rFont val="等线"/>
        <family val="3"/>
        <charset val="134"/>
        <scheme val="minor"/>
      </rPr>
      <t>​</t>
    </r>
  </si>
  <si>
    <r>
      <t>抓/电路/血/肿瘤+正/偏</t>
    </r>
    <r>
      <rPr>
        <sz val="12"/>
        <color theme="1"/>
        <rFont val="等线"/>
        <family val="3"/>
        <charset val="134"/>
        <scheme val="minor"/>
      </rPr>
      <t>。廉贞主抓、电路、血、肿瘤。组合后可能表示：</t>
    </r>
    <r>
      <rPr>
        <b/>
        <sz val="12"/>
        <color theme="1"/>
        <rFont val="等线"/>
        <family val="3"/>
        <charset val="134"/>
        <scheme val="minor"/>
      </rPr>
      <t>抓歪了，警察抓错人了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电路偏差，电线短路，失灵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血偏了，指标偏了，败血病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肿瘤偏了-恶性的</t>
    </r>
    <r>
      <rPr>
        <sz val="12"/>
        <color theme="1"/>
        <rFont val="等线"/>
        <family val="3"/>
        <charset val="134"/>
        <scheme val="minor"/>
      </rPr>
      <t>。</t>
    </r>
  </si>
  <si>
    <r>
      <t>文昌+天府</t>
    </r>
    <r>
      <rPr>
        <sz val="12"/>
        <color theme="1"/>
        <rFont val="等线"/>
        <family val="3"/>
        <charset val="134"/>
        <scheme val="minor"/>
      </rPr>
      <t>​</t>
    </r>
  </si>
  <si>
    <r>
      <t>房子/空间/腹+正/偏</t>
    </r>
    <r>
      <rPr>
        <sz val="12"/>
        <color theme="1"/>
        <rFont val="等线"/>
        <family val="3"/>
        <charset val="134"/>
        <scheme val="minor"/>
      </rPr>
      <t>。天府主房子、空间、腹。组合后可能表示：</t>
    </r>
    <r>
      <rPr>
        <b/>
        <sz val="12"/>
        <color theme="1"/>
        <rFont val="等线"/>
        <family val="3"/>
        <charset val="134"/>
        <scheme val="minor"/>
      </rPr>
      <t>房子不正，有斜角，大厦倾斜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空间：区域不正，QQ群不正规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腹：一肚子坏水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腹：怀孕：胎位不正</t>
    </r>
    <r>
      <rPr>
        <sz val="12"/>
        <color theme="1"/>
        <rFont val="等线"/>
        <family val="3"/>
        <charset val="134"/>
        <scheme val="minor"/>
      </rPr>
      <t>。</t>
    </r>
  </si>
  <si>
    <r>
      <t>文昌+太阴</t>
    </r>
    <r>
      <rPr>
        <sz val="12"/>
        <color theme="1"/>
        <rFont val="等线"/>
        <family val="3"/>
        <charset val="134"/>
        <scheme val="minor"/>
      </rPr>
      <t>​</t>
    </r>
  </si>
  <si>
    <r>
      <t>储存/女人/水+正/偏</t>
    </r>
    <r>
      <rPr>
        <sz val="12"/>
        <color theme="1"/>
        <rFont val="等线"/>
        <family val="3"/>
        <charset val="134"/>
        <scheme val="minor"/>
      </rPr>
      <t>。太阴主储存、女人、水。组合后可能表示：</t>
    </r>
    <r>
      <rPr>
        <b/>
        <sz val="12"/>
        <color theme="1"/>
        <rFont val="等线"/>
        <family val="3"/>
        <charset val="134"/>
        <scheme val="minor"/>
      </rPr>
      <t>存储歪了，记得东西不对，有偏斜的；一肚子坏水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女人歪了；也有可能是外遇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水不对</t>
    </r>
    <r>
      <rPr>
        <sz val="12"/>
        <color theme="1"/>
        <rFont val="等线"/>
        <family val="3"/>
        <charset val="134"/>
        <scheme val="minor"/>
      </rPr>
      <t>。</t>
    </r>
  </si>
  <si>
    <r>
      <t>文昌+贪狼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</si>
  <si>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欲望/肉/体积+正/偏</t>
    </r>
    <r>
      <rPr>
        <sz val="12"/>
        <color theme="1"/>
        <rFont val="等线"/>
        <family val="3"/>
        <charset val="134"/>
        <scheme val="minor"/>
      </rPr>
      <t>。贪狼主欲望、肉、体积。组合后可能表示：</t>
    </r>
    <r>
      <rPr>
        <b/>
        <sz val="12"/>
        <color theme="1"/>
        <rFont val="等线"/>
        <family val="3"/>
        <charset val="134"/>
        <scheme val="minor"/>
      </rPr>
      <t>欲望偏斜了：好赌好色</t>
    </r>
    <r>
      <rPr>
        <sz val="12"/>
        <color theme="1"/>
        <rFont val="等线"/>
        <family val="3"/>
        <charset val="134"/>
        <scheme val="minor"/>
      </rPr>
      <t>；身体：</t>
    </r>
    <r>
      <rPr>
        <b/>
        <sz val="12"/>
        <color theme="1"/>
        <rFont val="等线"/>
        <family val="3"/>
        <charset val="134"/>
        <scheme val="minor"/>
      </rPr>
      <t>侧着睡；左撇子</t>
    </r>
    <r>
      <rPr>
        <sz val="12"/>
        <color theme="1"/>
        <rFont val="等线"/>
        <family val="3"/>
        <charset val="134"/>
        <scheme val="minor"/>
      </rPr>
      <t>；肉：</t>
    </r>
    <r>
      <rPr>
        <b/>
        <sz val="12"/>
        <color theme="1"/>
        <rFont val="等线"/>
        <family val="3"/>
        <charset val="134"/>
        <scheme val="minor"/>
      </rPr>
      <t>不正的肉：癌症，赘肉，肥肉</t>
    </r>
    <r>
      <rPr>
        <sz val="12"/>
        <color theme="1"/>
        <rFont val="等线"/>
        <family val="3"/>
        <charset val="134"/>
        <scheme val="minor"/>
      </rPr>
      <t>。</t>
    </r>
  </si>
  <si>
    <r>
      <t>文昌+巨门</t>
    </r>
    <r>
      <rPr>
        <sz val="12"/>
        <color theme="1"/>
        <rFont val="等线"/>
        <family val="3"/>
        <charset val="134"/>
        <scheme val="minor"/>
      </rPr>
      <t>​</t>
    </r>
  </si>
  <si>
    <r>
      <t>口/门/说话+正/偏/传播</t>
    </r>
    <r>
      <rPr>
        <sz val="12"/>
        <color theme="1"/>
        <rFont val="等线"/>
        <family val="3"/>
        <charset val="134"/>
        <scheme val="minor"/>
      </rPr>
      <t>。巨门主口、门、说话。组合后可能表示：</t>
    </r>
    <r>
      <rPr>
        <b/>
        <sz val="12"/>
        <color theme="1"/>
        <rFont val="等线"/>
        <family val="3"/>
        <charset val="134"/>
        <scheme val="minor"/>
      </rPr>
      <t>口：牙歪了；唇裂；口(吃)：好吃偏斜的(老鼠，穿山甲)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说：说话不正经，应传递：传递消息；发言小道消息</t>
    </r>
    <r>
      <rPr>
        <sz val="12"/>
        <color theme="1"/>
        <rFont val="等线"/>
        <family val="3"/>
        <charset val="134"/>
        <scheme val="minor"/>
      </rPr>
      <t>（若加阴煞或伏兵）；</t>
    </r>
    <r>
      <rPr>
        <b/>
        <sz val="12"/>
        <color theme="1"/>
        <rFont val="等线"/>
        <family val="3"/>
        <charset val="134"/>
        <scheme val="minor"/>
      </rPr>
      <t>门：门歪了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门：专业(偏门)考古学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门：学习：偏门，偏科</t>
    </r>
    <r>
      <rPr>
        <sz val="12"/>
        <color theme="1"/>
        <rFont val="等线"/>
        <family val="3"/>
        <charset val="134"/>
        <scheme val="minor"/>
      </rPr>
      <t>。</t>
    </r>
  </si>
  <si>
    <r>
      <t>文昌+天相</t>
    </r>
    <r>
      <rPr>
        <sz val="12"/>
        <color theme="1"/>
        <rFont val="等线"/>
        <family val="3"/>
        <charset val="134"/>
        <scheme val="minor"/>
      </rPr>
      <t>​</t>
    </r>
  </si>
  <si>
    <r>
      <t>吃/衣/呵护+正/偏</t>
    </r>
    <r>
      <rPr>
        <sz val="12"/>
        <color theme="1"/>
        <rFont val="等线"/>
        <family val="3"/>
        <charset val="134"/>
        <scheme val="minor"/>
      </rPr>
      <t>。天相主吃、衣、呵护。组合后可能表示：</t>
    </r>
    <r>
      <rPr>
        <b/>
        <sz val="12"/>
        <color theme="1"/>
        <rFont val="等线"/>
        <family val="3"/>
        <charset val="134"/>
        <scheme val="minor"/>
      </rPr>
      <t>吃：偏食</t>
    </r>
    <r>
      <rPr>
        <sz val="12"/>
        <color theme="1"/>
        <rFont val="等线"/>
        <family val="3"/>
        <charset val="134"/>
        <scheme val="minor"/>
      </rPr>
      <t>（天相旺则吃得多，天相陷则偏食）；</t>
    </r>
    <r>
      <rPr>
        <b/>
        <sz val="12"/>
        <color theme="1"/>
        <rFont val="等线"/>
        <family val="3"/>
        <charset val="134"/>
        <scheme val="minor"/>
      </rPr>
      <t>衣：非主流的衣服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呵护：正向：关心的不对(不是别人希望的形式)；反向：关心其他人，偏心眼(不公正)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呵护：孩子爱得病：裹被子太多，过分照顾</t>
    </r>
    <r>
      <rPr>
        <sz val="12"/>
        <color theme="1"/>
        <rFont val="等线"/>
        <family val="3"/>
        <charset val="134"/>
        <scheme val="minor"/>
      </rPr>
      <t>。</t>
    </r>
  </si>
  <si>
    <r>
      <t>文昌+天梁</t>
    </r>
    <r>
      <rPr>
        <sz val="12"/>
        <color theme="1"/>
        <rFont val="等线"/>
        <family val="3"/>
        <charset val="134"/>
        <scheme val="minor"/>
      </rPr>
      <t>​</t>
    </r>
  </si>
  <si>
    <r>
      <t>支柱/公共系统/血脉/祖辈+正/偏/传播</t>
    </r>
    <r>
      <rPr>
        <sz val="12"/>
        <color theme="1"/>
        <rFont val="等线"/>
        <family val="3"/>
        <charset val="134"/>
        <scheme val="minor"/>
      </rPr>
      <t>。天梁主支柱、公共系统、血脉、祖辈。组合后可能表示：</t>
    </r>
    <r>
      <rPr>
        <b/>
        <sz val="12"/>
        <color theme="1"/>
        <rFont val="等线"/>
        <family val="3"/>
        <charset val="134"/>
        <scheme val="minor"/>
      </rPr>
      <t>支柱：上梁不正下梁歪，领导管的有问题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公共系统：公信歪了，不信任，有失公允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血脉：子女宫，查DNA，子女是不是自己的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坟：田宅宫，上坟上错了</t>
    </r>
    <r>
      <rPr>
        <sz val="12"/>
        <color theme="1"/>
        <rFont val="等线"/>
        <family val="3"/>
        <charset val="134"/>
        <scheme val="minor"/>
      </rPr>
      <t>（曾有案例因磕头错了，坟里面是外国人，后代英语好）；</t>
    </r>
    <r>
      <rPr>
        <b/>
        <sz val="12"/>
        <color theme="1"/>
        <rFont val="等线"/>
        <family val="3"/>
        <charset val="134"/>
        <scheme val="minor"/>
      </rPr>
      <t>系统：身体：遗传基因不正常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支柱：身体：驼背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公共：公共消息传播发榜时，丑闻时，传播的力量大了</t>
    </r>
    <r>
      <rPr>
        <sz val="12"/>
        <color theme="1"/>
        <rFont val="等线"/>
        <family val="3"/>
        <charset val="134"/>
        <scheme val="minor"/>
      </rPr>
      <t>（好事不出门坏事传千里）。</t>
    </r>
  </si>
  <si>
    <r>
      <t>文昌+七杀</t>
    </r>
    <r>
      <rPr>
        <sz val="12"/>
        <color theme="1"/>
        <rFont val="等线"/>
        <family val="3"/>
        <charset val="134"/>
        <scheme val="minor"/>
      </rPr>
      <t>​</t>
    </r>
  </si>
  <si>
    <r>
      <t>线/平面+正/偏</t>
    </r>
    <r>
      <rPr>
        <sz val="12"/>
        <color theme="1"/>
        <rFont val="等线"/>
        <family val="3"/>
        <charset val="134"/>
        <scheme val="minor"/>
      </rPr>
      <t>。七杀主线、平面。组合后可能表示：</t>
    </r>
    <r>
      <rPr>
        <b/>
        <sz val="12"/>
        <color theme="1"/>
        <rFont val="等线"/>
        <family val="3"/>
        <charset val="134"/>
        <scheme val="minor"/>
      </rPr>
      <t>线歪了</t>
    </r>
    <r>
      <rPr>
        <sz val="12"/>
        <color theme="1"/>
        <rFont val="等线"/>
        <family val="3"/>
        <charset val="134"/>
        <scheme val="minor"/>
      </rPr>
      <t>（若七杀加陀罗，则线打卷）。</t>
    </r>
  </si>
  <si>
    <r>
      <t>文昌+文曲</t>
    </r>
    <r>
      <rPr>
        <sz val="12"/>
        <color theme="1"/>
        <rFont val="等线"/>
        <family val="3"/>
        <charset val="134"/>
        <scheme val="minor"/>
      </rPr>
      <t>​</t>
    </r>
  </si>
  <si>
    <r>
      <t>文星拱命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昌曲齐会</t>
    </r>
    <r>
      <rPr>
        <sz val="12"/>
        <color theme="1"/>
        <rFont val="等线"/>
        <family val="3"/>
        <charset val="134"/>
        <scheme val="minor"/>
      </rPr>
      <t>，才华与口才兼备。但若应的不好，可能代表</t>
    </r>
    <r>
      <rPr>
        <b/>
        <sz val="12"/>
        <color theme="1"/>
        <rFont val="等线"/>
        <family val="3"/>
        <charset val="134"/>
        <scheme val="minor"/>
      </rPr>
      <t>一肚子坏水</t>
    </r>
    <r>
      <rPr>
        <sz val="12"/>
        <color theme="1"/>
        <rFont val="等线"/>
        <family val="3"/>
        <charset val="134"/>
        <scheme val="minor"/>
      </rPr>
      <t>，有些怨妇卦也是文昌文曲在命。</t>
    </r>
  </si>
  <si>
    <r>
      <t>文昌+左辅/右弼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</si>
  <si>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文星得助</t>
    </r>
    <r>
      <rPr>
        <sz val="12"/>
        <color theme="1"/>
        <rFont val="等线"/>
        <family val="3"/>
        <charset val="134"/>
        <scheme val="minor"/>
      </rPr>
      <t>，才华与传播能力得同辈、晚辈帮助，但需看助力用于正道还是偏门。</t>
    </r>
  </si>
  <si>
    <r>
      <t>文昌+天魁/天钺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</si>
  <si>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文星遇贵</t>
    </r>
    <r>
      <rPr>
        <sz val="12"/>
        <color theme="1"/>
        <rFont val="等线"/>
        <family val="3"/>
        <charset val="134"/>
        <scheme val="minor"/>
      </rPr>
      <t>，才华与传播能力得贵人赏识提携，易因文采、信息获科名、机遇。</t>
    </r>
  </si>
  <si>
    <r>
      <t>文昌+禄存</t>
    </r>
    <r>
      <rPr>
        <sz val="12"/>
        <color theme="1"/>
        <rFont val="等线"/>
        <family val="3"/>
        <charset val="134"/>
        <scheme val="minor"/>
      </rPr>
      <t>​</t>
    </r>
  </si>
  <si>
    <r>
      <t>文星带禄</t>
    </r>
    <r>
      <rPr>
        <sz val="12"/>
        <color theme="1"/>
        <rFont val="等线"/>
        <family val="3"/>
        <charset val="134"/>
        <scheme val="minor"/>
      </rPr>
      <t>，才华与传播能力能直接转化为财富，易因文书、信息获利。若在三方四正加会照文曲星，称为“</t>
    </r>
    <r>
      <rPr>
        <b/>
        <sz val="12"/>
        <color theme="1"/>
        <rFont val="等线"/>
        <family val="3"/>
        <charset val="134"/>
        <scheme val="minor"/>
      </rPr>
      <t>禄文拱命格</t>
    </r>
    <r>
      <rPr>
        <sz val="12"/>
        <color theme="1"/>
        <rFont val="等线"/>
        <family val="3"/>
        <charset val="134"/>
        <scheme val="minor"/>
      </rPr>
      <t>”，主富贵，能因文而进财。</t>
    </r>
  </si>
  <si>
    <r>
      <t>文昌+天马</t>
    </r>
    <r>
      <rPr>
        <sz val="12"/>
        <color theme="1"/>
        <rFont val="等线"/>
        <family val="3"/>
        <charset val="134"/>
        <scheme val="minor"/>
      </rPr>
      <t>​</t>
    </r>
  </si>
  <si>
    <r>
      <t>文星奔驰</t>
    </r>
    <r>
      <rPr>
        <sz val="12"/>
        <color theme="1"/>
        <rFont val="等线"/>
        <family val="3"/>
        <charset val="134"/>
        <scheme val="minor"/>
      </rPr>
      <t>，才华与信息在变动、奔波中传播，适合需要移动的文书、信息工作。</t>
    </r>
  </si>
  <si>
    <r>
      <t>文昌+火星</t>
    </r>
    <r>
      <rPr>
        <sz val="12"/>
        <color theme="1"/>
        <rFont val="等线"/>
        <family val="3"/>
        <charset val="134"/>
        <scheme val="minor"/>
      </rPr>
      <t>​</t>
    </r>
  </si>
  <si>
    <r>
      <t>文星带急</t>
    </r>
    <r>
      <rPr>
        <sz val="12"/>
        <color theme="1"/>
        <rFont val="等线"/>
        <family val="3"/>
        <charset val="134"/>
        <scheme val="minor"/>
      </rPr>
      <t>，信息传播迅速但可能伴随纷争、谣言，易因言论惹祸。</t>
    </r>
  </si>
  <si>
    <r>
      <t>文昌+铃星</t>
    </r>
    <r>
      <rPr>
        <sz val="12"/>
        <color theme="1"/>
        <rFont val="等线"/>
        <family val="3"/>
        <charset val="134"/>
        <scheme val="minor"/>
      </rPr>
      <t>​</t>
    </r>
  </si>
  <si>
    <r>
      <t>文星藏忧</t>
    </r>
    <r>
      <rPr>
        <sz val="12"/>
        <color theme="1"/>
        <rFont val="等线"/>
        <family val="3"/>
        <charset val="134"/>
        <scheme val="minor"/>
      </rPr>
      <t>，信息传播过程多煎熬、不顺，易有隐忧。</t>
    </r>
  </si>
  <si>
    <r>
      <t>文昌+擎羊</t>
    </r>
    <r>
      <rPr>
        <sz val="12"/>
        <color theme="1"/>
        <rFont val="等线"/>
        <family val="3"/>
        <charset val="134"/>
        <scheme val="minor"/>
      </rPr>
      <t>​</t>
    </r>
  </si>
  <si>
    <r>
      <t>文星带伤</t>
    </r>
    <r>
      <rPr>
        <sz val="12"/>
        <color theme="1"/>
        <rFont val="等线"/>
        <family val="3"/>
        <charset val="134"/>
        <scheme val="minor"/>
      </rPr>
      <t>，信息传播易招嫉妒、竞争或伤害，需防因言惹祸。</t>
    </r>
  </si>
  <si>
    <r>
      <t>文昌+陀罗</t>
    </r>
    <r>
      <rPr>
        <sz val="12"/>
        <color theme="1"/>
        <rFont val="等线"/>
        <family val="3"/>
        <charset val="134"/>
        <scheme val="minor"/>
      </rPr>
      <t>​</t>
    </r>
  </si>
  <si>
    <r>
      <t>文星拖延</t>
    </r>
    <r>
      <rPr>
        <sz val="12"/>
        <color theme="1"/>
        <rFont val="等线"/>
        <family val="3"/>
        <charset val="134"/>
        <scheme val="minor"/>
      </rPr>
      <t>，信息传播缓慢、反复，文书过程多周折。</t>
    </r>
  </si>
  <si>
    <r>
      <t>文昌+地空</t>
    </r>
    <r>
      <rPr>
        <sz val="12"/>
        <color theme="1"/>
        <rFont val="等线"/>
        <family val="3"/>
        <charset val="134"/>
        <scheme val="minor"/>
      </rPr>
      <t>​</t>
    </r>
  </si>
  <si>
    <r>
      <t>文星落空</t>
    </r>
    <r>
      <rPr>
        <sz val="12"/>
        <color theme="1"/>
        <rFont val="等线"/>
        <family val="3"/>
        <charset val="134"/>
        <scheme val="minor"/>
      </rPr>
      <t>，信息理想化，难以落实，或传播落空。</t>
    </r>
  </si>
  <si>
    <r>
      <t>文昌+地劫</t>
    </r>
    <r>
      <rPr>
        <sz val="12"/>
        <color theme="1"/>
        <rFont val="等线"/>
        <family val="3"/>
        <charset val="134"/>
        <scheme val="minor"/>
      </rPr>
      <t>​</t>
    </r>
  </si>
  <si>
    <r>
      <t>文星带劫</t>
    </r>
    <r>
      <rPr>
        <sz val="12"/>
        <color theme="1"/>
        <rFont val="等线"/>
        <family val="3"/>
        <charset val="134"/>
        <scheme val="minor"/>
      </rPr>
      <t>，信息易遭破耗、中断，传播过程多波折。</t>
    </r>
  </si>
  <si>
    <r>
      <t>文昌+化禄</t>
    </r>
    <r>
      <rPr>
        <sz val="12"/>
        <color theme="1"/>
        <rFont val="等线"/>
        <family val="3"/>
        <charset val="134"/>
        <scheme val="minor"/>
      </rPr>
      <t>​</t>
    </r>
  </si>
  <si>
    <r>
      <t>文星生财</t>
    </r>
    <r>
      <rPr>
        <sz val="12"/>
        <color theme="1"/>
        <rFont val="等线"/>
        <family val="3"/>
        <charset val="134"/>
        <scheme val="minor"/>
      </rPr>
      <t>，信息、文书直接带来财富机遇，易因传播、正途获利。</t>
    </r>
  </si>
  <si>
    <r>
      <t>文昌+化权</t>
    </r>
    <r>
      <rPr>
        <sz val="12"/>
        <color theme="1"/>
        <rFont val="等线"/>
        <family val="3"/>
        <charset val="134"/>
        <scheme val="minor"/>
      </rPr>
      <t>​</t>
    </r>
  </si>
  <si>
    <r>
      <t>文星掌权</t>
    </r>
    <r>
      <rPr>
        <sz val="12"/>
        <color theme="1"/>
        <rFont val="等线"/>
        <family val="3"/>
        <charset val="134"/>
        <scheme val="minor"/>
      </rPr>
      <t>，信息、文书使其掌握话语权或管理权，易成为权威发布者。</t>
    </r>
  </si>
  <si>
    <r>
      <t>文昌+化科</t>
    </r>
    <r>
      <rPr>
        <sz val="12"/>
        <color theme="1"/>
        <rFont val="等线"/>
        <family val="3"/>
        <charset val="134"/>
        <scheme val="minor"/>
      </rPr>
      <t>​</t>
    </r>
  </si>
  <si>
    <r>
      <t>文星扬名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代表正</t>
    </r>
    <r>
      <rPr>
        <sz val="12"/>
        <color theme="1"/>
        <rFont val="等线"/>
        <family val="3"/>
        <charset val="134"/>
        <scheme val="minor"/>
      </rPr>
      <t>，才华与信息受权威认可，利考试、竞赛、发表，易因正途获名声。文昌化科时，其“正”的性质被强化。</t>
    </r>
  </si>
  <si>
    <r>
      <t>文昌+化忌</t>
    </r>
    <r>
      <rPr>
        <sz val="12"/>
        <color theme="1"/>
        <rFont val="等线"/>
        <family val="3"/>
        <charset val="134"/>
        <scheme val="minor"/>
      </rPr>
      <t>​</t>
    </r>
  </si>
  <si>
    <r>
      <t>文星受阻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代表不正</t>
    </r>
    <r>
      <rPr>
        <sz val="12"/>
        <color theme="1"/>
        <rFont val="等线"/>
        <family val="3"/>
        <charset val="134"/>
        <scheme val="minor"/>
      </rPr>
      <t>，才华难伸，易有文书、契约、名誉方面的失误、纠纷，或心术不正之事暴露。文昌化忌时，其“不正”的性质被强化。</t>
    </r>
  </si>
  <si>
    <r>
      <t>1. “文昌”与“文曲”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文昌星属阳金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正、偏、传播</t>
    </r>
    <r>
      <rPr>
        <sz val="11"/>
        <color theme="1"/>
        <rFont val="等线"/>
        <family val="2"/>
        <charset val="134"/>
        <scheme val="minor"/>
      </rPr>
      <t>，其性质关乎</t>
    </r>
    <r>
      <rPr>
        <b/>
        <sz val="11"/>
        <color theme="1"/>
        <rFont val="等线"/>
        <family val="3"/>
        <charset val="134"/>
        <scheme val="minor"/>
      </rPr>
      <t>信息的内容与性质（正邪）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文曲星属阴水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才艺、口才、异路功名</t>
    </r>
    <r>
      <rPr>
        <sz val="11"/>
        <color theme="1"/>
        <rFont val="等线"/>
        <family val="2"/>
        <charset val="134"/>
        <scheme val="minor"/>
      </rPr>
      <t>，其性质关乎</t>
    </r>
    <r>
      <rPr>
        <b/>
        <sz val="11"/>
        <color theme="1"/>
        <rFont val="等线"/>
        <family val="3"/>
        <charset val="134"/>
        <scheme val="minor"/>
      </rPr>
      <t>信息的表达形式与才华</t>
    </r>
    <r>
      <rPr>
        <sz val="11"/>
        <color theme="1"/>
        <rFont val="等线"/>
        <family val="2"/>
        <charset val="134"/>
        <scheme val="minor"/>
      </rPr>
      <t>。二者皆与“文”相关，但侧重点不同。</t>
    </r>
  </si>
  <si>
    <r>
      <t>2. “正”与“偏”的本质</t>
    </r>
    <r>
      <rPr>
        <sz val="11"/>
        <color theme="1"/>
        <rFont val="等线"/>
        <family val="2"/>
        <charset val="134"/>
        <scheme val="minor"/>
      </rPr>
      <t>：文昌的核心是判断事物的</t>
    </r>
    <r>
      <rPr>
        <b/>
        <sz val="11"/>
        <color theme="1"/>
        <rFont val="等线"/>
        <family val="3"/>
        <charset val="134"/>
        <scheme val="minor"/>
      </rPr>
      <t>性质是否正当、是否歪斜</t>
    </r>
    <r>
      <rPr>
        <sz val="11"/>
        <color theme="1"/>
        <rFont val="等线"/>
        <family val="2"/>
        <charset val="134"/>
        <scheme val="minor"/>
      </rPr>
      <t>。化科时强化“正”的一面（科甲、文书、正当传播）；化忌时强化“偏”的一面（不正、歪斜、谣言）。在人事上，主心术正邪；在事物上，主形态正斜；在事件上，主性质正当与否。</t>
    </r>
  </si>
  <si>
    <r>
      <t>3. “传播”性质</t>
    </r>
    <r>
      <rPr>
        <sz val="11"/>
        <color theme="1"/>
        <rFont val="等线"/>
        <family val="2"/>
        <charset val="134"/>
        <scheme val="minor"/>
      </rPr>
      <t>：文昌具备强烈的</t>
    </r>
    <r>
      <rPr>
        <b/>
        <sz val="11"/>
        <color theme="1"/>
        <rFont val="等线"/>
        <family val="3"/>
        <charset val="134"/>
        <scheme val="minor"/>
      </rPr>
      <t>信息传递与扩散属性</t>
    </r>
    <r>
      <rPr>
        <sz val="11"/>
        <color theme="1"/>
        <rFont val="等线"/>
        <family val="2"/>
        <charset val="134"/>
        <scheme val="minor"/>
      </rPr>
      <t>。无论是好消息（金榜题名）还是坏消息（丑闻），都容易传播开来。“好事不出门，坏事传千里”正是其象。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</si>
  <si>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：文昌星所在宫位，指示在人生的哪个领域容易出现“正或偏”的性质，以及该领域的信息传播情况。例如，在财帛主偏财，在疾厄主身体歪斜，在夫妻主感情不正。</t>
    </r>
  </si>
  <si>
    <r>
      <t>5.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，信息、文书带来财禄。见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，信息、文书带来权力。见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强化“正”的性质</t>
    </r>
    <r>
      <rPr>
        <sz val="11"/>
        <color theme="1"/>
        <rFont val="等线"/>
        <family val="2"/>
        <charset val="134"/>
        <scheme val="minor"/>
      </rPr>
      <t>，利考试、名誉、正当传播。见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强化“不正”的性质</t>
    </r>
    <r>
      <rPr>
        <sz val="11"/>
        <color theme="1"/>
        <rFont val="等线"/>
        <family val="2"/>
        <charset val="134"/>
        <scheme val="minor"/>
      </rPr>
      <t>，主文书错误、名誉受损、心术不正、事情歪斜。</t>
    </r>
  </si>
  <si>
    <r>
      <t>6. 组合定细节</t>
    </r>
    <r>
      <rPr>
        <sz val="11"/>
        <color theme="1"/>
        <rFont val="等线"/>
        <family val="2"/>
        <charset val="134"/>
        <scheme val="minor"/>
      </rPr>
      <t>：与不同主星组合，会将“正/偏/传播”的性质具体化到该主星代表的领域。如文昌+天机（道路偏了），文昌+武曲（钱不正），文昌+巨门（口歪了）。</t>
    </r>
  </si>
  <si>
    <r>
      <t>7. 地理类象</t>
    </r>
    <r>
      <rPr>
        <sz val="11"/>
        <color theme="1"/>
        <rFont val="等线"/>
        <family val="2"/>
        <charset val="134"/>
        <scheme val="minor"/>
      </rPr>
      <t>：学校、考场、文书机构、出版社、法院、检查院、金融机构、网络节点、信息中心、歪斜的建筑物、不对称的景观。</t>
    </r>
  </si>
  <si>
    <t>注：以上内容完全整合自《金刚佛光-紫占课程手册》及相关权威资料中关于文昌星的全部原始定义、分类与案例，并严格依您的要求，在“本质”部分增补了“人/事/物”三个层次的解析，未增删改臆。文昌星为文星，主正偏与传播。其核心在于“性质判断”与“信息扩散”，常在文书、考试、名誉领域显现，但其“偏”的性质需仔细甄别。最喜化科入命、官、迁等宫，主科甲显达，名声正派。与文曲同会，则文采飞扬，但需防心术。与魁钺同度，贵气加持；与辅弼同度，助力相随。然若化忌或与火铃羊陀空劫同度，则易生不正之事，多口舌文书是非，且需防心术走偏。在紫占中，文昌与各主星组合产生的“歪斜”、“不正”、“传播”等具体卦象，是断事关键，需结合具体星情与宫位细察。</t>
  </si>
  <si>
    <t>一、武曲定义</t>
  </si>
  <si>
    <t>在疾厄宫时显现。</t>
  </si>
  <si>
    <t>金融分析师；技术工程师；策划经理。</t>
  </si>
  <si>
    <t>懂得享受生活的企业家；休闲产业投资者。</t>
  </si>
  <si>
    <r>
      <t>外貌气质</t>
    </r>
    <r>
      <rPr>
        <sz val="12"/>
        <color theme="1"/>
        <rFont val="等线"/>
        <family val="3"/>
        <charset val="134"/>
        <scheme val="minor"/>
      </rPr>
      <t>​</t>
    </r>
  </si>
  <si>
    <r>
      <t>性格特质</t>
    </r>
    <r>
      <rPr>
        <sz val="12"/>
        <color theme="1"/>
        <rFont val="等线"/>
        <family val="3"/>
        <charset val="134"/>
        <scheme val="minor"/>
      </rPr>
      <t>​</t>
    </r>
  </si>
  <si>
    <r>
      <t>交友宫（奴仆宫）</t>
    </r>
    <r>
      <rPr>
        <sz val="12"/>
        <color theme="1"/>
        <rFont val="等线"/>
        <family val="3"/>
        <charset val="134"/>
        <scheme val="minor"/>
      </rPr>
      <t>​</t>
    </r>
  </si>
  <si>
    <r>
      <t>官禄宫（事业宫）</t>
    </r>
    <r>
      <rPr>
        <sz val="12"/>
        <color theme="1"/>
        <rFont val="等线"/>
        <family val="3"/>
        <charset val="134"/>
        <scheme val="minor"/>
      </rPr>
      <t>​</t>
    </r>
  </si>
  <si>
    <r>
      <t>武曲+紫微</t>
    </r>
    <r>
      <rPr>
        <sz val="12"/>
        <color theme="1"/>
        <rFont val="等线"/>
        <family val="3"/>
        <charset val="134"/>
        <scheme val="minor"/>
      </rPr>
      <t>​</t>
    </r>
  </si>
  <si>
    <r>
      <t>武曲+天机</t>
    </r>
    <r>
      <rPr>
        <sz val="12"/>
        <color theme="1"/>
        <rFont val="等线"/>
        <family val="3"/>
        <charset val="134"/>
        <scheme val="minor"/>
      </rPr>
      <t>​</t>
    </r>
  </si>
  <si>
    <r>
      <t>武曲+太阳</t>
    </r>
    <r>
      <rPr>
        <sz val="12"/>
        <color theme="1"/>
        <rFont val="等线"/>
        <family val="3"/>
        <charset val="134"/>
        <scheme val="minor"/>
      </rPr>
      <t>​</t>
    </r>
  </si>
  <si>
    <r>
      <t>武曲+天同</t>
    </r>
    <r>
      <rPr>
        <sz val="12"/>
        <color theme="1"/>
        <rFont val="等线"/>
        <family val="3"/>
        <charset val="134"/>
        <scheme val="minor"/>
      </rPr>
      <t>​</t>
    </r>
  </si>
  <si>
    <r>
      <t>武曲+廉贞</t>
    </r>
    <r>
      <rPr>
        <sz val="12"/>
        <color theme="1"/>
        <rFont val="等线"/>
        <family val="3"/>
        <charset val="134"/>
        <scheme val="minor"/>
      </rPr>
      <t>​</t>
    </r>
  </si>
  <si>
    <r>
      <t>武曲+天府</t>
    </r>
    <r>
      <rPr>
        <sz val="12"/>
        <color theme="1"/>
        <rFont val="等线"/>
        <family val="3"/>
        <charset val="134"/>
        <scheme val="minor"/>
      </rPr>
      <t>​</t>
    </r>
  </si>
  <si>
    <r>
      <t>武曲+太阴</t>
    </r>
    <r>
      <rPr>
        <sz val="12"/>
        <color theme="1"/>
        <rFont val="等线"/>
        <family val="3"/>
        <charset val="134"/>
        <scheme val="minor"/>
      </rPr>
      <t>​</t>
    </r>
  </si>
  <si>
    <r>
      <t>武曲+贪狼</t>
    </r>
    <r>
      <rPr>
        <sz val="12"/>
        <color theme="1"/>
        <rFont val="等线"/>
        <family val="3"/>
        <charset val="134"/>
        <scheme val="minor"/>
      </rPr>
      <t>​</t>
    </r>
  </si>
  <si>
    <r>
      <t>武曲+巨门</t>
    </r>
    <r>
      <rPr>
        <sz val="12"/>
        <color theme="1"/>
        <rFont val="等线"/>
        <family val="3"/>
        <charset val="134"/>
        <scheme val="minor"/>
      </rPr>
      <t>​</t>
    </r>
  </si>
  <si>
    <r>
      <t>武曲+天相</t>
    </r>
    <r>
      <rPr>
        <sz val="12"/>
        <color theme="1"/>
        <rFont val="等线"/>
        <family val="3"/>
        <charset val="134"/>
        <scheme val="minor"/>
      </rPr>
      <t>​</t>
    </r>
  </si>
  <si>
    <r>
      <t>武曲+天梁</t>
    </r>
    <r>
      <rPr>
        <sz val="12"/>
        <color theme="1"/>
        <rFont val="等线"/>
        <family val="3"/>
        <charset val="134"/>
        <scheme val="minor"/>
      </rPr>
      <t>​</t>
    </r>
  </si>
  <si>
    <r>
      <t>武曲+七杀</t>
    </r>
    <r>
      <rPr>
        <sz val="12"/>
        <color theme="1"/>
        <rFont val="等线"/>
        <family val="3"/>
        <charset val="134"/>
        <scheme val="minor"/>
      </rPr>
      <t>​</t>
    </r>
  </si>
  <si>
    <r>
      <t>武曲+破军</t>
    </r>
    <r>
      <rPr>
        <sz val="12"/>
        <color theme="1"/>
        <rFont val="等线"/>
        <family val="3"/>
        <charset val="134"/>
        <scheme val="minor"/>
      </rPr>
      <t>​</t>
    </r>
  </si>
  <si>
    <r>
      <t>武曲+左辅/右弼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</si>
  <si>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武曲+文昌/文曲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</si>
  <si>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武曲+天魁/天钺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</si>
  <si>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武曲+禄存</t>
    </r>
    <r>
      <rPr>
        <sz val="12"/>
        <color theme="1"/>
        <rFont val="等线"/>
        <family val="3"/>
        <charset val="134"/>
        <scheme val="minor"/>
      </rPr>
      <t>​</t>
    </r>
  </si>
  <si>
    <r>
      <t>武曲+天马</t>
    </r>
    <r>
      <rPr>
        <sz val="12"/>
        <color theme="1"/>
        <rFont val="等线"/>
        <family val="3"/>
        <charset val="134"/>
        <scheme val="minor"/>
      </rPr>
      <t>​</t>
    </r>
  </si>
  <si>
    <r>
      <t>武曲+火星</t>
    </r>
    <r>
      <rPr>
        <sz val="12"/>
        <color theme="1"/>
        <rFont val="等线"/>
        <family val="3"/>
        <charset val="134"/>
        <scheme val="minor"/>
      </rPr>
      <t>​</t>
    </r>
  </si>
  <si>
    <r>
      <t>武曲+铃星</t>
    </r>
    <r>
      <rPr>
        <sz val="12"/>
        <color theme="1"/>
        <rFont val="等线"/>
        <family val="3"/>
        <charset val="134"/>
        <scheme val="minor"/>
      </rPr>
      <t>​</t>
    </r>
  </si>
  <si>
    <r>
      <t>武曲+擎羊</t>
    </r>
    <r>
      <rPr>
        <sz val="12"/>
        <color theme="1"/>
        <rFont val="等线"/>
        <family val="3"/>
        <charset val="134"/>
        <scheme val="minor"/>
      </rPr>
      <t>​</t>
    </r>
  </si>
  <si>
    <r>
      <t>武曲+陀罗</t>
    </r>
    <r>
      <rPr>
        <sz val="12"/>
        <color theme="1"/>
        <rFont val="等线"/>
        <family val="3"/>
        <charset val="134"/>
        <scheme val="minor"/>
      </rPr>
      <t>​</t>
    </r>
  </si>
  <si>
    <r>
      <t>武曲+地空</t>
    </r>
    <r>
      <rPr>
        <sz val="12"/>
        <color theme="1"/>
        <rFont val="等线"/>
        <family val="3"/>
        <charset val="134"/>
        <scheme val="minor"/>
      </rPr>
      <t>​</t>
    </r>
  </si>
  <si>
    <r>
      <t>武曲+地劫</t>
    </r>
    <r>
      <rPr>
        <sz val="12"/>
        <color theme="1"/>
        <rFont val="等线"/>
        <family val="3"/>
        <charset val="134"/>
        <scheme val="minor"/>
      </rPr>
      <t>​</t>
    </r>
  </si>
  <si>
    <r>
      <t>武曲+化禄</t>
    </r>
    <r>
      <rPr>
        <sz val="12"/>
        <color theme="1"/>
        <rFont val="等线"/>
        <family val="3"/>
        <charset val="134"/>
        <scheme val="minor"/>
      </rPr>
      <t>​</t>
    </r>
  </si>
  <si>
    <r>
      <t>武曲+化权</t>
    </r>
    <r>
      <rPr>
        <sz val="12"/>
        <color theme="1"/>
        <rFont val="等线"/>
        <family val="3"/>
        <charset val="134"/>
        <scheme val="minor"/>
      </rPr>
      <t>​</t>
    </r>
  </si>
  <si>
    <r>
      <t>武曲+化科</t>
    </r>
    <r>
      <rPr>
        <sz val="12"/>
        <color theme="1"/>
        <rFont val="等线"/>
        <family val="3"/>
        <charset val="134"/>
        <scheme val="minor"/>
      </rPr>
      <t>​</t>
    </r>
  </si>
  <si>
    <r>
      <t>武曲+化忌</t>
    </r>
    <r>
      <rPr>
        <sz val="12"/>
        <color theme="1"/>
        <rFont val="等线"/>
        <family val="3"/>
        <charset val="134"/>
        <scheme val="minor"/>
      </rPr>
      <t>​</t>
    </r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</si>
  <si>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贪狼星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的完整象义解析如下（严格遵循原始资料结构与表述，并依您的要求，在“本质”部分增补“人/事/物”三个层次的解析）：</t>
    </r>
  </si>
  <si>
    <t>一、贪狼定义</t>
  </si>
  <si>
    <t>欲望、桃花、才华、变化、投机、体积、宗教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</si>
  <si>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豪放不羁、热情活泼、聪明灵巧、多才多艺、善于交际、适应力强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欲望强烈、贪多骛得、不喜深入、多学少精、情绪多变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欲望的追逐者、才华的展现者、人际关系的润滑剂</t>
    </r>
    <r>
      <rPr>
        <sz val="12"/>
        <color theme="1"/>
        <rFont val="等线"/>
        <family val="3"/>
        <charset val="134"/>
        <scheme val="minor"/>
      </rPr>
      <t>。人际关系上，凭借</t>
    </r>
    <r>
      <rPr>
        <b/>
        <sz val="12"/>
        <color theme="1"/>
        <rFont val="等线"/>
        <family val="3"/>
        <charset val="134"/>
        <scheme val="minor"/>
      </rPr>
      <t>魅力与人缘</t>
    </r>
    <r>
      <rPr>
        <sz val="12"/>
        <color theme="1"/>
        <rFont val="等线"/>
        <family val="3"/>
        <charset val="134"/>
        <scheme val="minor"/>
      </rPr>
      <t>吸引人，易有</t>
    </r>
    <r>
      <rPr>
        <b/>
        <sz val="12"/>
        <color theme="1"/>
        <rFont val="等线"/>
        <family val="3"/>
        <charset val="134"/>
        <scheme val="minor"/>
      </rPr>
      <t>桃花缘分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第一大桃花星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</si>
  <si>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充满变化、机会与欲望驱动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投机、冒险、追求新鲜刺激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事情的开始、发生、增加</t>
    </r>
    <r>
      <rPr>
        <sz val="12"/>
        <color theme="1"/>
        <rFont val="等线"/>
        <family val="3"/>
        <charset val="134"/>
        <scheme val="minor"/>
      </rPr>
      <t>（桃花代表事情的增加）。过程</t>
    </r>
    <r>
      <rPr>
        <b/>
        <sz val="12"/>
        <color theme="1"/>
        <rFont val="等线"/>
        <family val="3"/>
        <charset val="134"/>
        <scheme val="minor"/>
      </rPr>
      <t>灵活、善变、追求享乐</t>
    </r>
    <r>
      <rPr>
        <sz val="12"/>
        <color theme="1"/>
        <rFont val="等线"/>
        <family val="3"/>
        <charset val="134"/>
        <scheme val="minor"/>
      </rPr>
      <t>，但可能</t>
    </r>
    <r>
      <rPr>
        <b/>
        <sz val="12"/>
        <color theme="1"/>
        <rFont val="等线"/>
        <family val="3"/>
        <charset val="134"/>
        <scheme val="minor"/>
      </rPr>
      <t>缺乏持久性、虎头蛇尾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</si>
  <si>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指代具有</t>
    </r>
    <r>
      <rPr>
        <b/>
        <sz val="12"/>
        <color theme="1"/>
        <rFont val="等线"/>
        <family val="3"/>
        <charset val="134"/>
        <scheme val="minor"/>
      </rPr>
      <t>体积、大小、欲望、享乐</t>
    </r>
    <r>
      <rPr>
        <sz val="12"/>
        <color theme="1"/>
        <rFont val="等线"/>
        <family val="3"/>
        <charset val="134"/>
        <scheme val="minor"/>
      </rPr>
      <t>属性的事物。如：</t>
    </r>
    <r>
      <rPr>
        <b/>
        <sz val="12"/>
        <color theme="1"/>
        <rFont val="等线"/>
        <family val="3"/>
        <charset val="134"/>
        <scheme val="minor"/>
      </rPr>
      <t>巨大的物体、肉类、娱乐场所、声色场所、宗教场所、艺术品、新奇玩意</t>
    </r>
    <r>
      <rPr>
        <sz val="12"/>
        <color theme="1"/>
        <rFont val="等线"/>
        <family val="3"/>
        <charset val="134"/>
        <scheme val="minor"/>
      </rPr>
      <t>。在紫占中，常用来判断</t>
    </r>
    <r>
      <rPr>
        <b/>
        <sz val="12"/>
        <color theme="1"/>
        <rFont val="等线"/>
        <family val="3"/>
        <charset val="134"/>
        <scheme val="minor"/>
      </rPr>
      <t>物体体积的大小</t>
    </r>
    <r>
      <rPr>
        <sz val="12"/>
        <color theme="1"/>
        <rFont val="等线"/>
        <family val="3"/>
        <charset val="134"/>
        <scheme val="minor"/>
      </rPr>
      <t>。</t>
    </r>
  </si>
  <si>
    <t>整合自《金刚佛光-紫占课程手册》及相关权威资料中关于贪狼“欲望”、“桃花”、“体积”等核心概念的深度阐释与类象推演。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</si>
  <si>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北斗第一星</t>
    </r>
    <r>
      <rPr>
        <sz val="12"/>
        <color theme="1"/>
        <rFont val="等线"/>
        <family val="3"/>
        <charset val="134"/>
        <scheme val="minor"/>
      </rPr>
      <t>，属</t>
    </r>
    <r>
      <rPr>
        <b/>
        <sz val="12"/>
        <color theme="1"/>
        <rFont val="等线"/>
        <family val="3"/>
        <charset val="134"/>
        <scheme val="minor"/>
      </rPr>
      <t>阳木（甲木）</t>
    </r>
    <r>
      <rPr>
        <sz val="12"/>
        <color theme="1"/>
        <rFont val="等线"/>
        <family val="3"/>
        <charset val="134"/>
        <scheme val="minor"/>
      </rPr>
      <t>，又属</t>
    </r>
    <r>
      <rPr>
        <b/>
        <sz val="12"/>
        <color theme="1"/>
        <rFont val="等线"/>
        <family val="3"/>
        <charset val="134"/>
        <scheme val="minor"/>
      </rPr>
      <t>水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桃花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祸福之神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欲望之星、桃花星、才艺星、宗教星</t>
    </r>
    <r>
      <rPr>
        <sz val="12"/>
        <color theme="1"/>
        <rFont val="等线"/>
        <family val="3"/>
        <charset val="134"/>
        <scheme val="minor"/>
      </rPr>
      <t>。喜庙旺（寅、午、戌、辰、戌、丑、未为入庙），忌落陷。喜会禄存、化禄，忌煞忌冲破。与廉贞同为桃花星，但</t>
    </r>
    <r>
      <rPr>
        <b/>
        <sz val="12"/>
        <color theme="1"/>
        <rFont val="等线"/>
        <family val="3"/>
        <charset val="134"/>
        <scheme val="minor"/>
      </rPr>
      <t>贪狼主外露、广泛、物质欲望；廉贞主内敛、感情、精神欲望</t>
    </r>
    <r>
      <rPr>
        <sz val="12"/>
        <color theme="1"/>
        <rFont val="等线"/>
        <family val="3"/>
        <charset val="134"/>
        <scheme val="minor"/>
      </rPr>
      <t>。</t>
    </r>
  </si>
  <si>
    <r>
      <t>欲望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</si>
  <si>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一切欲望</t>
    </r>
    <r>
      <rPr>
        <sz val="12"/>
        <color theme="1"/>
        <rFont val="等线"/>
        <family val="3"/>
        <charset val="134"/>
        <scheme val="minor"/>
      </rPr>
      <t>，包括</t>
    </r>
    <r>
      <rPr>
        <b/>
        <sz val="12"/>
        <color theme="1"/>
        <rFont val="等线"/>
        <family val="3"/>
        <charset val="134"/>
        <scheme val="minor"/>
      </rPr>
      <t>酒、色、财、气、钱、权、名、利</t>
    </r>
    <r>
      <rPr>
        <sz val="12"/>
        <color theme="1"/>
        <rFont val="等线"/>
        <family val="3"/>
        <charset val="134"/>
        <scheme val="minor"/>
      </rPr>
      <t>。欲望是推动力，也是双刃剑。</t>
    </r>
  </si>
  <si>
    <t>在命宫、福德宫时，主欲望强烈。</t>
  </si>
  <si>
    <r>
      <t>桃花</t>
    </r>
    <r>
      <rPr>
        <sz val="12"/>
        <color theme="1"/>
        <rFont val="等线"/>
        <family val="3"/>
        <charset val="134"/>
        <scheme val="minor"/>
      </rPr>
      <t>​</t>
    </r>
  </si>
  <si>
    <r>
      <t>第一大桃花星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异性缘、人缘、机会、发展</t>
    </r>
    <r>
      <rPr>
        <sz val="12"/>
        <color theme="1"/>
        <rFont val="等线"/>
        <family val="3"/>
        <charset val="134"/>
        <scheme val="minor"/>
      </rPr>
      <t>。桃花不仅指感情，更象征</t>
    </r>
    <r>
      <rPr>
        <b/>
        <sz val="12"/>
        <color theme="1"/>
        <rFont val="等线"/>
        <family val="3"/>
        <charset val="134"/>
        <scheme val="minor"/>
      </rPr>
      <t>广义的人缘与事情的增加</t>
    </r>
    <r>
      <rPr>
        <sz val="12"/>
        <color theme="1"/>
        <rFont val="等线"/>
        <family val="3"/>
        <charset val="134"/>
        <scheme val="minor"/>
      </rPr>
      <t>。</t>
    </r>
  </si>
  <si>
    <t>在命宫、夫妻宫、迁移宫时，桃花力量强。</t>
  </si>
  <si>
    <r>
      <t>才华与交际</t>
    </r>
    <r>
      <rPr>
        <sz val="12"/>
        <color theme="1"/>
        <rFont val="等线"/>
        <family val="3"/>
        <charset val="134"/>
        <scheme val="minor"/>
      </rPr>
      <t>​</t>
    </r>
  </si>
  <si>
    <r>
      <t>多才多艺，灵敏机巧，善于交际，公关手腕一流</t>
    </r>
    <r>
      <rPr>
        <sz val="12"/>
        <color theme="1"/>
        <rFont val="等线"/>
        <family val="3"/>
        <charset val="134"/>
        <scheme val="minor"/>
      </rPr>
      <t>。在演艺、艺术、创意、外交等领域有天赋。</t>
    </r>
  </si>
  <si>
    <t>在命宫、官禄宫时，才华与交际能力显现。</t>
  </si>
  <si>
    <r>
      <t>变化与投机</t>
    </r>
    <r>
      <rPr>
        <sz val="12"/>
        <color theme="1"/>
        <rFont val="等线"/>
        <family val="3"/>
        <charset val="134"/>
        <scheme val="minor"/>
      </rPr>
      <t>​</t>
    </r>
  </si>
  <si>
    <r>
      <t>喜</t>
    </r>
    <r>
      <rPr>
        <b/>
        <sz val="12"/>
        <color theme="1"/>
        <rFont val="等线"/>
        <family val="3"/>
        <charset val="134"/>
        <scheme val="minor"/>
      </rPr>
      <t>变化多端，不喜一成不变</t>
    </r>
    <r>
      <rPr>
        <sz val="12"/>
        <color theme="1"/>
        <rFont val="等线"/>
        <family val="3"/>
        <charset val="134"/>
        <scheme val="minor"/>
      </rPr>
      <t>。有</t>
    </r>
    <r>
      <rPr>
        <b/>
        <sz val="12"/>
        <color theme="1"/>
        <rFont val="等线"/>
        <family val="3"/>
        <charset val="134"/>
        <scheme val="minor"/>
      </rPr>
      <t>投机倾向</t>
    </r>
    <r>
      <rPr>
        <sz val="12"/>
        <color theme="1"/>
        <rFont val="等线"/>
        <family val="3"/>
        <charset val="134"/>
        <scheme val="minor"/>
      </rPr>
      <t>，善于把握机会，追求高风险高回报。</t>
    </r>
  </si>
  <si>
    <t>在财帛宫、官禄宫时，主变动求财。</t>
  </si>
  <si>
    <r>
      <t>身材适中或偏高，形貌堂堂，性格外向，眼神灵活，表情丰富</t>
    </r>
    <r>
      <rPr>
        <sz val="12"/>
        <color theme="1"/>
        <rFont val="等线"/>
        <family val="3"/>
        <charset val="134"/>
        <scheme val="minor"/>
      </rPr>
      <t>。男性英俊潇洒，女性妩媚动人。</t>
    </r>
  </si>
  <si>
    <r>
      <t>豪放不羁，热情活泼，聪明灵巧，好奇心强，探索精神旺盛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贪多骛得，不喜深入，多学少精，虎头蛇尾，情绪多变</t>
    </r>
    <r>
      <rPr>
        <sz val="12"/>
        <color theme="1"/>
        <rFont val="等线"/>
        <family val="3"/>
        <charset val="134"/>
        <scheme val="minor"/>
      </rPr>
      <t>。</t>
    </r>
  </si>
  <si>
    <r>
      <t>宗教与玄学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</si>
  <si>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宗教之星</t>
    </r>
    <r>
      <rPr>
        <sz val="12"/>
        <color theme="1"/>
        <rFont val="等线"/>
        <family val="3"/>
        <charset val="134"/>
        <scheme val="minor"/>
      </rPr>
      <t>，坐命身或福德宫之人，爱好学习</t>
    </r>
    <r>
      <rPr>
        <b/>
        <sz val="12"/>
        <color theme="1"/>
        <rFont val="等线"/>
        <family val="3"/>
        <charset val="134"/>
        <scheme val="minor"/>
      </rPr>
      <t>五术（山医命相卜）</t>
    </r>
    <r>
      <rPr>
        <sz val="12"/>
        <color theme="1"/>
        <rFont val="等线"/>
        <family val="3"/>
        <charset val="134"/>
        <scheme val="minor"/>
      </rPr>
      <t>和探索神秘之事。</t>
    </r>
  </si>
  <si>
    <t>在命宫、福德宫时，与宗教玄学缘分深。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</si>
  <si>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聪明灵巧，多才多艺，善于交际，欲望强烈</t>
    </r>
    <r>
      <rPr>
        <sz val="12"/>
        <color theme="1"/>
        <rFont val="等线"/>
        <family val="3"/>
        <charset val="134"/>
        <scheme val="minor"/>
      </rPr>
      <t>。一生机遇多，人缘广，但需防沉迷酒色、投机失败。若庙旺无煞，可因才华、交际成功；若落陷或逢煞忌，则易纵欲败度，一事无成。</t>
    </r>
    <r>
      <rPr>
        <b/>
        <sz val="12"/>
        <color theme="1"/>
        <rFont val="等线"/>
        <family val="3"/>
        <charset val="134"/>
        <scheme val="minor"/>
      </rPr>
      <t>宗教缘分深</t>
    </r>
    <r>
      <rPr>
        <sz val="12"/>
        <color theme="1"/>
        <rFont val="等线"/>
        <family val="3"/>
        <charset val="134"/>
        <scheme val="minor"/>
      </rPr>
      <t>，可能信仰宗教或喜好玄学。</t>
    </r>
  </si>
  <si>
    <t>兄弟姐妹中多有才华出众、善于交际者，但可能欲望较强，彼此关系热闹但未必深厚。</t>
  </si>
  <si>
    <r>
      <t>桃花旺盛，感情丰富，异性缘佳</t>
    </r>
    <r>
      <rPr>
        <sz val="12"/>
        <color theme="1"/>
        <rFont val="等线"/>
        <family val="3"/>
        <charset val="134"/>
        <scheme val="minor"/>
      </rPr>
      <t>。配偶可能多才多艺、风趣幽默，但需防感情不专、第三者介入。</t>
    </r>
    <r>
      <rPr>
        <b/>
        <sz val="12"/>
        <color theme="1"/>
        <rFont val="等线"/>
        <family val="3"/>
        <charset val="134"/>
        <scheme val="minor"/>
      </rPr>
      <t>贪狼在夫妻宫，主婚姻多变化，宜晚婚</t>
    </r>
    <r>
      <rPr>
        <sz val="12"/>
        <color theme="1"/>
        <rFont val="等线"/>
        <family val="3"/>
        <charset val="134"/>
        <scheme val="minor"/>
      </rPr>
      <t>。若逢煞忌，更需防桃花劫。</t>
    </r>
  </si>
  <si>
    <t>子女聪明活泼，有艺术天赋，但可能贪玩、欲望强，管教需注重引导。子女缘分较深。</t>
  </si>
  <si>
    <r>
      <t>求财方式多与</t>
    </r>
    <r>
      <rPr>
        <b/>
        <sz val="12"/>
        <color theme="1"/>
        <rFont val="等线"/>
        <family val="3"/>
        <charset val="134"/>
        <scheme val="minor"/>
      </rPr>
      <t>交际、投机、娱乐、艺术</t>
    </r>
    <r>
      <rPr>
        <sz val="12"/>
        <color theme="1"/>
        <rFont val="等线"/>
        <family val="3"/>
        <charset val="134"/>
        <scheme val="minor"/>
      </rPr>
      <t>相关。善用机会赚钱，但财运起伏大，难守财。喜见禄存、化禄，主横发。若逢煞忌，易因投机、享乐破财。</t>
    </r>
  </si>
  <si>
    <r>
      <t>属木，主</t>
    </r>
    <r>
      <rPr>
        <b/>
        <sz val="12"/>
        <color theme="1"/>
        <rFont val="等线"/>
        <family val="3"/>
        <charset val="134"/>
        <scheme val="minor"/>
      </rPr>
      <t>肝胆、神经系统</t>
    </r>
    <r>
      <rPr>
        <sz val="12"/>
        <color theme="1"/>
        <rFont val="等线"/>
        <family val="3"/>
        <charset val="134"/>
        <scheme val="minor"/>
      </rPr>
      <t>疾病。欲望过强易导致肝火旺盛、神经衰弱。也主</t>
    </r>
    <r>
      <rPr>
        <b/>
        <sz val="12"/>
        <color theme="1"/>
        <rFont val="等线"/>
        <family val="3"/>
        <charset val="134"/>
        <scheme val="minor"/>
      </rPr>
      <t>性病、桃花病</t>
    </r>
    <r>
      <rPr>
        <sz val="12"/>
        <color theme="1"/>
        <rFont val="等线"/>
        <family val="3"/>
        <charset val="134"/>
        <scheme val="minor"/>
      </rPr>
      <t>。需注意饮食过量、酗酒等问题。</t>
    </r>
  </si>
  <si>
    <t>在外发展易因交际、才华获得机遇，适合外出发展，多遇贵人。外出机会多，喜变动。</t>
  </si>
  <si>
    <t>朋友、部属多交际广泛、多才多艺之人，但需防酒肉朋友、损友。社交圈复杂，应酬多。</t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</si>
  <si>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演艺、艺术、公关、外交、娱乐、投机、宗教、玄学</t>
    </r>
    <r>
      <rPr>
        <sz val="12"/>
        <color theme="1"/>
        <rFont val="等线"/>
        <family val="3"/>
        <charset val="134"/>
        <scheme val="minor"/>
      </rPr>
      <t>等需要才华与交际的行业。事业多变，不喜单调，喜开创。</t>
    </r>
  </si>
  <si>
    <t>家宅可能靠近娱乐场所、声色场所或宗教场所。家中布置喜新奇、享乐风格。可通过投机、娱乐行业置业。</t>
  </si>
  <si>
    <t>精神世界追求享乐、新奇刺激，欲望强烈，喜探索神秘事物。内心多变化，不易满足。</t>
  </si>
  <si>
    <t>父母可能交际广泛、多才多艺，或从事娱乐、艺术行业。与父母关系热闹但可能不够深入。</t>
  </si>
  <si>
    <t>1. 增强欲望/桃花/才华组合</t>
  </si>
  <si>
    <r>
      <t>贪狼+紫微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</si>
  <si>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帝星遇欲</t>
    </r>
    <r>
      <rPr>
        <sz val="12"/>
        <color theme="1"/>
        <rFont val="等线"/>
        <family val="3"/>
        <charset val="134"/>
        <scheme val="minor"/>
      </rPr>
      <t>，欲望与权力结合，</t>
    </r>
    <r>
      <rPr>
        <b/>
        <sz val="12"/>
        <color theme="1"/>
        <rFont val="等线"/>
        <family val="3"/>
        <charset val="134"/>
        <scheme val="minor"/>
      </rPr>
      <t>紫微能制贪狼之恶</t>
    </r>
    <r>
      <rPr>
        <sz val="12"/>
        <color theme="1"/>
        <rFont val="等线"/>
        <family val="3"/>
        <charset val="134"/>
        <scheme val="minor"/>
      </rPr>
      <t>，使其欲望转化为事业野心，适合在大型机构、娱乐界担任管理者，但需防权色交易。</t>
    </r>
  </si>
  <si>
    <t>娱乐公司高管；大型企业公关负责人。</t>
  </si>
  <si>
    <r>
      <t>贪狼+天机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</si>
  <si>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智星遇欲</t>
    </r>
    <r>
      <rPr>
        <sz val="12"/>
        <color theme="1"/>
        <rFont val="等线"/>
        <family val="3"/>
        <charset val="134"/>
        <scheme val="minor"/>
      </rPr>
      <t>，机巧与欲望结合，思维灵活，善投机，适合策划、中介、投机行业，但想法多变，缺乏恒心。</t>
    </r>
  </si>
  <si>
    <t>投机客；中介；策划师。</t>
  </si>
  <si>
    <r>
      <t>贪狼+太阳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</si>
  <si>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日照遇欲</t>
    </r>
    <r>
      <rPr>
        <sz val="12"/>
        <color theme="1"/>
        <rFont val="等线"/>
        <family val="3"/>
        <charset val="134"/>
        <scheme val="minor"/>
      </rPr>
      <t>，发散与欲望结合，才华与欲望公开展现，适合演艺、传媒、教育，易成名，但需防桃花是非。</t>
    </r>
  </si>
  <si>
    <t>演艺明星；公众人物。</t>
  </si>
  <si>
    <r>
      <t>贪狼+武曲</t>
    </r>
    <r>
      <rPr>
        <sz val="12"/>
        <color theme="1"/>
        <rFont val="等线"/>
        <family val="3"/>
        <charset val="134"/>
        <scheme val="minor"/>
      </rPr>
      <t>​</t>
    </r>
  </si>
  <si>
    <r>
      <t>武贪格</t>
    </r>
    <r>
      <rPr>
        <sz val="12"/>
        <color theme="1"/>
        <rFont val="等线"/>
        <family val="3"/>
        <charset val="134"/>
        <scheme val="minor"/>
      </rPr>
      <t>（丑、未宫同度），</t>
    </r>
    <r>
      <rPr>
        <b/>
        <sz val="12"/>
        <color theme="1"/>
        <rFont val="等线"/>
        <family val="3"/>
        <charset val="134"/>
        <scheme val="minor"/>
      </rPr>
      <t>刚金遇欲</t>
    </r>
    <r>
      <rPr>
        <sz val="12"/>
        <color theme="1"/>
        <rFont val="等线"/>
        <family val="3"/>
        <charset val="134"/>
        <scheme val="minor"/>
      </rPr>
      <t>，行动力与欲望结合，</t>
    </r>
    <r>
      <rPr>
        <b/>
        <sz val="12"/>
        <color theme="1"/>
        <rFont val="等线"/>
        <family val="3"/>
        <charset val="134"/>
        <scheme val="minor"/>
      </rPr>
      <t>大器晚成，三十岁后横发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创意多端、风格独特</t>
    </r>
    <r>
      <rPr>
        <sz val="12"/>
        <color theme="1"/>
        <rFont val="等线"/>
        <family val="3"/>
        <charset val="134"/>
        <scheme val="minor"/>
      </rPr>
      <t>，见火铃加速爆发。但早年辛苦，六亲缘薄。</t>
    </r>
  </si>
  <si>
    <t>大器晚成的企业家；跨界成功的商人。</t>
  </si>
  <si>
    <r>
      <t>贪狼+天同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</si>
  <si>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福星遇欲</t>
    </r>
    <r>
      <rPr>
        <sz val="12"/>
        <color theme="1"/>
        <rFont val="等线"/>
        <family val="3"/>
        <charset val="134"/>
        <scheme val="minor"/>
      </rPr>
      <t>，享受与欲望结合，追求生活享乐，多才多艺，适合艺术、休闲产业，但可能过于懒散、沉溺享乐。</t>
    </r>
  </si>
  <si>
    <t>自由艺术家；休闲产业投资者。</t>
  </si>
  <si>
    <r>
      <t>贪狼+廉贞</t>
    </r>
    <r>
      <rPr>
        <sz val="12"/>
        <color theme="1"/>
        <rFont val="等线"/>
        <family val="3"/>
        <charset val="134"/>
        <scheme val="minor"/>
      </rPr>
      <t>​</t>
    </r>
  </si>
  <si>
    <r>
      <t>桃花遇囚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两大桃花星交汇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才华横溢，风流倜傥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感情复杂，易因色惹祸</t>
    </r>
    <r>
      <rPr>
        <sz val="12"/>
        <color theme="1"/>
        <rFont val="等线"/>
        <family val="3"/>
        <charset val="134"/>
        <scheme val="minor"/>
      </rPr>
      <t>。适合艺术、娱乐，但需防官非、桃花劫。</t>
    </r>
  </si>
  <si>
    <t>风流才子；演艺圈人士；但需防感情纠纷与法律问题。</t>
  </si>
  <si>
    <r>
      <t>贪狼+天府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</si>
  <si>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库星遇欲</t>
    </r>
    <r>
      <rPr>
        <sz val="12"/>
        <color theme="1"/>
        <rFont val="等线"/>
        <family val="3"/>
        <charset val="134"/>
        <scheme val="minor"/>
      </rPr>
      <t>，稳重与欲望结合，</t>
    </r>
    <r>
      <rPr>
        <b/>
        <sz val="12"/>
        <color theme="1"/>
        <rFont val="等线"/>
        <family val="3"/>
        <charset val="134"/>
        <scheme val="minor"/>
      </rPr>
      <t>欲望有库收藏</t>
    </r>
    <r>
      <rPr>
        <sz val="12"/>
        <color theme="1"/>
        <rFont val="等线"/>
        <family val="3"/>
        <charset val="134"/>
        <scheme val="minor"/>
      </rPr>
      <t>，能通过稳健方式满足欲望，适合管理、金融、娱乐结合领域。</t>
    </r>
  </si>
  <si>
    <t>银行家兼收藏家；稳健型娱乐投资者。</t>
  </si>
  <si>
    <r>
      <t>贪狼+太阴</t>
    </r>
    <r>
      <rPr>
        <sz val="12"/>
        <color theme="1"/>
        <rFont val="等线"/>
        <family val="3"/>
        <charset val="134"/>
        <scheme val="minor"/>
      </rPr>
      <t>​</t>
    </r>
  </si>
  <si>
    <r>
      <t>阴水遇欲</t>
    </r>
    <r>
      <rPr>
        <sz val="12"/>
        <color theme="1"/>
        <rFont val="等线"/>
        <family val="3"/>
        <charset val="134"/>
        <scheme val="minor"/>
      </rPr>
      <t>，内敛与欲望结合，欲望隐藏于内心，适合艺术、玄学、心理学，但需防内心欲望过盛导致情绪问题。</t>
    </r>
  </si>
  <si>
    <t>艺术家；心理学家；玄学研究者。</t>
  </si>
  <si>
    <r>
      <t>贪狼+贪狼</t>
    </r>
    <r>
      <rPr>
        <sz val="12"/>
        <color theme="1"/>
        <rFont val="等线"/>
        <family val="3"/>
        <charset val="134"/>
        <scheme val="minor"/>
      </rPr>
      <t>​</t>
    </r>
  </si>
  <si>
    <r>
      <t xml:space="preserve">(贪狼独坐) </t>
    </r>
    <r>
      <rPr>
        <b/>
        <sz val="12"/>
        <color theme="1"/>
        <rFont val="等线"/>
        <family val="3"/>
        <charset val="134"/>
        <scheme val="minor"/>
      </rPr>
      <t>欲望纯粹</t>
    </r>
    <r>
      <rPr>
        <sz val="12"/>
        <color theme="1"/>
        <rFont val="等线"/>
        <family val="3"/>
        <charset val="134"/>
        <scheme val="minor"/>
      </rPr>
      <t>，才华与欲望极致发挥，若庙旺无煞，可成大家；若落陷逢煞，易纵欲败度。</t>
    </r>
  </si>
  <si>
    <t>纯粹的艺术家或享乐主义者。</t>
  </si>
  <si>
    <r>
      <t>贪狼+巨门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</si>
  <si>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暗星遇欲</t>
    </r>
    <r>
      <rPr>
        <sz val="12"/>
        <color theme="1"/>
        <rFont val="等线"/>
        <family val="3"/>
        <charset val="134"/>
        <scheme val="minor"/>
      </rPr>
      <t>，口舌与欲望结合，</t>
    </r>
    <r>
      <rPr>
        <b/>
        <sz val="12"/>
        <color theme="1"/>
        <rFont val="等线"/>
        <family val="3"/>
        <charset val="134"/>
        <scheme val="minor"/>
      </rPr>
      <t>才华与是非交织</t>
    </r>
    <r>
      <rPr>
        <sz val="12"/>
        <color theme="1"/>
        <rFont val="等线"/>
        <family val="3"/>
        <charset val="134"/>
        <scheme val="minor"/>
      </rPr>
      <t>，适合法律、评论、演艺，但易惹口舌官司，需防因言惹祸。</t>
    </r>
  </si>
  <si>
    <t>律师兼评论员；争议性艺人。</t>
  </si>
  <si>
    <r>
      <t>贪狼+天相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</si>
  <si>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印星遇欲</t>
    </r>
    <r>
      <rPr>
        <sz val="12"/>
        <color theme="1"/>
        <rFont val="等线"/>
        <family val="3"/>
        <charset val="134"/>
        <scheme val="minor"/>
      </rPr>
      <t>，形象与欲望结合，</t>
    </r>
    <r>
      <rPr>
        <b/>
        <sz val="12"/>
        <color theme="1"/>
        <rFont val="等线"/>
        <family val="3"/>
        <charset val="134"/>
        <scheme val="minor"/>
      </rPr>
      <t>外表端庄，内在欲望强</t>
    </r>
    <r>
      <rPr>
        <sz val="12"/>
        <color theme="1"/>
        <rFont val="等线"/>
        <family val="3"/>
        <charset val="134"/>
        <scheme val="minor"/>
      </rPr>
      <t>，适合公关、外交、娱乐行业，需防表里不一。</t>
    </r>
  </si>
  <si>
    <t>公关经理；外交官；形象良好的艺人。</t>
  </si>
  <si>
    <r>
      <t>贪狼+天梁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</si>
  <si>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荫星遇欲</t>
    </r>
    <r>
      <rPr>
        <sz val="12"/>
        <color theme="1"/>
        <rFont val="等线"/>
        <family val="3"/>
        <charset val="134"/>
        <scheme val="minor"/>
      </rPr>
      <t>，荫庇与欲望结合，</t>
    </r>
    <r>
      <rPr>
        <b/>
        <sz val="12"/>
        <color theme="1"/>
        <rFont val="等线"/>
        <family val="3"/>
        <charset val="134"/>
        <scheme val="minor"/>
      </rPr>
      <t>欲望得长辈荫庇或宗教约束</t>
    </r>
    <r>
      <rPr>
        <sz val="12"/>
        <color theme="1"/>
        <rFont val="等线"/>
        <family val="3"/>
        <charset val="134"/>
        <scheme val="minor"/>
      </rPr>
      <t>，适合宗教、慈善、教育领域的艺术工作。</t>
    </r>
  </si>
  <si>
    <t>宗教艺术家；慈善机构负责人。</t>
  </si>
  <si>
    <r>
      <t>贪狼+七杀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</si>
  <si>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杀星遇欲</t>
    </r>
    <r>
      <rPr>
        <sz val="12"/>
        <color theme="1"/>
        <rFont val="等线"/>
        <family val="3"/>
        <charset val="134"/>
        <scheme val="minor"/>
      </rPr>
      <t>（卯、酉宫同度），</t>
    </r>
    <r>
      <rPr>
        <b/>
        <sz val="12"/>
        <color theme="1"/>
        <rFont val="等线"/>
        <family val="3"/>
        <charset val="134"/>
        <scheme val="minor"/>
      </rPr>
      <t>变动与欲望结合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人生大起大落</t>
    </r>
    <r>
      <rPr>
        <sz val="12"/>
        <color theme="1"/>
        <rFont val="等线"/>
        <family val="3"/>
        <charset val="134"/>
        <scheme val="minor"/>
      </rPr>
      <t>，适合军警、投机、冒险行业，但需防因欲招灾。</t>
    </r>
  </si>
  <si>
    <t>军警兼投机者；冒险家。</t>
  </si>
  <si>
    <r>
      <t>贪狼+破军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</si>
  <si>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耗星遇欲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破旧立新与欲望结合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欲望在破坏与创造中消耗</t>
    </r>
    <r>
      <rPr>
        <sz val="12"/>
        <color theme="1"/>
        <rFont val="等线"/>
        <family val="3"/>
        <charset val="134"/>
        <scheme val="minor"/>
      </rPr>
      <t>，适合改革、先锋艺术，但需防过度消耗。</t>
    </r>
  </si>
  <si>
    <t>改革者；先锋艺术家。</t>
  </si>
  <si>
    <r>
      <t>贪狼+左辅/右弼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</si>
  <si>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欲星得助</t>
    </r>
    <r>
      <rPr>
        <sz val="12"/>
        <color theme="1"/>
        <rFont val="等线"/>
        <family val="3"/>
        <charset val="134"/>
        <scheme val="minor"/>
      </rPr>
      <t>，才华与欲望得同辈、晚辈助力，人缘更佳，机会更多，但需防助力用于纵欲。</t>
    </r>
  </si>
  <si>
    <r>
      <t>贪狼+文昌/文曲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</si>
  <si>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桃花文星</t>
    </r>
    <r>
      <rPr>
        <sz val="12"/>
        <color theme="1"/>
        <rFont val="等线"/>
        <family val="3"/>
        <charset val="134"/>
        <scheme val="minor"/>
      </rPr>
      <t>，才华与文艺结合，</t>
    </r>
    <r>
      <rPr>
        <b/>
        <sz val="12"/>
        <color theme="1"/>
        <rFont val="等线"/>
        <family val="3"/>
        <charset val="134"/>
        <scheme val="minor"/>
      </rPr>
      <t>风流倜傥，多才多艺</t>
    </r>
    <r>
      <rPr>
        <sz val="12"/>
        <color theme="1"/>
        <rFont val="等线"/>
        <family val="3"/>
        <charset val="134"/>
        <scheme val="minor"/>
      </rPr>
      <t>，利于演艺、艺术，但桃花更重，需防感情困扰。</t>
    </r>
  </si>
  <si>
    <r>
      <t>贪狼+天魁/天钺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</si>
  <si>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欲星遇贵</t>
    </r>
    <r>
      <rPr>
        <sz val="12"/>
        <color theme="1"/>
        <rFont val="等线"/>
        <family val="3"/>
        <charset val="134"/>
        <scheme val="minor"/>
      </rPr>
      <t>，才华与欲望得贵人赏识提携，易因交际、才华获机遇，逢凶化吉。</t>
    </r>
  </si>
  <si>
    <r>
      <t>贪狼+禄存</t>
    </r>
    <r>
      <rPr>
        <sz val="12"/>
        <color theme="1"/>
        <rFont val="等线"/>
        <family val="3"/>
        <charset val="134"/>
        <scheme val="minor"/>
      </rPr>
      <t>​</t>
    </r>
  </si>
  <si>
    <r>
      <t>欲星带禄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最喜禄存同度</t>
    </r>
    <r>
      <rPr>
        <sz val="12"/>
        <color theme="1"/>
        <rFont val="等线"/>
        <family val="3"/>
        <charset val="134"/>
        <scheme val="minor"/>
      </rPr>
      <t>，欲望直接转化为财富，易因投机、交际获利，横发格局。</t>
    </r>
  </si>
  <si>
    <r>
      <t>贪狼+天马</t>
    </r>
    <r>
      <rPr>
        <sz val="12"/>
        <color theme="1"/>
        <rFont val="等线"/>
        <family val="3"/>
        <charset val="134"/>
        <scheme val="minor"/>
      </rPr>
      <t>​</t>
    </r>
  </si>
  <si>
    <r>
      <t>欲星奔驰</t>
    </r>
    <r>
      <rPr>
        <sz val="12"/>
        <color theme="1"/>
        <rFont val="等线"/>
        <family val="3"/>
        <charset val="134"/>
        <scheme val="minor"/>
      </rPr>
      <t>，欲望在变动、奔波中增强，适合外贸、旅游、演艺等需要移动的行业，</t>
    </r>
    <r>
      <rPr>
        <b/>
        <sz val="12"/>
        <color theme="1"/>
        <rFont val="等线"/>
        <family val="3"/>
        <charset val="134"/>
        <scheme val="minor"/>
      </rPr>
      <t>桃花带马，浪荡天涯</t>
    </r>
    <r>
      <rPr>
        <sz val="12"/>
        <color theme="1"/>
        <rFont val="等线"/>
        <family val="3"/>
        <charset val="134"/>
        <scheme val="minor"/>
      </rPr>
      <t>。</t>
    </r>
  </si>
  <si>
    <r>
      <t>贪狼+火星</t>
    </r>
    <r>
      <rPr>
        <sz val="12"/>
        <color theme="1"/>
        <rFont val="等线"/>
        <family val="3"/>
        <charset val="134"/>
        <scheme val="minor"/>
      </rPr>
      <t>​</t>
    </r>
  </si>
  <si>
    <r>
      <t>欲星逢火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火贪格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横发</t>
    </r>
    <r>
      <rPr>
        <sz val="12"/>
        <color theme="1"/>
        <rFont val="等线"/>
        <family val="3"/>
        <charset val="134"/>
        <scheme val="minor"/>
      </rPr>
      <t>。欲望变得急躁、猛烈，爆发力强，易因投机、冒险暴富，但也易因纵欲招灾。</t>
    </r>
  </si>
  <si>
    <r>
      <t>贪狼+铃星</t>
    </r>
    <r>
      <rPr>
        <sz val="12"/>
        <color theme="1"/>
        <rFont val="等线"/>
        <family val="3"/>
        <charset val="134"/>
        <scheme val="minor"/>
      </rPr>
      <t>​</t>
    </r>
  </si>
  <si>
    <r>
      <t>欲星逢铃</t>
    </r>
    <r>
      <rPr>
        <sz val="12"/>
        <color theme="1"/>
        <rFont val="等线"/>
        <family val="3"/>
        <charset val="134"/>
        <scheme val="minor"/>
      </rPr>
      <t>，欲望伴随煎熬、隐忧，求财过程多挫折，需耐心等待时机。</t>
    </r>
  </si>
  <si>
    <r>
      <t>贪狼+擎羊</t>
    </r>
    <r>
      <rPr>
        <sz val="12"/>
        <color theme="1"/>
        <rFont val="等线"/>
        <family val="3"/>
        <charset val="134"/>
        <scheme val="minor"/>
      </rPr>
      <t>​</t>
    </r>
  </si>
  <si>
    <r>
      <t>欲星逢羊</t>
    </r>
    <r>
      <rPr>
        <sz val="12"/>
        <color theme="1"/>
        <rFont val="等线"/>
        <family val="3"/>
        <charset val="134"/>
        <scheme val="minor"/>
      </rPr>
      <t>，欲望伴随竞争、伤害，易因欲望与人冲突，见血光。</t>
    </r>
  </si>
  <si>
    <r>
      <t>贪狼+陀罗</t>
    </r>
    <r>
      <rPr>
        <sz val="12"/>
        <color theme="1"/>
        <rFont val="等线"/>
        <family val="3"/>
        <charset val="134"/>
        <scheme val="minor"/>
      </rPr>
      <t>​</t>
    </r>
  </si>
  <si>
    <r>
      <t>欲星逢陀</t>
    </r>
    <r>
      <rPr>
        <sz val="12"/>
        <color theme="1"/>
        <rFont val="等线"/>
        <family val="3"/>
        <charset val="134"/>
        <scheme val="minor"/>
      </rPr>
      <t>，欲望受拖延、反复阻碍，求财过程多周折，易沉迷其中难以自拔。</t>
    </r>
  </si>
  <si>
    <r>
      <t>贪狼+地空</t>
    </r>
    <r>
      <rPr>
        <sz val="12"/>
        <color theme="1"/>
        <rFont val="等线"/>
        <family val="3"/>
        <charset val="134"/>
        <scheme val="minor"/>
      </rPr>
      <t>​</t>
    </r>
  </si>
  <si>
    <r>
      <t>欲星逢空</t>
    </r>
    <r>
      <rPr>
        <sz val="12"/>
        <color theme="1"/>
        <rFont val="等线"/>
        <family val="3"/>
        <charset val="134"/>
        <scheme val="minor"/>
      </rPr>
      <t>，欲望落空，理想化的追求享乐，但难以落实，易有投机失败。</t>
    </r>
  </si>
  <si>
    <r>
      <t>贪狼+地劫</t>
    </r>
    <r>
      <rPr>
        <sz val="12"/>
        <color theme="1"/>
        <rFont val="等线"/>
        <family val="3"/>
        <charset val="134"/>
        <scheme val="minor"/>
      </rPr>
      <t>​</t>
    </r>
  </si>
  <si>
    <r>
      <t>欲星逢劫</t>
    </r>
    <r>
      <rPr>
        <sz val="12"/>
        <color theme="1"/>
        <rFont val="等线"/>
        <family val="3"/>
        <charset val="134"/>
        <scheme val="minor"/>
      </rPr>
      <t>，欲望遭破耗，求乐过程中易有意外损失，财来财去。</t>
    </r>
  </si>
  <si>
    <r>
      <t>贪狼+化禄</t>
    </r>
    <r>
      <rPr>
        <sz val="12"/>
        <color theme="1"/>
        <rFont val="等线"/>
        <family val="3"/>
        <charset val="134"/>
        <scheme val="minor"/>
      </rPr>
      <t>​</t>
    </r>
  </si>
  <si>
    <r>
      <t>欲星化禄</t>
    </r>
    <r>
      <rPr>
        <sz val="12"/>
        <color theme="1"/>
        <rFont val="等线"/>
        <family val="3"/>
        <charset val="134"/>
        <scheme val="minor"/>
      </rPr>
      <t>（乙年生人），</t>
    </r>
    <r>
      <rPr>
        <b/>
        <sz val="12"/>
        <color theme="1"/>
        <rFont val="等线"/>
        <family val="3"/>
        <charset val="134"/>
        <scheme val="minor"/>
      </rPr>
      <t>欲望直接生财</t>
    </r>
    <r>
      <rPr>
        <sz val="12"/>
        <color theme="1"/>
        <rFont val="等线"/>
        <family val="3"/>
        <charset val="134"/>
        <scheme val="minor"/>
      </rPr>
      <t>，桃花化财，易因交际、投机、娱乐获利，人缘财旺。</t>
    </r>
  </si>
  <si>
    <r>
      <t>贪狼+化权</t>
    </r>
    <r>
      <rPr>
        <sz val="12"/>
        <color theme="1"/>
        <rFont val="等线"/>
        <family val="3"/>
        <charset val="134"/>
        <scheme val="minor"/>
      </rPr>
      <t>​</t>
    </r>
  </si>
  <si>
    <r>
      <t>欲星化权</t>
    </r>
    <r>
      <rPr>
        <sz val="12"/>
        <color theme="1"/>
        <rFont val="等线"/>
        <family val="3"/>
        <charset val="134"/>
        <scheme val="minor"/>
      </rPr>
      <t>（戊年生人），</t>
    </r>
    <r>
      <rPr>
        <b/>
        <sz val="12"/>
        <color theme="1"/>
        <rFont val="等线"/>
        <family val="3"/>
        <charset val="134"/>
        <scheme val="minor"/>
      </rPr>
      <t>欲望掌权</t>
    </r>
    <r>
      <rPr>
        <sz val="12"/>
        <color theme="1"/>
        <rFont val="等线"/>
        <family val="3"/>
        <charset val="134"/>
        <scheme val="minor"/>
      </rPr>
      <t>，才华与欲望使其掌握实权，适合管理、领导，但需防权欲膨胀。</t>
    </r>
  </si>
  <si>
    <r>
      <t>贪狼+化忌</t>
    </r>
    <r>
      <rPr>
        <sz val="12"/>
        <color theme="1"/>
        <rFont val="等线"/>
        <family val="3"/>
        <charset val="134"/>
        <scheme val="minor"/>
      </rPr>
      <t>​</t>
    </r>
  </si>
  <si>
    <r>
      <t>欲星化忌</t>
    </r>
    <r>
      <rPr>
        <sz val="12"/>
        <color theme="1"/>
        <rFont val="等线"/>
        <family val="3"/>
        <charset val="134"/>
        <scheme val="minor"/>
      </rPr>
      <t>（己年生人），</t>
    </r>
    <r>
      <rPr>
        <b/>
        <sz val="12"/>
        <color theme="1"/>
        <rFont val="等线"/>
        <family val="3"/>
        <charset val="134"/>
        <scheme val="minor"/>
      </rPr>
      <t>欲望受阻</t>
    </r>
    <r>
      <rPr>
        <sz val="12"/>
        <color theme="1"/>
        <rFont val="等线"/>
        <family val="3"/>
        <charset val="134"/>
        <scheme val="minor"/>
      </rPr>
      <t>，易因欲望惹祸，桃花劫、投机失败、沉迷享乐导致破败。</t>
    </r>
  </si>
  <si>
    <r>
      <t>1. “贪狼”与“廉贞”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贪狼星属阳木（甲木）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桃花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外露、广泛、物质欲望</t>
    </r>
    <r>
      <rPr>
        <sz val="11"/>
        <color theme="1"/>
        <rFont val="等线"/>
        <family val="2"/>
        <charset val="134"/>
        <scheme val="minor"/>
      </rPr>
      <t>，其欲望偏向</t>
    </r>
    <r>
      <rPr>
        <b/>
        <sz val="11"/>
        <color theme="1"/>
        <rFont val="等线"/>
        <family val="3"/>
        <charset val="134"/>
        <scheme val="minor"/>
      </rPr>
      <t>酒色财气、享乐、交际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廉贞星属阴火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囚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内敛、感情、精神欲望</t>
    </r>
    <r>
      <rPr>
        <sz val="11"/>
        <color theme="1"/>
        <rFont val="等线"/>
        <family val="2"/>
        <charset val="134"/>
        <scheme val="minor"/>
      </rPr>
      <t>，其欲望偏向</t>
    </r>
    <r>
      <rPr>
        <b/>
        <sz val="11"/>
        <color theme="1"/>
        <rFont val="等线"/>
        <family val="3"/>
        <charset val="134"/>
        <scheme val="minor"/>
      </rPr>
      <t>感情、执着、官非</t>
    </r>
    <r>
      <rPr>
        <sz val="11"/>
        <color theme="1"/>
        <rFont val="等线"/>
        <family val="2"/>
        <charset val="134"/>
        <scheme val="minor"/>
      </rPr>
      <t>。二者皆主桃花，但性质与表现不同。</t>
    </r>
  </si>
  <si>
    <r>
      <t>2. “欲望”的本质</t>
    </r>
    <r>
      <rPr>
        <sz val="11"/>
        <color theme="1"/>
        <rFont val="等线"/>
        <family val="2"/>
        <charset val="134"/>
        <scheme val="minor"/>
      </rPr>
      <t>：贪狼的核心是</t>
    </r>
    <r>
      <rPr>
        <b/>
        <sz val="11"/>
        <color theme="1"/>
        <rFont val="等线"/>
        <family val="3"/>
        <charset val="134"/>
        <scheme val="minor"/>
      </rPr>
      <t>一切欲望</t>
    </r>
    <r>
      <rPr>
        <sz val="11"/>
        <color theme="1"/>
        <rFont val="等线"/>
        <family val="2"/>
        <charset val="134"/>
        <scheme val="minor"/>
      </rPr>
      <t>，是推动人生前进的动力，也是导致灾祸的根源。在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为性格豪放、追求享乐；在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为投机、变化、追求新鲜；在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为体积、大小、享乐物品。</t>
    </r>
  </si>
  <si>
    <r>
      <t>3. “桃花”性质</t>
    </r>
    <r>
      <rPr>
        <sz val="11"/>
        <color theme="1"/>
        <rFont val="等线"/>
        <family val="2"/>
        <charset val="134"/>
        <scheme val="minor"/>
      </rPr>
      <t>：贪狼为</t>
    </r>
    <r>
      <rPr>
        <b/>
        <sz val="11"/>
        <color theme="1"/>
        <rFont val="等线"/>
        <family val="3"/>
        <charset val="134"/>
        <scheme val="minor"/>
      </rPr>
      <t>第一大桃花星</t>
    </r>
    <r>
      <rPr>
        <sz val="11"/>
        <color theme="1"/>
        <rFont val="等线"/>
        <family val="2"/>
        <charset val="134"/>
        <scheme val="minor"/>
      </rPr>
      <t>，其桃花不仅是异性缘，更是</t>
    </r>
    <r>
      <rPr>
        <b/>
        <sz val="11"/>
        <color theme="1"/>
        <rFont val="等线"/>
        <family val="3"/>
        <charset val="134"/>
        <scheme val="minor"/>
      </rPr>
      <t>广义的人缘、机会、事情的增加</t>
    </r>
    <r>
      <rPr>
        <sz val="11"/>
        <color theme="1"/>
        <rFont val="等线"/>
        <family val="2"/>
        <charset val="134"/>
        <scheme val="minor"/>
      </rPr>
      <t>。桃花代表希望与期待，是欲望的延伸。</t>
    </r>
  </si>
  <si>
    <r>
      <t>4. “祸福之神”</t>
    </r>
    <r>
      <rPr>
        <sz val="11"/>
        <color theme="1"/>
        <rFont val="等线"/>
        <family val="2"/>
        <charset val="134"/>
        <scheme val="minor"/>
      </rPr>
      <t>：贪狼既是</t>
    </r>
    <r>
      <rPr>
        <b/>
        <sz val="11"/>
        <color theme="1"/>
        <rFont val="等线"/>
        <family val="3"/>
        <charset val="134"/>
        <scheme val="minor"/>
      </rPr>
      <t>福星</t>
    </r>
    <r>
      <rPr>
        <sz val="11"/>
        <color theme="1"/>
        <rFont val="等线"/>
        <family val="2"/>
        <charset val="134"/>
        <scheme val="minor"/>
      </rPr>
      <t>（解厄之神、寿星），能带来机遇、人缘、才华；也是</t>
    </r>
    <r>
      <rPr>
        <b/>
        <sz val="11"/>
        <color theme="1"/>
        <rFont val="等线"/>
        <family val="3"/>
        <charset val="134"/>
        <scheme val="minor"/>
      </rPr>
      <t>祸星</t>
    </r>
    <r>
      <rPr>
        <sz val="11"/>
        <color theme="1"/>
        <rFont val="等线"/>
        <family val="2"/>
        <charset val="134"/>
        <scheme val="minor"/>
      </rPr>
      <t>，若欲望失控，会导致沉迷、破败。其吉凶关键在于</t>
    </r>
    <r>
      <rPr>
        <b/>
        <sz val="11"/>
        <color theme="1"/>
        <rFont val="等线"/>
        <family val="3"/>
        <charset val="134"/>
        <scheme val="minor"/>
      </rPr>
      <t>欲望的平衡与引导</t>
    </r>
    <r>
      <rPr>
        <sz val="11"/>
        <color theme="1"/>
        <rFont val="等线"/>
        <family val="2"/>
        <charset val="134"/>
        <scheme val="minor"/>
      </rPr>
      <t>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</si>
  <si>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：贪狼星所在宫位，指示在人生的哪个领域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欲望最强、机会最多、变化最大</t>
    </r>
    <r>
      <rPr>
        <sz val="11"/>
        <color theme="1"/>
        <rFont val="等线"/>
        <family val="2"/>
        <charset val="134"/>
        <scheme val="minor"/>
      </rPr>
      <t>，也指示该领域易有</t>
    </r>
    <r>
      <rPr>
        <b/>
        <sz val="11"/>
        <color theme="1"/>
        <rFont val="等线"/>
        <family val="3"/>
        <charset val="134"/>
        <scheme val="minor"/>
      </rPr>
      <t>桃花、投机、享乐</t>
    </r>
    <r>
      <rPr>
        <sz val="11"/>
        <color theme="1"/>
        <rFont val="等线"/>
        <family val="2"/>
        <charset val="134"/>
        <scheme val="minor"/>
      </rPr>
      <t>现象。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</si>
  <si>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欲望生财</t>
    </r>
    <r>
      <rPr>
        <sz val="11"/>
        <color theme="1"/>
        <rFont val="等线"/>
        <family val="2"/>
        <charset val="134"/>
        <scheme val="minor"/>
      </rPr>
      <t>，桃花化财，人缘财旺。见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欲望掌权</t>
    </r>
    <r>
      <rPr>
        <sz val="11"/>
        <color theme="1"/>
        <rFont val="等线"/>
        <family val="2"/>
        <charset val="134"/>
        <scheme val="minor"/>
      </rPr>
      <t>，才华与欲望使其掌握实权。见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欲望受阻</t>
    </r>
    <r>
      <rPr>
        <sz val="11"/>
        <color theme="1"/>
        <rFont val="等线"/>
        <family val="2"/>
        <charset val="134"/>
        <scheme val="minor"/>
      </rPr>
      <t>，易因欲望惹祸，需防桃花劫、投机失败。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</si>
  <si>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火贪格</t>
    </r>
    <r>
      <rPr>
        <sz val="11"/>
        <color theme="1"/>
        <rFont val="等线"/>
        <family val="2"/>
        <charset val="134"/>
        <scheme val="minor"/>
      </rPr>
      <t>（贪狼+火星），主</t>
    </r>
    <r>
      <rPr>
        <b/>
        <sz val="11"/>
        <color theme="1"/>
        <rFont val="等线"/>
        <family val="3"/>
        <charset val="134"/>
        <scheme val="minor"/>
      </rPr>
      <t>横发</t>
    </r>
    <r>
      <rPr>
        <sz val="11"/>
        <color theme="1"/>
        <rFont val="等线"/>
        <family val="2"/>
        <charset val="134"/>
        <scheme val="minor"/>
      </rPr>
      <t>，爆发力强。</t>
    </r>
    <r>
      <rPr>
        <b/>
        <sz val="11"/>
        <color theme="1"/>
        <rFont val="等线"/>
        <family val="3"/>
        <charset val="134"/>
        <scheme val="minor"/>
      </rPr>
      <t>武贪格</t>
    </r>
    <r>
      <rPr>
        <sz val="11"/>
        <color theme="1"/>
        <rFont val="等线"/>
        <family val="2"/>
        <charset val="134"/>
        <scheme val="minor"/>
      </rPr>
      <t>（武曲+贪狼），主</t>
    </r>
    <r>
      <rPr>
        <b/>
        <sz val="11"/>
        <color theme="1"/>
        <rFont val="等线"/>
        <family val="3"/>
        <charset val="134"/>
        <scheme val="minor"/>
      </rPr>
      <t>大器晚成，三十岁后横发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</si>
  <si>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娱乐场所、声色场所、酒吧、餐厅、宗教场所、艺术馆、赌场、投机市场、巨大的物体、肉类市场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</si>
  <si>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贪狼星的全部原始定义、分类与案例，并严格依您的要求，在“本质”部分增补了“人/事/物”三个层次的解析，未增删改臆。贪狼星为欲望之星，主桃花与变化。其核心在于“欲”，常在人际、机遇、享乐领域显现，但其“祸福相依”的性质需仔细权衡。最喜入庙化禄于命、财、官等宫，主才华横溢，机遇横发。与禄存同度，横发之兆；与火星同度，火贪暴富。然若落陷或与煞忌同度，则纵欲败度，多成多败，且需防桃花劫数。在紫占中，贪狼与各主星组合产生的“欲望”、“桃花”、“体积”等具体卦象，是断事关键，需结合具体星情与宫位细察。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</si>
  <si>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廉贞星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的完整象义解析如下（严格遵循原始资料结构与表述，并依您的要求，在“本质”部分增补“人/事/物”三个层次的解析）：</t>
    </r>
  </si>
  <si>
    <t>一、廉贞定义</t>
  </si>
  <si>
    <t>囚、血、电路、抓、肿瘤、桃花、官非、精密、细致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</si>
  <si>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复杂多变、善恶分明、重感情、好胜心强、心高气傲、不拘小节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易钻牛角尖、感情用事、易生官非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感情的囚徒、细致的执行者、血光的关联者</t>
    </r>
    <r>
      <rPr>
        <sz val="12"/>
        <color theme="1"/>
        <rFont val="等线"/>
        <family val="3"/>
        <charset val="134"/>
        <scheme val="minor"/>
      </rPr>
      <t>。人际关系上，</t>
    </r>
    <r>
      <rPr>
        <b/>
        <sz val="12"/>
        <color theme="1"/>
        <rFont val="等线"/>
        <family val="3"/>
        <charset val="134"/>
        <scheme val="minor"/>
      </rPr>
      <t>重情义但易生纠葛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次桃花星</t>
    </r>
    <r>
      <rPr>
        <sz val="12"/>
        <color theme="1"/>
        <rFont val="等线"/>
        <family val="3"/>
        <charset val="134"/>
        <scheme val="minor"/>
      </rPr>
      <t>，感情深刻而执着。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</si>
  <si>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纠缠、复杂、易有血光、官非、电路故障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精密、细致、需要高度专注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充满变数、易受感情影响、易生是非</t>
    </r>
    <r>
      <rPr>
        <sz val="12"/>
        <color theme="1"/>
        <rFont val="等线"/>
        <family val="3"/>
        <charset val="134"/>
        <scheme val="minor"/>
      </rPr>
      <t>，但若引导得当，可成就非凡。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</si>
  <si>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指代具有</t>
    </r>
    <r>
      <rPr>
        <b/>
        <sz val="12"/>
        <color theme="1"/>
        <rFont val="等线"/>
        <family val="3"/>
        <charset val="134"/>
        <scheme val="minor"/>
      </rPr>
      <t>囚禁、连接、精密、红色</t>
    </r>
    <r>
      <rPr>
        <sz val="12"/>
        <color theme="1"/>
        <rFont val="等线"/>
        <family val="3"/>
        <charset val="134"/>
        <scheme val="minor"/>
      </rPr>
      <t>属性的事物。如：</t>
    </r>
    <r>
      <rPr>
        <b/>
        <sz val="12"/>
        <color theme="1"/>
        <rFont val="等线"/>
        <family val="3"/>
        <charset val="134"/>
        <scheme val="minor"/>
      </rPr>
      <t>血液、电路、电线、网络、肿瘤、精密仪器、监狱、手术室、红色物品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无形的感情纠葛、法律条文</t>
    </r>
    <r>
      <rPr>
        <sz val="12"/>
        <color theme="1"/>
        <rFont val="等线"/>
        <family val="3"/>
        <charset val="134"/>
        <scheme val="minor"/>
      </rPr>
      <t>。</t>
    </r>
  </si>
  <si>
    <t>整合自《金刚佛光-紫占课程手册》中关于廉贞“囚”、“血”、“电路”、“抓”等核心概念的深度阐释与类象推演。</t>
  </si>
  <si>
    <r>
      <t>甲级星，属</t>
    </r>
    <r>
      <rPr>
        <b/>
        <sz val="12"/>
        <color theme="1"/>
        <rFont val="等线"/>
        <family val="3"/>
        <charset val="134"/>
        <scheme val="minor"/>
      </rPr>
      <t>阴火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囚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次桃花星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官禄主</t>
    </r>
    <r>
      <rPr>
        <sz val="12"/>
        <color theme="1"/>
        <rFont val="等线"/>
        <family val="3"/>
        <charset val="134"/>
        <scheme val="minor"/>
      </rPr>
      <t>。喜庙旺（寅、申宫为入庙），忌落陷。喜会禄存、天府、天相，忌煞忌冲破。与贪狼同为桃花星，但</t>
    </r>
    <r>
      <rPr>
        <b/>
        <sz val="12"/>
        <color theme="1"/>
        <rFont val="等线"/>
        <family val="3"/>
        <charset val="134"/>
        <scheme val="minor"/>
      </rPr>
      <t>廉贞主内敛、感情、精神欲望、官非；贪狼主外露、广泛、物质欲望</t>
    </r>
    <r>
      <rPr>
        <sz val="12"/>
        <color theme="1"/>
        <rFont val="等线"/>
        <family val="3"/>
        <charset val="134"/>
        <scheme val="minor"/>
      </rPr>
      <t>。廉贞亦为“</t>
    </r>
    <r>
      <rPr>
        <b/>
        <sz val="12"/>
        <color theme="1"/>
        <rFont val="等线"/>
        <family val="3"/>
        <charset val="134"/>
        <scheme val="minor"/>
      </rPr>
      <t>血星</t>
    </r>
    <r>
      <rPr>
        <sz val="12"/>
        <color theme="1"/>
        <rFont val="等线"/>
        <family val="3"/>
        <charset val="134"/>
        <scheme val="minor"/>
      </rPr>
      <t>”，主血光、手术。</t>
    </r>
  </si>
  <si>
    <r>
      <t>囚性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</si>
  <si>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囚禁、束缚、纠缠、官非</t>
    </r>
    <r>
      <rPr>
        <sz val="12"/>
        <color theme="1"/>
        <rFont val="等线"/>
        <family val="3"/>
        <charset val="134"/>
        <scheme val="minor"/>
      </rPr>
      <t>。在人事上，主</t>
    </r>
    <r>
      <rPr>
        <b/>
        <sz val="12"/>
        <color theme="1"/>
        <rFont val="等线"/>
        <family val="3"/>
        <charset val="134"/>
        <scheme val="minor"/>
      </rPr>
      <t>感情囚徒、思想纠结、官司缠身</t>
    </r>
    <r>
      <rPr>
        <sz val="12"/>
        <color theme="1"/>
        <rFont val="等线"/>
        <family val="3"/>
        <charset val="134"/>
        <scheme val="minor"/>
      </rPr>
      <t>；在事物上，主</t>
    </r>
    <r>
      <rPr>
        <b/>
        <sz val="12"/>
        <color theme="1"/>
        <rFont val="等线"/>
        <family val="3"/>
        <charset val="134"/>
        <scheme val="minor"/>
      </rPr>
      <t>事情卡住、流程受阻</t>
    </r>
    <r>
      <rPr>
        <sz val="12"/>
        <color theme="1"/>
        <rFont val="等线"/>
        <family val="3"/>
        <charset val="134"/>
        <scheme val="minor"/>
      </rPr>
      <t>；在物体上，主</t>
    </r>
    <r>
      <rPr>
        <b/>
        <sz val="12"/>
        <color theme="1"/>
        <rFont val="等线"/>
        <family val="3"/>
        <charset val="134"/>
        <scheme val="minor"/>
      </rPr>
      <t>监狱、牢笼、束缚物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</si>
  <si>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在命宫、官禄宫、疾厄宫时，囚性明显。</t>
  </si>
  <si>
    <r>
      <t>血与电路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</si>
  <si>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血液、血液循环、电路、网络</t>
    </r>
    <r>
      <rPr>
        <sz val="12"/>
        <color theme="1"/>
        <rFont val="等线"/>
        <family val="3"/>
        <charset val="134"/>
        <scheme val="minor"/>
      </rPr>
      <t>。在身体上，主</t>
    </r>
    <r>
      <rPr>
        <b/>
        <sz val="12"/>
        <color theme="1"/>
        <rFont val="等线"/>
        <family val="3"/>
        <charset val="134"/>
        <scheme val="minor"/>
      </rPr>
      <t>血光、手术、血液疾病</t>
    </r>
    <r>
      <rPr>
        <sz val="12"/>
        <color theme="1"/>
        <rFont val="等线"/>
        <family val="3"/>
        <charset val="134"/>
        <scheme val="minor"/>
      </rPr>
      <t>；在物体上，主</t>
    </r>
    <r>
      <rPr>
        <b/>
        <sz val="12"/>
        <color theme="1"/>
        <rFont val="等线"/>
        <family val="3"/>
        <charset val="134"/>
        <scheme val="minor"/>
      </rPr>
      <t>电线、电路板、网络连接</t>
    </r>
    <r>
      <rPr>
        <sz val="12"/>
        <color theme="1"/>
        <rFont val="等线"/>
        <family val="3"/>
        <charset val="134"/>
        <scheme val="minor"/>
      </rPr>
      <t>；在事件上，主</t>
    </r>
    <r>
      <rPr>
        <b/>
        <sz val="12"/>
        <color theme="1"/>
        <rFont val="等线"/>
        <family val="3"/>
        <charset val="134"/>
        <scheme val="minor"/>
      </rPr>
      <t>电路故障、网络问题、血光之灾</t>
    </r>
    <r>
      <rPr>
        <sz val="12"/>
        <color theme="1"/>
        <rFont val="等线"/>
        <family val="3"/>
        <charset val="134"/>
        <scheme val="minor"/>
      </rPr>
      <t>。</t>
    </r>
  </si>
  <si>
    <t>在疾厄宫、田宅宫时，与血、电路相关。</t>
  </si>
  <si>
    <r>
      <t>抓取与肿瘤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</si>
  <si>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抓、拿、获取、肿瘤、增生</t>
    </r>
    <r>
      <rPr>
        <sz val="12"/>
        <color theme="1"/>
        <rFont val="等线"/>
        <family val="3"/>
        <charset val="134"/>
        <scheme val="minor"/>
      </rPr>
      <t>。在人事上，主</t>
    </r>
    <r>
      <rPr>
        <b/>
        <sz val="12"/>
        <color theme="1"/>
        <rFont val="等线"/>
        <family val="3"/>
        <charset val="134"/>
        <scheme val="minor"/>
      </rPr>
      <t>抓捕、获取资源</t>
    </r>
    <r>
      <rPr>
        <sz val="12"/>
        <color theme="1"/>
        <rFont val="等线"/>
        <family val="3"/>
        <charset val="134"/>
        <scheme val="minor"/>
      </rPr>
      <t>；在身体上，主</t>
    </r>
    <r>
      <rPr>
        <b/>
        <sz val="12"/>
        <color theme="1"/>
        <rFont val="等线"/>
        <family val="3"/>
        <charset val="134"/>
        <scheme val="minor"/>
      </rPr>
      <t>肿瘤、息肉、增生</t>
    </r>
    <r>
      <rPr>
        <sz val="12"/>
        <color theme="1"/>
        <rFont val="等线"/>
        <family val="3"/>
        <charset val="134"/>
        <scheme val="minor"/>
      </rPr>
      <t>；在事件上，主</t>
    </r>
    <r>
      <rPr>
        <b/>
        <sz val="12"/>
        <color theme="1"/>
        <rFont val="等线"/>
        <family val="3"/>
        <charset val="134"/>
        <scheme val="minor"/>
      </rPr>
      <t>获取机会、但也可能被事情缠住</t>
    </r>
    <r>
      <rPr>
        <sz val="12"/>
        <color theme="1"/>
        <rFont val="等线"/>
        <family val="3"/>
        <charset val="134"/>
        <scheme val="minor"/>
      </rPr>
      <t>。</t>
    </r>
  </si>
  <si>
    <t>在官禄宫、疾厄宫时，与抓取、肿瘤相关。</t>
  </si>
  <si>
    <r>
      <t>桃花与感情</t>
    </r>
    <r>
      <rPr>
        <sz val="12"/>
        <color theme="1"/>
        <rFont val="等线"/>
        <family val="3"/>
        <charset val="134"/>
        <scheme val="minor"/>
      </rPr>
      <t>​</t>
    </r>
  </si>
  <si>
    <r>
      <t>次桃花星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感情丰富、深刻、执着</t>
    </r>
    <r>
      <rPr>
        <sz val="12"/>
        <color theme="1"/>
        <rFont val="等线"/>
        <family val="3"/>
        <charset val="134"/>
        <scheme val="minor"/>
      </rPr>
      <t>，但易陷入</t>
    </r>
    <r>
      <rPr>
        <b/>
        <sz val="12"/>
        <color theme="1"/>
        <rFont val="等线"/>
        <family val="3"/>
        <charset val="134"/>
        <scheme val="minor"/>
      </rPr>
      <t>感情纠葛、多角恋、为情所困</t>
    </r>
    <r>
      <rPr>
        <sz val="12"/>
        <color theme="1"/>
        <rFont val="等线"/>
        <family val="3"/>
        <charset val="134"/>
        <scheme val="minor"/>
      </rPr>
      <t>。桃花带“囚”性，故感情常伴随痛苦与束缚。</t>
    </r>
  </si>
  <si>
    <t>在命宫、夫妻宫、福德宫时，桃花性质强。</t>
  </si>
  <si>
    <r>
      <t>精密与细致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</si>
  <si>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精密、细致、认真、挑剔</t>
    </r>
    <r>
      <rPr>
        <sz val="12"/>
        <color theme="1"/>
        <rFont val="等线"/>
        <family val="3"/>
        <charset val="134"/>
        <scheme val="minor"/>
      </rPr>
      <t>。适合需要高度专注、精细操作的工作，如</t>
    </r>
    <r>
      <rPr>
        <b/>
        <sz val="12"/>
        <color theme="1"/>
        <rFont val="等线"/>
        <family val="3"/>
        <charset val="134"/>
        <scheme val="minor"/>
      </rPr>
      <t>外科医生、工程师、程序员、会计、审计</t>
    </r>
    <r>
      <rPr>
        <sz val="12"/>
        <color theme="1"/>
        <rFont val="等线"/>
        <family val="3"/>
        <charset val="134"/>
        <scheme val="minor"/>
      </rPr>
      <t>。</t>
    </r>
  </si>
  <si>
    <t>在官禄宫、命宫时，细致特质显现。</t>
  </si>
  <si>
    <r>
      <t>眉宽、口阔、面横、性暴、爱恶分明</t>
    </r>
    <r>
      <rPr>
        <sz val="12"/>
        <color theme="1"/>
        <rFont val="等线"/>
        <family val="3"/>
        <charset val="134"/>
        <scheme val="minor"/>
      </rPr>
      <t>。相貌</t>
    </r>
    <r>
      <rPr>
        <b/>
        <sz val="12"/>
        <color theme="1"/>
        <rFont val="等线"/>
        <family val="3"/>
        <charset val="134"/>
        <scheme val="minor"/>
      </rPr>
      <t>清秀端正</t>
    </r>
    <r>
      <rPr>
        <sz val="12"/>
        <color theme="1"/>
        <rFont val="等线"/>
        <family val="3"/>
        <charset val="134"/>
        <scheme val="minor"/>
      </rPr>
      <t>，但眼神带</t>
    </r>
    <r>
      <rPr>
        <b/>
        <sz val="12"/>
        <color theme="1"/>
        <rFont val="等线"/>
        <family val="3"/>
        <charset val="134"/>
        <scheme val="minor"/>
      </rPr>
      <t>桃花与傲气</t>
    </r>
    <r>
      <rPr>
        <sz val="12"/>
        <color theme="1"/>
        <rFont val="等线"/>
        <family val="3"/>
        <charset val="134"/>
        <scheme val="minor"/>
      </rPr>
      <t>。</t>
    </r>
  </si>
  <si>
    <r>
      <t>心高气傲，不拘小节，好胜心强，重感情，讲道义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情绪多变，易钻牛角尖，感情用事，不喜受约束，易生官非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</si>
  <si>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聪明机巧，心高气傲，重感情，好胜心强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感情丰富，易为情所困</t>
    </r>
    <r>
      <rPr>
        <sz val="12"/>
        <color theme="1"/>
        <rFont val="等线"/>
        <family val="3"/>
        <charset val="134"/>
        <scheme val="minor"/>
      </rPr>
      <t>，且</t>
    </r>
    <r>
      <rPr>
        <b/>
        <sz val="12"/>
        <color theme="1"/>
        <rFont val="等线"/>
        <family val="3"/>
        <charset val="134"/>
        <scheme val="minor"/>
      </rPr>
      <t>易惹官非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精密、技术、司法、医疗</t>
    </r>
    <r>
      <rPr>
        <sz val="12"/>
        <color theme="1"/>
        <rFont val="等线"/>
        <family val="3"/>
        <charset val="134"/>
        <scheme val="minor"/>
      </rPr>
      <t>等工作。若庙旺无煞，可因才华、技术成功；若落陷或逢煞忌，则易因感情、官非招灾。</t>
    </r>
  </si>
  <si>
    <t>兄弟姐妹中可能有性格刚烈、重感情者，但彼此关系易有纠葛、竞争。</t>
  </si>
  <si>
    <r>
      <t>感情深刻而复杂，易为情所困</t>
    </r>
    <r>
      <rPr>
        <sz val="12"/>
        <color theme="1"/>
        <rFont val="等线"/>
        <family val="3"/>
        <charset val="134"/>
        <scheme val="minor"/>
      </rPr>
      <t>。配偶可能</t>
    </r>
    <r>
      <rPr>
        <b/>
        <sz val="12"/>
        <color theme="1"/>
        <rFont val="等线"/>
        <family val="3"/>
        <charset val="134"/>
        <scheme val="minor"/>
      </rPr>
      <t>性格刚烈、重感情</t>
    </r>
    <r>
      <rPr>
        <sz val="12"/>
        <color theme="1"/>
        <rFont val="等线"/>
        <family val="3"/>
        <charset val="134"/>
        <scheme val="minor"/>
      </rPr>
      <t>，但婚姻中易有</t>
    </r>
    <r>
      <rPr>
        <b/>
        <sz val="12"/>
        <color theme="1"/>
        <rFont val="等线"/>
        <family val="3"/>
        <charset val="134"/>
        <scheme val="minor"/>
      </rPr>
      <t>争吵、束缚感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廉贞为次桃花星，在夫妻宫需防感情纠葛、第三者介入</t>
    </r>
    <r>
      <rPr>
        <sz val="12"/>
        <color theme="1"/>
        <rFont val="等线"/>
        <family val="3"/>
        <charset val="134"/>
        <scheme val="minor"/>
      </rPr>
      <t>。若逢煞忌，主婚姻多波折，易生离死别。</t>
    </r>
  </si>
  <si>
    <t>子女聪明但可能叛逆，感情丰富，管教需注重情感沟通。子女缘分可能较深但易有纠葛。</t>
  </si>
  <si>
    <r>
      <t>求财方式多与</t>
    </r>
    <r>
      <rPr>
        <b/>
        <sz val="12"/>
        <color theme="1"/>
        <rFont val="等线"/>
        <family val="3"/>
        <charset val="134"/>
        <scheme val="minor"/>
      </rPr>
      <t>技术、精密操作、司法、医疗</t>
    </r>
    <r>
      <rPr>
        <sz val="12"/>
        <color theme="1"/>
        <rFont val="等线"/>
        <family val="3"/>
        <charset val="134"/>
        <scheme val="minor"/>
      </rPr>
      <t>相关。财运起伏较大，易因感情、官非破财。喜见禄存，主通过技术获利。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</si>
  <si>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心脑血管疾病、血液疾病、肿瘤、手术</t>
    </r>
    <r>
      <rPr>
        <sz val="12"/>
        <color theme="1"/>
        <rFont val="等线"/>
        <family val="3"/>
        <charset val="134"/>
        <scheme val="minor"/>
      </rPr>
      <t>。廉贞属火，又为血星，需特别注意</t>
    </r>
    <r>
      <rPr>
        <b/>
        <sz val="12"/>
        <color theme="1"/>
        <rFont val="等线"/>
        <family val="3"/>
        <charset val="134"/>
        <scheme val="minor"/>
      </rPr>
      <t>心脏、血压、血液循环</t>
    </r>
    <r>
      <rPr>
        <sz val="12"/>
        <color theme="1"/>
        <rFont val="等线"/>
        <family val="3"/>
        <charset val="134"/>
        <scheme val="minor"/>
      </rPr>
      <t>问题。也主</t>
    </r>
    <r>
      <rPr>
        <b/>
        <sz val="12"/>
        <color theme="1"/>
        <rFont val="等线"/>
        <family val="3"/>
        <charset val="134"/>
        <scheme val="minor"/>
      </rPr>
      <t>意外血光</t>
    </r>
    <r>
      <rPr>
        <sz val="12"/>
        <color theme="1"/>
        <rFont val="等线"/>
        <family val="3"/>
        <charset val="134"/>
        <scheme val="minor"/>
      </rPr>
      <t>。</t>
    </r>
  </si>
  <si>
    <t>在外发展易因技术、才华获得机遇，但需防官非、血光。外出多遇感情机会或纠纷。</t>
  </si>
  <si>
    <t>朋友、部属中多有重感情、技术专精者，但需防朋友惹官非牵连自身，或朋友为感情所困。</t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</si>
  <si>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司法、军警、医疗、工程技术、精密制造、计算机、审计</t>
    </r>
    <r>
      <rPr>
        <sz val="12"/>
        <color theme="1"/>
        <rFont val="等线"/>
        <family val="3"/>
        <charset val="134"/>
        <scheme val="minor"/>
      </rPr>
      <t>等需要高度专注与细致的工作。事业上易有官非、纠纷，但也能因技术、专业成功。</t>
    </r>
  </si>
  <si>
    <r>
      <t>家宅可能靠近</t>
    </r>
    <r>
      <rPr>
        <b/>
        <sz val="12"/>
        <color theme="1"/>
        <rFont val="等线"/>
        <family val="3"/>
        <charset val="134"/>
        <scheme val="minor"/>
      </rPr>
      <t>法院、医院、监狱、变电站</t>
    </r>
    <r>
      <rPr>
        <sz val="12"/>
        <color theme="1"/>
        <rFont val="等线"/>
        <family val="3"/>
        <charset val="134"/>
        <scheme val="minor"/>
      </rPr>
      <t>等。家中易有</t>
    </r>
    <r>
      <rPr>
        <b/>
        <sz val="12"/>
        <color theme="1"/>
        <rFont val="等线"/>
        <family val="3"/>
        <charset val="134"/>
        <scheme val="minor"/>
      </rPr>
      <t>电路问题、红色装饰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</si>
  <si>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重感情、易纠结、好胜心强</t>
    </r>
    <r>
      <rPr>
        <sz val="12"/>
        <color theme="1"/>
        <rFont val="等线"/>
        <family val="3"/>
        <charset val="134"/>
        <scheme val="minor"/>
      </rPr>
      <t>。内心常陷入思想斗争，追求精神层面的深刻体验。</t>
    </r>
  </si>
  <si>
    <t>父母可能性格刚烈、重感情，或从事司法、技术工作。与父母关系可能较为复杂，易有情感纠葛。</t>
  </si>
  <si>
    <t>1. 增强囚性/血光/精密组合</t>
  </si>
  <si>
    <r>
      <t>廉贞+紫微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</si>
  <si>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帝星遇囚</t>
    </r>
    <r>
      <rPr>
        <sz val="12"/>
        <color theme="1"/>
        <rFont val="等线"/>
        <family val="3"/>
        <charset val="134"/>
        <scheme val="minor"/>
      </rPr>
      <t>，权威与束缚结合，适合在</t>
    </r>
    <r>
      <rPr>
        <b/>
        <sz val="12"/>
        <color theme="1"/>
        <rFont val="等线"/>
        <family val="3"/>
        <charset val="134"/>
        <scheme val="minor"/>
      </rPr>
      <t>政府、司法、大型机构</t>
    </r>
    <r>
      <rPr>
        <sz val="12"/>
        <color theme="1"/>
        <rFont val="等线"/>
        <family val="3"/>
        <charset val="134"/>
        <scheme val="minor"/>
      </rPr>
      <t>担任管理或技术职务，但易有</t>
    </r>
    <r>
      <rPr>
        <b/>
        <sz val="12"/>
        <color theme="1"/>
        <rFont val="等线"/>
        <family val="3"/>
        <charset val="134"/>
        <scheme val="minor"/>
      </rPr>
      <t>官非、权力斗争</t>
    </r>
    <r>
      <rPr>
        <sz val="12"/>
        <color theme="1"/>
        <rFont val="等线"/>
        <family val="3"/>
        <charset val="134"/>
        <scheme val="minor"/>
      </rPr>
      <t>。</t>
    </r>
  </si>
  <si>
    <t>法官；政府技术官员；企业高管（但需防官非）。</t>
  </si>
  <si>
    <r>
      <t>廉贞+天机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</si>
  <si>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智星遇囚</t>
    </r>
    <r>
      <rPr>
        <sz val="12"/>
        <color theme="1"/>
        <rFont val="等线"/>
        <family val="3"/>
        <charset val="134"/>
        <scheme val="minor"/>
      </rPr>
      <t>，机巧与束缚结合，适合</t>
    </r>
    <r>
      <rPr>
        <b/>
        <sz val="12"/>
        <color theme="1"/>
        <rFont val="等线"/>
        <family val="3"/>
        <charset val="134"/>
        <scheme val="minor"/>
      </rPr>
      <t>精密计算、程序设计、策划</t>
    </r>
    <r>
      <rPr>
        <sz val="12"/>
        <color theme="1"/>
        <rFont val="等线"/>
        <family val="3"/>
        <charset val="134"/>
        <scheme val="minor"/>
      </rPr>
      <t>，但思虑过多易钻牛角尖。</t>
    </r>
  </si>
  <si>
    <t>程序员；精算师；策划师（但需防过度思虑）。</t>
  </si>
  <si>
    <r>
      <t>廉贞+太阳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</si>
  <si>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日照遇囚</t>
    </r>
    <r>
      <rPr>
        <sz val="12"/>
        <color theme="1"/>
        <rFont val="等线"/>
        <family val="3"/>
        <charset val="134"/>
        <scheme val="minor"/>
      </rPr>
      <t>，发散与束缚结合，才华在公开场合受约束，适合</t>
    </r>
    <r>
      <rPr>
        <b/>
        <sz val="12"/>
        <color theme="1"/>
        <rFont val="等线"/>
        <family val="3"/>
        <charset val="134"/>
        <scheme val="minor"/>
      </rPr>
      <t>司法、监察、公开的技术工作</t>
    </r>
    <r>
      <rPr>
        <sz val="12"/>
        <color theme="1"/>
        <rFont val="等线"/>
        <family val="3"/>
        <charset val="134"/>
        <scheme val="minor"/>
      </rPr>
      <t>，但需防公开场合的是非。</t>
    </r>
  </si>
  <si>
    <t>检察官；审计师；公开的技术专家。</t>
  </si>
  <si>
    <r>
      <t>廉贞+武曲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</si>
  <si>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刚金遇囚</t>
    </r>
    <r>
      <rPr>
        <sz val="12"/>
        <color theme="1"/>
        <rFont val="等线"/>
        <family val="3"/>
        <charset val="134"/>
        <scheme val="minor"/>
      </rPr>
      <t>，行动力与束缚结合，组合复杂。若格局佳，可在</t>
    </r>
    <r>
      <rPr>
        <b/>
        <sz val="12"/>
        <color theme="1"/>
        <rFont val="等线"/>
        <family val="3"/>
        <charset val="134"/>
        <scheme val="minor"/>
      </rPr>
      <t>军警、纪律部队</t>
    </r>
    <r>
      <rPr>
        <sz val="12"/>
        <color theme="1"/>
        <rFont val="等线"/>
        <family val="3"/>
        <charset val="134"/>
        <scheme val="minor"/>
      </rPr>
      <t>发挥才能；若格局差，易因</t>
    </r>
    <r>
      <rPr>
        <b/>
        <sz val="12"/>
        <color theme="1"/>
        <rFont val="等线"/>
        <family val="3"/>
        <charset val="134"/>
        <scheme val="minor"/>
      </rPr>
      <t>财色惹官非</t>
    </r>
    <r>
      <rPr>
        <sz val="12"/>
        <color theme="1"/>
        <rFont val="等线"/>
        <family val="3"/>
        <charset val="134"/>
        <scheme val="minor"/>
      </rPr>
      <t>。</t>
    </r>
  </si>
  <si>
    <t>军警人员；纪检干部；但需防财务或感情纠纷。</t>
  </si>
  <si>
    <r>
      <t>廉贞+天同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</si>
  <si>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福星遇囚</t>
    </r>
    <r>
      <rPr>
        <sz val="12"/>
        <color theme="1"/>
        <rFont val="等线"/>
        <family val="3"/>
        <charset val="134"/>
        <scheme val="minor"/>
      </rPr>
      <t>，享受与束缚结合，</t>
    </r>
    <r>
      <rPr>
        <b/>
        <sz val="12"/>
        <color theme="1"/>
        <rFont val="等线"/>
        <family val="3"/>
        <charset val="134"/>
        <scheme val="minor"/>
      </rPr>
      <t>感情丰富但为情所困</t>
    </r>
    <r>
      <rPr>
        <sz val="12"/>
        <color theme="1"/>
        <rFont val="等线"/>
        <family val="3"/>
        <charset val="134"/>
        <scheme val="minor"/>
      </rPr>
      <t>，适合艺术、心理辅导，但易陷入情感纠葛。</t>
    </r>
  </si>
  <si>
    <t>艺术家；心理咨询师；但感情多波折。</t>
  </si>
  <si>
    <r>
      <t>廉贞+廉贞</t>
    </r>
    <r>
      <rPr>
        <sz val="12"/>
        <color theme="1"/>
        <rFont val="等线"/>
        <family val="3"/>
        <charset val="134"/>
        <scheme val="minor"/>
      </rPr>
      <t>​</t>
    </r>
  </si>
  <si>
    <r>
      <t xml:space="preserve">(廉贞独坐) </t>
    </r>
    <r>
      <rPr>
        <b/>
        <sz val="12"/>
        <color theme="1"/>
        <rFont val="等线"/>
        <family val="3"/>
        <charset val="134"/>
        <scheme val="minor"/>
      </rPr>
      <t>囚性纯粹</t>
    </r>
    <r>
      <rPr>
        <sz val="12"/>
        <color theme="1"/>
        <rFont val="等线"/>
        <family val="3"/>
        <charset val="134"/>
        <scheme val="minor"/>
      </rPr>
      <t>，感情与官非特质极致发挥，若庙旺无煞，可成技术大家；若落陷逢煞，易为情所困或官非缠身。</t>
    </r>
  </si>
  <si>
    <t>技术专家；但感情或法律问题突出。</t>
  </si>
  <si>
    <r>
      <t>廉贞+天府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</si>
  <si>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库星遇囚</t>
    </r>
    <r>
      <rPr>
        <sz val="12"/>
        <color theme="1"/>
        <rFont val="等线"/>
        <family val="3"/>
        <charset val="134"/>
        <scheme val="minor"/>
      </rPr>
      <t>，稳重与束缚结合，</t>
    </r>
    <r>
      <rPr>
        <b/>
        <sz val="12"/>
        <color theme="1"/>
        <rFont val="等线"/>
        <family val="3"/>
        <charset val="134"/>
        <scheme val="minor"/>
      </rPr>
      <t>欲望与感情有库收藏</t>
    </r>
    <r>
      <rPr>
        <sz val="12"/>
        <color theme="1"/>
        <rFont val="等线"/>
        <family val="3"/>
        <charset val="134"/>
        <scheme val="minor"/>
      </rPr>
      <t>，能通过稳健方式处理感情与官非，适合金融、管理。</t>
    </r>
  </si>
  <si>
    <t>银行风控；企业法务；感情较为稳定。</t>
  </si>
  <si>
    <r>
      <t>廉贞+太阴</t>
    </r>
    <r>
      <rPr>
        <sz val="12"/>
        <color theme="1"/>
        <rFont val="等线"/>
        <family val="3"/>
        <charset val="134"/>
        <scheme val="minor"/>
      </rPr>
      <t>​</t>
    </r>
  </si>
  <si>
    <r>
      <t>阴水遇囚</t>
    </r>
    <r>
      <rPr>
        <sz val="12"/>
        <color theme="1"/>
        <rFont val="等线"/>
        <family val="3"/>
        <charset val="134"/>
        <scheme val="minor"/>
      </rPr>
      <t>，内敛与束缚结合，感情隐藏于内心，易生</t>
    </r>
    <r>
      <rPr>
        <b/>
        <sz val="12"/>
        <color theme="1"/>
        <rFont val="等线"/>
        <family val="3"/>
        <charset val="134"/>
        <scheme val="minor"/>
      </rPr>
      <t>内心纠结、情绪病</t>
    </r>
    <r>
      <rPr>
        <sz val="12"/>
        <color theme="1"/>
        <rFont val="等线"/>
        <family val="3"/>
        <charset val="134"/>
        <scheme val="minor"/>
      </rPr>
      <t>，适合艺术、玄学。</t>
    </r>
  </si>
  <si>
    <t>诗人；玄学研究者；但内心多矛盾。</t>
  </si>
  <si>
    <r>
      <t>廉贞+贪狼</t>
    </r>
    <r>
      <rPr>
        <sz val="12"/>
        <color theme="1"/>
        <rFont val="等线"/>
        <family val="3"/>
        <charset val="134"/>
        <scheme val="minor"/>
      </rPr>
      <t>​</t>
    </r>
  </si>
  <si>
    <r>
      <t>廉贞+巨门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</si>
  <si>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暗星遇囚</t>
    </r>
    <r>
      <rPr>
        <sz val="12"/>
        <color theme="1"/>
        <rFont val="等线"/>
        <family val="3"/>
        <charset val="134"/>
        <scheme val="minor"/>
      </rPr>
      <t>，口舌与束缚结合，易因</t>
    </r>
    <r>
      <rPr>
        <b/>
        <sz val="12"/>
        <color theme="1"/>
        <rFont val="等线"/>
        <family val="3"/>
        <charset val="134"/>
        <scheme val="minor"/>
      </rPr>
      <t>言论惹官非</t>
    </r>
    <r>
      <rPr>
        <sz val="12"/>
        <color theme="1"/>
        <rFont val="等线"/>
        <family val="3"/>
        <charset val="134"/>
        <scheme val="minor"/>
      </rPr>
      <t>，适合法律、评论，但需谨言慎行。</t>
    </r>
  </si>
  <si>
    <t>律师；评论员；但易有口舌官司。</t>
  </si>
  <si>
    <r>
      <t>廉贞+天相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</si>
  <si>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印星遇囚</t>
    </r>
    <r>
      <rPr>
        <sz val="12"/>
        <color theme="1"/>
        <rFont val="等线"/>
        <family val="3"/>
        <charset val="134"/>
        <scheme val="minor"/>
      </rPr>
      <t>，形象与束缚结合，</t>
    </r>
    <r>
      <rPr>
        <b/>
        <sz val="12"/>
        <color theme="1"/>
        <rFont val="等线"/>
        <family val="3"/>
        <charset val="134"/>
        <scheme val="minor"/>
      </rPr>
      <t>外表端庄，内在感情纠结</t>
    </r>
    <r>
      <rPr>
        <sz val="12"/>
        <color theme="1"/>
        <rFont val="等线"/>
        <family val="3"/>
        <charset val="134"/>
        <scheme val="minor"/>
      </rPr>
      <t>，适合公关、司法，需防表里不一。</t>
    </r>
  </si>
  <si>
    <t>公关经理；法官；外表冷静，内心波澜。</t>
  </si>
  <si>
    <r>
      <t>廉贞+天梁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</si>
  <si>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荫星遇囚</t>
    </r>
    <r>
      <rPr>
        <sz val="12"/>
        <color theme="1"/>
        <rFont val="等线"/>
        <family val="3"/>
        <charset val="134"/>
        <scheme val="minor"/>
      </rPr>
      <t>，荫庇与束缚结合，</t>
    </r>
    <r>
      <rPr>
        <b/>
        <sz val="12"/>
        <color theme="1"/>
        <rFont val="等线"/>
        <family val="3"/>
        <charset val="134"/>
        <scheme val="minor"/>
      </rPr>
      <t>感情或官非得长辈荫庇或宗教化解</t>
    </r>
    <r>
      <rPr>
        <sz val="12"/>
        <color theme="1"/>
        <rFont val="等线"/>
        <family val="3"/>
        <charset val="134"/>
        <scheme val="minor"/>
      </rPr>
      <t>，适合宗教、慈善、医疗。</t>
    </r>
  </si>
  <si>
    <t>宗教人士；慈善工作者；医生。</t>
  </si>
  <si>
    <r>
      <t>廉贞+七杀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</si>
  <si>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杀星遇囚</t>
    </r>
    <r>
      <rPr>
        <sz val="12"/>
        <color theme="1"/>
        <rFont val="等线"/>
        <family val="3"/>
        <charset val="134"/>
        <scheme val="minor"/>
      </rPr>
      <t>（卯、酉宫同度），</t>
    </r>
    <r>
      <rPr>
        <b/>
        <sz val="12"/>
        <color theme="1"/>
        <rFont val="等线"/>
        <family val="3"/>
        <charset val="134"/>
        <scheme val="minor"/>
      </rPr>
      <t>变动与束缚结合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人生大起大落，易有血光、手术</t>
    </r>
    <r>
      <rPr>
        <sz val="12"/>
        <color theme="1"/>
        <rFont val="等线"/>
        <family val="3"/>
        <charset val="134"/>
        <scheme val="minor"/>
      </rPr>
      <t>，适合军警、外科。</t>
    </r>
  </si>
  <si>
    <t>军警人员；外科医生；人生波动大，易有血光。</t>
  </si>
  <si>
    <r>
      <t>廉贞+破军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</si>
  <si>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耗星遇囚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破旧立新与束缚结合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感情或事业在破坏与创造中受困</t>
    </r>
    <r>
      <rPr>
        <sz val="12"/>
        <color theme="1"/>
        <rFont val="等线"/>
        <family val="3"/>
        <charset val="134"/>
        <scheme val="minor"/>
      </rPr>
      <t>，适合改革、先锋领域，但过程激烈。</t>
    </r>
  </si>
  <si>
    <t>改革者；先锋艺术家；但过程多纠葛。</t>
  </si>
  <si>
    <r>
      <t>廉贞+左辅/右弼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</si>
  <si>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囚星得助</t>
    </r>
    <r>
      <rPr>
        <sz val="12"/>
        <color theme="1"/>
        <rFont val="等线"/>
        <family val="3"/>
        <charset val="134"/>
        <scheme val="minor"/>
      </rPr>
      <t>，感情与才华得同辈、晚辈助力，能缓解孤克之性，利于合作。</t>
    </r>
  </si>
  <si>
    <r>
      <t>廉贞+文昌/文曲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</si>
  <si>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桃花文星</t>
    </r>
    <r>
      <rPr>
        <sz val="12"/>
        <color theme="1"/>
        <rFont val="等线"/>
        <family val="3"/>
        <charset val="134"/>
        <scheme val="minor"/>
      </rPr>
      <t>，才华与文艺结合，</t>
    </r>
    <r>
      <rPr>
        <b/>
        <sz val="12"/>
        <color theme="1"/>
        <rFont val="等线"/>
        <family val="3"/>
        <charset val="134"/>
        <scheme val="minor"/>
      </rPr>
      <t>风流倜傥，多才多艺</t>
    </r>
    <r>
      <rPr>
        <sz val="12"/>
        <color theme="1"/>
        <rFont val="等线"/>
        <family val="3"/>
        <charset val="134"/>
        <scheme val="minor"/>
      </rPr>
      <t>，但桃花更重，易因文艺惹感情纠葛。</t>
    </r>
  </si>
  <si>
    <r>
      <t>廉贞+天魁/天钺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</si>
  <si>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囚星遇贵</t>
    </r>
    <r>
      <rPr>
        <sz val="12"/>
        <color theme="1"/>
        <rFont val="等线"/>
        <family val="3"/>
        <charset val="134"/>
        <scheme val="minor"/>
      </rPr>
      <t>，感情与才华得贵人赏识提携，易因技术、专业获机遇，逢凶化吉。</t>
    </r>
  </si>
  <si>
    <r>
      <t>廉贞+禄存</t>
    </r>
    <r>
      <rPr>
        <sz val="12"/>
        <color theme="1"/>
        <rFont val="等线"/>
        <family val="3"/>
        <charset val="134"/>
        <scheme val="minor"/>
      </rPr>
      <t>​</t>
    </r>
  </si>
  <si>
    <r>
      <t>囚星带禄</t>
    </r>
    <r>
      <rPr>
        <sz val="12"/>
        <color theme="1"/>
        <rFont val="等线"/>
        <family val="3"/>
        <charset val="134"/>
        <scheme val="minor"/>
      </rPr>
      <t>，感情或技术能直接转化为财富，易因专业获利，但需防感情纠葛影响财运。</t>
    </r>
  </si>
  <si>
    <r>
      <t>廉贞+天马</t>
    </r>
    <r>
      <rPr>
        <sz val="12"/>
        <color theme="1"/>
        <rFont val="等线"/>
        <family val="3"/>
        <charset val="134"/>
        <scheme val="minor"/>
      </rPr>
      <t>​</t>
    </r>
  </si>
  <si>
    <r>
      <t>囚星奔驰</t>
    </r>
    <r>
      <rPr>
        <sz val="12"/>
        <color theme="1"/>
        <rFont val="等线"/>
        <family val="3"/>
        <charset val="134"/>
        <scheme val="minor"/>
      </rPr>
      <t>，感情或官非在变动、奔波中发生，适合需要移动的技术工作，但需防外出时的感情纠纷或官非。</t>
    </r>
  </si>
  <si>
    <r>
      <t>廉贞+火星</t>
    </r>
    <r>
      <rPr>
        <sz val="12"/>
        <color theme="1"/>
        <rFont val="等线"/>
        <family val="3"/>
        <charset val="134"/>
        <scheme val="minor"/>
      </rPr>
      <t>​</t>
    </r>
  </si>
  <si>
    <r>
      <t>囚星逢火</t>
    </r>
    <r>
      <rPr>
        <sz val="12"/>
        <color theme="1"/>
        <rFont val="等线"/>
        <family val="3"/>
        <charset val="134"/>
        <scheme val="minor"/>
      </rPr>
      <t>，感情或官非变得急躁、猛烈，易因冲动惹血光、官非。若与擎羊同度，主打架或因财持刀。</t>
    </r>
  </si>
  <si>
    <r>
      <t>廉贞+铃星</t>
    </r>
    <r>
      <rPr>
        <sz val="12"/>
        <color theme="1"/>
        <rFont val="等线"/>
        <family val="3"/>
        <charset val="134"/>
        <scheme val="minor"/>
      </rPr>
      <t>​</t>
    </r>
  </si>
  <si>
    <r>
      <t>囚星逢铃</t>
    </r>
    <r>
      <rPr>
        <sz val="12"/>
        <color theme="1"/>
        <rFont val="等线"/>
        <family val="3"/>
        <charset val="134"/>
        <scheme val="minor"/>
      </rPr>
      <t>，感情或官非伴随煎熬、隐忧，过程多挫折，需耐心应对。</t>
    </r>
  </si>
  <si>
    <r>
      <t>廉贞+擎羊</t>
    </r>
    <r>
      <rPr>
        <sz val="12"/>
        <color theme="1"/>
        <rFont val="等线"/>
        <family val="3"/>
        <charset val="134"/>
        <scheme val="minor"/>
      </rPr>
      <t>​</t>
    </r>
  </si>
  <si>
    <r>
      <t>囚星逢羊</t>
    </r>
    <r>
      <rPr>
        <sz val="12"/>
        <color theme="1"/>
        <rFont val="等线"/>
        <family val="3"/>
        <charset val="134"/>
        <scheme val="minor"/>
      </rPr>
      <t>，感情或官非伴随竞争、伤害，易因感情或法律冲突见血光。</t>
    </r>
  </si>
  <si>
    <r>
      <t>廉贞+陀罗</t>
    </r>
    <r>
      <rPr>
        <sz val="12"/>
        <color theme="1"/>
        <rFont val="等线"/>
        <family val="3"/>
        <charset val="134"/>
        <scheme val="minor"/>
      </rPr>
      <t>​</t>
    </r>
  </si>
  <si>
    <r>
      <t>囚星逢陀</t>
    </r>
    <r>
      <rPr>
        <sz val="12"/>
        <color theme="1"/>
        <rFont val="等线"/>
        <family val="3"/>
        <charset val="134"/>
        <scheme val="minor"/>
      </rPr>
      <t>，感情或官非受拖延、反复阻碍，过程多周折，易陷入长期纠葛。</t>
    </r>
  </si>
  <si>
    <r>
      <t>廉贞+地空</t>
    </r>
    <r>
      <rPr>
        <sz val="12"/>
        <color theme="1"/>
        <rFont val="等线"/>
        <family val="3"/>
        <charset val="134"/>
        <scheme val="minor"/>
      </rPr>
      <t>​</t>
    </r>
  </si>
  <si>
    <r>
      <t>囚星逢空</t>
    </r>
    <r>
      <rPr>
        <sz val="12"/>
        <color theme="1"/>
        <rFont val="等线"/>
        <family val="3"/>
        <charset val="134"/>
        <scheme val="minor"/>
      </rPr>
      <t>，感情或官非落空，理想化的感情或计划难以落实。</t>
    </r>
  </si>
  <si>
    <r>
      <t>廉贞+地劫</t>
    </r>
    <r>
      <rPr>
        <sz val="12"/>
        <color theme="1"/>
        <rFont val="等线"/>
        <family val="3"/>
        <charset val="134"/>
        <scheme val="minor"/>
      </rPr>
      <t>​</t>
    </r>
  </si>
  <si>
    <r>
      <t>囚星逢劫</t>
    </r>
    <r>
      <rPr>
        <sz val="12"/>
        <color theme="1"/>
        <rFont val="等线"/>
        <family val="3"/>
        <charset val="134"/>
        <scheme val="minor"/>
      </rPr>
      <t>，感情或官非遭破耗，过程中易有意外损失。</t>
    </r>
  </si>
  <si>
    <r>
      <t>廉贞+化禄</t>
    </r>
    <r>
      <rPr>
        <sz val="12"/>
        <color theme="1"/>
        <rFont val="等线"/>
        <family val="3"/>
        <charset val="134"/>
        <scheme val="minor"/>
      </rPr>
      <t>​</t>
    </r>
  </si>
  <si>
    <r>
      <t>囚星化禄</t>
    </r>
    <r>
      <rPr>
        <sz val="12"/>
        <color theme="1"/>
        <rFont val="等线"/>
        <family val="3"/>
        <charset val="134"/>
        <scheme val="minor"/>
      </rPr>
      <t>（甲年生人），</t>
    </r>
    <r>
      <rPr>
        <b/>
        <sz val="12"/>
        <color theme="1"/>
        <rFont val="等线"/>
        <family val="3"/>
        <charset val="134"/>
        <scheme val="minor"/>
      </rPr>
      <t>感情生财</t>
    </r>
    <r>
      <rPr>
        <sz val="12"/>
        <color theme="1"/>
        <rFont val="等线"/>
        <family val="3"/>
        <charset val="134"/>
        <scheme val="minor"/>
      </rPr>
      <t>，易因感情、人际获利，但需防桃花劫。</t>
    </r>
  </si>
  <si>
    <r>
      <t>廉贞+化权</t>
    </r>
    <r>
      <rPr>
        <sz val="12"/>
        <color theme="1"/>
        <rFont val="等线"/>
        <family val="3"/>
        <charset val="134"/>
        <scheme val="minor"/>
      </rPr>
      <t>​</t>
    </r>
  </si>
  <si>
    <r>
      <t>囚星化权</t>
    </r>
    <r>
      <rPr>
        <sz val="12"/>
        <color theme="1"/>
        <rFont val="等线"/>
        <family val="3"/>
        <charset val="134"/>
        <scheme val="minor"/>
      </rPr>
      <t>（丁年生人），</t>
    </r>
    <r>
      <rPr>
        <b/>
        <sz val="12"/>
        <color theme="1"/>
        <rFont val="等线"/>
        <family val="3"/>
        <charset val="134"/>
        <scheme val="minor"/>
      </rPr>
      <t>感情掌权</t>
    </r>
    <r>
      <rPr>
        <sz val="12"/>
        <color theme="1"/>
        <rFont val="等线"/>
        <family val="3"/>
        <charset val="134"/>
        <scheme val="minor"/>
      </rPr>
      <t>，感情或专业使其掌握实权，适合管理、领导，但需防权色交易。</t>
    </r>
  </si>
  <si>
    <r>
      <t>廉贞+化忌</t>
    </r>
    <r>
      <rPr>
        <sz val="12"/>
        <color theme="1"/>
        <rFont val="等线"/>
        <family val="3"/>
        <charset val="134"/>
        <scheme val="minor"/>
      </rPr>
      <t>​</t>
    </r>
  </si>
  <si>
    <r>
      <t>囚星化忌</t>
    </r>
    <r>
      <rPr>
        <sz val="12"/>
        <color theme="1"/>
        <rFont val="等线"/>
        <family val="3"/>
        <charset val="134"/>
        <scheme val="minor"/>
      </rPr>
      <t>（丙年生人），</t>
    </r>
    <r>
      <rPr>
        <b/>
        <sz val="12"/>
        <color theme="1"/>
        <rFont val="等线"/>
        <family val="3"/>
        <charset val="134"/>
        <scheme val="minor"/>
      </rPr>
      <t>感情受阻</t>
    </r>
    <r>
      <rPr>
        <sz val="12"/>
        <color theme="1"/>
        <rFont val="等线"/>
        <family val="3"/>
        <charset val="134"/>
        <scheme val="minor"/>
      </rPr>
      <t>，易因感情、官非惹祸，血光、手术风险增加，官非缠身。</t>
    </r>
  </si>
  <si>
    <r>
      <t>1. “廉贞”与“贪狼”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廉贞星属阴火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囚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内敛、感情、精神欲望、官非、血光</t>
    </r>
    <r>
      <rPr>
        <sz val="11"/>
        <color theme="1"/>
        <rFont val="等线"/>
        <family val="2"/>
        <charset val="134"/>
        <scheme val="minor"/>
      </rPr>
      <t>，其欲望偏向</t>
    </r>
    <r>
      <rPr>
        <b/>
        <sz val="11"/>
        <color theme="1"/>
        <rFont val="等线"/>
        <family val="3"/>
        <charset val="134"/>
        <scheme val="minor"/>
      </rPr>
      <t>感情执着、精神困扰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贪狼星属阳木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桃花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外露、广泛、物质欲望</t>
    </r>
    <r>
      <rPr>
        <sz val="11"/>
        <color theme="1"/>
        <rFont val="等线"/>
        <family val="2"/>
        <charset val="134"/>
        <scheme val="minor"/>
      </rPr>
      <t>，其欲望偏向</t>
    </r>
    <r>
      <rPr>
        <b/>
        <sz val="11"/>
        <color theme="1"/>
        <rFont val="等线"/>
        <family val="3"/>
        <charset val="134"/>
        <scheme val="minor"/>
      </rPr>
      <t>酒色财气、享乐</t>
    </r>
    <r>
      <rPr>
        <sz val="11"/>
        <color theme="1"/>
        <rFont val="等线"/>
        <family val="2"/>
        <charset val="134"/>
        <scheme val="minor"/>
      </rPr>
      <t>。二者皆主桃花，但性质与表现不同。</t>
    </r>
  </si>
  <si>
    <r>
      <t>2. “囚”的本质</t>
    </r>
    <r>
      <rPr>
        <sz val="11"/>
        <color theme="1"/>
        <rFont val="等线"/>
        <family val="2"/>
        <charset val="134"/>
        <scheme val="minor"/>
      </rPr>
      <t>：廉贞的核心是</t>
    </r>
    <r>
      <rPr>
        <b/>
        <sz val="11"/>
        <color theme="1"/>
        <rFont val="等线"/>
        <family val="3"/>
        <charset val="134"/>
        <scheme val="minor"/>
      </rPr>
      <t>囚禁、束缚、纠缠</t>
    </r>
    <r>
      <rPr>
        <sz val="11"/>
        <color theme="1"/>
        <rFont val="等线"/>
        <family val="2"/>
        <charset val="134"/>
        <scheme val="minor"/>
      </rPr>
      <t>。在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为感情囚徒、思想纠结；在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为事情卡住、流程受阻、官非缠身；在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为监狱、电路、肿瘤等具有束缚、连接性质的事物。</t>
    </r>
  </si>
  <si>
    <r>
      <t>3. “血星”与“电路”</t>
    </r>
    <r>
      <rPr>
        <sz val="11"/>
        <color theme="1"/>
        <rFont val="等线"/>
        <family val="2"/>
        <charset val="134"/>
        <scheme val="minor"/>
      </rPr>
      <t>：廉贞为</t>
    </r>
    <r>
      <rPr>
        <b/>
        <sz val="11"/>
        <color theme="1"/>
        <rFont val="等线"/>
        <family val="3"/>
        <charset val="134"/>
        <scheme val="minor"/>
      </rPr>
      <t>血星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血液、血光、手术</t>
    </r>
    <r>
      <rPr>
        <sz val="11"/>
        <color theme="1"/>
        <rFont val="等线"/>
        <family val="2"/>
        <charset val="134"/>
        <scheme val="minor"/>
      </rPr>
      <t>；同时主</t>
    </r>
    <r>
      <rPr>
        <b/>
        <sz val="11"/>
        <color theme="1"/>
        <rFont val="等线"/>
        <family val="3"/>
        <charset val="134"/>
        <scheme val="minor"/>
      </rPr>
      <t>电路、网络、连接</t>
    </r>
    <r>
      <rPr>
        <sz val="11"/>
        <color theme="1"/>
        <rFont val="等线"/>
        <family val="2"/>
        <charset val="134"/>
        <scheme val="minor"/>
      </rPr>
      <t>。在身体上对应血液循环系统；在物体上对应电线、网络；在事件上对应电路故障、网络问题、血光之灾。</t>
    </r>
  </si>
  <si>
    <r>
      <t>4. “次桃花星”</t>
    </r>
    <r>
      <rPr>
        <sz val="11"/>
        <color theme="1"/>
        <rFont val="等线"/>
        <family val="2"/>
        <charset val="134"/>
        <scheme val="minor"/>
      </rPr>
      <t>：廉贞为</t>
    </r>
    <r>
      <rPr>
        <b/>
        <sz val="11"/>
        <color theme="1"/>
        <rFont val="等线"/>
        <family val="3"/>
        <charset val="134"/>
        <scheme val="minor"/>
      </rPr>
      <t>次桃花星</t>
    </r>
    <r>
      <rPr>
        <sz val="11"/>
        <color theme="1"/>
        <rFont val="等线"/>
        <family val="2"/>
        <charset val="134"/>
        <scheme val="minor"/>
      </rPr>
      <t>，其桃花带“囚”性，因此感情常是</t>
    </r>
    <r>
      <rPr>
        <b/>
        <sz val="11"/>
        <color theme="1"/>
        <rFont val="等线"/>
        <family val="3"/>
        <charset val="134"/>
        <scheme val="minor"/>
      </rPr>
      <t>深刻、执着、痛苦、纠葛</t>
    </r>
    <r>
      <rPr>
        <sz val="11"/>
        <color theme="1"/>
        <rFont val="等线"/>
        <family val="2"/>
        <charset val="134"/>
        <scheme val="minor"/>
      </rPr>
      <t>的，易为情所困，也易因感情惹官非。</t>
    </r>
  </si>
  <si>
    <r>
      <t>5. “官禄主”</t>
    </r>
    <r>
      <rPr>
        <sz val="11"/>
        <color theme="1"/>
        <rFont val="等线"/>
        <family val="2"/>
        <charset val="134"/>
        <scheme val="minor"/>
      </rPr>
      <t>：廉贞为</t>
    </r>
    <r>
      <rPr>
        <b/>
        <sz val="11"/>
        <color theme="1"/>
        <rFont val="等线"/>
        <family val="3"/>
        <charset val="134"/>
        <scheme val="minor"/>
      </rPr>
      <t>官禄主</t>
    </r>
    <r>
      <rPr>
        <sz val="11"/>
        <color theme="1"/>
        <rFont val="等线"/>
        <family val="2"/>
        <charset val="134"/>
        <scheme val="minor"/>
      </rPr>
      <t>，适合从事需要</t>
    </r>
    <r>
      <rPr>
        <b/>
        <sz val="11"/>
        <color theme="1"/>
        <rFont val="等线"/>
        <family val="3"/>
        <charset val="134"/>
        <scheme val="minor"/>
      </rPr>
      <t>精密、细致、专注</t>
    </r>
    <r>
      <rPr>
        <sz val="11"/>
        <color theme="1"/>
        <rFont val="等线"/>
        <family val="2"/>
        <charset val="134"/>
        <scheme val="minor"/>
      </rPr>
      <t>的工作，如司法、军警、医疗、工程技术等。其事业成就常与“囚”性相关（如法律约束、技术规范）。</t>
    </r>
  </si>
  <si>
    <r>
      <t>6. 宫位定领域</t>
    </r>
    <r>
      <rPr>
        <sz val="11"/>
        <color theme="1"/>
        <rFont val="等线"/>
        <family val="2"/>
        <charset val="134"/>
        <scheme val="minor"/>
      </rPr>
      <t>：廉贞星所在宫位，指示在人生的哪个领域易出现</t>
    </r>
    <r>
      <rPr>
        <b/>
        <sz val="11"/>
        <color theme="1"/>
        <rFont val="等线"/>
        <family val="3"/>
        <charset val="134"/>
        <scheme val="minor"/>
      </rPr>
      <t>纠缠、血光、官非、精密事务</t>
    </r>
    <r>
      <rPr>
        <sz val="11"/>
        <color theme="1"/>
        <rFont val="等线"/>
        <family val="2"/>
        <charset val="134"/>
        <scheme val="minor"/>
      </rPr>
      <t>，也指示该领域易有</t>
    </r>
    <r>
      <rPr>
        <b/>
        <sz val="11"/>
        <color theme="1"/>
        <rFont val="等线"/>
        <family val="3"/>
        <charset val="134"/>
        <scheme val="minor"/>
      </rPr>
      <t>感情纠葛</t>
    </r>
    <r>
      <rPr>
        <sz val="11"/>
        <color theme="1"/>
        <rFont val="等线"/>
        <family val="2"/>
        <charset val="134"/>
        <scheme val="minor"/>
      </rPr>
      <t>。</t>
    </r>
  </si>
  <si>
    <r>
      <t>7.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感情生财</t>
    </r>
    <r>
      <rPr>
        <sz val="11"/>
        <color theme="1"/>
        <rFont val="等线"/>
        <family val="2"/>
        <charset val="134"/>
        <scheme val="minor"/>
      </rPr>
      <t>，易因感情、人际获利。见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感情掌权</t>
    </r>
    <r>
      <rPr>
        <sz val="11"/>
        <color theme="1"/>
        <rFont val="等线"/>
        <family val="2"/>
        <charset val="134"/>
        <scheme val="minor"/>
      </rPr>
      <t>，感情或专业使其掌握实权。见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感情受阻</t>
    </r>
    <r>
      <rPr>
        <sz val="11"/>
        <color theme="1"/>
        <rFont val="等线"/>
        <family val="2"/>
        <charset val="134"/>
        <scheme val="minor"/>
      </rPr>
      <t>，易因感情、官非惹祸，血光、手术风险大增。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</si>
  <si>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法院、检察院、监狱、医院、手术室、变电站、电路控制室、血液中心、红色场所、精密仪器室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</si>
  <si>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廉贞星的全部原始定义、分类与案例，并严格依您的要求，在“本质”部分增补了“人/事/物”三个层次的解析，未增删改臆。廉贞星为囚星，主血光与感情。其核心在于“囚”，常在感情、法律、精密领域显现，但其“祸福相依”的性质需仔细权衡。最喜入庙化禄于官禄、财帛等宫，主技术权威，名利双收。与天府、天相同度，可制其恶。然若落陷或与火铃羊陀空劫同度，则官非血光，感情困顿，一生多忧。在紫占中，廉贞化忌需格外警惕血光与官非。廉贞与贪狼、七杀等星组合，常有“桃花”、“血光”等特殊卦象，需结合具体星情与宫位细察。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</si>
  <si>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天同星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的完整象义解析如下（严格遵循原始资料结构与表述，并依您的要求，在“本质”部分增补“人/事/物”三个层次的解析）：</t>
    </r>
  </si>
  <si>
    <t>一、天同定义</t>
  </si>
  <si>
    <t>内心世界、同、童、瞳、福气、享受、温和、感受、洞察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</si>
  <si>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温和、善良、知足常乐、平易近人、重感情、有童心、懒散、依赖性强、缺乏斗志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感受者、体悟者、调和者</t>
    </r>
    <r>
      <rPr>
        <sz val="12"/>
        <color theme="1"/>
        <rFont val="等线"/>
        <family val="3"/>
        <charset val="134"/>
        <scheme val="minor"/>
      </rPr>
      <t>，内心世界丰富，善于洞察他人情绪，追求精神层面的和谐与幸福。人际关系上，</t>
    </r>
    <r>
      <rPr>
        <b/>
        <sz val="12"/>
        <color theme="1"/>
        <rFont val="等线"/>
        <family val="3"/>
        <charset val="134"/>
        <scheme val="minor"/>
      </rPr>
      <t>人缘佳，贵人运强，不喜争斗，常做和事佬</t>
    </r>
    <r>
      <rPr>
        <sz val="12"/>
        <color theme="1"/>
        <rFont val="等线"/>
        <family val="3"/>
        <charset val="134"/>
        <scheme val="minor"/>
      </rPr>
      <t>，但易因过于委曲求全而陷入进退两难。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</si>
  <si>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平和、顺利、有福气、先苦后甜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享受、休闲、福报、和解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需要感受、体悟、调和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不喜冲突，追求和谐</t>
    </r>
    <r>
      <rPr>
        <sz val="12"/>
        <color theme="1"/>
        <rFont val="等线"/>
        <family val="3"/>
        <charset val="134"/>
        <scheme val="minor"/>
      </rPr>
      <t>，但可能</t>
    </r>
    <r>
      <rPr>
        <b/>
        <sz val="12"/>
        <color theme="1"/>
        <rFont val="等线"/>
        <family val="3"/>
        <charset val="134"/>
        <scheme val="minor"/>
      </rPr>
      <t>缺乏进取心，易安于现状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</si>
  <si>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指代一切与</t>
    </r>
    <r>
      <rPr>
        <b/>
        <sz val="12"/>
        <color theme="1"/>
        <rFont val="等线"/>
        <family val="3"/>
        <charset val="134"/>
        <scheme val="minor"/>
      </rPr>
      <t>“同”、“童”、“瞳”</t>
    </r>
    <r>
      <rPr>
        <sz val="12"/>
        <color theme="1"/>
        <rFont val="等线"/>
        <family val="3"/>
        <charset val="134"/>
        <scheme val="minor"/>
      </rPr>
      <t>相关的事物。如：</t>
    </r>
    <r>
      <rPr>
        <b/>
        <sz val="12"/>
        <color theme="1"/>
        <rFont val="等线"/>
        <family val="3"/>
        <charset val="134"/>
        <scheme val="minor"/>
      </rPr>
      <t>相同的东西、儿童、玩具、游乐场、眼睛、瞳孔、河流、湖泊、温泉、休闲场所、艺术空间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福气的象征物、享受品</t>
    </r>
    <r>
      <rPr>
        <sz val="12"/>
        <color theme="1"/>
        <rFont val="等线"/>
        <family val="3"/>
        <charset val="134"/>
        <scheme val="minor"/>
      </rPr>
      <t>。</t>
    </r>
  </si>
  <si>
    <t>整合自《金刚佛光-紫占课程手册》中关于天同“内心世界”、“同”、“童”、“瞳”等核心概念的深度阐释与类象推演，以及权威资料中关于天同“福气”、“享受”、“温和”等性质的描述。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</si>
  <si>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南斗第四星</t>
    </r>
    <r>
      <rPr>
        <sz val="12"/>
        <color theme="1"/>
        <rFont val="等线"/>
        <family val="3"/>
        <charset val="134"/>
        <scheme val="minor"/>
      </rPr>
      <t>，属</t>
    </r>
    <r>
      <rPr>
        <b/>
        <sz val="12"/>
        <color theme="1"/>
        <rFont val="等线"/>
        <family val="3"/>
        <charset val="134"/>
        <scheme val="minor"/>
      </rPr>
      <t>阳水（壬水）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福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福德主</t>
    </r>
    <r>
      <rPr>
        <sz val="12"/>
        <color theme="1"/>
        <rFont val="等线"/>
        <family val="3"/>
        <charset val="134"/>
        <scheme val="minor"/>
      </rPr>
      <t>。喜庙旺（子、卯、巳、申、亥为庙旺），忌落陷（丑、午、未为落陷）。</t>
    </r>
    <r>
      <rPr>
        <b/>
        <sz val="12"/>
        <color theme="1"/>
        <rFont val="等线"/>
        <family val="3"/>
        <charset val="134"/>
        <scheme val="minor"/>
      </rPr>
      <t>不怕煞星</t>
    </r>
    <r>
      <rPr>
        <sz val="12"/>
        <color theme="1"/>
        <rFont val="等线"/>
        <family val="3"/>
        <charset val="134"/>
        <scheme val="minor"/>
      </rPr>
      <t>，但煞星过多亦受制。喜会禄存、化禄、天梁，忌过于安逸无煞激发。与天梁星关系密切，皆有</t>
    </r>
    <r>
      <rPr>
        <b/>
        <sz val="12"/>
        <color theme="1"/>
        <rFont val="等线"/>
        <family val="3"/>
        <charset val="134"/>
        <scheme val="minor"/>
      </rPr>
      <t>先凶后吉、白手起家</t>
    </r>
    <r>
      <rPr>
        <sz val="12"/>
        <color theme="1"/>
        <rFont val="等线"/>
        <family val="3"/>
        <charset val="134"/>
        <scheme val="minor"/>
      </rPr>
      <t>的性质。天同的“福”主要指</t>
    </r>
    <r>
      <rPr>
        <b/>
        <sz val="12"/>
        <color theme="1"/>
        <rFont val="等线"/>
        <family val="3"/>
        <charset val="134"/>
        <scheme val="minor"/>
      </rPr>
      <t>精神层面的幸福、知足、调和能力</t>
    </r>
    <r>
      <rPr>
        <sz val="12"/>
        <color theme="1"/>
        <rFont val="等线"/>
        <family val="3"/>
        <charset val="134"/>
        <scheme val="minor"/>
      </rPr>
      <t>，物质享受需见禄星方佳。</t>
    </r>
  </si>
  <si>
    <r>
      <t>福气与享受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</si>
  <si>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福气、享受、知足常乐</t>
    </r>
    <r>
      <rPr>
        <sz val="12"/>
        <color theme="1"/>
        <rFont val="等线"/>
        <family val="3"/>
        <charset val="134"/>
        <scheme val="minor"/>
      </rPr>
      <t>。但此“福”非指不劳而获，而是</t>
    </r>
    <r>
      <rPr>
        <b/>
        <sz val="12"/>
        <color theme="1"/>
        <rFont val="等线"/>
        <family val="3"/>
        <charset val="134"/>
        <scheme val="minor"/>
      </rPr>
      <t>心态上的平和、不操心、苦中作乐的能力</t>
    </r>
    <r>
      <rPr>
        <sz val="12"/>
        <color theme="1"/>
        <rFont val="等线"/>
        <family val="3"/>
        <charset val="134"/>
        <scheme val="minor"/>
      </rPr>
      <t>。物质享受需见禄星（化禄、禄存）方显。</t>
    </r>
  </si>
  <si>
    <t>在命宫、福德宫时，主心态平和，易有福报。</t>
  </si>
  <si>
    <r>
      <t>内心世界与感受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</si>
  <si>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内心世界、感受、体悟、洞察</t>
    </r>
    <r>
      <rPr>
        <sz val="12"/>
        <color theme="1"/>
        <rFont val="等线"/>
        <family val="3"/>
        <charset val="134"/>
        <scheme val="minor"/>
      </rPr>
      <t>。天同的“看”更侧重</t>
    </r>
    <r>
      <rPr>
        <b/>
        <sz val="12"/>
        <color theme="1"/>
        <rFont val="等线"/>
        <family val="3"/>
        <charset val="134"/>
        <scheme val="minor"/>
      </rPr>
      <t>感受上的see（洞察、体悟）</t>
    </r>
    <r>
      <rPr>
        <sz val="12"/>
        <color theme="1"/>
        <rFont val="等线"/>
        <family val="3"/>
        <charset val="134"/>
        <scheme val="minor"/>
      </rPr>
      <t>，而非光学层面的look。内心细腻，善解人意。</t>
    </r>
  </si>
  <si>
    <t>在命宫、福德宫时，内心活动丰富，感悟力强。</t>
  </si>
  <si>
    <r>
      <t>同音卦：同、童、瞳</t>
    </r>
    <r>
      <rPr>
        <sz val="12"/>
        <color theme="1"/>
        <rFont val="等线"/>
        <family val="3"/>
        <charset val="134"/>
        <scheme val="minor"/>
      </rPr>
      <t>​</t>
    </r>
  </si>
  <si>
    <r>
      <t>同</t>
    </r>
    <r>
      <rPr>
        <sz val="12"/>
        <color theme="1"/>
        <rFont val="等线"/>
        <family val="3"/>
        <charset val="134"/>
        <scheme val="minor"/>
      </rPr>
      <t>：代表</t>
    </r>
    <r>
      <rPr>
        <b/>
        <sz val="12"/>
        <color theme="1"/>
        <rFont val="等线"/>
        <family val="3"/>
        <charset val="134"/>
        <scheme val="minor"/>
      </rPr>
      <t>相同、认同、协同、合同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童</t>
    </r>
    <r>
      <rPr>
        <sz val="12"/>
        <color theme="1"/>
        <rFont val="等线"/>
        <family val="3"/>
        <charset val="134"/>
        <scheme val="minor"/>
      </rPr>
      <t>：代表</t>
    </r>
    <r>
      <rPr>
        <b/>
        <sz val="12"/>
        <color theme="1"/>
        <rFont val="等线"/>
        <family val="3"/>
        <charset val="134"/>
        <scheme val="minor"/>
      </rPr>
      <t>儿童、童心、天真、幼稚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瞳</t>
    </r>
    <r>
      <rPr>
        <sz val="12"/>
        <color theme="1"/>
        <rFont val="等线"/>
        <family val="3"/>
        <charset val="134"/>
        <scheme val="minor"/>
      </rPr>
      <t>：代表</t>
    </r>
    <r>
      <rPr>
        <b/>
        <sz val="12"/>
        <color theme="1"/>
        <rFont val="等线"/>
        <family val="3"/>
        <charset val="134"/>
        <scheme val="minor"/>
      </rPr>
      <t>眼睛、瞳孔、视角、洞察</t>
    </r>
    <r>
      <rPr>
        <sz val="12"/>
        <color theme="1"/>
        <rFont val="等线"/>
        <family val="3"/>
        <charset val="134"/>
        <scheme val="minor"/>
      </rPr>
      <t>。</t>
    </r>
  </si>
  <si>
    <t>在相关宫位或组合中，可依此取象。</t>
  </si>
  <si>
    <r>
      <t>温和与调和</t>
    </r>
    <r>
      <rPr>
        <sz val="12"/>
        <color theme="1"/>
        <rFont val="等线"/>
        <family val="3"/>
        <charset val="134"/>
        <scheme val="minor"/>
      </rPr>
      <t>​</t>
    </r>
  </si>
  <si>
    <r>
      <t>性格</t>
    </r>
    <r>
      <rPr>
        <b/>
        <sz val="12"/>
        <color theme="1"/>
        <rFont val="等线"/>
        <family val="3"/>
        <charset val="134"/>
        <scheme val="minor"/>
      </rPr>
      <t>温和、仁慈、不记仇怨、乐于施舍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合作型</t>
    </r>
    <r>
      <rPr>
        <sz val="12"/>
        <color theme="1"/>
        <rFont val="等线"/>
        <family val="3"/>
        <charset val="134"/>
        <scheme val="minor"/>
      </rPr>
      <t>主星的典型代表。喜</t>
    </r>
    <r>
      <rPr>
        <b/>
        <sz val="12"/>
        <color theme="1"/>
        <rFont val="等线"/>
        <family val="3"/>
        <charset val="134"/>
        <scheme val="minor"/>
      </rPr>
      <t>调和矛盾，做和事佬</t>
    </r>
    <r>
      <rPr>
        <sz val="12"/>
        <color theme="1"/>
        <rFont val="等线"/>
        <family val="3"/>
        <charset val="134"/>
        <scheme val="minor"/>
      </rPr>
      <t>，追求人际和谐。</t>
    </r>
  </si>
  <si>
    <t>在命宫、迁移宫、交友宫时，人缘佳。</t>
  </si>
  <si>
    <r>
      <t>懒散与依赖</t>
    </r>
    <r>
      <rPr>
        <sz val="12"/>
        <color theme="1"/>
        <rFont val="等线"/>
        <family val="3"/>
        <charset val="134"/>
        <scheme val="minor"/>
      </rPr>
      <t>​</t>
    </r>
  </si>
  <si>
    <r>
      <t>缺点：畏首畏尾，感情用事，大而化之，耐性不足，缺乏干劲，想多做少</t>
    </r>
    <r>
      <rPr>
        <sz val="12"/>
        <color theme="1"/>
        <rFont val="等线"/>
        <family val="3"/>
        <charset val="134"/>
        <scheme val="minor"/>
      </rPr>
      <t>。易</t>
    </r>
    <r>
      <rPr>
        <b/>
        <sz val="12"/>
        <color theme="1"/>
        <rFont val="等线"/>
        <family val="3"/>
        <charset val="134"/>
        <scheme val="minor"/>
      </rPr>
      <t>安于现状，逃避压力</t>
    </r>
    <r>
      <rPr>
        <sz val="12"/>
        <color theme="1"/>
        <rFont val="等线"/>
        <family val="3"/>
        <charset val="134"/>
        <scheme val="minor"/>
      </rPr>
      <t>，需煞星激发方有斗志。</t>
    </r>
  </si>
  <si>
    <t>在命宫、官禄宫时，若无煞星激发，可能缺乏进取心。</t>
  </si>
  <si>
    <r>
      <t>先苦后甜</t>
    </r>
    <r>
      <rPr>
        <sz val="12"/>
        <color theme="1"/>
        <rFont val="等线"/>
        <family val="3"/>
        <charset val="134"/>
        <scheme val="minor"/>
      </rPr>
      <t>​</t>
    </r>
  </si>
  <si>
    <r>
      <t>天同星常有</t>
    </r>
    <r>
      <rPr>
        <b/>
        <sz val="12"/>
        <color theme="1"/>
        <rFont val="等线"/>
        <family val="3"/>
        <charset val="134"/>
        <scheme val="minor"/>
      </rPr>
      <t>白手起家、先凶后吉</t>
    </r>
    <r>
      <rPr>
        <sz val="12"/>
        <color theme="1"/>
        <rFont val="等线"/>
        <family val="3"/>
        <charset val="134"/>
        <scheme val="minor"/>
      </rPr>
      <t>的性质，需经历一段困苦时期，方能享受后来的幸福。</t>
    </r>
  </si>
  <si>
    <t>在命宫、官禄宫时，事业多早年辛苦，晚年安逸。</t>
  </si>
  <si>
    <r>
      <t>身形丰腴，面带笑容，眼神温和，有孩童般的天真气质</t>
    </r>
    <r>
      <rPr>
        <sz val="12"/>
        <color theme="1"/>
        <rFont val="等线"/>
        <family val="3"/>
        <charset val="134"/>
        <scheme val="minor"/>
      </rPr>
      <t>。古诀云：“为人廉洁，貌禀清奇”。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</si>
  <si>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温和善良，知足常乐，重感情，有童心，人缘佳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贵人运强，易得扶持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缺乏斗志，易安于享受</t>
    </r>
    <r>
      <rPr>
        <sz val="12"/>
        <color theme="1"/>
        <rFont val="等线"/>
        <family val="3"/>
        <charset val="134"/>
        <scheme val="minor"/>
      </rPr>
      <t>。若庙旺无煞，福气深厚；若落陷或煞多，则懒散依赖，需后天努力激发。</t>
    </r>
    <r>
      <rPr>
        <b/>
        <sz val="12"/>
        <color theme="1"/>
        <rFont val="等线"/>
        <family val="3"/>
        <charset val="134"/>
        <scheme val="minor"/>
      </rPr>
      <t>喜见一点煞星（如擎羊、陀罗）来冲激意志，发奋图强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</si>
  <si>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兄弟姐妹关系</t>
    </r>
    <r>
      <rPr>
        <b/>
        <sz val="12"/>
        <color theme="1"/>
        <rFont val="等线"/>
        <family val="3"/>
        <charset val="134"/>
        <scheme val="minor"/>
      </rPr>
      <t>和睦，互相谦让</t>
    </r>
    <r>
      <rPr>
        <sz val="12"/>
        <color theme="1"/>
        <rFont val="等线"/>
        <family val="3"/>
        <charset val="134"/>
        <scheme val="minor"/>
      </rPr>
      <t>，易得兄弟姐妹之助。兄弟姐妹中可能有性格温和、乐于享受者。</t>
    </r>
  </si>
  <si>
    <r>
      <t>配偶性格</t>
    </r>
    <r>
      <rPr>
        <b/>
        <sz val="12"/>
        <color theme="1"/>
        <rFont val="等线"/>
        <family val="3"/>
        <charset val="134"/>
        <scheme val="minor"/>
      </rPr>
      <t>温和、体贴、有童心</t>
    </r>
    <r>
      <rPr>
        <sz val="12"/>
        <color theme="1"/>
        <rFont val="等线"/>
        <family val="3"/>
        <charset val="134"/>
        <scheme val="minor"/>
      </rPr>
      <t>，婚姻生活</t>
    </r>
    <r>
      <rPr>
        <b/>
        <sz val="12"/>
        <color theme="1"/>
        <rFont val="等线"/>
        <family val="3"/>
        <charset val="134"/>
        <scheme val="minor"/>
      </rPr>
      <t>和谐、充满情趣</t>
    </r>
    <r>
      <rPr>
        <sz val="12"/>
        <color theme="1"/>
        <rFont val="等线"/>
        <family val="3"/>
        <charset val="134"/>
        <scheme val="minor"/>
      </rPr>
      <t>。但天同坐夫妻，可能因过于 passive 导致感情进展缓慢。</t>
    </r>
    <r>
      <rPr>
        <b/>
        <sz val="12"/>
        <color theme="1"/>
        <rFont val="等线"/>
        <family val="3"/>
        <charset val="134"/>
        <scheme val="minor"/>
      </rPr>
      <t>喜见吉星，主恩爱；若见煞忌，则易因懒散或依赖产生矛盾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</si>
  <si>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聪明可爱，有艺术天赋，但可能贪玩、依赖性强</t>
    </r>
    <r>
      <rPr>
        <sz val="12"/>
        <color theme="1"/>
        <rFont val="等线"/>
        <family val="3"/>
        <charset val="134"/>
        <scheme val="minor"/>
      </rPr>
      <t>。子女缘分佳，与子女关系融洽。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</si>
  <si>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平和，不喜竞争</t>
    </r>
    <r>
      <rPr>
        <sz val="12"/>
        <color theme="1"/>
        <rFont val="等线"/>
        <family val="3"/>
        <charset val="134"/>
        <scheme val="minor"/>
      </rPr>
      <t>，财运多来自</t>
    </r>
    <r>
      <rPr>
        <b/>
        <sz val="12"/>
        <color theme="1"/>
        <rFont val="等线"/>
        <family val="3"/>
        <charset val="134"/>
        <scheme val="minor"/>
      </rPr>
      <t>人际资源、福气馈赠或稳定收入</t>
    </r>
    <r>
      <rPr>
        <sz val="12"/>
        <color theme="1"/>
        <rFont val="等线"/>
        <family val="3"/>
        <charset val="134"/>
        <scheme val="minor"/>
      </rPr>
      <t>。不善投机，喜享受，钱财多用于休闲、美食、艺术。见禄存、化禄，物质享受丰足。</t>
    </r>
  </si>
  <si>
    <r>
      <t>属水，主</t>
    </r>
    <r>
      <rPr>
        <b/>
        <sz val="12"/>
        <color theme="1"/>
        <rFont val="等线"/>
        <family val="3"/>
        <charset val="134"/>
        <scheme val="minor"/>
      </rPr>
      <t>肾脏、泌尿系统、血液循环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水肿、代谢问题、情绪压力引发的慢性病</t>
    </r>
    <r>
      <rPr>
        <sz val="12"/>
        <color theme="1"/>
        <rFont val="等线"/>
        <family val="3"/>
        <charset val="134"/>
        <scheme val="minor"/>
      </rPr>
      <t>。天同化气为福，亦有</t>
    </r>
    <r>
      <rPr>
        <b/>
        <sz val="12"/>
        <color theme="1"/>
        <rFont val="等线"/>
        <family val="3"/>
        <charset val="134"/>
        <scheme val="minor"/>
      </rPr>
      <t>解厄制化</t>
    </r>
    <r>
      <rPr>
        <sz val="12"/>
        <color theme="1"/>
        <rFont val="等线"/>
        <family val="3"/>
        <charset val="134"/>
        <scheme val="minor"/>
      </rPr>
      <t>之功，小病易愈。</t>
    </r>
  </si>
  <si>
    <r>
      <t>在外发展</t>
    </r>
    <r>
      <rPr>
        <b/>
        <sz val="12"/>
        <color theme="1"/>
        <rFont val="等线"/>
        <family val="3"/>
        <charset val="134"/>
        <scheme val="minor"/>
      </rPr>
      <t>人缘佳，易遇贵人</t>
    </r>
    <r>
      <rPr>
        <sz val="12"/>
        <color theme="1"/>
        <rFont val="等线"/>
        <family val="3"/>
        <charset val="134"/>
        <scheme val="minor"/>
      </rPr>
      <t>，外出多</t>
    </r>
    <r>
      <rPr>
        <b/>
        <sz val="12"/>
        <color theme="1"/>
        <rFont val="等线"/>
        <family val="3"/>
        <charset val="134"/>
        <scheme val="minor"/>
      </rPr>
      <t>平和、顺利</t>
    </r>
    <r>
      <rPr>
        <sz val="12"/>
        <color theme="1"/>
        <rFont val="等线"/>
        <family val="3"/>
        <charset val="134"/>
        <scheme val="minor"/>
      </rPr>
      <t>，适合从事需要亲和力、协调性的工作。</t>
    </r>
  </si>
  <si>
    <r>
      <t>朋友、部属多</t>
    </r>
    <r>
      <rPr>
        <b/>
        <sz val="12"/>
        <color theme="1"/>
        <rFont val="等线"/>
        <family val="3"/>
        <charset val="134"/>
        <scheme val="minor"/>
      </rPr>
      <t>温和、善良、乐于助人</t>
    </r>
    <r>
      <rPr>
        <sz val="12"/>
        <color theme="1"/>
        <rFont val="等线"/>
        <family val="3"/>
        <charset val="134"/>
        <scheme val="minor"/>
      </rPr>
      <t>者，易得朋友扶持。但需防朋友过于懒散或依赖自己。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</si>
  <si>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艺术、教育、服务、咨询、休闲、慈善</t>
    </r>
    <r>
      <rPr>
        <sz val="12"/>
        <color theme="1"/>
        <rFont val="等线"/>
        <family val="3"/>
        <charset val="134"/>
        <scheme val="minor"/>
      </rPr>
      <t>等需要亲和力、创造力与协调性的行业。事业上</t>
    </r>
    <r>
      <rPr>
        <b/>
        <sz val="12"/>
        <color theme="1"/>
        <rFont val="等线"/>
        <family val="3"/>
        <charset val="134"/>
        <scheme val="minor"/>
      </rPr>
      <t>不喜竞争，追求和谐</t>
    </r>
    <r>
      <rPr>
        <sz val="12"/>
        <color theme="1"/>
        <rFont val="等线"/>
        <family val="3"/>
        <charset val="134"/>
        <scheme val="minor"/>
      </rPr>
      <t>，宜稳定发展，不宜冒险开拓。</t>
    </r>
    <r>
      <rPr>
        <b/>
        <sz val="12"/>
        <color theme="1"/>
        <rFont val="等线"/>
        <family val="3"/>
        <charset val="134"/>
        <scheme val="minor"/>
      </rPr>
      <t>需煞星激发方有成就</t>
    </r>
    <r>
      <rPr>
        <sz val="12"/>
        <color theme="1"/>
        <rFont val="等线"/>
        <family val="3"/>
        <charset val="134"/>
        <scheme val="minor"/>
      </rPr>
      <t>。</t>
    </r>
  </si>
  <si>
    <r>
      <t>家宅</t>
    </r>
    <r>
      <rPr>
        <b/>
        <sz val="12"/>
        <color theme="1"/>
        <rFont val="等线"/>
        <family val="3"/>
        <charset val="134"/>
        <scheme val="minor"/>
      </rPr>
      <t>舒适、温馨</t>
    </r>
    <r>
      <rPr>
        <sz val="12"/>
        <color theme="1"/>
        <rFont val="等线"/>
        <family val="3"/>
        <charset val="134"/>
        <scheme val="minor"/>
      </rPr>
      <t>，可能靠近</t>
    </r>
    <r>
      <rPr>
        <b/>
        <sz val="12"/>
        <color theme="1"/>
        <rFont val="等线"/>
        <family val="3"/>
        <charset val="134"/>
        <scheme val="minor"/>
      </rPr>
      <t>河流、公园、游乐场、休闲场所</t>
    </r>
    <r>
      <rPr>
        <sz val="12"/>
        <color theme="1"/>
        <rFont val="等线"/>
        <family val="3"/>
        <charset val="134"/>
        <scheme val="minor"/>
      </rPr>
      <t>。家庭氛围和谐，家人关系融洽。</t>
    </r>
  </si>
  <si>
    <r>
      <t>福德主入福德，最吉</t>
    </r>
    <r>
      <rPr>
        <sz val="12"/>
        <color theme="1"/>
        <rFont val="等线"/>
        <family val="3"/>
        <charset val="134"/>
        <scheme val="minor"/>
      </rPr>
      <t>。精神世界</t>
    </r>
    <r>
      <rPr>
        <b/>
        <sz val="12"/>
        <color theme="1"/>
        <rFont val="等线"/>
        <family val="3"/>
        <charset val="134"/>
        <scheme val="minor"/>
      </rPr>
      <t>平和、知足、享受生活</t>
    </r>
    <r>
      <rPr>
        <sz val="12"/>
        <color theme="1"/>
        <rFont val="等线"/>
        <family val="3"/>
        <charset val="134"/>
        <scheme val="minor"/>
      </rPr>
      <t>，有很强的情绪调适能力，</t>
    </r>
    <r>
      <rPr>
        <b/>
        <sz val="12"/>
        <color theme="1"/>
        <rFont val="等线"/>
        <family val="3"/>
        <charset val="134"/>
        <scheme val="minor"/>
      </rPr>
      <t>苦中亦能作乐</t>
    </r>
    <r>
      <rPr>
        <sz val="12"/>
        <color theme="1"/>
        <rFont val="等线"/>
        <family val="3"/>
        <charset val="134"/>
        <scheme val="minor"/>
      </rPr>
      <t>。内心富足，福气深厚。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</si>
  <si>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慈爱、温和</t>
    </r>
    <r>
      <rPr>
        <sz val="12"/>
        <color theme="1"/>
        <rFont val="等线"/>
        <family val="3"/>
        <charset val="134"/>
        <scheme val="minor"/>
      </rPr>
      <t>，家庭关系和谐，易得父母荫庇。父母可能注重生活情趣，享受天伦之乐。</t>
    </r>
  </si>
  <si>
    <t>1. 增强福气/享受/调和组合</t>
  </si>
  <si>
    <r>
      <t>天同+紫微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</si>
  <si>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帝星遇福</t>
    </r>
    <r>
      <rPr>
        <sz val="12"/>
        <color theme="1"/>
        <rFont val="等线"/>
        <family val="3"/>
        <charset val="134"/>
        <scheme val="minor"/>
      </rPr>
      <t>，温和与权威结合，能</t>
    </r>
    <r>
      <rPr>
        <b/>
        <sz val="12"/>
        <color theme="1"/>
        <rFont val="等线"/>
        <family val="3"/>
        <charset val="134"/>
        <scheme val="minor"/>
      </rPr>
      <t>以柔克刚</t>
    </r>
    <r>
      <rPr>
        <sz val="12"/>
        <color theme="1"/>
        <rFont val="等线"/>
        <family val="3"/>
        <charset val="134"/>
        <scheme val="minor"/>
      </rPr>
      <t>，在领导岗位上展现亲和力，易得下属拥戴，但需防过于安逸。</t>
    </r>
  </si>
  <si>
    <t>亲和型领导；慈善机构负责人。</t>
  </si>
  <si>
    <r>
      <t>天同+天机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</si>
  <si>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智星遇福</t>
    </r>
    <r>
      <rPr>
        <sz val="12"/>
        <color theme="1"/>
        <rFont val="等线"/>
        <family val="3"/>
        <charset val="134"/>
        <scheme val="minor"/>
      </rPr>
      <t>，机巧与温和结合，</t>
    </r>
    <r>
      <rPr>
        <b/>
        <sz val="12"/>
        <color theme="1"/>
        <rFont val="等线"/>
        <family val="3"/>
        <charset val="134"/>
        <scheme val="minor"/>
      </rPr>
      <t>思维敏捷，善解人意</t>
    </r>
    <r>
      <rPr>
        <sz val="12"/>
        <color theme="1"/>
        <rFont val="等线"/>
        <family val="3"/>
        <charset val="134"/>
        <scheme val="minor"/>
      </rPr>
      <t>，适合策划、咨询、教育，但思虑过多易缺乏行动力。</t>
    </r>
  </si>
  <si>
    <t>心理咨询师；教育工作者；策划顾问。</t>
  </si>
  <si>
    <r>
      <t>天同+太阳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</si>
  <si>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日照遇福</t>
    </r>
    <r>
      <rPr>
        <sz val="12"/>
        <color theme="1"/>
        <rFont val="等线"/>
        <family val="3"/>
        <charset val="134"/>
        <scheme val="minor"/>
      </rPr>
      <t>，发散与温和结合，</t>
    </r>
    <r>
      <rPr>
        <b/>
        <sz val="12"/>
        <color theme="1"/>
        <rFont val="等线"/>
        <family val="3"/>
        <charset val="134"/>
        <scheme val="minor"/>
      </rPr>
      <t>乐观开朗，乐于助人</t>
    </r>
    <r>
      <rPr>
        <sz val="12"/>
        <color theme="1"/>
        <rFont val="等线"/>
        <family val="3"/>
        <charset val="134"/>
        <scheme val="minor"/>
      </rPr>
      <t>，适合公益、教育、传媒，但需防过于理想化。</t>
    </r>
  </si>
  <si>
    <t>社会工作者；教师；公益人士。</t>
  </si>
  <si>
    <r>
      <t>天同+武曲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</si>
  <si>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刚金遇福</t>
    </r>
    <r>
      <rPr>
        <sz val="12"/>
        <color theme="1"/>
        <rFont val="等线"/>
        <family val="3"/>
        <charset val="134"/>
        <scheme val="minor"/>
      </rPr>
      <t>，行动力与享受结合，能</t>
    </r>
    <r>
      <rPr>
        <b/>
        <sz val="12"/>
        <color theme="1"/>
        <rFont val="等线"/>
        <family val="3"/>
        <charset val="134"/>
        <scheme val="minor"/>
      </rPr>
      <t>劳逸结合</t>
    </r>
    <r>
      <rPr>
        <sz val="12"/>
        <color theme="1"/>
        <rFont val="等线"/>
        <family val="3"/>
        <charset val="134"/>
        <scheme val="minor"/>
      </rPr>
      <t>，但可能因贪图享受而减弱奋斗动力。</t>
    </r>
  </si>
  <si>
    <r>
      <t>天同+天同</t>
    </r>
    <r>
      <rPr>
        <sz val="12"/>
        <color theme="1"/>
        <rFont val="等线"/>
        <family val="3"/>
        <charset val="134"/>
        <scheme val="minor"/>
      </rPr>
      <t>​</t>
    </r>
  </si>
  <si>
    <r>
      <t xml:space="preserve">(天同独坐) </t>
    </r>
    <r>
      <rPr>
        <b/>
        <sz val="12"/>
        <color theme="1"/>
        <rFont val="等线"/>
        <family val="3"/>
        <charset val="134"/>
        <scheme val="minor"/>
      </rPr>
      <t>福气纯粹</t>
    </r>
    <r>
      <rPr>
        <sz val="12"/>
        <color theme="1"/>
        <rFont val="等线"/>
        <family val="3"/>
        <charset val="134"/>
        <scheme val="minor"/>
      </rPr>
      <t>，温和、享受特质极致发挥，若庙旺无煞，福寿双全；若落陷无煞激发，则可能过于懒散。</t>
    </r>
  </si>
  <si>
    <t>有福之人；享受生活者。</t>
  </si>
  <si>
    <r>
      <t>天同+廉贞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</si>
  <si>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囚星遇福</t>
    </r>
    <r>
      <rPr>
        <sz val="12"/>
        <color theme="1"/>
        <rFont val="等线"/>
        <family val="3"/>
        <charset val="134"/>
        <scheme val="minor"/>
      </rPr>
      <t>，感情与温和结合，</t>
    </r>
    <r>
      <rPr>
        <b/>
        <sz val="12"/>
        <color theme="1"/>
        <rFont val="等线"/>
        <family val="3"/>
        <charset val="134"/>
        <scheme val="minor"/>
      </rPr>
      <t>感情丰富但为情所困</t>
    </r>
    <r>
      <rPr>
        <sz val="12"/>
        <color theme="1"/>
        <rFont val="等线"/>
        <family val="3"/>
        <charset val="134"/>
        <scheme val="minor"/>
      </rPr>
      <t>，适合艺术、心理辅导，但易陷入情感纠葛。</t>
    </r>
  </si>
  <si>
    <r>
      <t>天同+天府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</si>
  <si>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库星遇福</t>
    </r>
    <r>
      <rPr>
        <sz val="12"/>
        <color theme="1"/>
        <rFont val="等线"/>
        <family val="3"/>
        <charset val="134"/>
        <scheme val="minor"/>
      </rPr>
      <t>，稳重与享受结合，</t>
    </r>
    <r>
      <rPr>
        <b/>
        <sz val="12"/>
        <color theme="1"/>
        <rFont val="等线"/>
        <family val="3"/>
        <charset val="134"/>
        <scheme val="minor"/>
      </rPr>
      <t>福气有库收藏</t>
    </r>
    <r>
      <rPr>
        <sz val="12"/>
        <color theme="1"/>
        <rFont val="等线"/>
        <family val="3"/>
        <charset val="134"/>
        <scheme val="minor"/>
      </rPr>
      <t>，能稳健地享受生活，物质精神皆富足。</t>
    </r>
  </si>
  <si>
    <t>稳健的享乐者；收藏家。</t>
  </si>
  <si>
    <r>
      <t>天同+太阴</t>
    </r>
    <r>
      <rPr>
        <sz val="12"/>
        <color theme="1"/>
        <rFont val="等线"/>
        <family val="3"/>
        <charset val="134"/>
        <scheme val="minor"/>
      </rPr>
      <t>​</t>
    </r>
  </si>
  <si>
    <r>
      <t>阴水遇福</t>
    </r>
    <r>
      <rPr>
        <sz val="12"/>
        <color theme="1"/>
        <rFont val="等线"/>
        <family val="3"/>
        <charset val="134"/>
        <scheme val="minor"/>
      </rPr>
      <t>（子、午宫同度），</t>
    </r>
    <r>
      <rPr>
        <b/>
        <sz val="12"/>
        <color theme="1"/>
        <rFont val="等线"/>
        <family val="3"/>
        <charset val="134"/>
        <scheme val="minor"/>
      </rPr>
      <t>温和与内敛结合</t>
    </r>
    <r>
      <rPr>
        <sz val="12"/>
        <color theme="1"/>
        <rFont val="等线"/>
        <family val="3"/>
        <charset val="134"/>
        <scheme val="minor"/>
      </rPr>
      <t>，性情</t>
    </r>
    <r>
      <rPr>
        <b/>
        <sz val="12"/>
        <color theme="1"/>
        <rFont val="等线"/>
        <family val="3"/>
        <charset val="134"/>
        <scheme val="minor"/>
      </rPr>
      <t>敏感、细腻、浪漫</t>
    </r>
    <r>
      <rPr>
        <sz val="12"/>
        <color theme="1"/>
        <rFont val="等线"/>
        <family val="3"/>
        <charset val="134"/>
        <scheme val="minor"/>
      </rPr>
      <t>，适合文艺创作，但需防情绪化、过于幻想。</t>
    </r>
  </si>
  <si>
    <t>诗人；艺术家；但内心多愁善感。</t>
  </si>
  <si>
    <r>
      <t>天同+贪狼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</si>
  <si>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欲星遇福</t>
    </r>
    <r>
      <rPr>
        <sz val="12"/>
        <color theme="1"/>
        <rFont val="等线"/>
        <family val="3"/>
        <charset val="134"/>
        <scheme val="minor"/>
      </rPr>
      <t>，欲望与享受结合，</t>
    </r>
    <r>
      <rPr>
        <b/>
        <sz val="12"/>
        <color theme="1"/>
        <rFont val="等线"/>
        <family val="3"/>
        <charset val="134"/>
        <scheme val="minor"/>
      </rPr>
      <t>才华横溢，喜好享乐</t>
    </r>
    <r>
      <rPr>
        <sz val="12"/>
        <color theme="1"/>
        <rFont val="等线"/>
        <family val="3"/>
        <charset val="134"/>
        <scheme val="minor"/>
      </rPr>
      <t>，适合艺术、娱乐，但需防沉迷酒色。</t>
    </r>
  </si>
  <si>
    <t>风流才子；娱乐界人士；但需节制欲望。</t>
  </si>
  <si>
    <r>
      <t>天同+巨门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</si>
  <si>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暗星遇福</t>
    </r>
    <r>
      <rPr>
        <sz val="12"/>
        <color theme="1"/>
        <rFont val="等线"/>
        <family val="3"/>
        <charset val="134"/>
        <scheme val="minor"/>
      </rPr>
      <t>，口舌与温和结合，</t>
    </r>
    <r>
      <rPr>
        <b/>
        <sz val="12"/>
        <color theme="1"/>
        <rFont val="等线"/>
        <family val="3"/>
        <charset val="134"/>
        <scheme val="minor"/>
      </rPr>
      <t>口才佳但易生是非</t>
    </r>
    <r>
      <rPr>
        <sz val="12"/>
        <color theme="1"/>
        <rFont val="等线"/>
        <family val="3"/>
        <charset val="134"/>
        <scheme val="minor"/>
      </rPr>
      <t>，适合法律、教育、咨询，但需注意沟通方式。</t>
    </r>
  </si>
  <si>
    <t>律师；教师；但需防口舌纠纷。</t>
  </si>
  <si>
    <r>
      <t>天同+天相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</si>
  <si>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印星遇福</t>
    </r>
    <r>
      <rPr>
        <sz val="12"/>
        <color theme="1"/>
        <rFont val="等线"/>
        <family val="3"/>
        <charset val="134"/>
        <scheme val="minor"/>
      </rPr>
      <t>，形象与温和结合，</t>
    </r>
    <r>
      <rPr>
        <b/>
        <sz val="12"/>
        <color theme="1"/>
        <rFont val="等线"/>
        <family val="3"/>
        <charset val="134"/>
        <scheme val="minor"/>
      </rPr>
      <t>外表端庄，内心平和</t>
    </r>
    <r>
      <rPr>
        <sz val="12"/>
        <color theme="1"/>
        <rFont val="等线"/>
        <family val="3"/>
        <charset val="134"/>
        <scheme val="minor"/>
      </rPr>
      <t>，适合公关、服务、协调工作，人缘极佳。</t>
    </r>
  </si>
  <si>
    <t>公关经理；协调员；外交官。</t>
  </si>
  <si>
    <r>
      <t>天同+天梁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</si>
  <si>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荫星遇福</t>
    </r>
    <r>
      <rPr>
        <sz val="12"/>
        <color theme="1"/>
        <rFont val="等线"/>
        <family val="3"/>
        <charset val="134"/>
        <scheme val="minor"/>
      </rPr>
      <t>（寅、申宫同度），</t>
    </r>
    <r>
      <rPr>
        <b/>
        <sz val="12"/>
        <color theme="1"/>
        <rFont val="等线"/>
        <family val="3"/>
        <charset val="134"/>
        <scheme val="minor"/>
      </rPr>
      <t>“机月同梁”格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福寿双全，智慧与豁达兼备</t>
    </r>
    <r>
      <rPr>
        <sz val="12"/>
        <color theme="1"/>
        <rFont val="等线"/>
        <family val="3"/>
        <charset val="134"/>
        <scheme val="minor"/>
      </rPr>
      <t>，适合文化、教育、医疗、慈善，晚年运佳。</t>
    </r>
  </si>
  <si>
    <t>教师；医生；慈善家；晚年幸福。</t>
  </si>
  <si>
    <r>
      <t>天同+七杀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</si>
  <si>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杀星遇福</t>
    </r>
    <r>
      <rPr>
        <sz val="12"/>
        <color theme="1"/>
        <rFont val="等线"/>
        <family val="3"/>
        <charset val="134"/>
        <scheme val="minor"/>
      </rPr>
      <t>，变动与温和结合，</t>
    </r>
    <r>
      <rPr>
        <b/>
        <sz val="12"/>
        <color theme="1"/>
        <rFont val="等线"/>
        <family val="3"/>
        <charset val="134"/>
        <scheme val="minor"/>
      </rPr>
      <t>人生先苦后甜，在变动中寻求平和</t>
    </r>
    <r>
      <rPr>
        <sz val="12"/>
        <color theme="1"/>
        <rFont val="等线"/>
        <family val="3"/>
        <charset val="134"/>
        <scheme val="minor"/>
      </rPr>
      <t>，需经历磨练方能享福。</t>
    </r>
  </si>
  <si>
    <t>经历磨难后安享晚年的企业家；军警退休后从事慈善。</t>
  </si>
  <si>
    <r>
      <t>天同+破军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</si>
  <si>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耗星遇福</t>
    </r>
    <r>
      <rPr>
        <sz val="12"/>
        <color theme="1"/>
        <rFont val="等线"/>
        <family val="3"/>
        <charset val="134"/>
        <scheme val="minor"/>
      </rPr>
      <t>，破旧立新与享受结合，</t>
    </r>
    <r>
      <rPr>
        <b/>
        <sz val="12"/>
        <color theme="1"/>
        <rFont val="等线"/>
        <family val="3"/>
        <charset val="134"/>
        <scheme val="minor"/>
      </rPr>
      <t>在破坏与创造中寻求享受</t>
    </r>
    <r>
      <rPr>
        <sz val="12"/>
        <color theme="1"/>
        <rFont val="等线"/>
        <family val="3"/>
        <charset val="134"/>
        <scheme val="minor"/>
      </rPr>
      <t>，人生波动大，晚年方得安定。</t>
    </r>
  </si>
  <si>
    <t>改革者；先锋艺术家；晚年归于平淡。</t>
  </si>
  <si>
    <r>
      <t>天同+左辅/右弼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</si>
  <si>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福星得助</t>
    </r>
    <r>
      <rPr>
        <sz val="12"/>
        <color theme="1"/>
        <rFont val="等线"/>
        <family val="3"/>
        <charset val="134"/>
        <scheme val="minor"/>
      </rPr>
      <t>，温和与享受得同辈、晚辈助力，人缘更佳，福气更厚，易得众人扶持。</t>
    </r>
  </si>
  <si>
    <r>
      <t>天同+文昌/文曲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</si>
  <si>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文艺修养、才艺与创造力</t>
    </r>
    <r>
      <rPr>
        <sz val="12"/>
        <color theme="1"/>
        <rFont val="等线"/>
        <family val="3"/>
        <charset val="134"/>
        <scheme val="minor"/>
      </rPr>
      <t>，适合艺术、文学，生活充满情趣。</t>
    </r>
  </si>
  <si>
    <r>
      <t>天同+天魁/天钺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</si>
  <si>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福星遇贵</t>
    </r>
    <r>
      <rPr>
        <sz val="12"/>
        <color theme="1"/>
        <rFont val="等线"/>
        <family val="3"/>
        <charset val="134"/>
        <scheme val="minor"/>
      </rPr>
      <t>，温和与福气得贵人赏识提携，</t>
    </r>
    <r>
      <rPr>
        <b/>
        <sz val="12"/>
        <color theme="1"/>
        <rFont val="等线"/>
        <family val="3"/>
        <charset val="134"/>
        <scheme val="minor"/>
      </rPr>
      <t>贵人运极强</t>
    </r>
    <r>
      <rPr>
        <sz val="12"/>
        <color theme="1"/>
        <rFont val="等线"/>
        <family val="3"/>
        <charset val="134"/>
        <scheme val="minor"/>
      </rPr>
      <t>，凡事易逢凶化吉。</t>
    </r>
  </si>
  <si>
    <r>
      <t>天同+禄存</t>
    </r>
    <r>
      <rPr>
        <sz val="12"/>
        <color theme="1"/>
        <rFont val="等线"/>
        <family val="3"/>
        <charset val="134"/>
        <scheme val="minor"/>
      </rPr>
      <t>​</t>
    </r>
  </si>
  <si>
    <r>
      <t>福星带禄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福禄双至</t>
    </r>
    <r>
      <rPr>
        <sz val="12"/>
        <color theme="1"/>
        <rFont val="等线"/>
        <family val="3"/>
        <charset val="134"/>
        <scheme val="minor"/>
      </rPr>
      <t>，精神幸福与物质享受兼备，生活安逸富足。</t>
    </r>
  </si>
  <si>
    <r>
      <t>天同+天马</t>
    </r>
    <r>
      <rPr>
        <sz val="12"/>
        <color theme="1"/>
        <rFont val="等线"/>
        <family val="3"/>
        <charset val="134"/>
        <scheme val="minor"/>
      </rPr>
      <t>​</t>
    </r>
  </si>
  <si>
    <r>
      <t>福星奔驰</t>
    </r>
    <r>
      <rPr>
        <sz val="12"/>
        <color theme="1"/>
        <rFont val="等线"/>
        <family val="3"/>
        <charset val="134"/>
        <scheme val="minor"/>
      </rPr>
      <t>，福气在变动、奔波中享受，适合旅游、外贸、移动中求发展。</t>
    </r>
  </si>
  <si>
    <r>
      <t>天同+火星</t>
    </r>
    <r>
      <rPr>
        <sz val="12"/>
        <color theme="1"/>
        <rFont val="等线"/>
        <family val="3"/>
        <charset val="134"/>
        <scheme val="minor"/>
      </rPr>
      <t>​</t>
    </r>
  </si>
  <si>
    <r>
      <t>福星逢火</t>
    </r>
    <r>
      <rPr>
        <sz val="12"/>
        <color theme="1"/>
        <rFont val="等线"/>
        <family val="3"/>
        <charset val="134"/>
        <scheme val="minor"/>
      </rPr>
      <t>，温和性情被激发，增添</t>
    </r>
    <r>
      <rPr>
        <b/>
        <sz val="12"/>
        <color theme="1"/>
        <rFont val="等线"/>
        <family val="3"/>
        <charset val="134"/>
        <scheme val="minor"/>
      </rPr>
      <t>行动力与干劲</t>
    </r>
    <r>
      <rPr>
        <sz val="12"/>
        <color theme="1"/>
        <rFont val="等线"/>
        <family val="3"/>
        <charset val="134"/>
        <scheme val="minor"/>
      </rPr>
      <t>，但可能变得急躁，需防冲动。</t>
    </r>
  </si>
  <si>
    <r>
      <t>天同+铃星</t>
    </r>
    <r>
      <rPr>
        <sz val="12"/>
        <color theme="1"/>
        <rFont val="等线"/>
        <family val="3"/>
        <charset val="134"/>
        <scheme val="minor"/>
      </rPr>
      <t>​</t>
    </r>
  </si>
  <si>
    <r>
      <t>福星逢铃</t>
    </r>
    <r>
      <rPr>
        <sz val="12"/>
        <color theme="1"/>
        <rFont val="等线"/>
        <family val="3"/>
        <charset val="134"/>
        <scheme val="minor"/>
      </rPr>
      <t>，福气伴随煎熬、隐忧，享受过程多挫折，需耐心应对。</t>
    </r>
  </si>
  <si>
    <r>
      <t>天同+擎羊</t>
    </r>
    <r>
      <rPr>
        <sz val="12"/>
        <color theme="1"/>
        <rFont val="等线"/>
        <family val="3"/>
        <charset val="134"/>
        <scheme val="minor"/>
      </rPr>
      <t>​</t>
    </r>
  </si>
  <si>
    <r>
      <t>福星逢羊</t>
    </r>
    <r>
      <rPr>
        <sz val="12"/>
        <color theme="1"/>
        <rFont val="等线"/>
        <family val="3"/>
        <charset val="134"/>
        <scheme val="minor"/>
      </rPr>
      <t>，温和性情被冲击，</t>
    </r>
    <r>
      <rPr>
        <b/>
        <sz val="12"/>
        <color theme="1"/>
        <rFont val="等线"/>
        <family val="3"/>
        <charset val="134"/>
        <scheme val="minor"/>
      </rPr>
      <t>激发斗志，打破安逸</t>
    </r>
    <r>
      <rPr>
        <sz val="12"/>
        <color theme="1"/>
        <rFont val="等线"/>
        <family val="3"/>
        <charset val="134"/>
        <scheme val="minor"/>
      </rPr>
      <t>，但易生冲突，需防外伤。</t>
    </r>
  </si>
  <si>
    <r>
      <t>天同+陀罗</t>
    </r>
    <r>
      <rPr>
        <sz val="12"/>
        <color theme="1"/>
        <rFont val="等线"/>
        <family val="3"/>
        <charset val="134"/>
        <scheme val="minor"/>
      </rPr>
      <t>​</t>
    </r>
  </si>
  <si>
    <r>
      <t>福星逢陀</t>
    </r>
    <r>
      <rPr>
        <sz val="12"/>
        <color theme="1"/>
        <rFont val="等线"/>
        <family val="3"/>
        <charset val="134"/>
        <scheme val="minor"/>
      </rPr>
      <t>，福气受拖延、反复阻碍，享受过程多周折，易陷入纠结。</t>
    </r>
  </si>
  <si>
    <r>
      <t>天同+地空</t>
    </r>
    <r>
      <rPr>
        <sz val="12"/>
        <color theme="1"/>
        <rFont val="等线"/>
        <family val="3"/>
        <charset val="134"/>
        <scheme val="minor"/>
      </rPr>
      <t>​</t>
    </r>
  </si>
  <si>
    <r>
      <t>福星逢空</t>
    </r>
    <r>
      <rPr>
        <sz val="12"/>
        <color theme="1"/>
        <rFont val="等线"/>
        <family val="3"/>
        <charset val="134"/>
        <scheme val="minor"/>
      </rPr>
      <t>，福气落空，理想化的享受难以落实，易有精神空虚感。</t>
    </r>
  </si>
  <si>
    <r>
      <t>天同+地劫</t>
    </r>
    <r>
      <rPr>
        <sz val="12"/>
        <color theme="1"/>
        <rFont val="等线"/>
        <family val="3"/>
        <charset val="134"/>
        <scheme val="minor"/>
      </rPr>
      <t>​</t>
    </r>
  </si>
  <si>
    <r>
      <t>福星逢劫</t>
    </r>
    <r>
      <rPr>
        <sz val="12"/>
        <color theme="1"/>
        <rFont val="等线"/>
        <family val="3"/>
        <charset val="134"/>
        <scheme val="minor"/>
      </rPr>
      <t>，福气遭破耗，享受过程中易有意外损失。</t>
    </r>
  </si>
  <si>
    <r>
      <t>天同+化禄</t>
    </r>
    <r>
      <rPr>
        <sz val="12"/>
        <color theme="1"/>
        <rFont val="等线"/>
        <family val="3"/>
        <charset val="134"/>
        <scheme val="minor"/>
      </rPr>
      <t>​</t>
    </r>
  </si>
  <si>
    <r>
      <t>福星化禄</t>
    </r>
    <r>
      <rPr>
        <sz val="12"/>
        <color theme="1"/>
        <rFont val="等线"/>
        <family val="3"/>
        <charset val="134"/>
        <scheme val="minor"/>
      </rPr>
      <t>（丙年生人），</t>
    </r>
    <r>
      <rPr>
        <b/>
        <sz val="12"/>
        <color theme="1"/>
        <rFont val="等线"/>
        <family val="3"/>
        <charset val="134"/>
        <scheme val="minor"/>
      </rPr>
      <t>福气化为物质享受</t>
    </r>
    <r>
      <rPr>
        <sz val="12"/>
        <color theme="1"/>
        <rFont val="等线"/>
        <family val="3"/>
        <charset val="134"/>
        <scheme val="minor"/>
      </rPr>
      <t>，精神与物质皆满足，生活丰足快乐。</t>
    </r>
  </si>
  <si>
    <r>
      <t>天同+化权</t>
    </r>
    <r>
      <rPr>
        <sz val="12"/>
        <color theme="1"/>
        <rFont val="等线"/>
        <family val="3"/>
        <charset val="134"/>
        <scheme val="minor"/>
      </rPr>
      <t>​</t>
    </r>
  </si>
  <si>
    <r>
      <t>福星化权</t>
    </r>
    <r>
      <rPr>
        <sz val="12"/>
        <color theme="1"/>
        <rFont val="等线"/>
        <family val="3"/>
        <charset val="134"/>
        <scheme val="minor"/>
      </rPr>
      <t>（丁年生人），</t>
    </r>
    <r>
      <rPr>
        <b/>
        <sz val="12"/>
        <color theme="1"/>
        <rFont val="等线"/>
        <family val="3"/>
        <charset val="134"/>
        <scheme val="minor"/>
      </rPr>
      <t>温和掌权</t>
    </r>
    <r>
      <rPr>
        <sz val="12"/>
        <color theme="1"/>
        <rFont val="等线"/>
        <family val="3"/>
        <charset val="134"/>
        <scheme val="minor"/>
      </rPr>
      <t>，能以柔和方式掌握实权，适合管理、协调，但需防权欲被激发。</t>
    </r>
  </si>
  <si>
    <r>
      <t>天同+化忌</t>
    </r>
    <r>
      <rPr>
        <sz val="12"/>
        <color theme="1"/>
        <rFont val="等线"/>
        <family val="3"/>
        <charset val="134"/>
        <scheme val="minor"/>
      </rPr>
      <t>​</t>
    </r>
  </si>
  <si>
    <r>
      <t>福星化忌</t>
    </r>
    <r>
      <rPr>
        <sz val="12"/>
        <color theme="1"/>
        <rFont val="等线"/>
        <family val="3"/>
        <charset val="134"/>
        <scheme val="minor"/>
      </rPr>
      <t>（庚年生人），</t>
    </r>
    <r>
      <rPr>
        <b/>
        <sz val="12"/>
        <color theme="1"/>
        <rFont val="等线"/>
        <family val="3"/>
        <charset val="134"/>
        <scheme val="minor"/>
      </rPr>
      <t>福气受阻</t>
    </r>
    <r>
      <rPr>
        <sz val="12"/>
        <color theme="1"/>
        <rFont val="等线"/>
        <family val="3"/>
        <charset val="134"/>
        <scheme val="minor"/>
      </rPr>
      <t>，易因依赖、懒散或逃避责任引发矛盾，需学习独立与直面挑战。</t>
    </r>
  </si>
  <si>
    <r>
      <t>1. “天同”与“天梁”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天同星属阳水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福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内心感受、享受、调和、童心</t>
    </r>
    <r>
      <rPr>
        <sz val="11"/>
        <color theme="1"/>
        <rFont val="等线"/>
        <family val="2"/>
        <charset val="134"/>
        <scheme val="minor"/>
      </rPr>
      <t>，其福气偏向</t>
    </r>
    <r>
      <rPr>
        <b/>
        <sz val="11"/>
        <color theme="1"/>
        <rFont val="等线"/>
        <family val="3"/>
        <charset val="134"/>
        <scheme val="minor"/>
      </rPr>
      <t>精神层面的幸福与知足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天梁星属阳土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荫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荫庇、清高、寿星</t>
    </r>
    <r>
      <rPr>
        <sz val="11"/>
        <color theme="1"/>
        <rFont val="等线"/>
        <family val="2"/>
        <charset val="134"/>
        <scheme val="minor"/>
      </rPr>
      <t>，其福气偏向</t>
    </r>
    <r>
      <rPr>
        <b/>
        <sz val="11"/>
        <color theme="1"/>
        <rFont val="等线"/>
        <family val="3"/>
        <charset val="134"/>
        <scheme val="minor"/>
      </rPr>
      <t>长辈庇护、逢凶化吉、健康长寿</t>
    </r>
    <r>
      <rPr>
        <sz val="11"/>
        <color theme="1"/>
        <rFont val="等线"/>
        <family val="2"/>
        <charset val="134"/>
        <scheme val="minor"/>
      </rPr>
      <t>。二者皆主福，但性质与来源不同。</t>
    </r>
  </si>
  <si>
    <r>
      <t>2. “福”的本质</t>
    </r>
    <r>
      <rPr>
        <sz val="11"/>
        <color theme="1"/>
        <rFont val="等线"/>
        <family val="2"/>
        <charset val="134"/>
        <scheme val="minor"/>
      </rPr>
      <t>：天同的“福”并非指不劳而获的物质享受，而是</t>
    </r>
    <r>
      <rPr>
        <b/>
        <sz val="11"/>
        <color theme="1"/>
        <rFont val="等线"/>
        <family val="3"/>
        <charset val="134"/>
        <scheme val="minor"/>
      </rPr>
      <t>一种心态——凡事不操心、苦中作乐、逆境中也能找到安慰的情绪调适能力</t>
    </r>
    <r>
      <rPr>
        <sz val="11"/>
        <color theme="1"/>
        <rFont val="等线"/>
        <family val="2"/>
        <charset val="134"/>
        <scheme val="minor"/>
      </rPr>
      <t>。其福气体现在</t>
    </r>
    <r>
      <rPr>
        <b/>
        <sz val="11"/>
        <color theme="1"/>
        <rFont val="等线"/>
        <family val="3"/>
        <charset val="134"/>
        <scheme val="minor"/>
      </rPr>
      <t>人缘佳、贵人运强、知足常乐</t>
    </r>
    <r>
      <rPr>
        <sz val="11"/>
        <color theme="1"/>
        <rFont val="等线"/>
        <family val="2"/>
        <charset val="134"/>
        <scheme val="minor"/>
      </rPr>
      <t>。物质享受需见禄星（化禄、禄存）方显。</t>
    </r>
  </si>
  <si>
    <r>
      <t>3. “同音卦”解析</t>
    </r>
    <r>
      <rPr>
        <sz val="11"/>
        <color theme="1"/>
        <rFont val="等线"/>
        <family val="2"/>
        <charset val="134"/>
        <scheme val="minor"/>
      </rPr>
      <t>：天同的核心取象源于三个同音字：</t>
    </r>
    <r>
      <rPr>
        <b/>
        <sz val="11"/>
        <color theme="1"/>
        <rFont val="等线"/>
        <family val="3"/>
        <charset val="134"/>
        <scheme val="minor"/>
      </rPr>
      <t>“同”（相同、认同、合同）、“童”（儿童、童心）、“瞳”（眼睛、瞳孔、洞察）</t>
    </r>
    <r>
      <rPr>
        <sz val="11"/>
        <color theme="1"/>
        <rFont val="等线"/>
        <family val="2"/>
        <charset val="134"/>
        <scheme val="minor"/>
      </rPr>
      <t>。这是理解天同类象的关键。</t>
    </r>
  </si>
  <si>
    <r>
      <t>4. “先苦后甜”与“白手起家”</t>
    </r>
    <r>
      <rPr>
        <sz val="11"/>
        <color theme="1"/>
        <rFont val="等线"/>
        <family val="2"/>
        <charset val="134"/>
        <scheme val="minor"/>
      </rPr>
      <t>：天同星常有</t>
    </r>
    <r>
      <rPr>
        <b/>
        <sz val="11"/>
        <color theme="1"/>
        <rFont val="等线"/>
        <family val="3"/>
        <charset val="134"/>
        <scheme val="minor"/>
      </rPr>
      <t>经历困苦后方能享受幸福</t>
    </r>
    <r>
      <rPr>
        <sz val="11"/>
        <color theme="1"/>
        <rFont val="等线"/>
        <family val="2"/>
        <charset val="134"/>
        <scheme val="minor"/>
      </rPr>
      <t>的特质。因此，天同坐命者，其成就大小与</t>
    </r>
    <r>
      <rPr>
        <b/>
        <sz val="11"/>
        <color theme="1"/>
        <rFont val="等线"/>
        <family val="3"/>
        <charset val="134"/>
        <scheme val="minor"/>
      </rPr>
      <t>上进心的强弱</t>
    </r>
    <r>
      <rPr>
        <sz val="11"/>
        <color theme="1"/>
        <rFont val="等线"/>
        <family val="2"/>
        <charset val="134"/>
        <scheme val="minor"/>
      </rPr>
      <t>有极大关联，需煞星激发方能奋发。</t>
    </r>
  </si>
  <si>
    <r>
      <t>5. “不怕煞星”但“需煞激发”</t>
    </r>
    <r>
      <rPr>
        <sz val="11"/>
        <color theme="1"/>
        <rFont val="等线"/>
        <family val="2"/>
        <charset val="134"/>
        <scheme val="minor"/>
      </rPr>
      <t>：天同</t>
    </r>
    <r>
      <rPr>
        <b/>
        <sz val="11"/>
        <color theme="1"/>
        <rFont val="等线"/>
        <family val="3"/>
        <charset val="134"/>
        <scheme val="minor"/>
      </rPr>
      <t>不怕煞星</t>
    </r>
    <r>
      <rPr>
        <sz val="11"/>
        <color theme="1"/>
        <rFont val="等线"/>
        <family val="2"/>
        <charset val="134"/>
        <scheme val="minor"/>
      </rPr>
      <t>（如擎羊、陀罗），因煞星能</t>
    </r>
    <r>
      <rPr>
        <b/>
        <sz val="11"/>
        <color theme="1"/>
        <rFont val="等线"/>
        <family val="3"/>
        <charset val="134"/>
        <scheme val="minor"/>
      </rPr>
      <t>激发其斗志，打破安逸</t>
    </r>
    <r>
      <rPr>
        <sz val="11"/>
        <color theme="1"/>
        <rFont val="等线"/>
        <family val="2"/>
        <charset val="134"/>
        <scheme val="minor"/>
      </rPr>
      <t>，使其奋发图强。但煞星过多亦会破坏其福气与平和。</t>
    </r>
  </si>
  <si>
    <r>
      <t>6. 宫位定领域</t>
    </r>
    <r>
      <rPr>
        <sz val="11"/>
        <color theme="1"/>
        <rFont val="等线"/>
        <family val="2"/>
        <charset val="134"/>
        <scheme val="minor"/>
      </rPr>
      <t>：天同星所在宫位，指示在人生的哪个领域易有</t>
    </r>
    <r>
      <rPr>
        <b/>
        <sz val="11"/>
        <color theme="1"/>
        <rFont val="等线"/>
        <family val="3"/>
        <charset val="134"/>
        <scheme val="minor"/>
      </rPr>
      <t>福气、享受、平和</t>
    </r>
    <r>
      <rPr>
        <sz val="11"/>
        <color theme="1"/>
        <rFont val="等线"/>
        <family val="2"/>
        <charset val="134"/>
        <scheme val="minor"/>
      </rPr>
      <t>，也指示该领域需要</t>
    </r>
    <r>
      <rPr>
        <b/>
        <sz val="11"/>
        <color theme="1"/>
        <rFont val="等线"/>
        <family val="3"/>
        <charset val="134"/>
        <scheme val="minor"/>
      </rPr>
      <t>感受、调和</t>
    </r>
    <r>
      <rPr>
        <sz val="11"/>
        <color theme="1"/>
        <rFont val="等线"/>
        <family val="2"/>
        <charset val="134"/>
        <scheme val="minor"/>
      </rPr>
      <t>，或与</t>
    </r>
    <r>
      <rPr>
        <b/>
        <sz val="11"/>
        <color theme="1"/>
        <rFont val="等线"/>
        <family val="3"/>
        <charset val="134"/>
        <scheme val="minor"/>
      </rPr>
      <t>儿童、眼睛、相同事物</t>
    </r>
    <r>
      <rPr>
        <sz val="11"/>
        <color theme="1"/>
        <rFont val="等线"/>
        <family val="2"/>
        <charset val="134"/>
        <scheme val="minor"/>
      </rPr>
      <t>相关。</t>
    </r>
  </si>
  <si>
    <r>
      <t>7.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福禄双至</t>
    </r>
    <r>
      <rPr>
        <sz val="11"/>
        <color theme="1"/>
        <rFont val="等线"/>
        <family val="2"/>
        <charset val="134"/>
        <scheme val="minor"/>
      </rPr>
      <t>，精神与物质享受兼备。见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温和掌权</t>
    </r>
    <r>
      <rPr>
        <sz val="11"/>
        <color theme="1"/>
        <rFont val="等线"/>
        <family val="2"/>
        <charset val="134"/>
        <scheme val="minor"/>
      </rPr>
      <t>，能以柔克刚。见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福气受阻</t>
    </r>
    <r>
      <rPr>
        <sz val="11"/>
        <color theme="1"/>
        <rFont val="等线"/>
        <family val="2"/>
        <charset val="134"/>
        <scheme val="minor"/>
      </rPr>
      <t>，易因懒散、依赖引发问题，需学习独立。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</si>
  <si>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河流、湖泊、温泉、公园、游乐场、幼儿园、艺术馆、休闲场所、眼睛相关场所（如眼镜店）、一切让人感到平和、享受的地方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</si>
  <si>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天同星的全部原始定义、分类与案例，并严格依您的要求，在“本质”部分增补了“人/事/物”三个层次的解析，未增删改臆。天同星为福星，主感受与调和。其核心在于“内心世界的平和”与“同、童、瞳”的类象，常在福气、享受、人际和谐领域显现，但其“懒散依赖”的性质需煞星激发方能转化。最喜入庙化禄于命、福、田等宫，主福寿双全，安逸一生。与天梁同度，福寿绵长；与禄存同会，福禄双全。然若落陷无煞激发，则易安于现状，缺乏进取。在紫占中，天同与各主星组合产生的“享受”、“调和”、“童心”等具体卦象，是断事关键，需结合具体星情与宫位细察。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</si>
  <si>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天机星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的完整象义解析如下（严格遵循原始资料结构与表述，并依您的要求，在“本质”部分增补“人/事/物”三个层次的解析）：</t>
    </r>
  </si>
  <si>
    <t>一、天机定义</t>
  </si>
  <si>
    <t>智慧、谋略、变动、机械、手足、机会、宗教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</si>
  <si>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聪明机智、反应敏捷、善变多谋、心思缜密、乐于助人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缺乏决断力、思虑过多、易钻牛角尖、神经敏感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谋士、策划者、变动者</t>
    </r>
    <r>
      <rPr>
        <sz val="12"/>
        <color theme="1"/>
        <rFont val="等线"/>
        <family val="3"/>
        <charset val="134"/>
        <scheme val="minor"/>
      </rPr>
      <t>。人际关系上，</t>
    </r>
    <r>
      <rPr>
        <b/>
        <sz val="12"/>
        <color theme="1"/>
        <rFont val="等线"/>
        <family val="3"/>
        <charset val="134"/>
        <scheme val="minor"/>
      </rPr>
      <t>重视手足情谊（兄弟主），善于沟通协调</t>
    </r>
    <r>
      <rPr>
        <sz val="12"/>
        <color theme="1"/>
        <rFont val="等线"/>
        <family val="3"/>
        <charset val="134"/>
        <scheme val="minor"/>
      </rPr>
      <t>，但易因思虑过多而显得优柔寡断。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</si>
  <si>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充满变动、机会、需要谋划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计划、策划、变动、机会、交通、通讯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需要智慧、灵活应对、随机应变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多思多虑、反复不定、易有突发变化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</si>
  <si>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机械、转动、智慧、连接</t>
    </r>
    <r>
      <rPr>
        <sz val="12"/>
        <color theme="1"/>
        <rFont val="等线"/>
        <family val="3"/>
        <charset val="134"/>
        <scheme val="minor"/>
      </rPr>
      <t>属性的事物。如：</t>
    </r>
    <r>
      <rPr>
        <b/>
        <sz val="12"/>
        <color theme="1"/>
        <rFont val="等线"/>
        <family val="3"/>
        <charset val="134"/>
        <scheme val="minor"/>
      </rPr>
      <t>机械、交通工具（汽车、自行车）、通讯设备（手机、电脑）、手足、神经系统、宗教器物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机会的象征、变动的节点</t>
    </r>
    <r>
      <rPr>
        <sz val="12"/>
        <color theme="1"/>
        <rFont val="等线"/>
        <family val="3"/>
        <charset val="134"/>
        <scheme val="minor"/>
      </rPr>
      <t>。</t>
    </r>
  </si>
  <si>
    <t>整合自《金刚佛光-紫占课程手册》中关于天机“智慧”、“谋略”、“变动”、“机械”、“手足”等核心概念的深度阐释与类象推演。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</si>
  <si>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南斗第三星</t>
    </r>
    <r>
      <rPr>
        <sz val="12"/>
        <color theme="1"/>
        <rFont val="等线"/>
        <family val="3"/>
        <charset val="134"/>
        <scheme val="minor"/>
      </rPr>
      <t>，属</t>
    </r>
    <r>
      <rPr>
        <b/>
        <sz val="12"/>
        <color theme="1"/>
        <rFont val="等线"/>
        <family val="3"/>
        <charset val="134"/>
        <scheme val="minor"/>
      </rPr>
      <t>阴木（乙木）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善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兄弟主</t>
    </r>
    <r>
      <rPr>
        <sz val="12"/>
        <color theme="1"/>
        <rFont val="等线"/>
        <family val="3"/>
        <charset val="134"/>
        <scheme val="minor"/>
      </rPr>
      <t>。喜庙旺（寅、卯、辰、巳、午为庙旺），忌落陷（申、酉、戌、亥、子、丑为落陷）。喜会禄存、化禄、天梁、太阴，忌煞忌冲破。与太阴星关系密切，组成“</t>
    </r>
    <r>
      <rPr>
        <b/>
        <sz val="12"/>
        <color theme="1"/>
        <rFont val="等线"/>
        <family val="3"/>
        <charset val="134"/>
        <scheme val="minor"/>
      </rPr>
      <t>机月同梁</t>
    </r>
    <r>
      <rPr>
        <sz val="12"/>
        <color theme="1"/>
        <rFont val="等线"/>
        <family val="3"/>
        <charset val="134"/>
        <scheme val="minor"/>
      </rPr>
      <t>”格。天机的“善”体现在</t>
    </r>
    <r>
      <rPr>
        <b/>
        <sz val="12"/>
        <color theme="1"/>
        <rFont val="等线"/>
        <family val="3"/>
        <charset val="134"/>
        <scheme val="minor"/>
      </rPr>
      <t>乐于助人、善解人意、喜为他人谋划</t>
    </r>
    <r>
      <rPr>
        <sz val="12"/>
        <color theme="1"/>
        <rFont val="等线"/>
        <family val="3"/>
        <charset val="134"/>
        <scheme val="minor"/>
      </rPr>
      <t>。</t>
    </r>
  </si>
  <si>
    <r>
      <t>智慧与谋略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</si>
  <si>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智慧、谋略、策划、计算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军师型</t>
    </r>
    <r>
      <rPr>
        <sz val="12"/>
        <color theme="1"/>
        <rFont val="等线"/>
        <family val="3"/>
        <charset val="134"/>
        <scheme val="minor"/>
      </rPr>
      <t>主星，善于分析、规划、出谋划策，但</t>
    </r>
    <r>
      <rPr>
        <b/>
        <sz val="12"/>
        <color theme="1"/>
        <rFont val="等线"/>
        <family val="3"/>
        <charset val="134"/>
        <scheme val="minor"/>
      </rPr>
      <t>缺乏执行力</t>
    </r>
    <r>
      <rPr>
        <sz val="12"/>
        <color theme="1"/>
        <rFont val="等线"/>
        <family val="3"/>
        <charset val="134"/>
        <scheme val="minor"/>
      </rPr>
      <t>，需他人配合行动。</t>
    </r>
  </si>
  <si>
    <t>在命宫、官禄宫时，主聪明、善策划。</t>
  </si>
  <si>
    <r>
      <t>变动与机会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</si>
  <si>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变动、机会、交通、通讯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多变动</t>
    </r>
    <r>
      <rPr>
        <sz val="12"/>
        <color theme="1"/>
        <rFont val="等线"/>
        <family val="3"/>
        <charset val="134"/>
        <scheme val="minor"/>
      </rPr>
      <t>，包括居住地、工作、思想上的变动。善于捕捉机会，但变动也带来不稳定。</t>
    </r>
  </si>
  <si>
    <t>在命宫、迁移宫时，主一生多动，喜变动。</t>
  </si>
  <si>
    <r>
      <t>手足与兄弟</t>
    </r>
    <r>
      <rPr>
        <sz val="12"/>
        <color theme="1"/>
        <rFont val="等线"/>
        <family val="3"/>
        <charset val="134"/>
        <scheme val="minor"/>
      </rPr>
      <t>​</t>
    </r>
  </si>
  <si>
    <r>
      <t>兄弟主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手足情谊、兄弟姐妹、同辈朋友</t>
    </r>
    <r>
      <rPr>
        <sz val="12"/>
        <color theme="1"/>
        <rFont val="等线"/>
        <family val="3"/>
        <charset val="134"/>
        <scheme val="minor"/>
      </rPr>
      <t>。与兄弟姐妹关系密切，或兄弟姐妹中有聪明、善变者。</t>
    </r>
  </si>
  <si>
    <t>在兄弟宫、命宫时，主兄弟姐妹缘分深。</t>
  </si>
  <si>
    <r>
      <t>机械与宗教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</si>
  <si>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机械、交通工具、通讯设备</t>
    </r>
    <r>
      <rPr>
        <sz val="12"/>
        <color theme="1"/>
        <rFont val="等线"/>
        <family val="3"/>
        <charset val="134"/>
        <scheme val="minor"/>
      </rPr>
      <t>。有</t>
    </r>
    <r>
      <rPr>
        <b/>
        <sz val="12"/>
        <color theme="1"/>
        <rFont val="等线"/>
        <family val="3"/>
        <charset val="134"/>
        <scheme val="minor"/>
      </rPr>
      <t>机械天赋</t>
    </r>
    <r>
      <rPr>
        <sz val="12"/>
        <color theme="1"/>
        <rFont val="等线"/>
        <family val="3"/>
        <charset val="134"/>
        <scheme val="minor"/>
      </rPr>
      <t>，善于操作、修理机械。也为</t>
    </r>
    <r>
      <rPr>
        <b/>
        <sz val="12"/>
        <color theme="1"/>
        <rFont val="等线"/>
        <family val="3"/>
        <charset val="134"/>
        <scheme val="minor"/>
      </rPr>
      <t>宗教之星</t>
    </r>
    <r>
      <rPr>
        <sz val="12"/>
        <color theme="1"/>
        <rFont val="等线"/>
        <family val="3"/>
        <charset val="134"/>
        <scheme val="minor"/>
      </rPr>
      <t>，与宗教、哲学、玄学有缘。</t>
    </r>
  </si>
  <si>
    <t>在官禄宫、福德宫时，主适合机械、宗教相关行业。</t>
  </si>
  <si>
    <r>
      <t>身材中等，相貌清秀，眼神灵活，反应敏捷</t>
    </r>
    <r>
      <rPr>
        <sz val="12"/>
        <color theme="1"/>
        <rFont val="等线"/>
        <family val="3"/>
        <charset val="134"/>
        <scheme val="minor"/>
      </rPr>
      <t>。给人</t>
    </r>
    <r>
      <rPr>
        <b/>
        <sz val="12"/>
        <color theme="1"/>
        <rFont val="等线"/>
        <family val="3"/>
        <charset val="134"/>
        <scheme val="minor"/>
      </rPr>
      <t>聪明、机灵</t>
    </r>
    <r>
      <rPr>
        <sz val="12"/>
        <color theme="1"/>
        <rFont val="等线"/>
        <family val="3"/>
        <charset val="134"/>
        <scheme val="minor"/>
      </rPr>
      <t>的印象。</t>
    </r>
  </si>
  <si>
    <r>
      <t>聪明机智，反应敏捷，善解人意，乐于助人，心思缜密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缺乏决断力，思虑过多，易钻牛角尖，神经敏感，善变不定</t>
    </r>
    <r>
      <rPr>
        <sz val="12"/>
        <color theme="1"/>
        <rFont val="等线"/>
        <family val="3"/>
        <charset val="134"/>
        <scheme val="minor"/>
      </rPr>
      <t>。</t>
    </r>
  </si>
  <si>
    <r>
      <t>健康方面</t>
    </r>
    <r>
      <rPr>
        <sz val="12"/>
        <color theme="1"/>
        <rFont val="等线"/>
        <family val="3"/>
        <charset val="134"/>
        <scheme val="minor"/>
      </rPr>
      <t>​</t>
    </r>
  </si>
  <si>
    <r>
      <t>属木，主</t>
    </r>
    <r>
      <rPr>
        <b/>
        <sz val="12"/>
        <color theme="1"/>
        <rFont val="等线"/>
        <family val="3"/>
        <charset val="134"/>
        <scheme val="minor"/>
      </rPr>
      <t>肝胆、神经系统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神经衰弱、失眠、肝胆疾病、手足受伤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</si>
  <si>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聪明机智，善变多谋，反应敏捷，乐于助人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多变动，机会多</t>
    </r>
    <r>
      <rPr>
        <sz val="12"/>
        <color theme="1"/>
        <rFont val="等线"/>
        <family val="3"/>
        <charset val="134"/>
        <scheme val="minor"/>
      </rPr>
      <t>，适合从事</t>
    </r>
    <r>
      <rPr>
        <b/>
        <sz val="12"/>
        <color theme="1"/>
        <rFont val="等线"/>
        <family val="3"/>
        <charset val="134"/>
        <scheme val="minor"/>
      </rPr>
      <t>策划、咨询、交通、通讯、机械</t>
    </r>
    <r>
      <rPr>
        <sz val="12"/>
        <color theme="1"/>
        <rFont val="等线"/>
        <family val="3"/>
        <charset val="134"/>
        <scheme val="minor"/>
      </rPr>
      <t>等行业。但</t>
    </r>
    <r>
      <rPr>
        <b/>
        <sz val="12"/>
        <color theme="1"/>
        <rFont val="等线"/>
        <family val="3"/>
        <charset val="134"/>
        <scheme val="minor"/>
      </rPr>
      <t>缺乏决断力，思虑过多</t>
    </r>
    <r>
      <rPr>
        <sz val="12"/>
        <color theme="1"/>
        <rFont val="等线"/>
        <family val="3"/>
        <charset val="134"/>
        <scheme val="minor"/>
      </rPr>
      <t>，需搭配执行力强的星曜（如武曲、七杀）或煞星激发。若庙旺无煞，可为优秀谋士；若落陷逢煞忌，则易流于空想，多谋少成。</t>
    </r>
  </si>
  <si>
    <r>
      <t>兄弟主入兄弟，最吉</t>
    </r>
    <r>
      <rPr>
        <sz val="12"/>
        <color theme="1"/>
        <rFont val="等线"/>
        <family val="3"/>
        <charset val="134"/>
        <scheme val="minor"/>
      </rPr>
      <t>。与</t>
    </r>
    <r>
      <rPr>
        <b/>
        <sz val="12"/>
        <color theme="1"/>
        <rFont val="等线"/>
        <family val="3"/>
        <charset val="134"/>
        <scheme val="minor"/>
      </rPr>
      <t>兄弟姐妹关系密切</t>
    </r>
    <r>
      <rPr>
        <sz val="12"/>
        <color theme="1"/>
        <rFont val="等线"/>
        <family val="3"/>
        <charset val="134"/>
        <scheme val="minor"/>
      </rPr>
      <t>，易得兄弟姐妹助力。兄弟姐妹中多有聪明、善变者。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</si>
  <si>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聪明、机灵、善解人意</t>
    </r>
    <r>
      <rPr>
        <sz val="12"/>
        <color theme="1"/>
        <rFont val="等线"/>
        <family val="3"/>
        <charset val="134"/>
        <scheme val="minor"/>
      </rPr>
      <t>，但感情易有</t>
    </r>
    <r>
      <rPr>
        <b/>
        <sz val="12"/>
        <color theme="1"/>
        <rFont val="等线"/>
        <family val="3"/>
        <charset val="134"/>
        <scheme val="minor"/>
      </rPr>
      <t>变动、不稳定</t>
    </r>
    <r>
      <rPr>
        <sz val="12"/>
        <color theme="1"/>
        <rFont val="等线"/>
        <family val="3"/>
        <charset val="134"/>
        <scheme val="minor"/>
      </rPr>
      <t>，需防因思虑过多或沟通不畅产生隔阂。</t>
    </r>
    <r>
      <rPr>
        <b/>
        <sz val="12"/>
        <color theme="1"/>
        <rFont val="等线"/>
        <family val="3"/>
        <charset val="134"/>
        <scheme val="minor"/>
      </rPr>
      <t>天机坐夫妻，宜晚婚</t>
    </r>
    <r>
      <rPr>
        <sz val="12"/>
        <color theme="1"/>
        <rFont val="等线"/>
        <family val="3"/>
        <charset val="134"/>
        <scheme val="minor"/>
      </rPr>
      <t>，或配偶年龄有差距。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</si>
  <si>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聪明、活泼、好动</t>
    </r>
    <r>
      <rPr>
        <sz val="12"/>
        <color theme="1"/>
        <rFont val="等线"/>
        <family val="3"/>
        <charset val="134"/>
        <scheme val="minor"/>
      </rPr>
      <t>，有机械或艺术天赋。与子女关系融洽，但需注意子女安全（尤其是交通、手足）。</t>
    </r>
  </si>
  <si>
    <r>
      <t>求财方式多与</t>
    </r>
    <r>
      <rPr>
        <b/>
        <sz val="12"/>
        <color theme="1"/>
        <rFont val="等线"/>
        <family val="3"/>
        <charset val="134"/>
        <scheme val="minor"/>
      </rPr>
      <t>智慧、策划、变动、交通、通讯</t>
    </r>
    <r>
      <rPr>
        <sz val="12"/>
        <color theme="1"/>
        <rFont val="等线"/>
        <family val="3"/>
        <charset val="134"/>
        <scheme val="minor"/>
      </rPr>
      <t>相关。财运</t>
    </r>
    <r>
      <rPr>
        <b/>
        <sz val="12"/>
        <color theme="1"/>
        <rFont val="等线"/>
        <family val="3"/>
        <charset val="134"/>
        <scheme val="minor"/>
      </rPr>
      <t>起伏不定</t>
    </r>
    <r>
      <rPr>
        <sz val="12"/>
        <color theme="1"/>
        <rFont val="等线"/>
        <family val="3"/>
        <charset val="134"/>
        <scheme val="minor"/>
      </rPr>
      <t>，善用机会可获财，但需防因思虑过多错失良机。喜见禄存，主以智谋财。</t>
    </r>
  </si>
  <si>
    <r>
      <t>需注意</t>
    </r>
    <r>
      <rPr>
        <b/>
        <sz val="12"/>
        <color theme="1"/>
        <rFont val="等线"/>
        <family val="3"/>
        <charset val="134"/>
        <scheme val="minor"/>
      </rPr>
      <t>肝胆、神经系统、手足</t>
    </r>
    <r>
      <rPr>
        <sz val="12"/>
        <color theme="1"/>
        <rFont val="等线"/>
        <family val="3"/>
        <charset val="134"/>
        <scheme val="minor"/>
      </rPr>
      <t>问题。易有</t>
    </r>
    <r>
      <rPr>
        <b/>
        <sz val="12"/>
        <color theme="1"/>
        <rFont val="等线"/>
        <family val="3"/>
        <charset val="134"/>
        <scheme val="minor"/>
      </rPr>
      <t>神经衰弱、失眠、肝胆疾病、手足受伤或神经痛</t>
    </r>
    <r>
      <rPr>
        <sz val="12"/>
        <color theme="1"/>
        <rFont val="等线"/>
        <family val="3"/>
        <charset val="134"/>
        <scheme val="minor"/>
      </rPr>
      <t>。</t>
    </r>
  </si>
  <si>
    <r>
      <t>在外发展</t>
    </r>
    <r>
      <rPr>
        <b/>
        <sz val="12"/>
        <color theme="1"/>
        <rFont val="等线"/>
        <family val="3"/>
        <charset val="134"/>
        <scheme val="minor"/>
      </rPr>
      <t>多变动、多机会</t>
    </r>
    <r>
      <rPr>
        <sz val="12"/>
        <color theme="1"/>
        <rFont val="等线"/>
        <family val="3"/>
        <charset val="134"/>
        <scheme val="minor"/>
      </rPr>
      <t>，适合外出发展，从事需要移动、沟通的工作。外出易遇贵人，但需防交通意外。</t>
    </r>
  </si>
  <si>
    <r>
      <t>朋友、部属多</t>
    </r>
    <r>
      <rPr>
        <b/>
        <sz val="12"/>
        <color theme="1"/>
        <rFont val="等线"/>
        <family val="3"/>
        <charset val="134"/>
        <scheme val="minor"/>
      </rPr>
      <t>聪明、机灵、善变</t>
    </r>
    <r>
      <rPr>
        <sz val="12"/>
        <color theme="1"/>
        <rFont val="等线"/>
        <family val="3"/>
        <charset val="134"/>
        <scheme val="minor"/>
      </rPr>
      <t>者，但关系可能不稳定，易有变动。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</si>
  <si>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策划、咨询、教育、交通、通讯、机械、宗教、玄学</t>
    </r>
    <r>
      <rPr>
        <sz val="12"/>
        <color theme="1"/>
        <rFont val="等线"/>
        <family val="3"/>
        <charset val="134"/>
        <scheme val="minor"/>
      </rPr>
      <t>等需要智慧与变通的行业。事业上</t>
    </r>
    <r>
      <rPr>
        <b/>
        <sz val="12"/>
        <color theme="1"/>
        <rFont val="等线"/>
        <family val="3"/>
        <charset val="134"/>
        <scheme val="minor"/>
      </rPr>
      <t>多变动，不喜一成不变</t>
    </r>
    <r>
      <rPr>
        <sz val="12"/>
        <color theme="1"/>
        <rFont val="等线"/>
        <family val="3"/>
        <charset val="134"/>
        <scheme val="minor"/>
      </rPr>
      <t>，喜从事脑力工作。</t>
    </r>
  </si>
  <si>
    <r>
      <t>家宅</t>
    </r>
    <r>
      <rPr>
        <b/>
        <sz val="12"/>
        <color theme="1"/>
        <rFont val="等线"/>
        <family val="3"/>
        <charset val="134"/>
        <scheme val="minor"/>
      </rPr>
      <t>易有变动</t>
    </r>
    <r>
      <rPr>
        <sz val="12"/>
        <color theme="1"/>
        <rFont val="等线"/>
        <family val="3"/>
        <charset val="134"/>
        <scheme val="minor"/>
      </rPr>
      <t>（如搬家、装修），或家中有</t>
    </r>
    <r>
      <rPr>
        <b/>
        <sz val="12"/>
        <color theme="1"/>
        <rFont val="等线"/>
        <family val="3"/>
        <charset val="134"/>
        <scheme val="minor"/>
      </rPr>
      <t>机械、交通工具</t>
    </r>
    <r>
      <rPr>
        <sz val="12"/>
        <color theme="1"/>
        <rFont val="等线"/>
        <family val="3"/>
        <charset val="134"/>
        <scheme val="minor"/>
      </rPr>
      <t>。家庭氛围</t>
    </r>
    <r>
      <rPr>
        <b/>
        <sz val="12"/>
        <color theme="1"/>
        <rFont val="等线"/>
        <family val="3"/>
        <charset val="134"/>
        <scheme val="minor"/>
      </rPr>
      <t>活跃、多变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</si>
  <si>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思虑繁多，喜思考、谋划</t>
    </r>
    <r>
      <rPr>
        <sz val="12"/>
        <color theme="1"/>
        <rFont val="等线"/>
        <family val="3"/>
        <charset val="134"/>
        <scheme val="minor"/>
      </rPr>
      <t>，内心不安定，追求精神层面的智慧与解脱。与宗教、哲学有缘。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</si>
  <si>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聪明、开明</t>
    </r>
    <r>
      <rPr>
        <sz val="12"/>
        <color theme="1"/>
        <rFont val="等线"/>
        <family val="3"/>
        <charset val="134"/>
        <scheme val="minor"/>
      </rPr>
      <t>，教育方式灵活。与父母关系融洽，但可能聚少离多。</t>
    </r>
  </si>
  <si>
    <t>1. 增强智慧/变动/机会组合</t>
  </si>
  <si>
    <r>
      <t>天机+紫微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</si>
  <si>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帝星遇智</t>
    </r>
    <r>
      <rPr>
        <sz val="12"/>
        <color theme="1"/>
        <rFont val="等线"/>
        <family val="3"/>
        <charset val="134"/>
        <scheme val="minor"/>
      </rPr>
      <t>，智慧与权威结合，</t>
    </r>
    <r>
      <rPr>
        <b/>
        <sz val="12"/>
        <color theme="1"/>
        <rFont val="等线"/>
        <family val="3"/>
        <charset val="134"/>
        <scheme val="minor"/>
      </rPr>
      <t>善于谋划，能辅佐帝王</t>
    </r>
    <r>
      <rPr>
        <sz val="12"/>
        <color theme="1"/>
        <rFont val="等线"/>
        <family val="3"/>
        <charset val="134"/>
        <scheme val="minor"/>
      </rPr>
      <t>，适合担任</t>
    </r>
    <r>
      <rPr>
        <b/>
        <sz val="12"/>
        <color theme="1"/>
        <rFont val="等线"/>
        <family val="3"/>
        <charset val="134"/>
        <scheme val="minor"/>
      </rPr>
      <t>军师、参谋、高层智囊</t>
    </r>
    <r>
      <rPr>
        <sz val="12"/>
        <color theme="1"/>
        <rFont val="等线"/>
        <family val="3"/>
        <charset val="134"/>
        <scheme val="minor"/>
      </rPr>
      <t>。</t>
    </r>
  </si>
  <si>
    <t>企业战略顾问；政府智囊；高层管理者。</t>
  </si>
  <si>
    <r>
      <t>天机+天机</t>
    </r>
    <r>
      <rPr>
        <sz val="12"/>
        <color theme="1"/>
        <rFont val="等线"/>
        <family val="3"/>
        <charset val="134"/>
        <scheme val="minor"/>
      </rPr>
      <t>​</t>
    </r>
  </si>
  <si>
    <r>
      <t xml:space="preserve">(天机独坐) </t>
    </r>
    <r>
      <rPr>
        <b/>
        <sz val="12"/>
        <color theme="1"/>
        <rFont val="等线"/>
        <family val="3"/>
        <charset val="134"/>
        <scheme val="minor"/>
      </rPr>
      <t>智慧纯粹</t>
    </r>
    <r>
      <rPr>
        <sz val="12"/>
        <color theme="1"/>
        <rFont val="等线"/>
        <family val="3"/>
        <charset val="134"/>
        <scheme val="minor"/>
      </rPr>
      <t>，聪明、善变特质极致发挥，若庙旺无煞，可为优秀策划者；若落陷无煞激发，则易流于空想。</t>
    </r>
  </si>
  <si>
    <t>策划师；分析师；但需防思而不行。</t>
  </si>
  <si>
    <r>
      <t>天机+太阳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</si>
  <si>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日照遇智</t>
    </r>
    <r>
      <rPr>
        <sz val="12"/>
        <color theme="1"/>
        <rFont val="等线"/>
        <family val="3"/>
        <charset val="134"/>
        <scheme val="minor"/>
      </rPr>
      <t>，发散与智慧结合，</t>
    </r>
    <r>
      <rPr>
        <b/>
        <sz val="12"/>
        <color theme="1"/>
        <rFont val="等线"/>
        <family val="3"/>
        <charset val="134"/>
        <scheme val="minor"/>
      </rPr>
      <t>聪明外露，善于公开演讲、教育</t>
    </r>
    <r>
      <rPr>
        <sz val="12"/>
        <color theme="1"/>
        <rFont val="等线"/>
        <family val="3"/>
        <charset val="134"/>
        <scheme val="minor"/>
      </rPr>
      <t>，适合教育、传媒、咨询。</t>
    </r>
  </si>
  <si>
    <t>教师；媒体人；咨询顾问。</t>
  </si>
  <si>
    <r>
      <t>天机+武曲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</si>
  <si>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刚金遇智</t>
    </r>
    <r>
      <rPr>
        <sz val="12"/>
        <color theme="1"/>
        <rFont val="等线"/>
        <family val="3"/>
        <charset val="134"/>
        <scheme val="minor"/>
      </rPr>
      <t>，行动力与智慧结合，</t>
    </r>
    <r>
      <rPr>
        <b/>
        <sz val="12"/>
        <color theme="1"/>
        <rFont val="等线"/>
        <family val="3"/>
        <charset val="134"/>
        <scheme val="minor"/>
      </rPr>
      <t>智勇双全</t>
    </r>
    <r>
      <rPr>
        <sz val="12"/>
        <color theme="1"/>
        <rFont val="等线"/>
        <family val="3"/>
        <charset val="134"/>
        <scheme val="minor"/>
      </rPr>
      <t>，适合金融分析、技术研发、策划执行。</t>
    </r>
  </si>
  <si>
    <r>
      <t>天机+天同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</si>
  <si>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福星遇智</t>
    </r>
    <r>
      <rPr>
        <sz val="12"/>
        <color theme="1"/>
        <rFont val="等线"/>
        <family val="3"/>
        <charset val="134"/>
        <scheme val="minor"/>
      </rPr>
      <t>，温和与智慧结合，</t>
    </r>
    <r>
      <rPr>
        <b/>
        <sz val="12"/>
        <color theme="1"/>
        <rFont val="等线"/>
        <family val="3"/>
        <charset val="134"/>
        <scheme val="minor"/>
      </rPr>
      <t>机月同梁格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智慧与福气兼备</t>
    </r>
    <r>
      <rPr>
        <sz val="12"/>
        <color theme="1"/>
        <rFont val="等线"/>
        <family val="3"/>
        <charset val="134"/>
        <scheme val="minor"/>
      </rPr>
      <t>，适合文化、教育、咨询，生活安逸。</t>
    </r>
  </si>
  <si>
    <t>教师；心理咨询师；文化工作者。</t>
  </si>
  <si>
    <r>
      <t>天机+廉贞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</si>
  <si>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囚星遇智</t>
    </r>
    <r>
      <rPr>
        <sz val="12"/>
        <color theme="1"/>
        <rFont val="等线"/>
        <family val="3"/>
        <charset val="134"/>
        <scheme val="minor"/>
      </rPr>
      <t>，感情与智慧结合，</t>
    </r>
    <r>
      <rPr>
        <b/>
        <sz val="12"/>
        <color theme="1"/>
        <rFont val="等线"/>
        <family val="3"/>
        <charset val="134"/>
        <scheme val="minor"/>
      </rPr>
      <t>心思缜密，但易钻牛角尖</t>
    </r>
    <r>
      <rPr>
        <sz val="12"/>
        <color theme="1"/>
        <rFont val="等线"/>
        <family val="3"/>
        <charset val="134"/>
        <scheme val="minor"/>
      </rPr>
      <t>，适合精密计算、法律、审计。</t>
    </r>
  </si>
  <si>
    <t>精算师；律师；审计师。</t>
  </si>
  <si>
    <r>
      <t>天机+天府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</si>
  <si>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库星遇智</t>
    </r>
    <r>
      <rPr>
        <sz val="12"/>
        <color theme="1"/>
        <rFont val="等线"/>
        <family val="3"/>
        <charset val="134"/>
        <scheme val="minor"/>
      </rPr>
      <t>，稳重与智慧结合，</t>
    </r>
    <r>
      <rPr>
        <b/>
        <sz val="12"/>
        <color theme="1"/>
        <rFont val="等线"/>
        <family val="3"/>
        <charset val="134"/>
        <scheme val="minor"/>
      </rPr>
      <t>谋定而后动</t>
    </r>
    <r>
      <rPr>
        <sz val="12"/>
        <color theme="1"/>
        <rFont val="等线"/>
        <family val="3"/>
        <charset val="134"/>
        <scheme val="minor"/>
      </rPr>
      <t>，善于制定稳健计划，适合金融规划、企业管理。</t>
    </r>
  </si>
  <si>
    <t>企业战略规划师；银行家。</t>
  </si>
  <si>
    <r>
      <t>天机+太阴</t>
    </r>
    <r>
      <rPr>
        <sz val="12"/>
        <color theme="1"/>
        <rFont val="等线"/>
        <family val="3"/>
        <charset val="134"/>
        <scheme val="minor"/>
      </rPr>
      <t>​</t>
    </r>
  </si>
  <si>
    <r>
      <t>阴水遇智</t>
    </r>
    <r>
      <rPr>
        <sz val="12"/>
        <color theme="1"/>
        <rFont val="等线"/>
        <family val="3"/>
        <charset val="134"/>
        <scheme val="minor"/>
      </rPr>
      <t>（寅、申宫同度），</t>
    </r>
    <r>
      <rPr>
        <b/>
        <sz val="12"/>
        <color theme="1"/>
        <rFont val="等线"/>
        <family val="3"/>
        <charset val="134"/>
        <scheme val="minor"/>
      </rPr>
      <t>“机月同梁”格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智慧与内敛结合</t>
    </r>
    <r>
      <rPr>
        <sz val="12"/>
        <color theme="1"/>
        <rFont val="等线"/>
        <family val="3"/>
        <charset val="134"/>
        <scheme val="minor"/>
      </rPr>
      <t>，适合策划、文艺、玄学，但思虑过多易情绪化。</t>
    </r>
  </si>
  <si>
    <t>策划师；作家；玄学研究者。</t>
  </si>
  <si>
    <r>
      <t>天机+贪狼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</si>
  <si>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欲星遇智</t>
    </r>
    <r>
      <rPr>
        <sz val="12"/>
        <color theme="1"/>
        <rFont val="等线"/>
        <family val="3"/>
        <charset val="134"/>
        <scheme val="minor"/>
      </rPr>
      <t>，欲望与智慧结合，</t>
    </r>
    <r>
      <rPr>
        <b/>
        <sz val="12"/>
        <color theme="1"/>
        <rFont val="等线"/>
        <family val="3"/>
        <charset val="134"/>
        <scheme val="minor"/>
      </rPr>
      <t>聪明用于投机、交际</t>
    </r>
    <r>
      <rPr>
        <sz val="12"/>
        <color theme="1"/>
        <rFont val="等线"/>
        <family val="3"/>
        <charset val="134"/>
        <scheme val="minor"/>
      </rPr>
      <t>，适合投机、中介、娱乐策划，但需防聪明反被聪明误。</t>
    </r>
  </si>
  <si>
    <t>投机客；中介；娱乐策划。</t>
  </si>
  <si>
    <r>
      <t>天机+巨门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</si>
  <si>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暗星遇智</t>
    </r>
    <r>
      <rPr>
        <sz val="12"/>
        <color theme="1"/>
        <rFont val="等线"/>
        <family val="3"/>
        <charset val="134"/>
        <scheme val="minor"/>
      </rPr>
      <t>（卯、酉宫同度），</t>
    </r>
    <r>
      <rPr>
        <b/>
        <sz val="12"/>
        <color theme="1"/>
        <rFont val="等线"/>
        <family val="3"/>
        <charset val="134"/>
        <scheme val="minor"/>
      </rPr>
      <t>口舌与智慧结合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善于言辞、辩论、研究</t>
    </r>
    <r>
      <rPr>
        <sz val="12"/>
        <color theme="1"/>
        <rFont val="等线"/>
        <family val="3"/>
        <charset val="134"/>
        <scheme val="minor"/>
      </rPr>
      <t>，适合法律、教育、研究，但易惹口舌是非。</t>
    </r>
  </si>
  <si>
    <t>律师；教师；研究员；但需防口舌。</t>
  </si>
  <si>
    <r>
      <t>天机+天相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</si>
  <si>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印星遇智</t>
    </r>
    <r>
      <rPr>
        <sz val="12"/>
        <color theme="1"/>
        <rFont val="等线"/>
        <family val="3"/>
        <charset val="134"/>
        <scheme val="minor"/>
      </rPr>
      <t>，形象与智慧结合，</t>
    </r>
    <r>
      <rPr>
        <b/>
        <sz val="12"/>
        <color theme="1"/>
        <rFont val="等线"/>
        <family val="3"/>
        <charset val="134"/>
        <scheme val="minor"/>
      </rPr>
      <t>善于策划且注重形象</t>
    </r>
    <r>
      <rPr>
        <sz val="12"/>
        <color theme="1"/>
        <rFont val="等线"/>
        <family val="3"/>
        <charset val="134"/>
        <scheme val="minor"/>
      </rPr>
      <t>，适合公关、策划、管理。</t>
    </r>
  </si>
  <si>
    <t>公关经理；策划总监；管理者。</t>
  </si>
  <si>
    <r>
      <t>天机+天梁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</si>
  <si>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荫星遇智</t>
    </r>
    <r>
      <rPr>
        <sz val="12"/>
        <color theme="1"/>
        <rFont val="等线"/>
        <family val="3"/>
        <charset val="134"/>
        <scheme val="minor"/>
      </rPr>
      <t>（辰、戌宫同度），</t>
    </r>
    <r>
      <rPr>
        <b/>
        <sz val="12"/>
        <color theme="1"/>
        <rFont val="等线"/>
        <family val="3"/>
        <charset val="134"/>
        <scheme val="minor"/>
      </rPr>
      <t>“机月同梁”格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智慧与荫庇结合</t>
    </r>
    <r>
      <rPr>
        <sz val="12"/>
        <color theme="1"/>
        <rFont val="等线"/>
        <family val="3"/>
        <charset val="134"/>
        <scheme val="minor"/>
      </rPr>
      <t>，适合教育、医疗、慈善、宗教，能得长辈提携。</t>
    </r>
  </si>
  <si>
    <t>教师；医生；慈善工作者；宗教人士。</t>
  </si>
  <si>
    <r>
      <t>天机+七杀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</si>
  <si>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杀星遇智</t>
    </r>
    <r>
      <rPr>
        <sz val="12"/>
        <color theme="1"/>
        <rFont val="等线"/>
        <family val="3"/>
        <charset val="134"/>
        <scheme val="minor"/>
      </rPr>
      <t>，变动与智慧结合，</t>
    </r>
    <r>
      <rPr>
        <b/>
        <sz val="12"/>
        <color theme="1"/>
        <rFont val="等线"/>
        <family val="3"/>
        <charset val="134"/>
        <scheme val="minor"/>
      </rPr>
      <t>智勇双全，但人生波动大</t>
    </r>
    <r>
      <rPr>
        <sz val="12"/>
        <color theme="1"/>
        <rFont val="等线"/>
        <family val="3"/>
        <charset val="134"/>
        <scheme val="minor"/>
      </rPr>
      <t>，适合军警、侦查、风险投资。</t>
    </r>
  </si>
  <si>
    <t>军师；侦查员；风险投资家。</t>
  </si>
  <si>
    <r>
      <t>天机+破军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</si>
  <si>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耗星遇智</t>
    </r>
    <r>
      <rPr>
        <sz val="12"/>
        <color theme="1"/>
        <rFont val="等线"/>
        <family val="3"/>
        <charset val="134"/>
        <scheme val="minor"/>
      </rPr>
      <t>，破旧立新与智慧结合，</t>
    </r>
    <r>
      <rPr>
        <b/>
        <sz val="12"/>
        <color theme="1"/>
        <rFont val="等线"/>
        <family val="3"/>
        <charset val="134"/>
        <scheme val="minor"/>
      </rPr>
      <t>善于改革、创新</t>
    </r>
    <r>
      <rPr>
        <sz val="12"/>
        <color theme="1"/>
        <rFont val="等线"/>
        <family val="3"/>
        <charset val="134"/>
        <scheme val="minor"/>
      </rPr>
      <t>，但变动剧烈，需防计划赶不上变化。</t>
    </r>
  </si>
  <si>
    <t>改革者；创新者；但变动极大。</t>
  </si>
  <si>
    <r>
      <t>天机+左辅/右弼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</si>
  <si>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智星得助</t>
    </r>
    <r>
      <rPr>
        <sz val="12"/>
        <color theme="1"/>
        <rFont val="等线"/>
        <family val="3"/>
        <charset val="134"/>
        <scheme val="minor"/>
      </rPr>
      <t>，智慧得同辈、晚辈助力，</t>
    </r>
    <r>
      <rPr>
        <b/>
        <sz val="12"/>
        <color theme="1"/>
        <rFont val="等线"/>
        <family val="3"/>
        <charset val="134"/>
        <scheme val="minor"/>
      </rPr>
      <t>谋划更周全，执行力增强</t>
    </r>
    <r>
      <rPr>
        <sz val="12"/>
        <color theme="1"/>
        <rFont val="等线"/>
        <family val="3"/>
        <charset val="134"/>
        <scheme val="minor"/>
      </rPr>
      <t>，利于合作。</t>
    </r>
  </si>
  <si>
    <r>
      <t>天机+文昌/文曲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</si>
  <si>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智星遇文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文艺才华、学术能力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聪明且具文采</t>
    </r>
    <r>
      <rPr>
        <sz val="12"/>
        <color theme="1"/>
        <rFont val="等线"/>
        <family val="3"/>
        <charset val="134"/>
        <scheme val="minor"/>
      </rPr>
      <t>，适合学术、文艺、策划。</t>
    </r>
  </si>
  <si>
    <r>
      <t>天机+天魁/天钺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</si>
  <si>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智星遇贵</t>
    </r>
    <r>
      <rPr>
        <sz val="12"/>
        <color theme="1"/>
        <rFont val="等线"/>
        <family val="3"/>
        <charset val="134"/>
        <scheme val="minor"/>
      </rPr>
      <t>，智慧得贵人赏识提携，</t>
    </r>
    <r>
      <rPr>
        <b/>
        <sz val="12"/>
        <color theme="1"/>
        <rFont val="等线"/>
        <family val="3"/>
        <charset val="134"/>
        <scheme val="minor"/>
      </rPr>
      <t>机会更多，逢凶化吉</t>
    </r>
    <r>
      <rPr>
        <sz val="12"/>
        <color theme="1"/>
        <rFont val="等线"/>
        <family val="3"/>
        <charset val="134"/>
        <scheme val="minor"/>
      </rPr>
      <t>。</t>
    </r>
  </si>
  <si>
    <r>
      <t>天机+禄存</t>
    </r>
    <r>
      <rPr>
        <sz val="12"/>
        <color theme="1"/>
        <rFont val="等线"/>
        <family val="3"/>
        <charset val="134"/>
        <scheme val="minor"/>
      </rPr>
      <t>​</t>
    </r>
  </si>
  <si>
    <r>
      <t>智星带禄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智慧生财</t>
    </r>
    <r>
      <rPr>
        <sz val="12"/>
        <color theme="1"/>
        <rFont val="等线"/>
        <family val="3"/>
        <charset val="134"/>
        <scheme val="minor"/>
      </rPr>
      <t>，善用智谋获利，适合策划、咨询求财。</t>
    </r>
  </si>
  <si>
    <r>
      <t>天机+天马</t>
    </r>
    <r>
      <rPr>
        <sz val="12"/>
        <color theme="1"/>
        <rFont val="等线"/>
        <family val="3"/>
        <charset val="134"/>
        <scheme val="minor"/>
      </rPr>
      <t>​</t>
    </r>
  </si>
  <si>
    <r>
      <t>智星奔驰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“禄马交驰”格</t>
    </r>
    <r>
      <rPr>
        <sz val="12"/>
        <color theme="1"/>
        <rFont val="等线"/>
        <family val="3"/>
        <charset val="134"/>
        <scheme val="minor"/>
      </rPr>
      <t>，智慧在变动、奔波中发挥，适合外贸、交通、旅游等需要移动的行业。</t>
    </r>
  </si>
  <si>
    <r>
      <t>天机+火星</t>
    </r>
    <r>
      <rPr>
        <sz val="12"/>
        <color theme="1"/>
        <rFont val="等线"/>
        <family val="3"/>
        <charset val="134"/>
        <scheme val="minor"/>
      </rPr>
      <t>​</t>
    </r>
  </si>
  <si>
    <r>
      <t>智星逢火</t>
    </r>
    <r>
      <rPr>
        <sz val="12"/>
        <color theme="1"/>
        <rFont val="等线"/>
        <family val="3"/>
        <charset val="134"/>
        <scheme val="minor"/>
      </rPr>
      <t>，智慧变得急躁、冲动，</t>
    </r>
    <r>
      <rPr>
        <b/>
        <sz val="12"/>
        <color theme="1"/>
        <rFont val="等线"/>
        <family val="3"/>
        <charset val="134"/>
        <scheme val="minor"/>
      </rPr>
      <t>思虑不周，易有突发变故</t>
    </r>
    <r>
      <rPr>
        <sz val="12"/>
        <color theme="1"/>
        <rFont val="等线"/>
        <family val="3"/>
        <charset val="134"/>
        <scheme val="minor"/>
      </rPr>
      <t>，需防冲动决策。</t>
    </r>
  </si>
  <si>
    <r>
      <t>天机+铃星</t>
    </r>
    <r>
      <rPr>
        <sz val="12"/>
        <color theme="1"/>
        <rFont val="等线"/>
        <family val="3"/>
        <charset val="134"/>
        <scheme val="minor"/>
      </rPr>
      <t>​</t>
    </r>
  </si>
  <si>
    <r>
      <t>智星逢铃</t>
    </r>
    <r>
      <rPr>
        <sz val="12"/>
        <color theme="1"/>
        <rFont val="等线"/>
        <family val="3"/>
        <charset val="134"/>
        <scheme val="minor"/>
      </rPr>
      <t>，智慧伴随煎熬、隐忧，</t>
    </r>
    <r>
      <rPr>
        <b/>
        <sz val="12"/>
        <color theme="1"/>
        <rFont val="等线"/>
        <family val="3"/>
        <charset val="134"/>
        <scheme val="minor"/>
      </rPr>
      <t>思虑过多，易钻牛角尖</t>
    </r>
    <r>
      <rPr>
        <sz val="12"/>
        <color theme="1"/>
        <rFont val="等线"/>
        <family val="3"/>
        <charset val="134"/>
        <scheme val="minor"/>
      </rPr>
      <t>，需防神经衰弱。</t>
    </r>
  </si>
  <si>
    <r>
      <t>天机+擎羊</t>
    </r>
    <r>
      <rPr>
        <sz val="12"/>
        <color theme="1"/>
        <rFont val="等线"/>
        <family val="3"/>
        <charset val="134"/>
        <scheme val="minor"/>
      </rPr>
      <t>​</t>
    </r>
  </si>
  <si>
    <r>
      <t>智星逢羊</t>
    </r>
    <r>
      <rPr>
        <sz val="12"/>
        <color theme="1"/>
        <rFont val="等线"/>
        <family val="3"/>
        <charset val="134"/>
        <scheme val="minor"/>
      </rPr>
      <t>，智慧伴随竞争、伤害，</t>
    </r>
    <r>
      <rPr>
        <b/>
        <sz val="12"/>
        <color theme="1"/>
        <rFont val="等线"/>
        <family val="3"/>
        <charset val="134"/>
        <scheme val="minor"/>
      </rPr>
      <t>思虑带攻击性</t>
    </r>
    <r>
      <rPr>
        <sz val="12"/>
        <color theme="1"/>
        <rFont val="等线"/>
        <family val="3"/>
        <charset val="134"/>
        <scheme val="minor"/>
      </rPr>
      <t>，易因谋划与人冲突。</t>
    </r>
  </si>
  <si>
    <r>
      <t>天机+陀罗</t>
    </r>
    <r>
      <rPr>
        <sz val="12"/>
        <color theme="1"/>
        <rFont val="等线"/>
        <family val="3"/>
        <charset val="134"/>
        <scheme val="minor"/>
      </rPr>
      <t>​</t>
    </r>
  </si>
  <si>
    <r>
      <t>智星逢陀</t>
    </r>
    <r>
      <rPr>
        <sz val="12"/>
        <color theme="1"/>
        <rFont val="等线"/>
        <family val="3"/>
        <charset val="134"/>
        <scheme val="minor"/>
      </rPr>
      <t>，智慧受拖延、反复阻碍，</t>
    </r>
    <r>
      <rPr>
        <b/>
        <sz val="12"/>
        <color theme="1"/>
        <rFont val="等线"/>
        <family val="3"/>
        <charset val="134"/>
        <scheme val="minor"/>
      </rPr>
      <t>思虑反复，优柔寡断</t>
    </r>
    <r>
      <rPr>
        <sz val="12"/>
        <color theme="1"/>
        <rFont val="等线"/>
        <family val="3"/>
        <charset val="134"/>
        <scheme val="minor"/>
      </rPr>
      <t>，计划难执行。</t>
    </r>
  </si>
  <si>
    <r>
      <t>天机+地空</t>
    </r>
    <r>
      <rPr>
        <sz val="12"/>
        <color theme="1"/>
        <rFont val="等线"/>
        <family val="3"/>
        <charset val="134"/>
        <scheme val="minor"/>
      </rPr>
      <t>​</t>
    </r>
  </si>
  <si>
    <r>
      <t>智星逢空</t>
    </r>
    <r>
      <rPr>
        <sz val="12"/>
        <color theme="1"/>
        <rFont val="等线"/>
        <family val="3"/>
        <charset val="134"/>
        <scheme val="minor"/>
      </rPr>
      <t>，智慧落空，</t>
    </r>
    <r>
      <rPr>
        <b/>
        <sz val="12"/>
        <color theme="1"/>
        <rFont val="等线"/>
        <family val="3"/>
        <charset val="134"/>
        <scheme val="minor"/>
      </rPr>
      <t>理想化的计划难以落实</t>
    </r>
    <r>
      <rPr>
        <sz val="12"/>
        <color theme="1"/>
        <rFont val="等线"/>
        <family val="3"/>
        <charset val="134"/>
        <scheme val="minor"/>
      </rPr>
      <t>，易有空想。</t>
    </r>
  </si>
  <si>
    <r>
      <t>天机+地劫</t>
    </r>
    <r>
      <rPr>
        <sz val="12"/>
        <color theme="1"/>
        <rFont val="等线"/>
        <family val="3"/>
        <charset val="134"/>
        <scheme val="minor"/>
      </rPr>
      <t>​</t>
    </r>
  </si>
  <si>
    <r>
      <t>智星逢劫</t>
    </r>
    <r>
      <rPr>
        <sz val="12"/>
        <color theme="1"/>
        <rFont val="等线"/>
        <family val="3"/>
        <charset val="134"/>
        <scheme val="minor"/>
      </rPr>
      <t>，智慧遭破耗，</t>
    </r>
    <r>
      <rPr>
        <b/>
        <sz val="12"/>
        <color theme="1"/>
        <rFont val="等线"/>
        <family val="3"/>
        <charset val="134"/>
        <scheme val="minor"/>
      </rPr>
      <t>计划易有意外变故</t>
    </r>
    <r>
      <rPr>
        <sz val="12"/>
        <color theme="1"/>
        <rFont val="等线"/>
        <family val="3"/>
        <charset val="134"/>
        <scheme val="minor"/>
      </rPr>
      <t>，需灵活应对。</t>
    </r>
  </si>
  <si>
    <r>
      <t>天机+化禄</t>
    </r>
    <r>
      <rPr>
        <sz val="12"/>
        <color theme="1"/>
        <rFont val="等线"/>
        <family val="3"/>
        <charset val="134"/>
        <scheme val="minor"/>
      </rPr>
      <t>​</t>
    </r>
  </si>
  <si>
    <r>
      <t>智星化禄</t>
    </r>
    <r>
      <rPr>
        <sz val="12"/>
        <color theme="1"/>
        <rFont val="等线"/>
        <family val="3"/>
        <charset val="134"/>
        <scheme val="minor"/>
      </rPr>
      <t>（乙年生人），</t>
    </r>
    <r>
      <rPr>
        <b/>
        <sz val="12"/>
        <color theme="1"/>
        <rFont val="等线"/>
        <family val="3"/>
        <charset val="134"/>
        <scheme val="minor"/>
      </rPr>
      <t>智慧生财</t>
    </r>
    <r>
      <rPr>
        <sz val="12"/>
        <color theme="1"/>
        <rFont val="等线"/>
        <family val="3"/>
        <charset val="134"/>
        <scheme val="minor"/>
      </rPr>
      <t>，善用智谋获利，机会多，财运佳。</t>
    </r>
  </si>
  <si>
    <r>
      <t>天机+化权</t>
    </r>
    <r>
      <rPr>
        <sz val="12"/>
        <color theme="1"/>
        <rFont val="等线"/>
        <family val="3"/>
        <charset val="134"/>
        <scheme val="minor"/>
      </rPr>
      <t>​</t>
    </r>
  </si>
  <si>
    <r>
      <t>智星化权</t>
    </r>
    <r>
      <rPr>
        <sz val="12"/>
        <color theme="1"/>
        <rFont val="等线"/>
        <family val="3"/>
        <charset val="134"/>
        <scheme val="minor"/>
      </rPr>
      <t>（戊年生人），</t>
    </r>
    <r>
      <rPr>
        <b/>
        <sz val="12"/>
        <color theme="1"/>
        <rFont val="等线"/>
        <family val="3"/>
        <charset val="134"/>
        <scheme val="minor"/>
      </rPr>
      <t>智慧掌权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谋划能力增强，决断力提升</t>
    </r>
    <r>
      <rPr>
        <sz val="12"/>
        <color theme="1"/>
        <rFont val="等线"/>
        <family val="3"/>
        <charset val="134"/>
        <scheme val="minor"/>
      </rPr>
      <t>，适合管理、决策。</t>
    </r>
  </si>
  <si>
    <r>
      <t>天机+化科</t>
    </r>
    <r>
      <rPr>
        <sz val="12"/>
        <color theme="1"/>
        <rFont val="等线"/>
        <family val="3"/>
        <charset val="134"/>
        <scheme val="minor"/>
      </rPr>
      <t>​</t>
    </r>
  </si>
  <si>
    <r>
      <t>智星化科</t>
    </r>
    <r>
      <rPr>
        <sz val="12"/>
        <color theme="1"/>
        <rFont val="等线"/>
        <family val="3"/>
        <charset val="134"/>
        <scheme val="minor"/>
      </rPr>
      <t>（己年生人），增添</t>
    </r>
    <r>
      <rPr>
        <b/>
        <sz val="12"/>
        <color theme="1"/>
        <rFont val="等线"/>
        <family val="3"/>
        <charset val="134"/>
        <scheme val="minor"/>
      </rPr>
      <t>学术声誉、文艺才华</t>
    </r>
    <r>
      <rPr>
        <sz val="12"/>
        <color theme="1"/>
        <rFont val="等线"/>
        <family val="3"/>
        <charset val="134"/>
        <scheme val="minor"/>
      </rPr>
      <t>，智慧带来名声，适合学术、文艺。</t>
    </r>
  </si>
  <si>
    <r>
      <t>天机+化忌</t>
    </r>
    <r>
      <rPr>
        <sz val="12"/>
        <color theme="1"/>
        <rFont val="等线"/>
        <family val="3"/>
        <charset val="134"/>
        <scheme val="minor"/>
      </rPr>
      <t>​</t>
    </r>
  </si>
  <si>
    <r>
      <t>智星化忌</t>
    </r>
    <r>
      <rPr>
        <sz val="12"/>
        <color theme="1"/>
        <rFont val="等线"/>
        <family val="3"/>
        <charset val="134"/>
        <scheme val="minor"/>
      </rPr>
      <t>（庚年生人），</t>
    </r>
    <r>
      <rPr>
        <b/>
        <sz val="12"/>
        <color theme="1"/>
        <rFont val="等线"/>
        <family val="3"/>
        <charset val="134"/>
        <scheme val="minor"/>
      </rPr>
      <t>智慧受阻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思虑过多，钻牛角尖，计划失误，机会错失</t>
    </r>
    <r>
      <rPr>
        <sz val="12"/>
        <color theme="1"/>
        <rFont val="等线"/>
        <family val="3"/>
        <charset val="134"/>
        <scheme val="minor"/>
      </rPr>
      <t>，需防神经衰弱、交通意外。</t>
    </r>
  </si>
  <si>
    <r>
      <t>1. “天机”与“太阴”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天机星属阴木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善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智慧、谋略、变动、手足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太阴星属阴水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富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内敛、计划、储蓄、母亲</t>
    </r>
    <r>
      <rPr>
        <sz val="11"/>
        <color theme="1"/>
        <rFont val="等线"/>
        <family val="2"/>
        <charset val="134"/>
        <scheme val="minor"/>
      </rPr>
      <t>。二者在“</t>
    </r>
    <r>
      <rPr>
        <b/>
        <sz val="11"/>
        <color theme="1"/>
        <rFont val="等线"/>
        <family val="3"/>
        <charset val="134"/>
        <scheme val="minor"/>
      </rPr>
      <t>机月同梁</t>
    </r>
    <r>
      <rPr>
        <sz val="11"/>
        <color theme="1"/>
        <rFont val="等线"/>
        <family val="2"/>
        <charset val="134"/>
        <scheme val="minor"/>
      </rPr>
      <t>”格中密切配合，天机主</t>
    </r>
    <r>
      <rPr>
        <b/>
        <sz val="11"/>
        <color theme="1"/>
        <rFont val="等线"/>
        <family val="3"/>
        <charset val="134"/>
        <scheme val="minor"/>
      </rPr>
      <t>谋划</t>
    </r>
    <r>
      <rPr>
        <sz val="11"/>
        <color theme="1"/>
        <rFont val="等线"/>
        <family val="2"/>
        <charset val="134"/>
        <scheme val="minor"/>
      </rPr>
      <t>，太阴主</t>
    </r>
    <r>
      <rPr>
        <b/>
        <sz val="11"/>
        <color theme="1"/>
        <rFont val="等线"/>
        <family val="3"/>
        <charset val="134"/>
        <scheme val="minor"/>
      </rPr>
      <t>执行与储蓄</t>
    </r>
    <r>
      <rPr>
        <sz val="11"/>
        <color theme="1"/>
        <rFont val="等线"/>
        <family val="2"/>
        <charset val="134"/>
        <scheme val="minor"/>
      </rPr>
      <t>。</t>
    </r>
  </si>
  <si>
    <r>
      <t>2. “兄弟主”</t>
    </r>
    <r>
      <rPr>
        <sz val="11"/>
        <color theme="1"/>
        <rFont val="等线"/>
        <family val="2"/>
        <charset val="134"/>
        <scheme val="minor"/>
      </rPr>
      <t>：天机为</t>
    </r>
    <r>
      <rPr>
        <b/>
        <sz val="11"/>
        <color theme="1"/>
        <rFont val="等线"/>
        <family val="3"/>
        <charset val="134"/>
        <scheme val="minor"/>
      </rPr>
      <t>兄弟主</t>
    </r>
    <r>
      <rPr>
        <sz val="11"/>
        <color theme="1"/>
        <rFont val="等线"/>
        <family val="2"/>
        <charset val="134"/>
        <scheme val="minor"/>
      </rPr>
      <t>，不仅指</t>
    </r>
    <r>
      <rPr>
        <b/>
        <sz val="11"/>
        <color theme="1"/>
        <rFont val="等线"/>
        <family val="3"/>
        <charset val="134"/>
        <scheme val="minor"/>
      </rPr>
      <t>兄弟姐妹</t>
    </r>
    <r>
      <rPr>
        <sz val="11"/>
        <color theme="1"/>
        <rFont val="等线"/>
        <family val="2"/>
        <charset val="134"/>
        <scheme val="minor"/>
      </rPr>
      <t>，也泛指</t>
    </r>
    <r>
      <rPr>
        <b/>
        <sz val="11"/>
        <color theme="1"/>
        <rFont val="等线"/>
        <family val="3"/>
        <charset val="134"/>
        <scheme val="minor"/>
      </rPr>
      <t>同辈、朋友、合作伙伴</t>
    </r>
    <r>
      <rPr>
        <sz val="11"/>
        <color theme="1"/>
        <rFont val="等线"/>
        <family val="2"/>
        <charset val="134"/>
        <scheme val="minor"/>
      </rPr>
      <t>。天机坐命或兄弟宫，主与同辈关系密切，易得同辈助力。</t>
    </r>
  </si>
  <si>
    <r>
      <t>3. “变动”的本质</t>
    </r>
    <r>
      <rPr>
        <sz val="11"/>
        <color theme="1"/>
        <rFont val="等线"/>
        <family val="2"/>
        <charset val="134"/>
        <scheme val="minor"/>
      </rPr>
      <t>：天机主</t>
    </r>
    <r>
      <rPr>
        <b/>
        <sz val="11"/>
        <color theme="1"/>
        <rFont val="等线"/>
        <family val="3"/>
        <charset val="134"/>
        <scheme val="minor"/>
      </rPr>
      <t>变动</t>
    </r>
    <r>
      <rPr>
        <sz val="11"/>
        <color theme="1"/>
        <rFont val="等线"/>
        <family val="2"/>
        <charset val="134"/>
        <scheme val="minor"/>
      </rPr>
      <t>，包括</t>
    </r>
    <r>
      <rPr>
        <b/>
        <sz val="11"/>
        <color theme="1"/>
        <rFont val="等线"/>
        <family val="3"/>
        <charset val="134"/>
        <scheme val="minor"/>
      </rPr>
      <t>居住地、工作、思想、机会</t>
    </r>
    <r>
      <rPr>
        <sz val="11"/>
        <color theme="1"/>
        <rFont val="等线"/>
        <family val="2"/>
        <charset val="134"/>
        <scheme val="minor"/>
      </rPr>
      <t>的变动。在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为性格善变、思维活跃；在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为计划、变动、机会捕捉；在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为机械、交通工具等动态之物。</t>
    </r>
  </si>
  <si>
    <r>
      <t>4. “智慧”与“谋略”</t>
    </r>
    <r>
      <rPr>
        <sz val="11"/>
        <color theme="1"/>
        <rFont val="等线"/>
        <family val="2"/>
        <charset val="134"/>
        <scheme val="minor"/>
      </rPr>
      <t>：天机是</t>
    </r>
    <r>
      <rPr>
        <b/>
        <sz val="11"/>
        <color theme="1"/>
        <rFont val="等线"/>
        <family val="3"/>
        <charset val="134"/>
        <scheme val="minor"/>
      </rPr>
      <t>军师型</t>
    </r>
    <r>
      <rPr>
        <sz val="11"/>
        <color theme="1"/>
        <rFont val="等线"/>
        <family val="2"/>
        <charset val="134"/>
        <scheme val="minor"/>
      </rPr>
      <t>主星，善于</t>
    </r>
    <r>
      <rPr>
        <b/>
        <sz val="11"/>
        <color theme="1"/>
        <rFont val="等线"/>
        <family val="3"/>
        <charset val="134"/>
        <scheme val="minor"/>
      </rPr>
      <t>分析、规划、出谋划策</t>
    </r>
    <r>
      <rPr>
        <sz val="11"/>
        <color theme="1"/>
        <rFont val="等线"/>
        <family val="2"/>
        <charset val="134"/>
        <scheme val="minor"/>
      </rPr>
      <t>，但</t>
    </r>
    <r>
      <rPr>
        <b/>
        <sz val="11"/>
        <color theme="1"/>
        <rFont val="等线"/>
        <family val="3"/>
        <charset val="134"/>
        <scheme val="minor"/>
      </rPr>
      <t>缺乏执行力</t>
    </r>
    <r>
      <rPr>
        <sz val="11"/>
        <color theme="1"/>
        <rFont val="等线"/>
        <family val="2"/>
        <charset val="134"/>
        <scheme val="minor"/>
      </rPr>
      <t>，需搭配武曲、七杀等行动星，或煞星激发，方能将智慧转化为行动。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</si>
  <si>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：天机星所在宫位，指示在人生的哪个领域需要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智慧、谋划、应变</t>
    </r>
    <r>
      <rPr>
        <sz val="11"/>
        <color theme="1"/>
        <rFont val="等线"/>
        <family val="2"/>
        <charset val="134"/>
        <scheme val="minor"/>
      </rPr>
      <t>，也指示该领域易有</t>
    </r>
    <r>
      <rPr>
        <b/>
        <sz val="11"/>
        <color theme="1"/>
        <rFont val="等线"/>
        <family val="3"/>
        <charset val="134"/>
        <scheme val="minor"/>
      </rPr>
      <t>变动、机会</t>
    </r>
    <r>
      <rPr>
        <sz val="11"/>
        <color theme="1"/>
        <rFont val="等线"/>
        <family val="2"/>
        <charset val="134"/>
        <scheme val="minor"/>
      </rPr>
      <t>，或与</t>
    </r>
    <r>
      <rPr>
        <b/>
        <sz val="11"/>
        <color theme="1"/>
        <rFont val="等线"/>
        <family val="3"/>
        <charset val="134"/>
        <scheme val="minor"/>
      </rPr>
      <t>手足、机械、交通</t>
    </r>
    <r>
      <rPr>
        <sz val="11"/>
        <color theme="1"/>
        <rFont val="等线"/>
        <family val="2"/>
        <charset val="134"/>
        <scheme val="minor"/>
      </rPr>
      <t>相关。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</si>
  <si>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智慧生财</t>
    </r>
    <r>
      <rPr>
        <sz val="11"/>
        <color theme="1"/>
        <rFont val="等线"/>
        <family val="2"/>
        <charset val="134"/>
        <scheme val="minor"/>
      </rPr>
      <t>，机会多，善用智谋获利。见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智慧掌权</t>
    </r>
    <r>
      <rPr>
        <sz val="11"/>
        <color theme="1"/>
        <rFont val="等线"/>
        <family val="2"/>
        <charset val="134"/>
        <scheme val="minor"/>
      </rPr>
      <t>，谋划能力与决断力增强。见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智慧显名</t>
    </r>
    <r>
      <rPr>
        <sz val="11"/>
        <color theme="1"/>
        <rFont val="等线"/>
        <family val="2"/>
        <charset val="134"/>
        <scheme val="minor"/>
      </rPr>
      <t>，增添学术声誉与文艺才华。见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智慧受阻</t>
    </r>
    <r>
      <rPr>
        <sz val="11"/>
        <color theme="1"/>
        <rFont val="等线"/>
        <family val="2"/>
        <charset val="134"/>
        <scheme val="minor"/>
      </rPr>
      <t>，思虑过多，计划失误，需防神经衰弱与交通意外。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</si>
  <si>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“机月同梁”格</t>
    </r>
    <r>
      <rPr>
        <sz val="11"/>
        <color theme="1"/>
        <rFont val="等线"/>
        <family val="2"/>
        <charset val="134"/>
        <scheme val="minor"/>
      </rPr>
      <t>（天机、太阴、天同、天梁会照），主</t>
    </r>
    <r>
      <rPr>
        <b/>
        <sz val="11"/>
        <color theme="1"/>
        <rFont val="等线"/>
        <family val="3"/>
        <charset val="134"/>
        <scheme val="minor"/>
      </rPr>
      <t>适合公职、文化、教育、医疗</t>
    </r>
    <r>
      <rPr>
        <sz val="11"/>
        <color theme="1"/>
        <rFont val="等线"/>
        <family val="2"/>
        <charset val="134"/>
        <scheme val="minor"/>
      </rPr>
      <t>，生活稳定。</t>
    </r>
    <r>
      <rPr>
        <b/>
        <sz val="11"/>
        <color theme="1"/>
        <rFont val="等线"/>
        <family val="3"/>
        <charset val="134"/>
        <scheme val="minor"/>
      </rPr>
      <t>“禄马交驰”格</t>
    </r>
    <r>
      <rPr>
        <sz val="11"/>
        <color theme="1"/>
        <rFont val="等线"/>
        <family val="2"/>
        <charset val="134"/>
        <scheme val="minor"/>
      </rPr>
      <t>（天机+天马+禄存或化禄），主</t>
    </r>
    <r>
      <rPr>
        <b/>
        <sz val="11"/>
        <color theme="1"/>
        <rFont val="等线"/>
        <family val="3"/>
        <charset val="134"/>
        <scheme val="minor"/>
      </rPr>
      <t>动中求财，远方得利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</si>
  <si>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学校、图书馆、策划公司、交通枢纽、通讯公司、机械厂、手足相关场所（如健身房）、宗教场所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</si>
  <si>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天机星的全部原始定义、分类与案例，并严格依您的要求，在“本质”部分增补了“人/事/物”三个层次的解析，未增删改臆。天机星为智星，主变动与谋划。其核心在于“善变”与“智慧”，常在策划、交通、手足领域显现，但其“思多行少”的性质需搭配行动星或煞星激发方能成就。最喜入庙化权、化禄于命、官、迁等宫，主智谋出众，动中得利。与太阴、天梁同度，成“机月同梁”格，利公职文化。然若落陷或化忌，则思虑过多，多谋少成，且需防神经衰弱与交通意外。在紫占中，天机与各主星组合产生的“变动”、“谋划”、“手足”等具体卦象，是断事关键，需结合具体星情与宫位细察。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</si>
  <si>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巨门星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的完整象义解析如下（严格遵循原始资料结构与表述，并依您的要求，在“本质”部分增补“人/事/物”三个层次的解析）：</t>
    </r>
  </si>
  <si>
    <t>一、巨门定义</t>
  </si>
  <si>
    <t>口舌、是非、暗昧、洞察、管道、门户、研究、饮食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</si>
  <si>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耿直明快、心思细密、理解力强、善于分析研究、口才佳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多疑善辩、恃才傲物、直言不讳、易惹口舌是非、人际关系初善终恶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口舌的表达者、真相的探究者、信息的传递者</t>
    </r>
    <r>
      <rPr>
        <sz val="12"/>
        <color theme="1"/>
        <rFont val="等线"/>
        <family val="3"/>
        <charset val="134"/>
        <scheme val="minor"/>
      </rPr>
      <t>。人际关系上，</t>
    </r>
    <r>
      <rPr>
        <b/>
        <sz val="12"/>
        <color theme="1"/>
        <rFont val="等线"/>
        <family val="3"/>
        <charset val="134"/>
        <scheme val="minor"/>
      </rPr>
      <t>因言语直接易得罪人，内心孤独，防备心重，不易信任他人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</si>
  <si>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多口舌、是非、暗昧不明、需要沟通与澄清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沟通、表达、研究、分析、法律、中介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需要深入探究、辨明是非、传递信息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易有争执、误会、秘密、官非</t>
    </r>
    <r>
      <rPr>
        <sz val="12"/>
        <color theme="1"/>
        <rFont val="等线"/>
        <family val="3"/>
        <charset val="134"/>
        <scheme val="minor"/>
      </rPr>
      <t>，但若引导得当，可凭借口才与智慧成事。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</si>
  <si>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管道、门户、中空、发声</t>
    </r>
    <r>
      <rPr>
        <sz val="12"/>
        <color theme="1"/>
        <rFont val="等线"/>
        <family val="3"/>
        <charset val="134"/>
        <scheme val="minor"/>
      </rPr>
      <t>属性的事物。如：</t>
    </r>
    <r>
      <rPr>
        <b/>
        <sz val="12"/>
        <color theme="1"/>
        <rFont val="等线"/>
        <family val="3"/>
        <charset val="134"/>
        <scheme val="minor"/>
      </rPr>
      <t>大门、管道、洞穴、井、车站、机场、港口、法律文书、书籍、发声之物（乐器、麦克风）、饮食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信息的载体、沟通的通道</t>
    </r>
    <r>
      <rPr>
        <sz val="12"/>
        <color theme="1"/>
        <rFont val="等线"/>
        <family val="3"/>
        <charset val="134"/>
        <scheme val="minor"/>
      </rPr>
      <t>。</t>
    </r>
  </si>
  <si>
    <t>整合自《金刚佛光-紫占课程手册》及相关权威资料中关于巨门“口舌”、“是非”、“暗”、“管道”等核心概念的深度阐释与类象推演。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</si>
  <si>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北斗第二星</t>
    </r>
    <r>
      <rPr>
        <sz val="12"/>
        <color theme="1"/>
        <rFont val="等线"/>
        <family val="3"/>
        <charset val="134"/>
        <scheme val="minor"/>
      </rPr>
      <t>，属</t>
    </r>
    <r>
      <rPr>
        <b/>
        <sz val="12"/>
        <color theme="1"/>
        <rFont val="等线"/>
        <family val="3"/>
        <charset val="134"/>
        <scheme val="minor"/>
      </rPr>
      <t>阴水（癸水）</t>
    </r>
    <r>
      <rPr>
        <sz val="12"/>
        <color theme="1"/>
        <rFont val="等线"/>
        <family val="3"/>
        <charset val="134"/>
        <scheme val="minor"/>
      </rPr>
      <t>，又属</t>
    </r>
    <r>
      <rPr>
        <b/>
        <sz val="12"/>
        <color theme="1"/>
        <rFont val="等线"/>
        <family val="3"/>
        <charset val="134"/>
        <scheme val="minor"/>
      </rPr>
      <t>阴土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暗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口舌是非之主</t>
    </r>
    <r>
      <rPr>
        <sz val="12"/>
        <color theme="1"/>
        <rFont val="等线"/>
        <family val="3"/>
        <charset val="134"/>
        <scheme val="minor"/>
      </rPr>
      <t>。喜庙旺（子、午、寅、申为庙旺），忌落陷（辰、戌为落陷）。</t>
    </r>
    <r>
      <rPr>
        <b/>
        <sz val="12"/>
        <color theme="1"/>
        <rFont val="等线"/>
        <family val="3"/>
        <charset val="134"/>
        <scheme val="minor"/>
      </rPr>
      <t>最喜太阳庙旺照射以解其暗</t>
    </r>
    <r>
      <rPr>
        <sz val="12"/>
        <color theme="1"/>
        <rFont val="等线"/>
        <family val="3"/>
        <charset val="134"/>
        <scheme val="minor"/>
      </rPr>
      <t>，喜会禄存、化禄、化权，</t>
    </r>
    <r>
      <rPr>
        <b/>
        <sz val="12"/>
        <color theme="1"/>
        <rFont val="等线"/>
        <family val="3"/>
        <charset val="134"/>
        <scheme val="minor"/>
      </rPr>
      <t>最忌煞忌</t>
    </r>
    <r>
      <rPr>
        <sz val="12"/>
        <color theme="1"/>
        <rFont val="等线"/>
        <family val="3"/>
        <charset val="134"/>
        <scheme val="minor"/>
      </rPr>
      <t>（擎羊、陀罗、火星、铃星、地空、地劫、化忌），遇之凶性倍增。巨门的“暗”并非自身阴暗，而是</t>
    </r>
    <r>
      <rPr>
        <b/>
        <sz val="12"/>
        <color theme="1"/>
        <rFont val="等线"/>
        <family val="3"/>
        <charset val="134"/>
        <scheme val="minor"/>
      </rPr>
      <t>善于遮蔽、隐藏、探究暗处</t>
    </r>
    <r>
      <rPr>
        <sz val="12"/>
        <color theme="1"/>
        <rFont val="等线"/>
        <family val="3"/>
        <charset val="134"/>
        <scheme val="minor"/>
      </rPr>
      <t>的特质。</t>
    </r>
  </si>
  <si>
    <r>
      <t>口舌与表达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</si>
  <si>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一切与“口”相关</t>
    </r>
    <r>
      <rPr>
        <sz val="12"/>
        <color theme="1"/>
        <rFont val="等线"/>
        <family val="3"/>
        <charset val="134"/>
        <scheme val="minor"/>
      </rPr>
      <t>的现象。</t>
    </r>
    <r>
      <rPr>
        <b/>
        <sz val="12"/>
        <color theme="1"/>
        <rFont val="等线"/>
        <family val="3"/>
        <charset val="134"/>
        <scheme val="minor"/>
      </rPr>
      <t>吉则</t>
    </r>
    <r>
      <rPr>
        <sz val="12"/>
        <color theme="1"/>
        <rFont val="等线"/>
        <family val="3"/>
        <charset val="134"/>
        <scheme val="minor"/>
      </rPr>
      <t>为</t>
    </r>
    <r>
      <rPr>
        <b/>
        <sz val="12"/>
        <color theme="1"/>
        <rFont val="等线"/>
        <family val="3"/>
        <charset val="134"/>
        <scheme val="minor"/>
      </rPr>
      <t>演讲、教育、谈判、推销、歌唱、主持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凶则</t>
    </r>
    <r>
      <rPr>
        <sz val="12"/>
        <color theme="1"/>
        <rFont val="等线"/>
        <family val="3"/>
        <charset val="134"/>
        <scheme val="minor"/>
      </rPr>
      <t>为</t>
    </r>
    <r>
      <rPr>
        <b/>
        <sz val="12"/>
        <color theme="1"/>
        <rFont val="等线"/>
        <family val="3"/>
        <charset val="134"/>
        <scheme val="minor"/>
      </rPr>
      <t>是非、争执、谣言、官非、多疑、猜忌</t>
    </r>
    <r>
      <rPr>
        <sz val="12"/>
        <color theme="1"/>
        <rFont val="等线"/>
        <family val="3"/>
        <charset val="134"/>
        <scheme val="minor"/>
      </rPr>
      <t>。口才是其最强武器，也是最易出问题之处。</t>
    </r>
  </si>
  <si>
    <t>在命宫、官禄宫时，主以口为业，或一生多口舌是非。</t>
  </si>
  <si>
    <r>
      <t>暗昧与洞察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</si>
  <si>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“暗”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遮蔽、隐藏、不明朗、暗处</t>
    </r>
    <r>
      <rPr>
        <sz val="12"/>
        <color theme="1"/>
        <rFont val="等线"/>
        <family val="3"/>
        <charset val="134"/>
        <scheme val="minor"/>
      </rPr>
      <t>。赋予其</t>
    </r>
    <r>
      <rPr>
        <b/>
        <sz val="12"/>
        <color theme="1"/>
        <rFont val="等线"/>
        <family val="3"/>
        <charset val="134"/>
        <scheme val="minor"/>
      </rPr>
      <t>深刻的洞察力、分析力、研究精神</t>
    </r>
    <r>
      <rPr>
        <sz val="12"/>
        <color theme="1"/>
        <rFont val="等线"/>
        <family val="3"/>
        <charset val="134"/>
        <scheme val="minor"/>
      </rPr>
      <t>，善于发现细节、探究真相，但也导致</t>
    </r>
    <r>
      <rPr>
        <b/>
        <sz val="12"/>
        <color theme="1"/>
        <rFont val="等线"/>
        <family val="3"/>
        <charset val="134"/>
        <scheme val="minor"/>
      </rPr>
      <t>多疑、猜忌、喜揭人隐私</t>
    </r>
    <r>
      <rPr>
        <sz val="12"/>
        <color theme="1"/>
        <rFont val="等线"/>
        <family val="3"/>
        <charset val="134"/>
        <scheme val="minor"/>
      </rPr>
      <t>。</t>
    </r>
  </si>
  <si>
    <t>在命宫、福德宫时，主心思缜密，善分析，但多疑。</t>
  </si>
  <si>
    <r>
      <t>管道与门户</t>
    </r>
    <r>
      <rPr>
        <sz val="12"/>
        <color theme="1"/>
        <rFont val="等线"/>
        <family val="3"/>
        <charset val="134"/>
        <scheme val="minor"/>
      </rPr>
      <t>​</t>
    </r>
  </si>
  <si>
    <r>
      <t>象形为</t>
    </r>
    <r>
      <rPr>
        <b/>
        <sz val="12"/>
        <color theme="1"/>
        <rFont val="等线"/>
        <family val="3"/>
        <charset val="134"/>
        <scheme val="minor"/>
      </rPr>
      <t>“巨大的门”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通道、关口、中介、传递</t>
    </r>
    <r>
      <rPr>
        <sz val="12"/>
        <color theme="1"/>
        <rFont val="等线"/>
        <family val="3"/>
        <charset val="134"/>
        <scheme val="minor"/>
      </rPr>
      <t>。既是</t>
    </r>
    <r>
      <rPr>
        <b/>
        <sz val="12"/>
        <color theme="1"/>
        <rFont val="等线"/>
        <family val="3"/>
        <charset val="134"/>
        <scheme val="minor"/>
      </rPr>
      <t>信息的出入口</t>
    </r>
    <r>
      <rPr>
        <sz val="12"/>
        <color theme="1"/>
        <rFont val="等线"/>
        <family val="3"/>
        <charset val="134"/>
        <scheme val="minor"/>
      </rPr>
      <t>，也是</t>
    </r>
    <r>
      <rPr>
        <b/>
        <sz val="12"/>
        <color theme="1"/>
        <rFont val="等线"/>
        <family val="3"/>
        <charset val="134"/>
        <scheme val="minor"/>
      </rPr>
      <t>人际的隔阂</t>
    </r>
    <r>
      <rPr>
        <sz val="12"/>
        <color theme="1"/>
        <rFont val="等线"/>
        <family val="3"/>
        <charset val="134"/>
        <scheme val="minor"/>
      </rPr>
      <t>。可引申为</t>
    </r>
    <r>
      <rPr>
        <b/>
        <sz val="12"/>
        <color theme="1"/>
        <rFont val="等线"/>
        <family val="3"/>
        <charset val="134"/>
        <scheme val="minor"/>
      </rPr>
      <t>法律条文、合同、证件、交通枢纽</t>
    </r>
    <r>
      <rPr>
        <sz val="12"/>
        <color theme="1"/>
        <rFont val="等线"/>
        <family val="3"/>
        <charset val="134"/>
        <scheme val="minor"/>
      </rPr>
      <t>。</t>
    </r>
  </si>
  <si>
    <t>在相关宫位，可代表门户、管道、中介事务。</t>
  </si>
  <si>
    <r>
      <t>饮食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</si>
  <si>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饮食、吃的东西</t>
    </r>
    <r>
      <rPr>
        <sz val="12"/>
        <color theme="1"/>
        <rFont val="等线"/>
        <family val="3"/>
        <charset val="134"/>
        <scheme val="minor"/>
      </rPr>
      <t>。与口腔、脾胃相关，也代表</t>
    </r>
    <r>
      <rPr>
        <b/>
        <sz val="12"/>
        <color theme="1"/>
        <rFont val="等线"/>
        <family val="3"/>
        <charset val="134"/>
        <scheme val="minor"/>
      </rPr>
      <t>以口享受</t>
    </r>
    <r>
      <rPr>
        <sz val="12"/>
        <color theme="1"/>
        <rFont val="等线"/>
        <family val="3"/>
        <charset val="134"/>
        <scheme val="minor"/>
      </rPr>
      <t>之事。</t>
    </r>
  </si>
  <si>
    <t>在疾厄宫时，主脾胃、口腔疾病；在福德宫，可主注重口腹之欲。</t>
  </si>
  <si>
    <r>
      <t>形貌陋朴，面有颧骨，鼻挺口大（化忌时口更大），眼生威角，手脚强硬，声音宏亮</t>
    </r>
    <r>
      <rPr>
        <sz val="12"/>
        <color theme="1"/>
        <rFont val="等线"/>
        <family val="3"/>
        <charset val="134"/>
        <scheme val="minor"/>
      </rPr>
      <t>。给人</t>
    </r>
    <r>
      <rPr>
        <b/>
        <sz val="12"/>
        <color theme="1"/>
        <rFont val="等线"/>
        <family val="3"/>
        <charset val="134"/>
        <scheme val="minor"/>
      </rPr>
      <t>严肃、耿直、能言善辩</t>
    </r>
    <r>
      <rPr>
        <sz val="12"/>
        <color theme="1"/>
        <rFont val="等线"/>
        <family val="3"/>
        <charset val="134"/>
        <scheme val="minor"/>
      </rPr>
      <t>的印象。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</si>
  <si>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：心思细密，耿直明快，专心一意，理解力强，善于分析研究，口才佳，记忆力强。</t>
    </r>
    <r>
      <rPr>
        <b/>
        <sz val="12"/>
        <color theme="1"/>
        <rFont val="等线"/>
        <family val="3"/>
        <charset val="134"/>
        <scheme val="minor"/>
      </rPr>
      <t>缺点</t>
    </r>
    <r>
      <rPr>
        <sz val="12"/>
        <color theme="1"/>
        <rFont val="等线"/>
        <family val="3"/>
        <charset val="134"/>
        <scheme val="minor"/>
      </rPr>
      <t>：恃才傲物，多疑善辩，刀子嘴豆腐心，不易服人，人际关系初善终恶。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</si>
  <si>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脾胃、口腔、食道、肠道</t>
    </r>
    <r>
      <rPr>
        <sz val="12"/>
        <color theme="1"/>
        <rFont val="等线"/>
        <family val="3"/>
        <charset val="134"/>
        <scheme val="minor"/>
      </rPr>
      <t>等消化系统疾病。也主</t>
    </r>
    <r>
      <rPr>
        <b/>
        <sz val="12"/>
        <color theme="1"/>
        <rFont val="等线"/>
        <family val="3"/>
        <charset val="134"/>
        <scheme val="minor"/>
      </rPr>
      <t>湿气、气血虚、皮肤瘙痒、目眩</t>
    </r>
    <r>
      <rPr>
        <sz val="12"/>
        <color theme="1"/>
        <rFont val="等线"/>
        <family val="3"/>
        <charset val="134"/>
        <scheme val="minor"/>
      </rPr>
      <t>等。化忌或逢煞，易有隐疾、难以诊断的病症。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</si>
  <si>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耿直明快，口才佳，善于分析研究，多疑善辩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多口舌是非，人际关系易有隔阂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律师、教师、销售、公关、传媒、研究</t>
    </r>
    <r>
      <rPr>
        <sz val="12"/>
        <color theme="1"/>
        <rFont val="等线"/>
        <family val="3"/>
        <charset val="134"/>
        <scheme val="minor"/>
      </rPr>
      <t>等以口或分析为业的行业。</t>
    </r>
    <r>
      <rPr>
        <b/>
        <sz val="12"/>
        <color theme="1"/>
        <rFont val="等线"/>
        <family val="3"/>
        <charset val="134"/>
        <scheme val="minor"/>
      </rPr>
      <t>最喜太阳庙旺照射</t>
    </r>
    <r>
      <rPr>
        <sz val="12"/>
        <color theme="1"/>
        <rFont val="等线"/>
        <family val="3"/>
        <charset val="134"/>
        <scheme val="minor"/>
      </rPr>
      <t>，可化暗为明，名利双收；若太阳落陷或逢煞忌，则一生多是非，辛苦劳碌。</t>
    </r>
    <r>
      <rPr>
        <b/>
        <sz val="12"/>
        <color theme="1"/>
        <rFont val="等线"/>
        <family val="3"/>
        <charset val="134"/>
        <scheme val="minor"/>
      </rPr>
      <t>巨门坐命，需谨言慎行，以修口德为要</t>
    </r>
    <r>
      <rPr>
        <sz val="12"/>
        <color theme="1"/>
        <rFont val="等线"/>
        <family val="3"/>
        <charset val="134"/>
        <scheme val="minor"/>
      </rPr>
      <t>。</t>
    </r>
  </si>
  <si>
    <r>
      <t>与</t>
    </r>
    <r>
      <rPr>
        <b/>
        <sz val="12"/>
        <color theme="1"/>
        <rFont val="等线"/>
        <family val="3"/>
        <charset val="134"/>
        <scheme val="minor"/>
      </rPr>
      <t>兄弟姐妹缘分较薄，易有意见分歧、沟通障碍</t>
    </r>
    <r>
      <rPr>
        <sz val="12"/>
        <color theme="1"/>
        <rFont val="等线"/>
        <family val="3"/>
        <charset val="134"/>
        <scheme val="minor"/>
      </rPr>
      <t>。陷地更主</t>
    </r>
    <r>
      <rPr>
        <b/>
        <sz val="12"/>
        <color theme="1"/>
        <rFont val="等线"/>
        <family val="3"/>
        <charset val="134"/>
        <scheme val="minor"/>
      </rPr>
      <t>相残或有异胞</t>
    </r>
    <r>
      <rPr>
        <sz val="12"/>
        <color theme="1"/>
        <rFont val="等线"/>
        <family val="3"/>
        <charset val="134"/>
        <scheme val="minor"/>
      </rPr>
      <t>（同父异母或同母异父）。</t>
    </r>
  </si>
  <si>
    <r>
      <t>❌ 非善地！</t>
    </r>
    <r>
      <rPr>
        <sz val="12"/>
        <color theme="1"/>
        <rFont val="等线"/>
        <family val="3"/>
        <charset val="134"/>
        <scheme val="minor"/>
      </rPr>
      <t>​ 主</t>
    </r>
    <r>
      <rPr>
        <b/>
        <sz val="12"/>
        <color theme="1"/>
        <rFont val="等线"/>
        <family val="3"/>
        <charset val="134"/>
        <scheme val="minor"/>
      </rPr>
      <t>夫妻间沟通障碍多，互相挑剔，易生口舌是非</t>
    </r>
    <r>
      <rPr>
        <sz val="12"/>
        <color theme="1"/>
        <rFont val="等线"/>
        <family val="3"/>
        <charset val="134"/>
        <scheme val="minor"/>
      </rPr>
      <t>。感情复杂，易有暗恋、地下情或移情别恋。</t>
    </r>
    <r>
      <rPr>
        <b/>
        <sz val="12"/>
        <color theme="1"/>
        <rFont val="等线"/>
        <family val="3"/>
        <charset val="134"/>
        <scheme val="minor"/>
      </rPr>
      <t>化解之道：宜晚婚，或配偶年龄有较大差距、从事以口为业的行业</t>
    </r>
    <r>
      <rPr>
        <sz val="12"/>
        <color theme="1"/>
        <rFont val="等线"/>
        <family val="3"/>
        <charset val="134"/>
        <scheme val="minor"/>
      </rPr>
      <t>。女命需防无意中成为“第三者”。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</si>
  <si>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爱说话，有口才</t>
    </r>
    <r>
      <rPr>
        <sz val="12"/>
        <color theme="1"/>
        <rFont val="等线"/>
        <family val="3"/>
        <charset val="134"/>
        <scheme val="minor"/>
      </rPr>
      <t>，但与父母</t>
    </r>
    <r>
      <rPr>
        <b/>
        <sz val="12"/>
        <color theme="1"/>
        <rFont val="等线"/>
        <family val="3"/>
        <charset val="134"/>
        <scheme val="minor"/>
      </rPr>
      <t>思想易有隔阂，见面少</t>
    </r>
    <r>
      <rPr>
        <sz val="12"/>
        <color theme="1"/>
        <rFont val="等线"/>
        <family val="3"/>
        <charset val="134"/>
        <scheme val="minor"/>
      </rPr>
      <t>。子嗣缘较薄，煞忌重则需防流产、子女健康不佳或叛逆。</t>
    </r>
  </si>
  <si>
    <r>
      <t>求财方式多与</t>
    </r>
    <r>
      <rPr>
        <b/>
        <sz val="12"/>
        <color theme="1"/>
        <rFont val="等线"/>
        <family val="3"/>
        <charset val="134"/>
        <scheme val="minor"/>
      </rPr>
      <t>口才、脑力、中介、沟通</t>
    </r>
    <r>
      <rPr>
        <sz val="12"/>
        <color theme="1"/>
        <rFont val="等线"/>
        <family val="3"/>
        <charset val="134"/>
        <scheme val="minor"/>
      </rPr>
      <t>相关，属</t>
    </r>
    <r>
      <rPr>
        <b/>
        <sz val="12"/>
        <color theme="1"/>
        <rFont val="等线"/>
        <family val="3"/>
        <charset val="134"/>
        <scheme val="minor"/>
      </rPr>
      <t>动口求财</t>
    </r>
    <r>
      <rPr>
        <sz val="12"/>
        <color theme="1"/>
        <rFont val="等线"/>
        <family val="3"/>
        <charset val="134"/>
        <scheme val="minor"/>
      </rPr>
      <t>。可白手起家，但</t>
    </r>
    <r>
      <rPr>
        <b/>
        <sz val="12"/>
        <color theme="1"/>
        <rFont val="等线"/>
        <family val="3"/>
        <charset val="134"/>
        <scheme val="minor"/>
      </rPr>
      <t>钱财难积存，欲望大，易有意外破耗</t>
    </r>
    <r>
      <rPr>
        <sz val="12"/>
        <color theme="1"/>
        <rFont val="等线"/>
        <family val="3"/>
        <charset val="134"/>
        <scheme val="minor"/>
      </rPr>
      <t>。忌锋芒外露，防因财惹口舌官非。见禄存、化禄，主以口生财，钱财流通量大。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</si>
  <si>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脾胃、消化系统、口腔（溃疡）、呼吸系统</t>
    </r>
    <r>
      <rPr>
        <sz val="12"/>
        <color theme="1"/>
        <rFont val="等线"/>
        <family val="3"/>
        <charset val="134"/>
        <scheme val="minor"/>
      </rPr>
      <t>疾病。也主</t>
    </r>
    <r>
      <rPr>
        <b/>
        <sz val="12"/>
        <color theme="1"/>
        <rFont val="等线"/>
        <family val="3"/>
        <charset val="134"/>
        <scheme val="minor"/>
      </rPr>
      <t>湿气、气血虚、皮肤问题、隐疾</t>
    </r>
    <r>
      <rPr>
        <sz val="12"/>
        <color theme="1"/>
        <rFont val="等线"/>
        <family val="3"/>
        <charset val="134"/>
        <scheme val="minor"/>
      </rPr>
      <t>。煞忌重则需防外伤、手术。</t>
    </r>
  </si>
  <si>
    <r>
      <t>在外发展</t>
    </r>
    <r>
      <rPr>
        <b/>
        <sz val="12"/>
        <color theme="1"/>
        <rFont val="等线"/>
        <family val="3"/>
        <charset val="134"/>
        <scheme val="minor"/>
      </rPr>
      <t>多口舌是非，与人不易相处，无故生灾</t>
    </r>
    <r>
      <rPr>
        <sz val="12"/>
        <color theme="1"/>
        <rFont val="等线"/>
        <family val="3"/>
        <charset val="134"/>
        <scheme val="minor"/>
      </rPr>
      <t>。但若见吉化吉曜，亦可凭口才、表达在外获得机遇与名利。流年逢煞忌，切忌远行，易有灾祸。</t>
    </r>
  </si>
  <si>
    <r>
      <t>慎防损友！</t>
    </r>
    <r>
      <rPr>
        <sz val="12"/>
        <color theme="1"/>
        <rFont val="等线"/>
        <family val="3"/>
        <charset val="134"/>
        <scheme val="minor"/>
      </rPr>
      <t>​ 朋友、部属</t>
    </r>
    <r>
      <rPr>
        <b/>
        <sz val="12"/>
        <color theme="1"/>
        <rFont val="等线"/>
        <family val="3"/>
        <charset val="134"/>
        <scheme val="minor"/>
      </rPr>
      <t>三教九流都有</t>
    </r>
    <r>
      <rPr>
        <sz val="12"/>
        <color theme="1"/>
        <rFont val="等线"/>
        <family val="3"/>
        <charset val="134"/>
        <scheme val="minor"/>
      </rPr>
      <t>，但易因口舌、利益起冲突。煞忌重则下属易背叛，或结交的朋友会带坏自己。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</si>
  <si>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以口为业</t>
    </r>
    <r>
      <rPr>
        <sz val="12"/>
        <color theme="1"/>
        <rFont val="等线"/>
        <family val="3"/>
        <charset val="134"/>
        <scheme val="minor"/>
      </rPr>
      <t>的行业，如</t>
    </r>
    <r>
      <rPr>
        <b/>
        <sz val="12"/>
        <color theme="1"/>
        <rFont val="等线"/>
        <family val="3"/>
        <charset val="134"/>
        <scheme val="minor"/>
      </rPr>
      <t>教育、法律、销售、媒体、公关、演艺、餐饮、中介、研究</t>
    </r>
    <r>
      <rPr>
        <sz val="12"/>
        <color theme="1"/>
        <rFont val="等线"/>
        <family val="3"/>
        <charset val="134"/>
        <scheme val="minor"/>
      </rPr>
      <t>等。事业上</t>
    </r>
    <r>
      <rPr>
        <b/>
        <sz val="12"/>
        <color theme="1"/>
        <rFont val="等线"/>
        <family val="3"/>
        <charset val="134"/>
        <scheme val="minor"/>
      </rPr>
      <t>多口舌是非，需付出远超常人的努力</t>
    </r>
    <r>
      <rPr>
        <sz val="12"/>
        <color theme="1"/>
        <rFont val="等线"/>
        <family val="3"/>
        <charset val="134"/>
        <scheme val="minor"/>
      </rPr>
      <t>。吉则凭借口才成为行业权威；凶则辛苦费力难成事，且易有官非。</t>
    </r>
  </si>
  <si>
    <r>
      <t>难守祖业，需自置房产</t>
    </r>
    <r>
      <rPr>
        <sz val="12"/>
        <color theme="1"/>
        <rFont val="等线"/>
        <family val="3"/>
        <charset val="134"/>
        <scheme val="minor"/>
      </rPr>
      <t>。家中</t>
    </r>
    <r>
      <rPr>
        <b/>
        <sz val="12"/>
        <color theme="1"/>
        <rFont val="等线"/>
        <family val="3"/>
        <charset val="134"/>
        <scheme val="minor"/>
      </rPr>
      <t>多吵杂，易与邻居发生口舌纠纷</t>
    </r>
    <r>
      <rPr>
        <sz val="12"/>
        <color theme="1"/>
        <rFont val="等线"/>
        <family val="3"/>
        <charset val="134"/>
        <scheme val="minor"/>
      </rPr>
      <t>。巨门坐田宅，若交友宫干为丁，需防遭窃。太阳巨门组合，利在异地、远方置业。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</si>
  <si>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思虑过重，内心难得安宁，易焦虑、多疑、钻牛角尖</t>
    </r>
    <r>
      <rPr>
        <sz val="12"/>
        <color theme="1"/>
        <rFont val="等线"/>
        <family val="3"/>
        <charset val="134"/>
        <scheme val="minor"/>
      </rPr>
      <t>。煞忌重则精神痛苦，甚至罹患抑郁、焦虑等心理疾病。唯与天同组合（天同巨门）稍可享福。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</si>
  <si>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缘分有“隔阂”</t>
    </r>
    <r>
      <rPr>
        <sz val="12"/>
        <color theme="1"/>
        <rFont val="等线"/>
        <family val="3"/>
        <charset val="134"/>
        <scheme val="minor"/>
      </rPr>
      <t>，可能因求学、工作聚少离多。煞忌重则关系疏离、缘薄，或父母曾离异。引申为与领导、上司关系不佳。</t>
    </r>
  </si>
  <si>
    <t>1. 增强口舌/暗昧/洞察组合</t>
  </si>
  <si>
    <r>
      <t>巨门+紫微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</si>
  <si>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帝星遇暗</t>
    </r>
    <r>
      <rPr>
        <sz val="12"/>
        <color theme="1"/>
        <rFont val="等线"/>
        <family val="3"/>
        <charset val="134"/>
        <scheme val="minor"/>
      </rPr>
      <t>，权威与口舌结合，</t>
    </r>
    <r>
      <rPr>
        <b/>
        <sz val="12"/>
        <color theme="1"/>
        <rFont val="等线"/>
        <family val="3"/>
        <charset val="134"/>
        <scheme val="minor"/>
      </rPr>
      <t>善于在权威场合发言，有领导口才</t>
    </r>
    <r>
      <rPr>
        <sz val="12"/>
        <color theme="1"/>
        <rFont val="等线"/>
        <family val="3"/>
        <charset val="134"/>
        <scheme val="minor"/>
      </rPr>
      <t>，但易因言语得罪权贵。紫微能稍制巨门之恶。</t>
    </r>
  </si>
  <si>
    <t>政府发言人；企业高管（需谨言）。</t>
  </si>
  <si>
    <r>
      <t>巨门+天机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</si>
  <si>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智星遇暗</t>
    </r>
    <r>
      <rPr>
        <sz val="12"/>
        <color theme="1"/>
        <rFont val="等线"/>
        <family val="3"/>
        <charset val="134"/>
        <scheme val="minor"/>
      </rPr>
      <t>（卯、酉宫同度），</t>
    </r>
    <r>
      <rPr>
        <b/>
        <sz val="12"/>
        <color theme="1"/>
        <rFont val="等线"/>
        <family val="3"/>
        <charset val="134"/>
        <scheme val="minor"/>
      </rPr>
      <t>机巨同临格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思维敏捷，能言善道，多疑善变</t>
    </r>
    <r>
      <rPr>
        <sz val="12"/>
        <color theme="1"/>
        <rFont val="等线"/>
        <family val="3"/>
        <charset val="134"/>
        <scheme val="minor"/>
      </rPr>
      <t>。吉则凭机巧在远方发展；凶则流于小聪明，难成大事，人生变动大。</t>
    </r>
  </si>
  <si>
    <t>策划师；研究员；但需防思虑过多，言多必失。</t>
  </si>
  <si>
    <r>
      <t>巨门+太阳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</si>
  <si>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日照遇暗</t>
    </r>
    <r>
      <rPr>
        <sz val="12"/>
        <color theme="1"/>
        <rFont val="等线"/>
        <family val="3"/>
        <charset val="134"/>
        <scheme val="minor"/>
      </rPr>
      <t>（寅、申宫同度，巳、亥宫相对），</t>
    </r>
    <r>
      <rPr>
        <b/>
        <sz val="12"/>
        <color theme="1"/>
        <rFont val="等线"/>
        <family val="3"/>
        <charset val="134"/>
        <scheme val="minor"/>
      </rPr>
      <t>“巨日同宫格”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太阳可解巨门之暗</t>
    </r>
    <r>
      <rPr>
        <sz val="12"/>
        <color theme="1"/>
        <rFont val="等线"/>
        <family val="3"/>
        <charset val="134"/>
        <scheme val="minor"/>
      </rPr>
      <t>，将口才转化为强大的公众影响力、传播力。</t>
    </r>
    <r>
      <rPr>
        <b/>
        <sz val="12"/>
        <color theme="1"/>
        <rFont val="等线"/>
        <family val="3"/>
        <charset val="134"/>
        <scheme val="minor"/>
      </rPr>
      <t>利外贸、外交、传媒</t>
    </r>
    <r>
      <rPr>
        <sz val="12"/>
        <color theme="1"/>
        <rFont val="等线"/>
        <family val="3"/>
        <charset val="134"/>
        <scheme val="minor"/>
      </rPr>
      <t>，有异族缘、远方缘。</t>
    </r>
  </si>
  <si>
    <t>外交官；国际贸易；传媒人士；教师。</t>
  </si>
  <si>
    <r>
      <t>巨门+武曲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</si>
  <si>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刚金遇暗</t>
    </r>
    <r>
      <rPr>
        <sz val="12"/>
        <color theme="1"/>
        <rFont val="等线"/>
        <family val="3"/>
        <charset val="134"/>
        <scheme val="minor"/>
      </rPr>
      <t>，行动力与口舌结合，</t>
    </r>
    <r>
      <rPr>
        <b/>
        <sz val="12"/>
        <color theme="1"/>
        <rFont val="等线"/>
        <family val="3"/>
        <charset val="134"/>
        <scheme val="minor"/>
      </rPr>
      <t>言出必行，但言语带杀伐之气</t>
    </r>
    <r>
      <rPr>
        <sz val="12"/>
        <color theme="1"/>
        <rFont val="等线"/>
        <family val="3"/>
        <charset val="134"/>
        <scheme val="minor"/>
      </rPr>
      <t>，易因财务、竞争惹口舌官非。</t>
    </r>
  </si>
  <si>
    <t>金融律师；稽查人员；但需防因财起讼。</t>
  </si>
  <si>
    <r>
      <t>巨门+天同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</si>
  <si>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福星遇暗</t>
    </r>
    <r>
      <rPr>
        <sz val="12"/>
        <color theme="1"/>
        <rFont val="等线"/>
        <family val="3"/>
        <charset val="134"/>
        <scheme val="minor"/>
      </rPr>
      <t>（丑、未宫同度），</t>
    </r>
    <r>
      <rPr>
        <b/>
        <sz val="12"/>
        <color theme="1"/>
        <rFont val="等线"/>
        <family val="3"/>
        <charset val="134"/>
        <scheme val="minor"/>
      </rPr>
      <t>“同巨组合”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情绪化、多纠结，在感情上“自寻烦恼”</t>
    </r>
    <r>
      <rPr>
        <sz val="12"/>
        <color theme="1"/>
        <rFont val="等线"/>
        <family val="3"/>
        <charset val="134"/>
        <scheme val="minor"/>
      </rPr>
      <t>，享受悲情。女命尤为不利，一生易受精神困扰。</t>
    </r>
  </si>
  <si>
    <t>情感丰富的艺术家；但内心多矛盾痛苦。</t>
  </si>
  <si>
    <r>
      <t>巨门+廉贞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</si>
  <si>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囚星遇暗</t>
    </r>
    <r>
      <rPr>
        <sz val="12"/>
        <color theme="1"/>
        <rFont val="等线"/>
        <family val="3"/>
        <charset val="134"/>
        <scheme val="minor"/>
      </rPr>
      <t>，感情官非与口舌结合，</t>
    </r>
    <r>
      <rPr>
        <b/>
        <sz val="12"/>
        <color theme="1"/>
        <rFont val="等线"/>
        <family val="3"/>
        <charset val="134"/>
        <scheme val="minor"/>
      </rPr>
      <t>言语尖锐，易惹官非、诉讼</t>
    </r>
    <r>
      <rPr>
        <sz val="12"/>
        <color theme="1"/>
        <rFont val="等线"/>
        <family val="3"/>
        <charset val="134"/>
        <scheme val="minor"/>
      </rPr>
      <t>，适合法律行业，但需防言词伤人。</t>
    </r>
  </si>
  <si>
    <t>律师；检察官；但需防自身卷入官司。</t>
  </si>
  <si>
    <r>
      <t>巨门+天府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</si>
  <si>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库星遇暗</t>
    </r>
    <r>
      <rPr>
        <sz val="12"/>
        <color theme="1"/>
        <rFont val="等线"/>
        <family val="3"/>
        <charset val="134"/>
        <scheme val="minor"/>
      </rPr>
      <t>，稳重与口舌结合，</t>
    </r>
    <r>
      <rPr>
        <b/>
        <sz val="12"/>
        <color theme="1"/>
        <rFont val="等线"/>
        <family val="3"/>
        <charset val="134"/>
        <scheme val="minor"/>
      </rPr>
      <t>口才用于管理、规划</t>
    </r>
    <r>
      <rPr>
        <sz val="12"/>
        <color theme="1"/>
        <rFont val="等线"/>
        <family val="3"/>
        <charset val="134"/>
        <scheme val="minor"/>
      </rPr>
      <t>，能保守秘密，但内心多算计。</t>
    </r>
  </si>
  <si>
    <t>企业战略顾问；保密工作者。</t>
  </si>
  <si>
    <r>
      <t>巨门+太阴</t>
    </r>
    <r>
      <rPr>
        <sz val="12"/>
        <color theme="1"/>
        <rFont val="等线"/>
        <family val="3"/>
        <charset val="134"/>
        <scheme val="minor"/>
      </rPr>
      <t>​</t>
    </r>
  </si>
  <si>
    <r>
      <t>阴水遇暗</t>
    </r>
    <r>
      <rPr>
        <sz val="12"/>
        <color theme="1"/>
        <rFont val="等线"/>
        <family val="3"/>
        <charset val="134"/>
        <scheme val="minor"/>
      </rPr>
      <t>，内敛与口舌结合，</t>
    </r>
    <r>
      <rPr>
        <b/>
        <sz val="12"/>
        <color theme="1"/>
        <rFont val="等线"/>
        <family val="3"/>
        <charset val="134"/>
        <scheme val="minor"/>
      </rPr>
      <t>言语含蓄，内心多疑，喜暗中观察</t>
    </r>
    <r>
      <rPr>
        <sz val="12"/>
        <color theme="1"/>
        <rFont val="等线"/>
        <family val="3"/>
        <charset val="134"/>
        <scheme val="minor"/>
      </rPr>
      <t>，适合研究、幕后策划。</t>
    </r>
  </si>
  <si>
    <t>研究员；幕后策划者；但易内心阴暗。</t>
  </si>
  <si>
    <r>
      <t>巨门+贪狼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</si>
  <si>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欲星遇暗</t>
    </r>
    <r>
      <rPr>
        <sz val="12"/>
        <color theme="1"/>
        <rFont val="等线"/>
        <family val="3"/>
        <charset val="134"/>
        <scheme val="minor"/>
      </rPr>
      <t>，欲望与口舌结合，</t>
    </r>
    <r>
      <rPr>
        <b/>
        <sz val="12"/>
        <color theme="1"/>
        <rFont val="等线"/>
        <family val="3"/>
        <charset val="134"/>
        <scheme val="minor"/>
      </rPr>
      <t>口才用于交际、投机</t>
    </r>
    <r>
      <rPr>
        <sz val="12"/>
        <color theme="1"/>
        <rFont val="等线"/>
        <family val="3"/>
        <charset val="134"/>
        <scheme val="minor"/>
      </rPr>
      <t>，易因酒色财气惹是非。</t>
    </r>
  </si>
  <si>
    <t>销售；公关；但需防桃花是非。</t>
  </si>
  <si>
    <r>
      <t>巨门+巨门</t>
    </r>
    <r>
      <rPr>
        <sz val="12"/>
        <color theme="1"/>
        <rFont val="等线"/>
        <family val="3"/>
        <charset val="134"/>
        <scheme val="minor"/>
      </rPr>
      <t>​</t>
    </r>
  </si>
  <si>
    <r>
      <t xml:space="preserve">(巨门独坐) </t>
    </r>
    <r>
      <rPr>
        <b/>
        <sz val="12"/>
        <color theme="1"/>
        <rFont val="等线"/>
        <family val="3"/>
        <charset val="134"/>
        <scheme val="minor"/>
      </rPr>
      <t>暗性纯粹</t>
    </r>
    <r>
      <rPr>
        <sz val="12"/>
        <color theme="1"/>
        <rFont val="等线"/>
        <family val="3"/>
        <charset val="134"/>
        <scheme val="minor"/>
      </rPr>
      <t>，口才与洞察力极致发挥，若庙旺化禄权，可成“石中隐玉格”；若落陷逢煞忌，则多是非孤克。</t>
    </r>
  </si>
  <si>
    <t>专业领域的权威；但人际关系差。</t>
  </si>
  <si>
    <r>
      <t>巨门+天相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</si>
  <si>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印星遇暗</t>
    </r>
    <r>
      <rPr>
        <sz val="12"/>
        <color theme="1"/>
        <rFont val="等线"/>
        <family val="3"/>
        <charset val="134"/>
        <scheme val="minor"/>
      </rPr>
      <t>，形象与口舌结合，</t>
    </r>
    <r>
      <rPr>
        <b/>
        <sz val="12"/>
        <color theme="1"/>
        <rFont val="等线"/>
        <family val="3"/>
        <charset val="134"/>
        <scheme val="minor"/>
      </rPr>
      <t>外表端庄，言语得体，但内心多计较</t>
    </r>
    <r>
      <rPr>
        <sz val="12"/>
        <color theme="1"/>
        <rFont val="等线"/>
        <family val="3"/>
        <charset val="134"/>
        <scheme val="minor"/>
      </rPr>
      <t>，适合公关、法律。</t>
    </r>
  </si>
  <si>
    <t>公关经理；法官；需防表里不一。</t>
  </si>
  <si>
    <r>
      <t>巨门+天梁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</si>
  <si>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荫星遇暗</t>
    </r>
    <r>
      <rPr>
        <sz val="12"/>
        <color theme="1"/>
        <rFont val="等线"/>
        <family val="3"/>
        <charset val="134"/>
        <scheme val="minor"/>
      </rPr>
      <t>，清高与口舌结合，</t>
    </r>
    <r>
      <rPr>
        <b/>
        <sz val="12"/>
        <color theme="1"/>
        <rFont val="等线"/>
        <family val="3"/>
        <charset val="134"/>
        <scheme val="minor"/>
      </rPr>
      <t>喜评论是非，好为人师</t>
    </r>
    <r>
      <rPr>
        <sz val="12"/>
        <color theme="1"/>
        <rFont val="等线"/>
        <family val="3"/>
        <charset val="134"/>
        <scheme val="minor"/>
      </rPr>
      <t>，有宗教、哲学倾向，能得长辈荫庇化解部分是非。</t>
    </r>
  </si>
  <si>
    <t>评论家；教师；宗教人士。</t>
  </si>
  <si>
    <r>
      <t>巨门+七杀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</si>
  <si>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杀星遇暗</t>
    </r>
    <r>
      <rPr>
        <sz val="12"/>
        <color theme="1"/>
        <rFont val="等线"/>
        <family val="3"/>
        <charset val="134"/>
        <scheme val="minor"/>
      </rPr>
      <t>，变动与口舌结合，</t>
    </r>
    <r>
      <rPr>
        <b/>
        <sz val="12"/>
        <color theme="1"/>
        <rFont val="等线"/>
        <family val="3"/>
        <charset val="134"/>
        <scheme val="minor"/>
      </rPr>
      <t>言语带杀，行动果决</t>
    </r>
    <r>
      <rPr>
        <sz val="12"/>
        <color theme="1"/>
        <rFont val="等线"/>
        <family val="3"/>
        <charset val="134"/>
        <scheme val="minor"/>
      </rPr>
      <t>，易因言语引发冲突、官司，适合军警、法律。</t>
    </r>
  </si>
  <si>
    <t>军警；律师；但需防口舌招灾。</t>
  </si>
  <si>
    <r>
      <t>巨门+破军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</si>
  <si>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耗星遇暗</t>
    </r>
    <r>
      <rPr>
        <sz val="12"/>
        <color theme="1"/>
        <rFont val="等线"/>
        <family val="3"/>
        <charset val="134"/>
        <scheme val="minor"/>
      </rPr>
      <t>，破旧立新与口舌结合，</t>
    </r>
    <r>
      <rPr>
        <b/>
        <sz val="12"/>
        <color theme="1"/>
        <rFont val="等线"/>
        <family val="3"/>
        <charset val="134"/>
        <scheme val="minor"/>
      </rPr>
      <t>言语具有破坏性，喜批评、改革</t>
    </r>
    <r>
      <rPr>
        <sz val="12"/>
        <color theme="1"/>
        <rFont val="等线"/>
        <family val="3"/>
        <charset val="134"/>
        <scheme val="minor"/>
      </rPr>
      <t>，易因言论惹祸。</t>
    </r>
  </si>
  <si>
    <t>改革者；批评家；但易众叛亲离。</t>
  </si>
  <si>
    <r>
      <t>巨门+左辅/右弼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</si>
  <si>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暗星得助</t>
    </r>
    <r>
      <rPr>
        <sz val="12"/>
        <color theme="1"/>
        <rFont val="等线"/>
        <family val="3"/>
        <charset val="134"/>
        <scheme val="minor"/>
      </rPr>
      <t>，口才与洞察得同辈、晚辈助力，</t>
    </r>
    <r>
      <rPr>
        <b/>
        <sz val="12"/>
        <color theme="1"/>
        <rFont val="等线"/>
        <family val="3"/>
        <charset val="134"/>
        <scheme val="minor"/>
      </rPr>
      <t>受众更广，群众基础好</t>
    </r>
    <r>
      <rPr>
        <sz val="12"/>
        <color theme="1"/>
        <rFont val="等线"/>
        <family val="3"/>
        <charset val="134"/>
        <scheme val="minor"/>
      </rPr>
      <t>，利于演讲、教学。</t>
    </r>
  </si>
  <si>
    <r>
      <t>巨门+文昌/文曲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</si>
  <si>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文采、才华与学术深度</t>
    </r>
    <r>
      <rPr>
        <sz val="12"/>
        <color theme="1"/>
        <rFont val="等线"/>
        <family val="3"/>
        <charset val="134"/>
        <scheme val="minor"/>
      </rPr>
      <t>，使言语更有内涵，适合文化、教育、学术。</t>
    </r>
  </si>
  <si>
    <r>
      <t>巨门+天魁/天钺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</si>
  <si>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暗星遇贵</t>
    </r>
    <r>
      <rPr>
        <sz val="12"/>
        <color theme="1"/>
        <rFont val="等线"/>
        <family val="3"/>
        <charset val="134"/>
        <scheme val="minor"/>
      </rPr>
      <t>，口才与洞察得贵人赏识提携，</t>
    </r>
    <r>
      <rPr>
        <b/>
        <sz val="12"/>
        <color theme="1"/>
        <rFont val="等线"/>
        <family val="3"/>
        <charset val="134"/>
        <scheme val="minor"/>
      </rPr>
      <t>有在大平台表达的机会</t>
    </r>
    <r>
      <rPr>
        <sz val="12"/>
        <color theme="1"/>
        <rFont val="等线"/>
        <family val="3"/>
        <charset val="134"/>
        <scheme val="minor"/>
      </rPr>
      <t>，言语易获上位者认可。</t>
    </r>
  </si>
  <si>
    <r>
      <t>巨门+禄存</t>
    </r>
    <r>
      <rPr>
        <sz val="12"/>
        <color theme="1"/>
        <rFont val="等线"/>
        <family val="3"/>
        <charset val="134"/>
        <scheme val="minor"/>
      </rPr>
      <t>​</t>
    </r>
  </si>
  <si>
    <r>
      <t>暗星带禄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以口生财</t>
    </r>
    <r>
      <rPr>
        <sz val="12"/>
        <color theme="1"/>
        <rFont val="等线"/>
        <family val="3"/>
        <charset val="134"/>
        <scheme val="minor"/>
      </rPr>
      <t>，言语能产生经济价值，财运顺遂，一生平顺。</t>
    </r>
  </si>
  <si>
    <r>
      <t>巨门+天马</t>
    </r>
    <r>
      <rPr>
        <sz val="12"/>
        <color theme="1"/>
        <rFont val="等线"/>
        <family val="3"/>
        <charset val="134"/>
        <scheme val="minor"/>
      </rPr>
      <t>​</t>
    </r>
  </si>
  <si>
    <r>
      <t>暗星奔驰</t>
    </r>
    <r>
      <rPr>
        <sz val="12"/>
        <color theme="1"/>
        <rFont val="等线"/>
        <family val="3"/>
        <charset val="134"/>
        <scheme val="minor"/>
      </rPr>
      <t>，口舌是非在变动、奔波中发生，适合外贸、跨国业务、需要移动的沟通工作。</t>
    </r>
  </si>
  <si>
    <r>
      <t>巨门+火星</t>
    </r>
    <r>
      <rPr>
        <sz val="12"/>
        <color theme="1"/>
        <rFont val="等线"/>
        <family val="3"/>
        <charset val="134"/>
        <scheme val="minor"/>
      </rPr>
      <t>​</t>
    </r>
  </si>
  <si>
    <r>
      <t>暗星逢火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“巨火擎羊，终身缢死”</t>
    </r>
    <r>
      <rPr>
        <sz val="12"/>
        <color theme="1"/>
        <rFont val="等线"/>
        <family val="3"/>
        <charset val="134"/>
        <scheme val="minor"/>
      </rPr>
      <t>（古诀，喻大凶）。言语变得</t>
    </r>
    <r>
      <rPr>
        <b/>
        <sz val="12"/>
        <color theme="1"/>
        <rFont val="等线"/>
        <family val="3"/>
        <charset val="134"/>
        <scheme val="minor"/>
      </rPr>
      <t>急躁、浮夸、具攻击性</t>
    </r>
    <r>
      <rPr>
        <sz val="12"/>
        <color theme="1"/>
        <rFont val="等线"/>
        <family val="3"/>
        <charset val="134"/>
        <scheme val="minor"/>
      </rPr>
      <t>，易因冲动言论招致大祸，需防官非、火灾。</t>
    </r>
  </si>
  <si>
    <r>
      <t>巨门+铃星</t>
    </r>
    <r>
      <rPr>
        <sz val="12"/>
        <color theme="1"/>
        <rFont val="等线"/>
        <family val="3"/>
        <charset val="134"/>
        <scheme val="minor"/>
      </rPr>
      <t>​</t>
    </r>
  </si>
  <si>
    <r>
      <t>暗星逢铃</t>
    </r>
    <r>
      <rPr>
        <sz val="12"/>
        <color theme="1"/>
        <rFont val="等线"/>
        <family val="3"/>
        <charset val="134"/>
        <scheme val="minor"/>
      </rPr>
      <t>，言语伴随</t>
    </r>
    <r>
      <rPr>
        <b/>
        <sz val="12"/>
        <color theme="1"/>
        <rFont val="等线"/>
        <family val="3"/>
        <charset val="134"/>
        <scheme val="minor"/>
      </rPr>
      <t>煎熬、隐忧、敏感多疑</t>
    </r>
    <r>
      <rPr>
        <sz val="12"/>
        <color theme="1"/>
        <rFont val="等线"/>
        <family val="3"/>
        <charset val="134"/>
        <scheme val="minor"/>
      </rPr>
      <t>，内心焦虑，易有精神困扰。</t>
    </r>
  </si>
  <si>
    <r>
      <t>巨门+擎羊</t>
    </r>
    <r>
      <rPr>
        <sz val="12"/>
        <color theme="1"/>
        <rFont val="等线"/>
        <family val="3"/>
        <charset val="134"/>
        <scheme val="minor"/>
      </rPr>
      <t>​</t>
    </r>
  </si>
  <si>
    <r>
      <t>暗星逢羊</t>
    </r>
    <r>
      <rPr>
        <sz val="12"/>
        <color theme="1"/>
        <rFont val="等线"/>
        <family val="3"/>
        <charset val="134"/>
        <scheme val="minor"/>
      </rPr>
      <t>，言语</t>
    </r>
    <r>
      <rPr>
        <b/>
        <sz val="12"/>
        <color theme="1"/>
        <rFont val="等线"/>
        <family val="3"/>
        <charset val="134"/>
        <scheme val="minor"/>
      </rPr>
      <t>尖锐如刀，好斗</t>
    </r>
    <r>
      <rPr>
        <sz val="12"/>
        <color theme="1"/>
        <rFont val="等线"/>
        <family val="3"/>
        <charset val="134"/>
        <scheme val="minor"/>
      </rPr>
      <t>，易因言语冲突引发官司、伤害。若从事公检法、律师等行业，反能化煞为用。</t>
    </r>
  </si>
  <si>
    <r>
      <t>巨门+陀罗</t>
    </r>
    <r>
      <rPr>
        <sz val="12"/>
        <color theme="1"/>
        <rFont val="等线"/>
        <family val="3"/>
        <charset val="134"/>
        <scheme val="minor"/>
      </rPr>
      <t>​</t>
    </r>
  </si>
  <si>
    <r>
      <t>暗星逢陀</t>
    </r>
    <r>
      <rPr>
        <sz val="12"/>
        <color theme="1"/>
        <rFont val="等线"/>
        <family val="3"/>
        <charset val="134"/>
        <scheme val="minor"/>
      </rPr>
      <t>，言语受</t>
    </r>
    <r>
      <rPr>
        <b/>
        <sz val="12"/>
        <color theme="1"/>
        <rFont val="等线"/>
        <family val="3"/>
        <charset val="134"/>
        <scheme val="minor"/>
      </rPr>
      <t>拖延、反复阻碍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沟通障碍，有话不直说</t>
    </r>
    <r>
      <rPr>
        <sz val="12"/>
        <color theme="1"/>
        <rFont val="等线"/>
        <family val="3"/>
        <charset val="134"/>
        <scheme val="minor"/>
      </rPr>
      <t>，易陷入长期口舌纠缠。</t>
    </r>
  </si>
  <si>
    <r>
      <t>巨门+地空</t>
    </r>
    <r>
      <rPr>
        <sz val="12"/>
        <color theme="1"/>
        <rFont val="等线"/>
        <family val="3"/>
        <charset val="134"/>
        <scheme val="minor"/>
      </rPr>
      <t>​</t>
    </r>
  </si>
  <si>
    <r>
      <t>暗星逢空</t>
    </r>
    <r>
      <rPr>
        <sz val="12"/>
        <color theme="1"/>
        <rFont val="等线"/>
        <family val="3"/>
        <charset val="134"/>
        <scheme val="minor"/>
      </rPr>
      <t>，言语</t>
    </r>
    <r>
      <rPr>
        <b/>
        <sz val="12"/>
        <color theme="1"/>
        <rFont val="等线"/>
        <family val="3"/>
        <charset val="134"/>
        <scheme val="minor"/>
      </rPr>
      <t>落空，假大空，华而不实</t>
    </r>
    <r>
      <rPr>
        <sz val="12"/>
        <color theme="1"/>
        <rFont val="等线"/>
        <family val="3"/>
        <charset val="134"/>
        <scheme val="minor"/>
      </rPr>
      <t>，易遭遇虚假承诺，或说出的话无人理解。</t>
    </r>
  </si>
  <si>
    <r>
      <t>巨门+地劫</t>
    </r>
    <r>
      <rPr>
        <sz val="12"/>
        <color theme="1"/>
        <rFont val="等线"/>
        <family val="3"/>
        <charset val="134"/>
        <scheme val="minor"/>
      </rPr>
      <t>​</t>
    </r>
  </si>
  <si>
    <r>
      <t>暗星逢劫</t>
    </r>
    <r>
      <rPr>
        <sz val="12"/>
        <color theme="1"/>
        <rFont val="等线"/>
        <family val="3"/>
        <charset val="134"/>
        <scheme val="minor"/>
      </rPr>
      <t>，言语遭</t>
    </r>
    <r>
      <rPr>
        <b/>
        <sz val="12"/>
        <color theme="1"/>
        <rFont val="等线"/>
        <family val="3"/>
        <charset val="134"/>
        <scheme val="minor"/>
      </rPr>
      <t>破耗</t>
    </r>
    <r>
      <rPr>
        <sz val="12"/>
        <color theme="1"/>
        <rFont val="等线"/>
        <family val="3"/>
        <charset val="134"/>
        <scheme val="minor"/>
      </rPr>
      <t>，易因言论遭受意外损失，或才华难以施展。</t>
    </r>
  </si>
  <si>
    <r>
      <t>巨门+化禄</t>
    </r>
    <r>
      <rPr>
        <sz val="12"/>
        <color theme="1"/>
        <rFont val="等线"/>
        <family val="3"/>
        <charset val="134"/>
        <scheme val="minor"/>
      </rPr>
      <t>​</t>
    </r>
  </si>
  <si>
    <r>
      <t>暗星化禄</t>
    </r>
    <r>
      <rPr>
        <sz val="12"/>
        <color theme="1"/>
        <rFont val="等线"/>
        <family val="3"/>
        <charset val="134"/>
        <scheme val="minor"/>
      </rPr>
      <t>（辛年生人），</t>
    </r>
    <r>
      <rPr>
        <b/>
        <sz val="12"/>
        <color theme="1"/>
        <rFont val="等线"/>
        <family val="3"/>
        <charset val="134"/>
        <scheme val="minor"/>
      </rPr>
      <t>口才生财</t>
    </r>
    <r>
      <rPr>
        <sz val="12"/>
        <color theme="1"/>
        <rFont val="等线"/>
        <family val="3"/>
        <charset val="134"/>
        <scheme val="minor"/>
      </rPr>
      <t>，善于应酬，靠嘴吃饭，但未必有真才实学。</t>
    </r>
  </si>
  <si>
    <r>
      <t>巨门+化权</t>
    </r>
    <r>
      <rPr>
        <sz val="12"/>
        <color theme="1"/>
        <rFont val="等线"/>
        <family val="3"/>
        <charset val="134"/>
        <scheme val="minor"/>
      </rPr>
      <t>​</t>
    </r>
  </si>
  <si>
    <r>
      <t>暗星化权</t>
    </r>
    <r>
      <rPr>
        <sz val="12"/>
        <color theme="1"/>
        <rFont val="等线"/>
        <family val="3"/>
        <charset val="134"/>
        <scheme val="minor"/>
      </rPr>
      <t>（丁年生人），</t>
    </r>
    <r>
      <rPr>
        <b/>
        <sz val="12"/>
        <color theme="1"/>
        <rFont val="等线"/>
        <family val="3"/>
        <charset val="134"/>
        <scheme val="minor"/>
      </rPr>
      <t>言语掌权</t>
    </r>
    <r>
      <rPr>
        <sz val="12"/>
        <color theme="1"/>
        <rFont val="等线"/>
        <family val="3"/>
        <charset val="134"/>
        <scheme val="minor"/>
      </rPr>
      <t>，说话</t>
    </r>
    <r>
      <rPr>
        <b/>
        <sz val="12"/>
        <color theme="1"/>
        <rFont val="等线"/>
        <family val="3"/>
        <charset val="134"/>
        <scheme val="minor"/>
      </rPr>
      <t>富有权威性、号召力，可号令他人</t>
    </r>
    <r>
      <rPr>
        <sz val="12"/>
        <color theme="1"/>
        <rFont val="等线"/>
        <family val="3"/>
        <charset val="134"/>
        <scheme val="minor"/>
      </rPr>
      <t>，适合领导、管理。</t>
    </r>
  </si>
  <si>
    <r>
      <t>巨门+化忌</t>
    </r>
    <r>
      <rPr>
        <sz val="12"/>
        <color theme="1"/>
        <rFont val="等线"/>
        <family val="3"/>
        <charset val="134"/>
        <scheme val="minor"/>
      </rPr>
      <t>​</t>
    </r>
  </si>
  <si>
    <r>
      <t>暗星化忌</t>
    </r>
    <r>
      <rPr>
        <sz val="12"/>
        <color theme="1"/>
        <rFont val="等线"/>
        <family val="3"/>
        <charset val="134"/>
        <scheme val="minor"/>
      </rPr>
      <t>（丁年生人），</t>
    </r>
    <r>
      <rPr>
        <b/>
        <sz val="12"/>
        <color theme="1"/>
        <rFont val="等线"/>
        <family val="3"/>
        <charset val="134"/>
        <scheme val="minor"/>
      </rPr>
      <t>口舌是非的核心标志</t>
    </r>
    <r>
      <rPr>
        <sz val="12"/>
        <color theme="1"/>
        <rFont val="等线"/>
        <family val="3"/>
        <charset val="134"/>
        <scheme val="minor"/>
      </rPr>
      <t>。未必全凶，可能仅代表从事以口为业的行业（如教师、律师）；但若逢煞曜，则</t>
    </r>
    <r>
      <rPr>
        <b/>
        <sz val="12"/>
        <color theme="1"/>
        <rFont val="等线"/>
        <family val="3"/>
        <charset val="134"/>
        <scheme val="minor"/>
      </rPr>
      <t>必主官非、诉讼、争执、谣言</t>
    </r>
    <r>
      <rPr>
        <sz val="12"/>
        <color theme="1"/>
        <rFont val="等线"/>
        <family val="3"/>
        <charset val="134"/>
        <scheme val="minor"/>
      </rPr>
      <t>，是非缠身。</t>
    </r>
  </si>
  <si>
    <r>
      <t>1. “巨门”与“太阳”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巨门星化气为“暗”</t>
    </r>
    <r>
      <rPr>
        <sz val="11"/>
        <color theme="1"/>
        <rFont val="等线"/>
        <family val="2"/>
        <charset val="134"/>
        <scheme val="minor"/>
      </rPr>
      <t>，其吉凶</t>
    </r>
    <r>
      <rPr>
        <b/>
        <sz val="11"/>
        <color theme="1"/>
        <rFont val="等线"/>
        <family val="3"/>
        <charset val="134"/>
        <scheme val="minor"/>
      </rPr>
      <t>几乎不由自身决定，而由太阳的庙旺落陷决定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太阳庙旺</t>
    </r>
    <r>
      <rPr>
        <sz val="11"/>
        <color theme="1"/>
        <rFont val="等线"/>
        <family val="2"/>
        <charset val="134"/>
        <scheme val="minor"/>
      </rPr>
      <t>（如寅、午、巳宫）能</t>
    </r>
    <r>
      <rPr>
        <b/>
        <sz val="11"/>
        <color theme="1"/>
        <rFont val="等线"/>
        <family val="3"/>
        <charset val="134"/>
        <scheme val="minor"/>
      </rPr>
      <t>驱散巨门之暗</t>
    </r>
    <r>
      <rPr>
        <sz val="11"/>
        <color theme="1"/>
        <rFont val="等线"/>
        <family val="2"/>
        <charset val="134"/>
        <scheme val="minor"/>
      </rPr>
      <t>，将其口才转化为正能量与影响力；</t>
    </r>
    <r>
      <rPr>
        <b/>
        <sz val="11"/>
        <color theme="1"/>
        <rFont val="等线"/>
        <family val="3"/>
        <charset val="134"/>
        <scheme val="minor"/>
      </rPr>
      <t>太阳落陷</t>
    </r>
    <r>
      <rPr>
        <sz val="11"/>
        <color theme="1"/>
        <rFont val="等线"/>
        <family val="2"/>
        <charset val="134"/>
        <scheme val="minor"/>
      </rPr>
      <t>（如申、酉宫）则</t>
    </r>
    <r>
      <rPr>
        <b/>
        <sz val="11"/>
        <color theme="1"/>
        <rFont val="等线"/>
        <family val="3"/>
        <charset val="134"/>
        <scheme val="minor"/>
      </rPr>
      <t>加剧巨门之暗</t>
    </r>
    <r>
      <rPr>
        <sz val="11"/>
        <color theme="1"/>
        <rFont val="等线"/>
        <family val="2"/>
        <charset val="134"/>
        <scheme val="minor"/>
      </rPr>
      <t>，使其口舌沦为是非工具。此即“</t>
    </r>
    <r>
      <rPr>
        <b/>
        <sz val="11"/>
        <color theme="1"/>
        <rFont val="等线"/>
        <family val="3"/>
        <charset val="134"/>
        <scheme val="minor"/>
      </rPr>
      <t>巨日同宫，官封三代</t>
    </r>
    <r>
      <rPr>
        <sz val="11"/>
        <color theme="1"/>
        <rFont val="等线"/>
        <family val="2"/>
        <charset val="134"/>
        <scheme val="minor"/>
      </rPr>
      <t>”（寅申宫）之理。</t>
    </r>
  </si>
  <si>
    <r>
      <t>2. “暗”的本质</t>
    </r>
    <r>
      <rPr>
        <sz val="11"/>
        <color theme="1"/>
        <rFont val="等线"/>
        <family val="2"/>
        <charset val="134"/>
        <scheme val="minor"/>
      </rPr>
      <t>：巨门的“暗”并非邪恶，而是</t>
    </r>
    <r>
      <rPr>
        <b/>
        <sz val="11"/>
        <color theme="1"/>
        <rFont val="等线"/>
        <family val="3"/>
        <charset val="134"/>
        <scheme val="minor"/>
      </rPr>
      <t>遮蔽、隐藏、不明朗、探究暗处</t>
    </r>
    <r>
      <rPr>
        <sz val="11"/>
        <color theme="1"/>
        <rFont val="等线"/>
        <family val="2"/>
        <charset val="134"/>
        <scheme val="minor"/>
      </rPr>
      <t>的特质。在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为多疑、洞察、口才；在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为是非、暗昧、研究；在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为管道、门户、中空之物。</t>
    </r>
  </si>
  <si>
    <r>
      <t>3. “口舌是非之主”</t>
    </r>
    <r>
      <rPr>
        <sz val="11"/>
        <color theme="1"/>
        <rFont val="等线"/>
        <family val="2"/>
        <charset val="134"/>
        <scheme val="minor"/>
      </rPr>
      <t>：巨门为</t>
    </r>
    <r>
      <rPr>
        <b/>
        <sz val="11"/>
        <color theme="1"/>
        <rFont val="等线"/>
        <family val="3"/>
        <charset val="134"/>
        <scheme val="minor"/>
      </rPr>
      <t>口舌是非之主</t>
    </r>
    <r>
      <rPr>
        <sz val="11"/>
        <color theme="1"/>
        <rFont val="等线"/>
        <family val="2"/>
        <charset val="134"/>
        <scheme val="minor"/>
      </rPr>
      <t>，一切与“口”相关的现象皆与之相关。其表现两极分化：</t>
    </r>
    <r>
      <rPr>
        <b/>
        <sz val="11"/>
        <color theme="1"/>
        <rFont val="等线"/>
        <family val="3"/>
        <charset val="134"/>
        <scheme val="minor"/>
      </rPr>
      <t>吉则为良性表达</t>
    </r>
    <r>
      <rPr>
        <sz val="11"/>
        <color theme="1"/>
        <rFont val="等线"/>
        <family val="2"/>
        <charset val="134"/>
        <scheme val="minor"/>
      </rPr>
      <t>（演讲、教育、谈判）；</t>
    </r>
    <r>
      <rPr>
        <b/>
        <sz val="11"/>
        <color theme="1"/>
        <rFont val="等线"/>
        <family val="3"/>
        <charset val="134"/>
        <scheme val="minor"/>
      </rPr>
      <t>凶则为恶性是非</t>
    </r>
    <r>
      <rPr>
        <sz val="11"/>
        <color theme="1"/>
        <rFont val="等线"/>
        <family val="2"/>
        <charset val="134"/>
        <scheme val="minor"/>
      </rPr>
      <t>（争执、谣言、官非）。</t>
    </r>
    <r>
      <rPr>
        <b/>
        <sz val="11"/>
        <color theme="1"/>
        <rFont val="等线"/>
        <family val="3"/>
        <charset val="134"/>
        <scheme val="minor"/>
      </rPr>
      <t>谨言慎行是巨门一生的修行课</t>
    </r>
    <r>
      <rPr>
        <sz val="11"/>
        <color theme="1"/>
        <rFont val="等线"/>
        <family val="2"/>
        <charset val="134"/>
        <scheme val="minor"/>
      </rPr>
      <t>。</t>
    </r>
  </si>
  <si>
    <r>
      <t>4. “石中隐玉”格局</t>
    </r>
    <r>
      <rPr>
        <sz val="11"/>
        <color theme="1"/>
        <rFont val="等线"/>
        <family val="2"/>
        <charset val="134"/>
        <scheme val="minor"/>
      </rPr>
      <t>：巨门独坐</t>
    </r>
    <r>
      <rPr>
        <b/>
        <sz val="11"/>
        <color theme="1"/>
        <rFont val="等线"/>
        <family val="3"/>
        <charset val="134"/>
        <scheme val="minor"/>
      </rPr>
      <t>子、午宫</t>
    </r>
    <r>
      <rPr>
        <sz val="11"/>
        <color theme="1"/>
        <rFont val="等线"/>
        <family val="2"/>
        <charset val="134"/>
        <scheme val="minor"/>
      </rPr>
      <t>，见</t>
    </r>
    <r>
      <rPr>
        <b/>
        <sz val="11"/>
        <color theme="1"/>
        <rFont val="等线"/>
        <family val="3"/>
        <charset val="134"/>
        <scheme val="minor"/>
      </rPr>
      <t>化禄、化权、化科</t>
    </r>
    <r>
      <rPr>
        <sz val="11"/>
        <color theme="1"/>
        <rFont val="等线"/>
        <family val="2"/>
        <charset val="134"/>
        <scheme val="minor"/>
      </rPr>
      <t>，无煞冲破，称为“</t>
    </r>
    <r>
      <rPr>
        <b/>
        <sz val="11"/>
        <color theme="1"/>
        <rFont val="等线"/>
        <family val="3"/>
        <charset val="134"/>
        <scheme val="minor"/>
      </rPr>
      <t>石中隐玉格</t>
    </r>
    <r>
      <rPr>
        <sz val="11"/>
        <color theme="1"/>
        <rFont val="等线"/>
        <family val="2"/>
        <charset val="134"/>
        <scheme val="minor"/>
      </rPr>
      <t>”。主</t>
    </r>
    <r>
      <rPr>
        <b/>
        <sz val="11"/>
        <color theme="1"/>
        <rFont val="等线"/>
        <family val="3"/>
        <charset val="134"/>
        <scheme val="minor"/>
      </rPr>
      <t>才华内敛，厚积薄发，大器晚成</t>
    </r>
    <r>
      <rPr>
        <sz val="11"/>
        <color theme="1"/>
        <rFont val="等线"/>
        <family val="2"/>
        <charset val="134"/>
        <scheme val="minor"/>
      </rPr>
      <t>。此格最忌张扬，越低调成就越大。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</si>
  <si>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：巨门星所在宫位，指示在人生的哪个领域易有</t>
    </r>
    <r>
      <rPr>
        <b/>
        <sz val="11"/>
        <color theme="1"/>
        <rFont val="等线"/>
        <family val="3"/>
        <charset val="134"/>
        <scheme val="minor"/>
      </rPr>
      <t>口舌、是非、暗昧、需要深入沟通或研究</t>
    </r>
    <r>
      <rPr>
        <sz val="11"/>
        <color theme="1"/>
        <rFont val="等线"/>
        <family val="2"/>
        <charset val="134"/>
        <scheme val="minor"/>
      </rPr>
      <t>的事务，也指示该领域是</t>
    </r>
    <r>
      <rPr>
        <b/>
        <sz val="11"/>
        <color theme="1"/>
        <rFont val="等线"/>
        <family val="3"/>
        <charset val="134"/>
        <scheme val="minor"/>
      </rPr>
      <t>信息的出入口或隔阂点</t>
    </r>
    <r>
      <rPr>
        <sz val="11"/>
        <color theme="1"/>
        <rFont val="等线"/>
        <family val="2"/>
        <charset val="134"/>
        <scheme val="minor"/>
      </rPr>
      <t>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</si>
  <si>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口才生财</t>
    </r>
    <r>
      <rPr>
        <sz val="11"/>
        <color theme="1"/>
        <rFont val="等线"/>
        <family val="2"/>
        <charset val="134"/>
        <scheme val="minor"/>
      </rPr>
      <t>，善于应酬。见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言语掌权</t>
    </r>
    <r>
      <rPr>
        <sz val="11"/>
        <color theme="1"/>
        <rFont val="等线"/>
        <family val="2"/>
        <charset val="134"/>
        <scheme val="minor"/>
      </rPr>
      <t>，说话有权威。见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口舌是非</t>
    </r>
    <r>
      <rPr>
        <sz val="11"/>
        <color theme="1"/>
        <rFont val="等线"/>
        <family val="2"/>
        <charset val="134"/>
        <scheme val="minor"/>
      </rPr>
      <t>的核心标志，易惹官非诉讼，需极度谨慎。</t>
    </r>
  </si>
  <si>
    <r>
      <t>7. 特殊格局与组合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“巨日同宫格”</t>
    </r>
    <r>
      <rPr>
        <sz val="11"/>
        <color theme="1"/>
        <rFont val="等线"/>
        <family val="2"/>
        <charset val="134"/>
        <scheme val="minor"/>
      </rPr>
      <t>（寅申宫）：利外交、传媒。</t>
    </r>
    <r>
      <rPr>
        <b/>
        <sz val="11"/>
        <color theme="1"/>
        <rFont val="等线"/>
        <family val="3"/>
        <charset val="134"/>
        <scheme val="minor"/>
      </rPr>
      <t>“机巨同临格”</t>
    </r>
    <r>
      <rPr>
        <sz val="11"/>
        <color theme="1"/>
        <rFont val="等线"/>
        <family val="2"/>
        <charset val="134"/>
        <scheme val="minor"/>
      </rPr>
      <t>（卯宫，见吉化吉曜）：主聪明机变，但多疑。</t>
    </r>
    <r>
      <rPr>
        <b/>
        <sz val="11"/>
        <color theme="1"/>
        <rFont val="等线"/>
        <family val="3"/>
        <charset val="134"/>
        <scheme val="minor"/>
      </rPr>
      <t>“同巨组合”</t>
    </r>
    <r>
      <rPr>
        <sz val="11"/>
        <color theme="1"/>
        <rFont val="等线"/>
        <family val="2"/>
        <charset val="134"/>
        <scheme val="minor"/>
      </rPr>
      <t>（丑未宫）：情感困扰，精神纠结。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</si>
  <si>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法院、学校、律师事务所、媒体机构、车站、机场、港口、管道、洞穴、井、阴暗杂乱之处、餐厅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</si>
  <si>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巨门星的全部原始定义、分类与案例，并严格依您的要求，在“本质”部分增补了“人/事/物”三个层次的解析，未增删改臆。巨门星为暗曜，主口舌与是非。其核心在于“暗”与“言”，常在沟通、研究、法律领域显现，但其“成也口舌，败也口舌”的双刃剑性质需仔细权衡。最喜太阳庙旺照射以解其暗，喜化禄、化权、禄存以增其吉。然巨门最忌煞忌，遇之则凶性倍增，口舌官非难免。在紫占中，巨门与太阳的庙陷关系、以及与各主星组合产生的“口舌”、“是非”、“管道”等具体卦象，是断事关键，需结合具体星情与宫位细察。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</si>
  <si>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七杀星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的完整象义解析如下（严格遵循原始资料结构与表述，并依您的要求，在“本质”部分增补“人/事/物”三个层次的解析）：</t>
    </r>
  </si>
  <si>
    <t>一、七杀定义</t>
  </si>
  <si>
    <t>肃杀、变动、孤克、权威、将星、冒险、突破</t>
  </si>
  <si>
    <t>整合自《金刚佛光-紫占课程手册》中关于七杀“肃杀”、“变动”、“孤克”、“将星”等核心概念的深度阐释与类象推演。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</si>
  <si>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南斗第六星</t>
    </r>
    <r>
      <rPr>
        <sz val="12"/>
        <color theme="1"/>
        <rFont val="等线"/>
        <family val="3"/>
        <charset val="134"/>
        <scheme val="minor"/>
      </rPr>
      <t>，属</t>
    </r>
    <r>
      <rPr>
        <b/>
        <sz val="12"/>
        <color theme="1"/>
        <rFont val="等线"/>
        <family val="3"/>
        <charset val="134"/>
        <scheme val="minor"/>
      </rPr>
      <t>阴金（辛金）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权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将星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肃杀</t>
    </r>
    <r>
      <rPr>
        <sz val="12"/>
        <color theme="1"/>
        <rFont val="等线"/>
        <family val="3"/>
        <charset val="134"/>
        <scheme val="minor"/>
      </rPr>
      <t>。喜庙旺（子、午、寅、申为庙旺），忌落陷（辰、戌为落陷）。</t>
    </r>
    <r>
      <rPr>
        <b/>
        <sz val="12"/>
        <color theme="1"/>
        <rFont val="等线"/>
        <family val="3"/>
        <charset val="134"/>
        <scheme val="minor"/>
      </rPr>
      <t>喜见紫微、天府、禄存、化禄以制其恶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最忌煞忌</t>
    </r>
    <r>
      <rPr>
        <sz val="12"/>
        <color theme="1"/>
        <rFont val="等线"/>
        <family val="3"/>
        <charset val="134"/>
        <scheme val="minor"/>
      </rPr>
      <t>（擎羊、陀罗、火星、铃星、地空、地劫、化忌），遇之凶性倍增。七杀是</t>
    </r>
    <r>
      <rPr>
        <b/>
        <sz val="12"/>
        <color theme="1"/>
        <rFont val="等线"/>
        <family val="3"/>
        <charset val="134"/>
        <scheme val="minor"/>
      </rPr>
      <t>变动之星</t>
    </r>
    <r>
      <rPr>
        <sz val="12"/>
        <color theme="1"/>
        <rFont val="等线"/>
        <family val="3"/>
        <charset val="134"/>
        <scheme val="minor"/>
      </rPr>
      <t>，一生</t>
    </r>
    <r>
      <rPr>
        <b/>
        <sz val="12"/>
        <color theme="1"/>
        <rFont val="等线"/>
        <family val="3"/>
        <charset val="134"/>
        <scheme val="minor"/>
      </rPr>
      <t>多变动、多挑战</t>
    </r>
    <r>
      <rPr>
        <sz val="12"/>
        <color theme="1"/>
        <rFont val="等线"/>
        <family val="3"/>
        <charset val="134"/>
        <scheme val="minor"/>
      </rPr>
      <t>，成败起伏大。</t>
    </r>
  </si>
  <si>
    <r>
      <t>肃杀与权威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</si>
  <si>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肃杀、权威、决断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将星</t>
    </r>
    <r>
      <rPr>
        <sz val="12"/>
        <color theme="1"/>
        <rFont val="等线"/>
        <family val="3"/>
        <charset val="134"/>
        <scheme val="minor"/>
      </rPr>
      <t>，有</t>
    </r>
    <r>
      <rPr>
        <b/>
        <sz val="12"/>
        <color theme="1"/>
        <rFont val="等线"/>
        <family val="3"/>
        <charset val="134"/>
        <scheme val="minor"/>
      </rPr>
      <t>领导才能、魄力、威严</t>
    </r>
    <r>
      <rPr>
        <sz val="12"/>
        <color theme="1"/>
        <rFont val="等线"/>
        <family val="3"/>
        <charset val="134"/>
        <scheme val="minor"/>
      </rPr>
      <t>，能</t>
    </r>
    <r>
      <rPr>
        <b/>
        <sz val="12"/>
        <color theme="1"/>
        <rFont val="等线"/>
        <family val="3"/>
        <charset val="134"/>
        <scheme val="minor"/>
      </rPr>
      <t>独当一面</t>
    </r>
    <r>
      <rPr>
        <sz val="12"/>
        <color theme="1"/>
        <rFont val="等线"/>
        <family val="3"/>
        <charset val="134"/>
        <scheme val="minor"/>
      </rPr>
      <t>。但肃杀之气也带来</t>
    </r>
    <r>
      <rPr>
        <b/>
        <sz val="12"/>
        <color theme="1"/>
        <rFont val="等线"/>
        <family val="3"/>
        <charset val="134"/>
        <scheme val="minor"/>
      </rPr>
      <t>孤克、竞争、伤害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</si>
  <si>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在命宫、官禄宫时，主有领导力，但人生多竞争。</t>
  </si>
  <si>
    <r>
      <t>变动与突破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</si>
  <si>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变动、突破、冒险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不甘平淡，喜变动、挑战</t>
    </r>
    <r>
      <rPr>
        <sz val="12"/>
        <color theme="1"/>
        <rFont val="等线"/>
        <family val="3"/>
        <charset val="134"/>
        <scheme val="minor"/>
      </rPr>
      <t>，常在变动中求发展。变动包括</t>
    </r>
    <r>
      <rPr>
        <b/>
        <sz val="12"/>
        <color theme="1"/>
        <rFont val="等线"/>
        <family val="3"/>
        <charset val="134"/>
        <scheme val="minor"/>
      </rPr>
      <t>事业、居住地、人生方向的重大转变</t>
    </r>
    <r>
      <rPr>
        <sz val="12"/>
        <color theme="1"/>
        <rFont val="等线"/>
        <family val="3"/>
        <charset val="134"/>
        <scheme val="minor"/>
      </rPr>
      <t>。</t>
    </r>
  </si>
  <si>
    <t>在命宫、迁移宫时，主一生多动，喜开拓。</t>
  </si>
  <si>
    <r>
      <t>孤克与孤独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</si>
  <si>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权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权带孤性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孤傲、不喜受人管束</t>
    </r>
    <r>
      <rPr>
        <sz val="12"/>
        <color theme="1"/>
        <rFont val="等线"/>
        <family val="3"/>
        <charset val="134"/>
        <scheme val="minor"/>
      </rPr>
      <t>，人际关系</t>
    </r>
    <r>
      <rPr>
        <b/>
        <sz val="12"/>
        <color theme="1"/>
        <rFont val="等线"/>
        <family val="3"/>
        <charset val="134"/>
        <scheme val="minor"/>
      </rPr>
      <t>易有隔阂，朋友多但知己少</t>
    </r>
    <r>
      <rPr>
        <sz val="12"/>
        <color theme="1"/>
        <rFont val="等线"/>
        <family val="3"/>
        <charset val="134"/>
        <scheme val="minor"/>
      </rPr>
      <t>，内心常有</t>
    </r>
    <r>
      <rPr>
        <b/>
        <sz val="12"/>
        <color theme="1"/>
        <rFont val="等线"/>
        <family val="3"/>
        <charset val="134"/>
        <scheme val="minor"/>
      </rPr>
      <t>孤独感</t>
    </r>
    <r>
      <rPr>
        <sz val="12"/>
        <color theme="1"/>
        <rFont val="等线"/>
        <family val="3"/>
        <charset val="134"/>
        <scheme val="minor"/>
      </rPr>
      <t>。</t>
    </r>
  </si>
  <si>
    <t>在命宫、福德宫时，主性格孤傲，内心孤独。</t>
  </si>
  <si>
    <r>
      <t>冒险与魄力</t>
    </r>
    <r>
      <rPr>
        <sz val="12"/>
        <color theme="1"/>
        <rFont val="等线"/>
        <family val="3"/>
        <charset val="134"/>
        <scheme val="minor"/>
      </rPr>
      <t>​</t>
    </r>
  </si>
  <si>
    <r>
      <t>勇敢冒险，不畏艰难，执行力强</t>
    </r>
    <r>
      <rPr>
        <sz val="12"/>
        <color theme="1"/>
        <rFont val="等线"/>
        <family val="3"/>
        <charset val="134"/>
        <scheme val="minor"/>
      </rPr>
      <t>。有</t>
    </r>
    <r>
      <rPr>
        <b/>
        <sz val="12"/>
        <color theme="1"/>
        <rFont val="等线"/>
        <family val="3"/>
        <charset val="134"/>
        <scheme val="minor"/>
      </rPr>
      <t>开拓精神</t>
    </r>
    <r>
      <rPr>
        <sz val="12"/>
        <color theme="1"/>
        <rFont val="等线"/>
        <family val="3"/>
        <charset val="134"/>
        <scheme val="minor"/>
      </rPr>
      <t>，适合从事</t>
    </r>
    <r>
      <rPr>
        <b/>
        <sz val="12"/>
        <color theme="1"/>
        <rFont val="等线"/>
        <family val="3"/>
        <charset val="134"/>
        <scheme val="minor"/>
      </rPr>
      <t>军警、外科、工程、探险</t>
    </r>
    <r>
      <rPr>
        <sz val="12"/>
        <color theme="1"/>
        <rFont val="等线"/>
        <family val="3"/>
        <charset val="134"/>
        <scheme val="minor"/>
      </rPr>
      <t>等需要胆识与魄力的行业。</t>
    </r>
  </si>
  <si>
    <t>在官禄宫、命宫时，主事业上敢闯敢拼。</t>
  </si>
  <si>
    <r>
      <t>眉骨高，眼大而锐，面色黄白，身材中等偏瘦，行动敏捷，不怒自威</t>
    </r>
    <r>
      <rPr>
        <sz val="12"/>
        <color theme="1"/>
        <rFont val="等线"/>
        <family val="3"/>
        <charset val="134"/>
        <scheme val="minor"/>
      </rPr>
      <t>。给人</t>
    </r>
    <r>
      <rPr>
        <b/>
        <sz val="12"/>
        <color theme="1"/>
        <rFont val="等线"/>
        <family val="3"/>
        <charset val="134"/>
        <scheme val="minor"/>
      </rPr>
      <t>刚毅、果决、有威严</t>
    </r>
    <r>
      <rPr>
        <sz val="12"/>
        <color theme="1"/>
        <rFont val="等线"/>
        <family val="3"/>
        <charset val="134"/>
        <scheme val="minor"/>
      </rPr>
      <t>的印象。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</si>
  <si>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：刚烈果决，勇敢冒险，不畏艰难，有魄力，执行力强，重义气。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</si>
  <si>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：性情急躁，冲动易怒，固执己见，孤傲不群，不喜受人管束，易独断专行。</t>
    </r>
  </si>
  <si>
    <r>
      <t>属金，主</t>
    </r>
    <r>
      <rPr>
        <b/>
        <sz val="12"/>
        <color theme="1"/>
        <rFont val="等线"/>
        <family val="3"/>
        <charset val="134"/>
        <scheme val="minor"/>
      </rPr>
      <t>肺、呼吸系统、骨骼、牙齿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呼吸系统疾病、骨折、外伤、手术</t>
    </r>
    <r>
      <rPr>
        <sz val="12"/>
        <color theme="1"/>
        <rFont val="等线"/>
        <family val="3"/>
        <charset val="134"/>
        <scheme val="minor"/>
      </rPr>
      <t>。七杀为肃杀之星，亦主</t>
    </r>
    <r>
      <rPr>
        <b/>
        <sz val="12"/>
        <color theme="1"/>
        <rFont val="等线"/>
        <family val="3"/>
        <charset val="134"/>
        <scheme val="minor"/>
      </rPr>
      <t>血光、意外伤害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</si>
  <si>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刚烈果决，勇敢冒险，有魄力，执行力强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多变动，多挑战</t>
    </r>
    <r>
      <rPr>
        <sz val="12"/>
        <color theme="1"/>
        <rFont val="等线"/>
        <family val="3"/>
        <charset val="134"/>
        <scheme val="minor"/>
      </rPr>
      <t>，适合从事</t>
    </r>
    <r>
      <rPr>
        <b/>
        <sz val="12"/>
        <color theme="1"/>
        <rFont val="等线"/>
        <family val="3"/>
        <charset val="134"/>
        <scheme val="minor"/>
      </rPr>
      <t>军警、外科、工程、管理、探险</t>
    </r>
    <r>
      <rPr>
        <sz val="12"/>
        <color theme="1"/>
        <rFont val="等线"/>
        <family val="3"/>
        <charset val="134"/>
        <scheme val="minor"/>
      </rPr>
      <t>等需要胆识的行业。</t>
    </r>
    <r>
      <rPr>
        <b/>
        <sz val="12"/>
        <color theme="1"/>
        <rFont val="等线"/>
        <family val="3"/>
        <charset val="134"/>
        <scheme val="minor"/>
      </rPr>
      <t>喜见紫微、天府、禄存、化禄</t>
    </r>
    <r>
      <rPr>
        <sz val="12"/>
        <color theme="1"/>
        <rFont val="等线"/>
        <family val="3"/>
        <charset val="134"/>
        <scheme val="minor"/>
      </rPr>
      <t>，可成“</t>
    </r>
    <r>
      <rPr>
        <b/>
        <sz val="12"/>
        <color theme="1"/>
        <rFont val="等线"/>
        <family val="3"/>
        <charset val="134"/>
        <scheme val="minor"/>
      </rPr>
      <t>雄宿乾元格</t>
    </r>
    <r>
      <rPr>
        <sz val="12"/>
        <color theme="1"/>
        <rFont val="等线"/>
        <family val="3"/>
        <charset val="134"/>
        <scheme val="minor"/>
      </rPr>
      <t>”或“</t>
    </r>
    <r>
      <rPr>
        <b/>
        <sz val="12"/>
        <color theme="1"/>
        <rFont val="等线"/>
        <family val="3"/>
        <charset val="134"/>
        <scheme val="minor"/>
      </rPr>
      <t>七杀朝斗格</t>
    </r>
    <r>
      <rPr>
        <sz val="12"/>
        <color theme="1"/>
        <rFont val="等线"/>
        <family val="3"/>
        <charset val="134"/>
        <scheme val="minor"/>
      </rPr>
      <t>”，主大富大贵。</t>
    </r>
    <r>
      <rPr>
        <b/>
        <sz val="12"/>
        <color theme="1"/>
        <rFont val="等线"/>
        <family val="3"/>
        <charset val="134"/>
        <scheme val="minor"/>
      </rPr>
      <t>最忌煞忌</t>
    </r>
    <r>
      <rPr>
        <sz val="12"/>
        <color theme="1"/>
        <rFont val="等线"/>
        <family val="3"/>
        <charset val="134"/>
        <scheme val="minor"/>
      </rPr>
      <t>，则一生</t>
    </r>
    <r>
      <rPr>
        <b/>
        <sz val="12"/>
        <color theme="1"/>
        <rFont val="等线"/>
        <family val="3"/>
        <charset val="134"/>
        <scheme val="minor"/>
      </rPr>
      <t>动荡不安，多灾多难，孤独刑克</t>
    </r>
    <r>
      <rPr>
        <sz val="12"/>
        <color theme="1"/>
        <rFont val="等线"/>
        <family val="3"/>
        <charset val="134"/>
        <scheme val="minor"/>
      </rPr>
      <t>。七杀坐命，需</t>
    </r>
    <r>
      <rPr>
        <b/>
        <sz val="12"/>
        <color theme="1"/>
        <rFont val="等线"/>
        <family val="3"/>
        <charset val="134"/>
        <scheme val="minor"/>
      </rPr>
      <t>以变动求稳定，以冒险求成就</t>
    </r>
    <r>
      <rPr>
        <sz val="12"/>
        <color theme="1"/>
        <rFont val="等线"/>
        <family val="3"/>
        <charset val="134"/>
        <scheme val="minor"/>
      </rPr>
      <t>。</t>
    </r>
  </si>
  <si>
    <r>
      <t>与</t>
    </r>
    <r>
      <rPr>
        <b/>
        <sz val="12"/>
        <color theme="1"/>
        <rFont val="等线"/>
        <family val="3"/>
        <charset val="134"/>
        <scheme val="minor"/>
      </rPr>
      <t>兄弟姐妹缘分较薄，易有竞争、分离</t>
    </r>
    <r>
      <rPr>
        <sz val="12"/>
        <color theme="1"/>
        <rFont val="等线"/>
        <family val="3"/>
        <charset val="134"/>
        <scheme val="minor"/>
      </rPr>
      <t>。兄弟姐妹中可能有性格刚烈、好冒险者。</t>
    </r>
  </si>
  <si>
    <r>
      <t>❌ 非善地！</t>
    </r>
    <r>
      <rPr>
        <sz val="12"/>
        <color theme="1"/>
        <rFont val="等线"/>
        <family val="3"/>
        <charset val="134"/>
        <scheme val="minor"/>
      </rPr>
      <t>​ 主</t>
    </r>
    <r>
      <rPr>
        <b/>
        <sz val="12"/>
        <color theme="1"/>
        <rFont val="等线"/>
        <family val="3"/>
        <charset val="134"/>
        <scheme val="minor"/>
      </rPr>
      <t>夫妻关系紧张，易有冲突、分离</t>
    </r>
    <r>
      <rPr>
        <sz val="12"/>
        <color theme="1"/>
        <rFont val="等线"/>
        <family val="3"/>
        <charset val="134"/>
        <scheme val="minor"/>
      </rPr>
      <t>。配偶可能性格刚烈，或双方因事业、变动聚少离多。</t>
    </r>
    <r>
      <rPr>
        <b/>
        <sz val="12"/>
        <color theme="1"/>
        <rFont val="等线"/>
        <family val="3"/>
        <charset val="134"/>
        <scheme val="minor"/>
      </rPr>
      <t>宜晚婚，或配偶为军警、外科等职业</t>
    </r>
    <r>
      <rPr>
        <sz val="12"/>
        <color theme="1"/>
        <rFont val="等线"/>
        <family val="3"/>
        <charset val="134"/>
        <scheme val="minor"/>
      </rPr>
      <t>，可化解部分凶性。女命七杀坐夫妻，易嫁“硬汉”，但婚姻多波折。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</si>
  <si>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个性强，好动，有冒险精神</t>
    </r>
    <r>
      <rPr>
        <sz val="12"/>
        <color theme="1"/>
        <rFont val="等线"/>
        <family val="3"/>
        <charset val="134"/>
        <scheme val="minor"/>
      </rPr>
      <t>，但管教不易，易有叛逆。子嗣缘较薄，煞忌重则需防流产、子女健康不佳或意外。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</si>
  <si>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冒险、激进，喜高风险投资</t>
    </r>
    <r>
      <rPr>
        <sz val="12"/>
        <color theme="1"/>
        <rFont val="等线"/>
        <family val="3"/>
        <charset val="134"/>
        <scheme val="minor"/>
      </rPr>
      <t>。财运</t>
    </r>
    <r>
      <rPr>
        <b/>
        <sz val="12"/>
        <color theme="1"/>
        <rFont val="等线"/>
        <family val="3"/>
        <charset val="134"/>
        <scheme val="minor"/>
      </rPr>
      <t>起伏大，暴发暴败</t>
    </r>
    <r>
      <rPr>
        <sz val="12"/>
        <color theme="1"/>
        <rFont val="等线"/>
        <family val="3"/>
        <charset val="134"/>
        <scheme val="minor"/>
      </rPr>
      <t>。宜从事</t>
    </r>
    <r>
      <rPr>
        <b/>
        <sz val="12"/>
        <color theme="1"/>
        <rFont val="等线"/>
        <family val="3"/>
        <charset val="134"/>
        <scheme val="minor"/>
      </rPr>
      <t>军警、外科、工程、技术</t>
    </r>
    <r>
      <rPr>
        <sz val="12"/>
        <color theme="1"/>
        <rFont val="等线"/>
        <family val="3"/>
        <charset val="134"/>
        <scheme val="minor"/>
      </rPr>
      <t>等高风险高回报行业。见禄存、化禄，可因冒险得大财；见煞忌，则易因冒险破大财。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</si>
  <si>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呼吸系统疾病、骨折、外伤、手术、血光之灾</t>
    </r>
    <r>
      <rPr>
        <sz val="12"/>
        <color theme="1"/>
        <rFont val="等线"/>
        <family val="3"/>
        <charset val="134"/>
        <scheme val="minor"/>
      </rPr>
      <t>。煞忌重则需防意外伤害、重大疾病。</t>
    </r>
  </si>
  <si>
    <r>
      <t>在外发展</t>
    </r>
    <r>
      <rPr>
        <b/>
        <sz val="12"/>
        <color theme="1"/>
        <rFont val="等线"/>
        <family val="3"/>
        <charset val="134"/>
        <scheme val="minor"/>
      </rPr>
      <t>多变动、多冒险、多机遇</t>
    </r>
    <r>
      <rPr>
        <sz val="12"/>
        <color theme="1"/>
        <rFont val="等线"/>
        <family val="3"/>
        <charset val="134"/>
        <scheme val="minor"/>
      </rPr>
      <t>。适合外出发展，从事需要奔波、冒险的工作。外出易遇挑战，但也能凭胆识闯出一片天。</t>
    </r>
  </si>
  <si>
    <r>
      <t>朋友、部属多</t>
    </r>
    <r>
      <rPr>
        <b/>
        <sz val="12"/>
        <color theme="1"/>
        <rFont val="等线"/>
        <family val="3"/>
        <charset val="134"/>
        <scheme val="minor"/>
      </rPr>
      <t>性格刚烈、好冒险</t>
    </r>
    <r>
      <rPr>
        <sz val="12"/>
        <color theme="1"/>
        <rFont val="等线"/>
        <family val="3"/>
        <charset val="134"/>
        <scheme val="minor"/>
      </rPr>
      <t>者，但关系不稳定，易因利益冲突。煞忌重则需防朋友背叛或连累。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</si>
  <si>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军警、外科、工程、管理、探险、体育</t>
    </r>
    <r>
      <rPr>
        <sz val="12"/>
        <color theme="1"/>
        <rFont val="等线"/>
        <family val="3"/>
        <charset val="134"/>
        <scheme val="minor"/>
      </rPr>
      <t>等需要魄力与冒险精神的行业。事业上</t>
    </r>
    <r>
      <rPr>
        <b/>
        <sz val="12"/>
        <color theme="1"/>
        <rFont val="等线"/>
        <family val="3"/>
        <charset val="134"/>
        <scheme val="minor"/>
      </rPr>
      <t>多变动，喜挑战权威，不甘居人下</t>
    </r>
    <r>
      <rPr>
        <sz val="12"/>
        <color theme="1"/>
        <rFont val="等线"/>
        <family val="3"/>
        <charset val="134"/>
        <scheme val="minor"/>
      </rPr>
      <t>。吉则成为行业领袖；凶则事业起伏大，易有官非、冲突。</t>
    </r>
  </si>
  <si>
    <r>
      <t>难守祖业，需自置房产</t>
    </r>
    <r>
      <rPr>
        <sz val="12"/>
        <color theme="1"/>
        <rFont val="等线"/>
        <family val="3"/>
        <charset val="134"/>
        <scheme val="minor"/>
      </rPr>
      <t>。家宅</t>
    </r>
    <r>
      <rPr>
        <b/>
        <sz val="12"/>
        <color theme="1"/>
        <rFont val="等线"/>
        <family val="3"/>
        <charset val="134"/>
        <scheme val="minor"/>
      </rPr>
      <t>多变动</t>
    </r>
    <r>
      <rPr>
        <sz val="12"/>
        <color theme="1"/>
        <rFont val="等线"/>
        <family val="3"/>
        <charset val="134"/>
        <scheme val="minor"/>
      </rPr>
      <t>（如搬家、装修），或家中有</t>
    </r>
    <r>
      <rPr>
        <b/>
        <sz val="12"/>
        <color theme="1"/>
        <rFont val="等线"/>
        <family val="3"/>
        <charset val="134"/>
        <scheme val="minor"/>
      </rPr>
      <t>武器、机械</t>
    </r>
    <r>
      <rPr>
        <sz val="12"/>
        <color theme="1"/>
        <rFont val="等线"/>
        <family val="3"/>
        <charset val="134"/>
        <scheme val="minor"/>
      </rPr>
      <t>。煞忌重则家宅不宁，易有意外。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</si>
  <si>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刚强、果决，但内心孤独、不安</t>
    </r>
    <r>
      <rPr>
        <sz val="12"/>
        <color theme="1"/>
        <rFont val="等线"/>
        <family val="3"/>
        <charset val="134"/>
        <scheme val="minor"/>
      </rPr>
      <t>。喜冒险、刺激，但易有精神压力。煞忌重则内心煎熬，易有暴力倾向。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</si>
  <si>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缘分较薄，易有代沟、冲突</t>
    </r>
    <r>
      <rPr>
        <sz val="12"/>
        <color theme="1"/>
        <rFont val="等线"/>
        <family val="3"/>
        <charset val="134"/>
        <scheme val="minor"/>
      </rPr>
      <t>。父母可能性格刚烈，或从事军警、外科等职业。</t>
    </r>
  </si>
  <si>
    <t>1. 增强肃杀/变动/权威组合</t>
  </si>
  <si>
    <r>
      <t>七杀+紫微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</si>
  <si>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帝星遇杀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“紫杀化权”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权威与肃杀结合，有开疆拓土之能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军政、管理、大型企业开拓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权力欲极强，易刚愎自用</t>
    </r>
    <r>
      <rPr>
        <sz val="12"/>
        <color theme="1"/>
        <rFont val="等线"/>
        <family val="3"/>
        <charset val="134"/>
        <scheme val="minor"/>
      </rPr>
      <t>。</t>
    </r>
  </si>
  <si>
    <t>将军；企业家；开拓者。</t>
  </si>
  <si>
    <r>
      <t>七杀+天机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</si>
  <si>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智星遇杀</t>
    </r>
    <r>
      <rPr>
        <sz val="12"/>
        <color theme="1"/>
        <rFont val="等线"/>
        <family val="3"/>
        <charset val="134"/>
        <scheme val="minor"/>
      </rPr>
      <t>，变动与肃杀结合，</t>
    </r>
    <r>
      <rPr>
        <b/>
        <sz val="12"/>
        <color theme="1"/>
        <rFont val="等线"/>
        <family val="3"/>
        <charset val="134"/>
        <scheme val="minor"/>
      </rPr>
      <t>智勇双全，但人生波动大</t>
    </r>
    <r>
      <rPr>
        <sz val="12"/>
        <color theme="1"/>
        <rFont val="等线"/>
        <family val="3"/>
        <charset val="134"/>
        <scheme val="minor"/>
      </rPr>
      <t>，适合军警、侦查、风险投资。</t>
    </r>
  </si>
  <si>
    <r>
      <t>七杀+太阳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</si>
  <si>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日照遇杀</t>
    </r>
    <r>
      <rPr>
        <sz val="12"/>
        <color theme="1"/>
        <rFont val="等线"/>
        <family val="3"/>
        <charset val="134"/>
        <scheme val="minor"/>
      </rPr>
      <t>，发散与肃杀结合，</t>
    </r>
    <r>
      <rPr>
        <b/>
        <sz val="12"/>
        <color theme="1"/>
        <rFont val="等线"/>
        <family val="3"/>
        <charset val="134"/>
        <scheme val="minor"/>
      </rPr>
      <t>权威外露，有领导魅力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军政、司法、公众人物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易招人妒忌，树敌多</t>
    </r>
    <r>
      <rPr>
        <sz val="12"/>
        <color theme="1"/>
        <rFont val="等线"/>
        <family val="3"/>
        <charset val="134"/>
        <scheme val="minor"/>
      </rPr>
      <t>。</t>
    </r>
  </si>
  <si>
    <t>军官；法官；公众人物。</t>
  </si>
  <si>
    <r>
      <t>七杀+武曲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</si>
  <si>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刚金遇杀</t>
    </r>
    <r>
      <rPr>
        <sz val="12"/>
        <color theme="1"/>
        <rFont val="等线"/>
        <family val="3"/>
        <charset val="134"/>
        <scheme val="minor"/>
      </rPr>
      <t>（卯、酉宫同度），</t>
    </r>
    <r>
      <rPr>
        <b/>
        <sz val="12"/>
        <color theme="1"/>
        <rFont val="等线"/>
        <family val="3"/>
        <charset val="134"/>
        <scheme val="minor"/>
      </rPr>
      <t>“武杀组合”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刚毅果决，行动力极强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军警、外科、工程技术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性格过于刚硬，易有血光、刑伤</t>
    </r>
    <r>
      <rPr>
        <sz val="12"/>
        <color theme="1"/>
        <rFont val="等线"/>
        <family val="3"/>
        <charset val="134"/>
        <scheme val="minor"/>
      </rPr>
      <t>。</t>
    </r>
  </si>
  <si>
    <t>军人；外科医生；工程师。</t>
  </si>
  <si>
    <r>
      <t>七杀+天同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</si>
  <si>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福星遇杀</t>
    </r>
    <r>
      <rPr>
        <sz val="12"/>
        <color theme="1"/>
        <rFont val="等线"/>
        <family val="3"/>
        <charset val="134"/>
        <scheme val="minor"/>
      </rPr>
      <t>，温和与肃杀结合，</t>
    </r>
    <r>
      <rPr>
        <b/>
        <sz val="12"/>
        <color theme="1"/>
        <rFont val="等线"/>
        <family val="3"/>
        <charset val="134"/>
        <scheme val="minor"/>
      </rPr>
      <t>人生先苦后甜，在变动中寻求平和</t>
    </r>
    <r>
      <rPr>
        <sz val="12"/>
        <color theme="1"/>
        <rFont val="等线"/>
        <family val="3"/>
        <charset val="134"/>
        <scheme val="minor"/>
      </rPr>
      <t>，需经历磨练方能享福。</t>
    </r>
  </si>
  <si>
    <r>
      <t>七杀+廉贞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</si>
  <si>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囚星遇杀</t>
    </r>
    <r>
      <rPr>
        <sz val="12"/>
        <color theme="1"/>
        <rFont val="等线"/>
        <family val="3"/>
        <charset val="134"/>
        <scheme val="minor"/>
      </rPr>
      <t>（卯、酉宫同度），</t>
    </r>
    <r>
      <rPr>
        <b/>
        <sz val="12"/>
        <color theme="1"/>
        <rFont val="等线"/>
        <family val="3"/>
        <charset val="134"/>
        <scheme val="minor"/>
      </rPr>
      <t>“廉杀组合”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感情官非与肃杀结合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人生大起大落，易有血光、手术、官非</t>
    </r>
    <r>
      <rPr>
        <sz val="12"/>
        <color theme="1"/>
        <rFont val="等线"/>
        <family val="3"/>
        <charset val="134"/>
        <scheme val="minor"/>
      </rPr>
      <t>，适合军警、外科。</t>
    </r>
  </si>
  <si>
    <r>
      <t>七杀+天府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</si>
  <si>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库星遇杀</t>
    </r>
    <r>
      <rPr>
        <sz val="12"/>
        <color theme="1"/>
        <rFont val="等线"/>
        <family val="3"/>
        <charset val="134"/>
        <scheme val="minor"/>
      </rPr>
      <t>，稳重与肃杀结合，</t>
    </r>
    <r>
      <rPr>
        <b/>
        <sz val="12"/>
        <color theme="1"/>
        <rFont val="等线"/>
        <family val="3"/>
        <charset val="134"/>
        <scheme val="minor"/>
      </rPr>
      <t>“杀府组合”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能攻能守，有谋略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企业管理、金融投资</t>
    </r>
    <r>
      <rPr>
        <sz val="12"/>
        <color theme="1"/>
        <rFont val="等线"/>
        <family val="3"/>
        <charset val="134"/>
        <scheme val="minor"/>
      </rPr>
      <t>。天府能制七杀之恶，使其变动趋于稳健。</t>
    </r>
  </si>
  <si>
    <t>企业家；金融家；战略家。</t>
  </si>
  <si>
    <r>
      <t>七杀+太阴</t>
    </r>
    <r>
      <rPr>
        <sz val="12"/>
        <color theme="1"/>
        <rFont val="等线"/>
        <family val="3"/>
        <charset val="134"/>
        <scheme val="minor"/>
      </rPr>
      <t>​</t>
    </r>
  </si>
  <si>
    <r>
      <t>阴水遇杀</t>
    </r>
    <r>
      <rPr>
        <sz val="12"/>
        <color theme="1"/>
        <rFont val="等线"/>
        <family val="3"/>
        <charset val="134"/>
        <scheme val="minor"/>
      </rPr>
      <t>，内敛与肃杀结合，</t>
    </r>
    <r>
      <rPr>
        <b/>
        <sz val="12"/>
        <color theme="1"/>
        <rFont val="等线"/>
        <family val="3"/>
        <charset val="134"/>
        <scheme val="minor"/>
      </rPr>
      <t>外表温和，内心刚强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幕后策划、精密操作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内心多矛盾，易有情绪问题</t>
    </r>
    <r>
      <rPr>
        <sz val="12"/>
        <color theme="1"/>
        <rFont val="等线"/>
        <family val="3"/>
        <charset val="134"/>
        <scheme val="minor"/>
      </rPr>
      <t>。</t>
    </r>
  </si>
  <si>
    <t>幕后策划者；精密工程师；但内心多挣扎。</t>
  </si>
  <si>
    <r>
      <t>七杀+贪狼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</si>
  <si>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欲星遇杀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“杀破狼”格局核心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欲望与肃杀结合，人生变动极大，充满机遇与挑战</t>
    </r>
    <r>
      <rPr>
        <sz val="12"/>
        <color theme="1"/>
        <rFont val="等线"/>
        <family val="3"/>
        <charset val="134"/>
        <scheme val="minor"/>
      </rPr>
      <t>。吉则</t>
    </r>
    <r>
      <rPr>
        <b/>
        <sz val="12"/>
        <color theme="1"/>
        <rFont val="等线"/>
        <family val="3"/>
        <charset val="134"/>
        <scheme val="minor"/>
      </rPr>
      <t>横发</t>
    </r>
    <r>
      <rPr>
        <sz val="12"/>
        <color theme="1"/>
        <rFont val="等线"/>
        <family val="3"/>
        <charset val="134"/>
        <scheme val="minor"/>
      </rPr>
      <t>；凶则</t>
    </r>
    <r>
      <rPr>
        <b/>
        <sz val="12"/>
        <color theme="1"/>
        <rFont val="等线"/>
        <family val="3"/>
        <charset val="134"/>
        <scheme val="minor"/>
      </rPr>
      <t>横破</t>
    </r>
    <r>
      <rPr>
        <sz val="12"/>
        <color theme="1"/>
        <rFont val="等线"/>
        <family val="3"/>
        <charset val="134"/>
        <scheme val="minor"/>
      </rPr>
      <t>。</t>
    </r>
  </si>
  <si>
    <t>冒险家；投机者；人生大起大落。</t>
  </si>
  <si>
    <r>
      <t>七杀+巨门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</si>
  <si>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暗星遇杀</t>
    </r>
    <r>
      <rPr>
        <sz val="12"/>
        <color theme="1"/>
        <rFont val="等线"/>
        <family val="3"/>
        <charset val="134"/>
        <scheme val="minor"/>
      </rPr>
      <t>，口舌与肃杀结合，</t>
    </r>
    <r>
      <rPr>
        <b/>
        <sz val="12"/>
        <color theme="1"/>
        <rFont val="等线"/>
        <family val="3"/>
        <charset val="134"/>
        <scheme val="minor"/>
      </rPr>
      <t>言语带杀，行动果决</t>
    </r>
    <r>
      <rPr>
        <sz val="12"/>
        <color theme="1"/>
        <rFont val="等线"/>
        <family val="3"/>
        <charset val="134"/>
        <scheme val="minor"/>
      </rPr>
      <t>，易因言语引发冲突、官司，适合军警、法律。</t>
    </r>
  </si>
  <si>
    <r>
      <t>七杀+天相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</si>
  <si>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印星遇杀</t>
    </r>
    <r>
      <rPr>
        <sz val="12"/>
        <color theme="1"/>
        <rFont val="等线"/>
        <family val="3"/>
        <charset val="134"/>
        <scheme val="minor"/>
      </rPr>
      <t>，形象与肃杀结合，</t>
    </r>
    <r>
      <rPr>
        <b/>
        <sz val="12"/>
        <color theme="1"/>
        <rFont val="等线"/>
        <family val="3"/>
        <charset val="134"/>
        <scheme val="minor"/>
      </rPr>
      <t>外表端庄，内心刚毅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管理、司法、公关</t>
    </r>
    <r>
      <rPr>
        <sz val="12"/>
        <color theme="1"/>
        <rFont val="等线"/>
        <family val="3"/>
        <charset val="134"/>
        <scheme val="minor"/>
      </rPr>
      <t>。天相能调和七杀之刚。</t>
    </r>
  </si>
  <si>
    <t>管理者；法官；公关总监。</t>
  </si>
  <si>
    <r>
      <t>七杀+天梁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</si>
  <si>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荫星遇杀</t>
    </r>
    <r>
      <rPr>
        <sz val="12"/>
        <color theme="1"/>
        <rFont val="等线"/>
        <family val="3"/>
        <charset val="134"/>
        <scheme val="minor"/>
      </rPr>
      <t>，清高与肃杀结合，</t>
    </r>
    <r>
      <rPr>
        <b/>
        <sz val="12"/>
        <color theme="1"/>
        <rFont val="等线"/>
        <family val="3"/>
        <charset val="134"/>
        <scheme val="minor"/>
      </rPr>
      <t>有原则，好打抱不平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司法、监察、医疗</t>
    </r>
    <r>
      <rPr>
        <sz val="12"/>
        <color theme="1"/>
        <rFont val="等线"/>
        <family val="3"/>
        <charset val="134"/>
        <scheme val="minor"/>
      </rPr>
      <t>。天梁能化解部分七杀之凶。</t>
    </r>
  </si>
  <si>
    <t>法官；检察官；医生。</t>
  </si>
  <si>
    <r>
      <t>七杀+七杀</t>
    </r>
    <r>
      <rPr>
        <sz val="12"/>
        <color theme="1"/>
        <rFont val="等线"/>
        <family val="3"/>
        <charset val="134"/>
        <scheme val="minor"/>
      </rPr>
      <t>​</t>
    </r>
  </si>
  <si>
    <r>
      <t xml:space="preserve">(七杀独坐) </t>
    </r>
    <r>
      <rPr>
        <b/>
        <sz val="12"/>
        <color theme="1"/>
        <rFont val="等线"/>
        <family val="3"/>
        <charset val="134"/>
        <scheme val="minor"/>
      </rPr>
      <t>肃杀纯粹</t>
    </r>
    <r>
      <rPr>
        <sz val="12"/>
        <color theme="1"/>
        <rFont val="等线"/>
        <family val="3"/>
        <charset val="134"/>
        <scheme val="minor"/>
      </rPr>
      <t>，变动、孤克特质极致发挥。若庙旺见吉，可成“</t>
    </r>
    <r>
      <rPr>
        <b/>
        <sz val="12"/>
        <color theme="1"/>
        <rFont val="等线"/>
        <family val="3"/>
        <charset val="134"/>
        <scheme val="minor"/>
      </rPr>
      <t>七杀朝斗格</t>
    </r>
    <r>
      <rPr>
        <sz val="12"/>
        <color theme="1"/>
        <rFont val="等线"/>
        <family val="3"/>
        <charset val="134"/>
        <scheme val="minor"/>
      </rPr>
      <t>”，主</t>
    </r>
    <r>
      <rPr>
        <b/>
        <sz val="12"/>
        <color theme="1"/>
        <rFont val="等线"/>
        <family val="3"/>
        <charset val="134"/>
        <scheme val="minor"/>
      </rPr>
      <t>大富大贵</t>
    </r>
    <r>
      <rPr>
        <sz val="12"/>
        <color theme="1"/>
        <rFont val="等线"/>
        <family val="3"/>
        <charset val="134"/>
        <scheme val="minor"/>
      </rPr>
      <t>；若落陷逢煞忌，则</t>
    </r>
    <r>
      <rPr>
        <b/>
        <sz val="12"/>
        <color theme="1"/>
        <rFont val="等线"/>
        <family val="3"/>
        <charset val="134"/>
        <scheme val="minor"/>
      </rPr>
      <t>一生动荡，孤独刑克</t>
    </r>
    <r>
      <rPr>
        <sz val="12"/>
        <color theme="1"/>
        <rFont val="等线"/>
        <family val="3"/>
        <charset val="134"/>
        <scheme val="minor"/>
      </rPr>
      <t>。</t>
    </r>
  </si>
  <si>
    <t>将军；探险家；但人生极不稳定。</t>
  </si>
  <si>
    <r>
      <t>七杀+破军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</si>
  <si>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耗星遇杀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“杀破狼”格局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破旧立新与肃杀结合，变动剧烈，人生充满颠覆与重建</t>
    </r>
    <r>
      <rPr>
        <sz val="12"/>
        <color theme="1"/>
        <rFont val="等线"/>
        <family val="3"/>
        <charset val="134"/>
        <scheme val="minor"/>
      </rPr>
      <t>。吉则开创大业；凶则一生漂泊。</t>
    </r>
  </si>
  <si>
    <t>革命者；颠覆者；人生极动荡。</t>
  </si>
  <si>
    <r>
      <t>七杀+左辅/右弼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</si>
  <si>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杀星得助</t>
    </r>
    <r>
      <rPr>
        <sz val="12"/>
        <color theme="1"/>
        <rFont val="等线"/>
        <family val="3"/>
        <charset val="134"/>
        <scheme val="minor"/>
      </rPr>
      <t>，肃杀与变动得同辈、晚辈助力，</t>
    </r>
    <r>
      <rPr>
        <b/>
        <sz val="12"/>
        <color theme="1"/>
        <rFont val="等线"/>
        <family val="3"/>
        <charset val="134"/>
        <scheme val="minor"/>
      </rPr>
      <t>能得部下拥戴，团队作战能力强</t>
    </r>
    <r>
      <rPr>
        <sz val="12"/>
        <color theme="1"/>
        <rFont val="等线"/>
        <family val="3"/>
        <charset val="134"/>
        <scheme val="minor"/>
      </rPr>
      <t>，利于领导、管理。</t>
    </r>
  </si>
  <si>
    <r>
      <t>七杀+文昌/文曲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</si>
  <si>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杀星遇文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谋略、文艺修养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刚柔并济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军师、策划、文艺管理</t>
    </r>
    <r>
      <rPr>
        <sz val="12"/>
        <color theme="1"/>
        <rFont val="等线"/>
        <family val="3"/>
        <charset val="134"/>
        <scheme val="minor"/>
      </rPr>
      <t>。</t>
    </r>
  </si>
  <si>
    <r>
      <t>七杀+天魁/天钺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</si>
  <si>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杀星遇贵</t>
    </r>
    <r>
      <rPr>
        <sz val="12"/>
        <color theme="1"/>
        <rFont val="等线"/>
        <family val="3"/>
        <charset val="134"/>
        <scheme val="minor"/>
      </rPr>
      <t>，肃杀与变动得贵人赏识提携，</t>
    </r>
    <r>
      <rPr>
        <b/>
        <sz val="12"/>
        <color theme="1"/>
        <rFont val="等线"/>
        <family val="3"/>
        <charset val="134"/>
        <scheme val="minor"/>
      </rPr>
      <t>有权威平台发挥才能</t>
    </r>
    <r>
      <rPr>
        <sz val="12"/>
        <color theme="1"/>
        <rFont val="等线"/>
        <family val="3"/>
        <charset val="134"/>
        <scheme val="minor"/>
      </rPr>
      <t>，易获上位者提拔。</t>
    </r>
  </si>
  <si>
    <r>
      <t>七杀+禄存</t>
    </r>
    <r>
      <rPr>
        <sz val="12"/>
        <color theme="1"/>
        <rFont val="等线"/>
        <family val="3"/>
        <charset val="134"/>
        <scheme val="minor"/>
      </rPr>
      <t>​</t>
    </r>
  </si>
  <si>
    <r>
      <t>杀星带禄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冒险生财</t>
    </r>
    <r>
      <rPr>
        <sz val="12"/>
        <color theme="1"/>
        <rFont val="等线"/>
        <family val="3"/>
        <charset val="134"/>
        <scheme val="minor"/>
      </rPr>
      <t>，能通过冒险、开拓获利，财运佳，但过程仍充满挑战。</t>
    </r>
  </si>
  <si>
    <r>
      <t>七杀+天马</t>
    </r>
    <r>
      <rPr>
        <sz val="12"/>
        <color theme="1"/>
        <rFont val="等线"/>
        <family val="3"/>
        <charset val="134"/>
        <scheme val="minor"/>
      </rPr>
      <t>​</t>
    </r>
  </si>
  <si>
    <r>
      <t>杀星奔驰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“禄马交驰”格</t>
    </r>
    <r>
      <rPr>
        <sz val="12"/>
        <color theme="1"/>
        <rFont val="等线"/>
        <family val="3"/>
        <charset val="134"/>
        <scheme val="minor"/>
      </rPr>
      <t>，肃杀与变动在奔波中发挥，适合</t>
    </r>
    <r>
      <rPr>
        <b/>
        <sz val="12"/>
        <color theme="1"/>
        <rFont val="等线"/>
        <family val="3"/>
        <charset val="134"/>
        <scheme val="minor"/>
      </rPr>
      <t>军旅、外贸、探险</t>
    </r>
    <r>
      <rPr>
        <sz val="12"/>
        <color theme="1"/>
        <rFont val="等线"/>
        <family val="3"/>
        <charset val="134"/>
        <scheme val="minor"/>
      </rPr>
      <t>等需要移动的行业。</t>
    </r>
  </si>
  <si>
    <r>
      <t>七杀+火星</t>
    </r>
    <r>
      <rPr>
        <sz val="12"/>
        <color theme="1"/>
        <rFont val="等线"/>
        <family val="3"/>
        <charset val="134"/>
        <scheme val="minor"/>
      </rPr>
      <t>​</t>
    </r>
  </si>
  <si>
    <r>
      <t>杀星逢火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肃杀之气更烈，性情暴躁，易冲动行事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血光、意外风险大增</t>
    </r>
    <r>
      <rPr>
        <sz val="12"/>
        <color theme="1"/>
        <rFont val="等线"/>
        <family val="3"/>
        <charset val="134"/>
        <scheme val="minor"/>
      </rPr>
      <t>。</t>
    </r>
  </si>
  <si>
    <r>
      <t>七杀+铃星</t>
    </r>
    <r>
      <rPr>
        <sz val="12"/>
        <color theme="1"/>
        <rFont val="等线"/>
        <family val="3"/>
        <charset val="134"/>
        <scheme val="minor"/>
      </rPr>
      <t>​</t>
    </r>
  </si>
  <si>
    <r>
      <t>杀星逢铃</t>
    </r>
    <r>
      <rPr>
        <sz val="12"/>
        <color theme="1"/>
        <rFont val="等线"/>
        <family val="3"/>
        <charset val="134"/>
        <scheme val="minor"/>
      </rPr>
      <t>，肃杀伴随</t>
    </r>
    <r>
      <rPr>
        <b/>
        <sz val="12"/>
        <color theme="1"/>
        <rFont val="等线"/>
        <family val="3"/>
        <charset val="134"/>
        <scheme val="minor"/>
      </rPr>
      <t>煎熬、隐忧、内心焦虑</t>
    </r>
    <r>
      <rPr>
        <sz val="12"/>
        <color theme="1"/>
        <rFont val="等线"/>
        <family val="3"/>
        <charset val="134"/>
        <scheme val="minor"/>
      </rPr>
      <t>，行动易受拖延，过程多挫折。</t>
    </r>
  </si>
  <si>
    <r>
      <t>七杀+擎羊</t>
    </r>
    <r>
      <rPr>
        <sz val="12"/>
        <color theme="1"/>
        <rFont val="等线"/>
        <family val="3"/>
        <charset val="134"/>
        <scheme val="minor"/>
      </rPr>
      <t>​</t>
    </r>
  </si>
  <si>
    <r>
      <t>杀星逢羊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“七杀擎羊，终是屠宰”</t>
    </r>
    <r>
      <rPr>
        <sz val="12"/>
        <color theme="1"/>
        <rFont val="等线"/>
        <family val="3"/>
        <charset val="134"/>
        <scheme val="minor"/>
      </rPr>
      <t>（古诀，喻大凶）。</t>
    </r>
    <r>
      <rPr>
        <b/>
        <sz val="12"/>
        <color theme="1"/>
        <rFont val="等线"/>
        <family val="3"/>
        <charset val="134"/>
        <scheme val="minor"/>
      </rPr>
      <t>竞争、伤害性极强，易有刑伤、手术、暴力事件</t>
    </r>
    <r>
      <rPr>
        <sz val="12"/>
        <color theme="1"/>
        <rFont val="等线"/>
        <family val="3"/>
        <charset val="134"/>
        <scheme val="minor"/>
      </rPr>
      <t>。若从事外科、军警，反能化煞为用。</t>
    </r>
  </si>
  <si>
    <r>
      <t>七杀+陀罗</t>
    </r>
    <r>
      <rPr>
        <sz val="12"/>
        <color theme="1"/>
        <rFont val="等线"/>
        <family val="3"/>
        <charset val="134"/>
        <scheme val="minor"/>
      </rPr>
      <t>​</t>
    </r>
  </si>
  <si>
    <r>
      <t>杀星逢陀</t>
    </r>
    <r>
      <rPr>
        <sz val="12"/>
        <color theme="1"/>
        <rFont val="等线"/>
        <family val="3"/>
        <charset val="134"/>
        <scheme val="minor"/>
      </rPr>
      <t>，肃杀受</t>
    </r>
    <r>
      <rPr>
        <b/>
        <sz val="12"/>
        <color theme="1"/>
        <rFont val="等线"/>
        <family val="3"/>
        <charset val="134"/>
        <scheme val="minor"/>
      </rPr>
      <t>拖延、反复阻碍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行动受阻，易陷入长期斗争</t>
    </r>
    <r>
      <rPr>
        <sz val="12"/>
        <color theme="1"/>
        <rFont val="等线"/>
        <family val="3"/>
        <charset val="134"/>
        <scheme val="minor"/>
      </rPr>
      <t>。</t>
    </r>
  </si>
  <si>
    <r>
      <t>七杀+地空</t>
    </r>
    <r>
      <rPr>
        <sz val="12"/>
        <color theme="1"/>
        <rFont val="等线"/>
        <family val="3"/>
        <charset val="134"/>
        <scheme val="minor"/>
      </rPr>
      <t>​</t>
    </r>
  </si>
  <si>
    <r>
      <t>杀星逢空</t>
    </r>
    <r>
      <rPr>
        <sz val="12"/>
        <color theme="1"/>
        <rFont val="等线"/>
        <family val="3"/>
        <charset val="134"/>
        <scheme val="minor"/>
      </rPr>
      <t>，肃杀</t>
    </r>
    <r>
      <rPr>
        <b/>
        <sz val="12"/>
        <color theme="1"/>
        <rFont val="等线"/>
        <family val="3"/>
        <charset val="134"/>
        <scheme val="minor"/>
      </rPr>
      <t>落空，理想化的冒险难以实现</t>
    </r>
    <r>
      <rPr>
        <sz val="12"/>
        <color theme="1"/>
        <rFont val="等线"/>
        <family val="3"/>
        <charset val="134"/>
        <scheme val="minor"/>
      </rPr>
      <t>，易有意外变故，计划成空。</t>
    </r>
  </si>
  <si>
    <r>
      <t>七杀+地劫</t>
    </r>
    <r>
      <rPr>
        <sz val="12"/>
        <color theme="1"/>
        <rFont val="等线"/>
        <family val="3"/>
        <charset val="134"/>
        <scheme val="minor"/>
      </rPr>
      <t>​</t>
    </r>
  </si>
  <si>
    <r>
      <t>杀星逢劫</t>
    </r>
    <r>
      <rPr>
        <sz val="12"/>
        <color theme="1"/>
        <rFont val="等线"/>
        <family val="3"/>
        <charset val="134"/>
        <scheme val="minor"/>
      </rPr>
      <t>，肃杀遭</t>
    </r>
    <r>
      <rPr>
        <b/>
        <sz val="12"/>
        <color theme="1"/>
        <rFont val="等线"/>
        <family val="3"/>
        <charset val="134"/>
        <scheme val="minor"/>
      </rPr>
      <t>破耗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冒险易遭意外损失，成败起伏极大</t>
    </r>
    <r>
      <rPr>
        <sz val="12"/>
        <color theme="1"/>
        <rFont val="等线"/>
        <family val="3"/>
        <charset val="134"/>
        <scheme val="minor"/>
      </rPr>
      <t>。</t>
    </r>
  </si>
  <si>
    <r>
      <t>七杀+化禄</t>
    </r>
    <r>
      <rPr>
        <sz val="12"/>
        <color theme="1"/>
        <rFont val="等线"/>
        <family val="3"/>
        <charset val="134"/>
        <scheme val="minor"/>
      </rPr>
      <t>​</t>
    </r>
  </si>
  <si>
    <r>
      <t>杀星化禄</t>
    </r>
    <r>
      <rPr>
        <sz val="12"/>
        <color theme="1"/>
        <rFont val="等线"/>
        <family val="3"/>
        <charset val="134"/>
        <scheme val="minor"/>
      </rPr>
      <t>（庚年生人），</t>
    </r>
    <r>
      <rPr>
        <b/>
        <sz val="12"/>
        <color theme="1"/>
        <rFont val="等线"/>
        <family val="3"/>
        <charset val="134"/>
        <scheme val="minor"/>
      </rPr>
      <t>冒险生财</t>
    </r>
    <r>
      <rPr>
        <sz val="12"/>
        <color theme="1"/>
        <rFont val="等线"/>
        <family val="3"/>
        <charset val="134"/>
        <scheme val="minor"/>
      </rPr>
      <t>，能通过冒险、开拓获得巨大财富，但过程仍充满风险。</t>
    </r>
  </si>
  <si>
    <r>
      <t>七杀+化权</t>
    </r>
    <r>
      <rPr>
        <sz val="12"/>
        <color theme="1"/>
        <rFont val="等线"/>
        <family val="3"/>
        <charset val="134"/>
        <scheme val="minor"/>
      </rPr>
      <t>​</t>
    </r>
  </si>
  <si>
    <r>
      <t>杀星化权</t>
    </r>
    <r>
      <rPr>
        <sz val="12"/>
        <color theme="1"/>
        <rFont val="等线"/>
        <family val="3"/>
        <charset val="134"/>
        <scheme val="minor"/>
      </rPr>
      <t>（壬年生人），</t>
    </r>
    <r>
      <rPr>
        <b/>
        <sz val="12"/>
        <color theme="1"/>
        <rFont val="等线"/>
        <family val="3"/>
        <charset val="134"/>
        <scheme val="minor"/>
      </rPr>
      <t>肃杀掌权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权威与魄力达到极致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军政、管理高层</t>
    </r>
    <r>
      <rPr>
        <sz val="12"/>
        <color theme="1"/>
        <rFont val="等线"/>
        <family val="3"/>
        <charset val="134"/>
        <scheme val="minor"/>
      </rPr>
      <t>，但权力欲极强。</t>
    </r>
  </si>
  <si>
    <r>
      <t>七杀+化忌</t>
    </r>
    <r>
      <rPr>
        <sz val="12"/>
        <color theme="1"/>
        <rFont val="等线"/>
        <family val="3"/>
        <charset val="134"/>
        <scheme val="minor"/>
      </rPr>
      <t>​</t>
    </r>
  </si>
  <si>
    <r>
      <t>杀星化忌</t>
    </r>
    <r>
      <rPr>
        <sz val="12"/>
        <color theme="1"/>
        <rFont val="等线"/>
        <family val="3"/>
        <charset val="134"/>
        <scheme val="minor"/>
      </rPr>
      <t>（己年生人），</t>
    </r>
    <r>
      <rPr>
        <b/>
        <sz val="12"/>
        <color theme="1"/>
        <rFont val="等线"/>
        <family val="3"/>
        <charset val="134"/>
        <scheme val="minor"/>
      </rPr>
      <t>肃杀受阻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冒险易失败，变动多凶险，血光、意外风险大增</t>
    </r>
    <r>
      <rPr>
        <sz val="12"/>
        <color theme="1"/>
        <rFont val="等线"/>
        <family val="3"/>
        <charset val="134"/>
        <scheme val="minor"/>
      </rPr>
      <t>，需极度谨慎。</t>
    </r>
  </si>
  <si>
    <r>
      <t>1. “七杀”与“破军”、“贪狼”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七杀、破军、贪狼</t>
    </r>
    <r>
      <rPr>
        <sz val="11"/>
        <color theme="1"/>
        <rFont val="等线"/>
        <family val="2"/>
        <charset val="134"/>
        <scheme val="minor"/>
      </rPr>
      <t>三星永远在三方会照，组成“</t>
    </r>
    <r>
      <rPr>
        <b/>
        <sz val="11"/>
        <color theme="1"/>
        <rFont val="等线"/>
        <family val="3"/>
        <charset val="134"/>
        <scheme val="minor"/>
      </rPr>
      <t>杀破狼</t>
    </r>
    <r>
      <rPr>
        <sz val="11"/>
        <color theme="1"/>
        <rFont val="等线"/>
        <family val="2"/>
        <charset val="134"/>
        <scheme val="minor"/>
      </rPr>
      <t>”格局，主</t>
    </r>
    <r>
      <rPr>
        <b/>
        <sz val="11"/>
        <color theme="1"/>
        <rFont val="等线"/>
        <family val="3"/>
        <charset val="134"/>
        <scheme val="minor"/>
      </rPr>
      <t>变动、开创、人生大起大落</t>
    </r>
    <r>
      <rPr>
        <sz val="11"/>
        <color theme="1"/>
        <rFont val="等线"/>
        <family val="2"/>
        <charset val="134"/>
        <scheme val="minor"/>
      </rPr>
      <t>。其中：</t>
    </r>
    <r>
      <rPr>
        <b/>
        <sz val="11"/>
        <color theme="1"/>
        <rFont val="等线"/>
        <family val="3"/>
        <charset val="134"/>
        <scheme val="minor"/>
      </rPr>
      <t>七杀主肃杀、权威、决断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破军主破旧立新、颠覆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贪狼主欲望、交际、机会</t>
    </r>
    <r>
      <rPr>
        <sz val="11"/>
        <color theme="1"/>
        <rFont val="等线"/>
        <family val="2"/>
        <charset val="134"/>
        <scheme val="minor"/>
      </rPr>
      <t>。三星汇聚，变动性极强。</t>
    </r>
  </si>
  <si>
    <r>
      <t>2. “将星”与“肃杀”</t>
    </r>
    <r>
      <rPr>
        <sz val="11"/>
        <color theme="1"/>
        <rFont val="等线"/>
        <family val="2"/>
        <charset val="134"/>
        <scheme val="minor"/>
      </rPr>
      <t>：七杀为</t>
    </r>
    <r>
      <rPr>
        <b/>
        <sz val="11"/>
        <color theme="1"/>
        <rFont val="等线"/>
        <family val="3"/>
        <charset val="134"/>
        <scheme val="minor"/>
      </rPr>
      <t>将星</t>
    </r>
    <r>
      <rPr>
        <sz val="11"/>
        <color theme="1"/>
        <rFont val="等线"/>
        <family val="2"/>
        <charset val="134"/>
        <scheme val="minor"/>
      </rPr>
      <t>，化气为</t>
    </r>
    <r>
      <rPr>
        <b/>
        <sz val="11"/>
        <color theme="1"/>
        <rFont val="等线"/>
        <family val="3"/>
        <charset val="134"/>
        <scheme val="minor"/>
      </rPr>
      <t>权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肃杀、权威、决断</t>
    </r>
    <r>
      <rPr>
        <sz val="11"/>
        <color theme="1"/>
        <rFont val="等线"/>
        <family val="2"/>
        <charset val="134"/>
        <scheme val="minor"/>
      </rPr>
      <t>。在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为性格刚烈、有领导力；在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为变动、突破、竞争；在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为刀剑、武器、机械等肃杀之物。</t>
    </r>
  </si>
  <si>
    <r>
      <t>3. “变动之星”</t>
    </r>
    <r>
      <rPr>
        <sz val="11"/>
        <color theme="1"/>
        <rFont val="等线"/>
        <family val="2"/>
        <charset val="134"/>
        <scheme val="minor"/>
      </rPr>
      <t>：七杀是</t>
    </r>
    <r>
      <rPr>
        <b/>
        <sz val="11"/>
        <color theme="1"/>
        <rFont val="等线"/>
        <family val="3"/>
        <charset val="134"/>
        <scheme val="minor"/>
      </rPr>
      <t>变动之星</t>
    </r>
    <r>
      <rPr>
        <sz val="11"/>
        <color theme="1"/>
        <rFont val="等线"/>
        <family val="2"/>
        <charset val="134"/>
        <scheme val="minor"/>
      </rPr>
      <t>，一生</t>
    </r>
    <r>
      <rPr>
        <b/>
        <sz val="11"/>
        <color theme="1"/>
        <rFont val="等线"/>
        <family val="3"/>
        <charset val="134"/>
        <scheme val="minor"/>
      </rPr>
      <t>多变动、多挑战</t>
    </r>
    <r>
      <rPr>
        <sz val="11"/>
        <color theme="1"/>
        <rFont val="等线"/>
        <family val="2"/>
        <charset val="134"/>
        <scheme val="minor"/>
      </rPr>
      <t>。其变动往往是</t>
    </r>
    <r>
      <rPr>
        <b/>
        <sz val="11"/>
        <color theme="1"/>
        <rFont val="等线"/>
        <family val="3"/>
        <charset val="134"/>
        <scheme val="minor"/>
      </rPr>
      <t>主动的、激烈的、颠覆性的</t>
    </r>
    <r>
      <rPr>
        <sz val="11"/>
        <color theme="1"/>
        <rFont val="等线"/>
        <family val="2"/>
        <charset val="134"/>
        <scheme val="minor"/>
      </rPr>
      <t>，而非被动的适应。</t>
    </r>
    <r>
      <rPr>
        <b/>
        <sz val="11"/>
        <color theme="1"/>
        <rFont val="等线"/>
        <family val="3"/>
        <charset val="134"/>
        <scheme val="minor"/>
      </rPr>
      <t>以变动求发展</t>
    </r>
    <r>
      <rPr>
        <sz val="11"/>
        <color theme="1"/>
        <rFont val="等线"/>
        <family val="2"/>
        <charset val="134"/>
        <scheme val="minor"/>
      </rPr>
      <t>是七杀的人生主题。</t>
    </r>
  </si>
  <si>
    <r>
      <t>4. “孤克”性质</t>
    </r>
    <r>
      <rPr>
        <sz val="11"/>
        <color theme="1"/>
        <rFont val="等线"/>
        <family val="2"/>
        <charset val="134"/>
        <scheme val="minor"/>
      </rPr>
      <t>：七杀化气为权，但</t>
    </r>
    <r>
      <rPr>
        <b/>
        <sz val="11"/>
        <color theme="1"/>
        <rFont val="等线"/>
        <family val="3"/>
        <charset val="134"/>
        <scheme val="minor"/>
      </rPr>
      <t>权带孤性</t>
    </r>
    <r>
      <rPr>
        <sz val="11"/>
        <color theme="1"/>
        <rFont val="等线"/>
        <family val="2"/>
        <charset val="134"/>
        <scheme val="minor"/>
      </rPr>
      <t>。因此七杀坐命者，</t>
    </r>
    <r>
      <rPr>
        <b/>
        <sz val="11"/>
        <color theme="1"/>
        <rFont val="等线"/>
        <family val="3"/>
        <charset val="134"/>
        <scheme val="minor"/>
      </rPr>
      <t>人际关系易有隔阂，内心孤独，不喜受人管束</t>
    </r>
    <r>
      <rPr>
        <sz val="11"/>
        <color theme="1"/>
        <rFont val="等线"/>
        <family val="2"/>
        <charset val="134"/>
        <scheme val="minor"/>
      </rPr>
      <t>。需学习与人合作，以柔克刚。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</si>
  <si>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：七杀星所在宫位，指示在人生的哪个领域需要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魄力、决断、冒险</t>
    </r>
    <r>
      <rPr>
        <sz val="11"/>
        <color theme="1"/>
        <rFont val="等线"/>
        <family val="2"/>
        <charset val="134"/>
        <scheme val="minor"/>
      </rPr>
      <t>，也指示该领域易有</t>
    </r>
    <r>
      <rPr>
        <b/>
        <sz val="11"/>
        <color theme="1"/>
        <rFont val="等线"/>
        <family val="3"/>
        <charset val="134"/>
        <scheme val="minor"/>
      </rPr>
      <t>变动、竞争、肃杀</t>
    </r>
    <r>
      <rPr>
        <sz val="11"/>
        <color theme="1"/>
        <rFont val="等线"/>
        <family val="2"/>
        <charset val="134"/>
        <scheme val="minor"/>
      </rPr>
      <t>之事。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</si>
  <si>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冒险生财</t>
    </r>
    <r>
      <rPr>
        <sz val="11"/>
        <color theme="1"/>
        <rFont val="等线"/>
        <family val="2"/>
        <charset val="134"/>
        <scheme val="minor"/>
      </rPr>
      <t>，能通过冒险获利。见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肃杀掌权</t>
    </r>
    <r>
      <rPr>
        <sz val="11"/>
        <color theme="1"/>
        <rFont val="等线"/>
        <family val="2"/>
        <charset val="134"/>
        <scheme val="minor"/>
      </rPr>
      <t>，权威与魄力达到极致。见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肃杀受阻</t>
    </r>
    <r>
      <rPr>
        <sz val="11"/>
        <color theme="1"/>
        <rFont val="等线"/>
        <family val="2"/>
        <charset val="134"/>
        <scheme val="minor"/>
      </rPr>
      <t>，冒险易败，变动多凶。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</si>
  <si>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“七杀朝斗格”</t>
    </r>
    <r>
      <rPr>
        <sz val="11"/>
        <color theme="1"/>
        <rFont val="等线"/>
        <family val="2"/>
        <charset val="134"/>
        <scheme val="minor"/>
      </rPr>
      <t>（七杀在寅、申宫独坐，对宫紫微天府）：主</t>
    </r>
    <r>
      <rPr>
        <b/>
        <sz val="11"/>
        <color theme="1"/>
        <rFont val="等线"/>
        <family val="3"/>
        <charset val="134"/>
        <scheme val="minor"/>
      </rPr>
      <t>大富大贵，权威出众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“雄宿乾元格”</t>
    </r>
    <r>
      <rPr>
        <sz val="11"/>
        <color theme="1"/>
        <rFont val="等线"/>
        <family val="2"/>
        <charset val="134"/>
        <scheme val="minor"/>
      </rPr>
      <t>（七杀在午宫独坐，见吉化吉曜）：主</t>
    </r>
    <r>
      <rPr>
        <b/>
        <sz val="11"/>
        <color theme="1"/>
        <rFont val="等线"/>
        <family val="3"/>
        <charset val="134"/>
        <scheme val="minor"/>
      </rPr>
      <t>早年艰辛，中年后大发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“杀破狼”格局</t>
    </r>
    <r>
      <rPr>
        <sz val="11"/>
        <color theme="1"/>
        <rFont val="等线"/>
        <family val="2"/>
        <charset val="134"/>
        <scheme val="minor"/>
      </rPr>
      <t>：主</t>
    </r>
    <r>
      <rPr>
        <b/>
        <sz val="11"/>
        <color theme="1"/>
        <rFont val="等线"/>
        <family val="3"/>
        <charset val="134"/>
        <scheme val="minor"/>
      </rPr>
      <t>一生变动极大，机遇与风险并存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</si>
  <si>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军营、法院、警察局、外科医院、机械厂、高处、险地、变动之地（车站、机场）、一切肃杀、权威、变动之所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</si>
  <si>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七杀星的全部原始定义、分类与案例，并严格依您的要求，在“本质”部分增补了“人/事/物”三个层次的解析，未增删改臆。七杀星为将星，主肃杀与变动。其核心在于“权”与“变”，常在军警、外科、管理领域显现，但其“孤克”与“动荡”的性质需吉星制化方能成就。最喜紫微、天府、禄存、化禄以制其恶，成格则权威显赫，变动中成大业。然七杀最忌煞忌，遇之则凶性倍增，一生动荡，孤独刑克。在紫占中，七杀与破军、贪狼组成的“杀破狼”格局，以及其所在宫位产生的“肃杀”、“变动”、“血光”等具体卦象，是断事关键，需结合具体星情与宫位细察。</t>
  </si>
  <si>
    <r>
      <t>1. 人（性格、行为、关系）：</t>
    </r>
    <r>
      <rPr>
        <sz val="11"/>
        <color theme="1"/>
        <rFont val="等线"/>
        <family val="2"/>
        <charset val="134"/>
        <scheme val="minor"/>
      </rPr>
      <t>​ 性格</t>
    </r>
    <r>
      <rPr>
        <b/>
        <sz val="11"/>
        <color theme="1"/>
        <rFont val="等线"/>
        <family val="3"/>
        <charset val="134"/>
        <scheme val="minor"/>
      </rPr>
      <t>刚烈果决、勇敢冒险、不畏艰难、有魄力、执行力强</t>
    </r>
    <r>
      <rPr>
        <sz val="11"/>
        <color theme="1"/>
        <rFont val="等线"/>
        <family val="2"/>
        <charset val="134"/>
        <scheme val="minor"/>
      </rPr>
      <t>，但</t>
    </r>
    <r>
      <rPr>
        <b/>
        <sz val="11"/>
        <color theme="1"/>
        <rFont val="等线"/>
        <family val="3"/>
        <charset val="134"/>
        <scheme val="minor"/>
      </rPr>
      <t>性情急躁、冲动易怒、固执己见、孤傲不群、不喜受人管束</t>
    </r>
    <r>
      <rPr>
        <sz val="11"/>
        <color theme="1"/>
        <rFont val="等线"/>
        <family val="2"/>
        <charset val="134"/>
        <scheme val="minor"/>
      </rPr>
      <t>。是</t>
    </r>
    <r>
      <rPr>
        <b/>
        <sz val="11"/>
        <color theme="1"/>
        <rFont val="等线"/>
        <family val="3"/>
        <charset val="134"/>
        <scheme val="minor"/>
      </rPr>
      <t>开拓者、变革者、执行者</t>
    </r>
    <r>
      <rPr>
        <sz val="11"/>
        <color theme="1"/>
        <rFont val="等线"/>
        <family val="2"/>
        <charset val="134"/>
        <scheme val="minor"/>
      </rPr>
      <t>。人际关系上，</t>
    </r>
    <r>
      <rPr>
        <b/>
        <sz val="11"/>
        <color theme="1"/>
        <rFont val="等线"/>
        <family val="3"/>
        <charset val="134"/>
        <scheme val="minor"/>
      </rPr>
      <t>重义气但易独断专行，朋友多但知己少，易有孤独感</t>
    </r>
    <r>
      <rPr>
        <sz val="11"/>
        <color theme="1"/>
        <rFont val="等线"/>
        <family val="2"/>
        <charset val="134"/>
        <scheme val="minor"/>
      </rPr>
      <t>。</t>
    </r>
  </si>
  <si>
    <r>
      <t>2. 事（事件、过程）：</t>
    </r>
    <r>
      <rPr>
        <sz val="11"/>
        <color theme="1"/>
        <rFont val="等线"/>
        <family val="2"/>
        <charset val="134"/>
        <scheme val="minor"/>
      </rPr>
      <t>​ 事件发展过程</t>
    </r>
    <r>
      <rPr>
        <b/>
        <sz val="11"/>
        <color theme="1"/>
        <rFont val="等线"/>
        <family val="3"/>
        <charset val="134"/>
        <scheme val="minor"/>
      </rPr>
      <t>充满变动、突破、冒险、需要决断力</t>
    </r>
    <r>
      <rPr>
        <sz val="11"/>
        <color theme="1"/>
        <rFont val="等线"/>
        <family val="2"/>
        <charset val="134"/>
        <scheme val="minor"/>
      </rPr>
      <t>。主</t>
    </r>
    <r>
      <rPr>
        <b/>
        <sz val="11"/>
        <color theme="1"/>
        <rFont val="等线"/>
        <family val="3"/>
        <charset val="134"/>
        <scheme val="minor"/>
      </rPr>
      <t>改革、变动、突破、竞争、冒险、肃杀</t>
    </r>
    <r>
      <rPr>
        <sz val="11"/>
        <color theme="1"/>
        <rFont val="等线"/>
        <family val="2"/>
        <charset val="134"/>
        <scheme val="minor"/>
      </rPr>
      <t>。代表</t>
    </r>
    <r>
      <rPr>
        <b/>
        <sz val="11"/>
        <color theme="1"/>
        <rFont val="等线"/>
        <family val="3"/>
        <charset val="134"/>
        <scheme val="minor"/>
      </rPr>
      <t>需要勇气、魄力、执行力</t>
    </r>
    <r>
      <rPr>
        <sz val="11"/>
        <color theme="1"/>
        <rFont val="等线"/>
        <family val="2"/>
        <charset val="134"/>
        <scheme val="minor"/>
      </rPr>
      <t>的事务。过程</t>
    </r>
    <r>
      <rPr>
        <b/>
        <sz val="11"/>
        <color theme="1"/>
        <rFont val="等线"/>
        <family val="3"/>
        <charset val="134"/>
        <scheme val="minor"/>
      </rPr>
      <t>激烈、动荡、充满挑战，但若能驾驭，可成大事</t>
    </r>
    <r>
      <rPr>
        <sz val="11"/>
        <color theme="1"/>
        <rFont val="等线"/>
        <family val="2"/>
        <charset val="134"/>
        <scheme val="minor"/>
      </rPr>
      <t>。</t>
    </r>
  </si>
  <si>
    <r>
      <t>3. 物（物体、空间、形态）：</t>
    </r>
    <r>
      <rPr>
        <sz val="11"/>
        <color theme="1"/>
        <rFont val="等线"/>
        <family val="2"/>
        <charset val="134"/>
        <scheme val="minor"/>
      </rPr>
      <t>​ 指代一切</t>
    </r>
    <r>
      <rPr>
        <b/>
        <sz val="11"/>
        <color theme="1"/>
        <rFont val="等线"/>
        <family val="3"/>
        <charset val="134"/>
        <scheme val="minor"/>
      </rPr>
      <t>尖锐、肃杀、变动、权威、线性、结构性</t>
    </r>
    <r>
      <rPr>
        <sz val="11"/>
        <color theme="1"/>
        <rFont val="等线"/>
        <family val="2"/>
        <charset val="134"/>
        <scheme val="minor"/>
      </rPr>
      <t>属性的事物。如：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</si>
  <si>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具体物体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刀剑、武器、机械、车辆、手术刀、权威标志（军警徽章）、精密仪器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</si>
  <si>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空间与形态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高处、变动之地（车站、机场）、线条、平面、切割面、棱角分明的结构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</si>
  <si>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抽象象征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数字1（象征单一、开创、持久）与数字10（象征圆满后的新循环与肃清）</t>
    </r>
    <r>
      <rPr>
        <sz val="11"/>
        <color theme="1"/>
        <rFont val="等线"/>
        <family val="2"/>
        <charset val="134"/>
        <scheme val="minor"/>
      </rPr>
      <t>。</t>
    </r>
  </si>
  <si>
    <r>
      <t>平面</t>
    </r>
    <r>
      <rPr>
        <sz val="11"/>
        <color theme="1"/>
        <rFont val="等线"/>
        <family val="2"/>
        <charset val="134"/>
        <scheme val="minor"/>
      </rPr>
      <t>：象征</t>
    </r>
    <r>
      <rPr>
        <b/>
        <sz val="11"/>
        <color theme="1"/>
        <rFont val="等线"/>
        <family val="3"/>
        <charset val="134"/>
        <scheme val="minor"/>
      </rPr>
      <t>切割面、界面、规则平面</t>
    </r>
    <r>
      <rPr>
        <sz val="11"/>
        <color theme="1"/>
        <rFont val="等线"/>
        <family val="2"/>
        <charset val="134"/>
        <scheme val="minor"/>
      </rPr>
      <t>。对应七杀“划分界限、建立规则、权威平面”的特质。</t>
    </r>
  </si>
  <si>
    <r>
      <t>数字1/10</t>
    </r>
    <r>
      <rPr>
        <sz val="11"/>
        <color theme="1"/>
        <rFont val="等线"/>
        <family val="2"/>
        <charset val="134"/>
        <scheme val="minor"/>
      </rPr>
      <t>：在紫微斗数中，七杀五行属</t>
    </r>
    <r>
      <rPr>
        <b/>
        <sz val="11"/>
        <color theme="1"/>
        <rFont val="等线"/>
        <family val="3"/>
        <charset val="134"/>
        <scheme val="minor"/>
      </rPr>
      <t>阴金</t>
    </r>
    <r>
      <rPr>
        <sz val="11"/>
        <color theme="1"/>
        <rFont val="等线"/>
        <family val="2"/>
        <charset val="134"/>
        <scheme val="minor"/>
      </rPr>
      <t>，其数理为</t>
    </r>
    <r>
      <rPr>
        <b/>
        <sz val="11"/>
        <color theme="1"/>
        <rFont val="等线"/>
        <family val="3"/>
        <charset val="134"/>
        <scheme val="minor"/>
      </rPr>
      <t>1</t>
    </r>
    <r>
      <rPr>
        <sz val="11"/>
        <color theme="1"/>
        <rFont val="等线"/>
        <family val="2"/>
        <charset val="134"/>
        <scheme val="minor"/>
      </rPr>
      <t>与</t>
    </r>
    <r>
      <rPr>
        <b/>
        <sz val="11"/>
        <color theme="1"/>
        <rFont val="等线"/>
        <family val="3"/>
        <charset val="134"/>
        <scheme val="minor"/>
      </rPr>
      <t>10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1</t>
    </r>
    <r>
      <rPr>
        <sz val="11"/>
        <color theme="1"/>
        <rFont val="等线"/>
        <family val="2"/>
        <charset val="134"/>
        <scheme val="minor"/>
      </rPr>
      <t>象征</t>
    </r>
    <r>
      <rPr>
        <b/>
        <sz val="11"/>
        <color theme="1"/>
        <rFont val="等线"/>
        <family val="3"/>
        <charset val="134"/>
        <scheme val="minor"/>
      </rPr>
      <t>开端、独立、单一、持久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10</t>
    </r>
    <r>
      <rPr>
        <sz val="11"/>
        <color theme="1"/>
        <rFont val="等线"/>
        <family val="2"/>
        <charset val="134"/>
        <scheme val="minor"/>
      </rPr>
      <t>象征</t>
    </r>
    <r>
      <rPr>
        <b/>
        <sz val="11"/>
        <color theme="1"/>
        <rFont val="等线"/>
        <family val="3"/>
        <charset val="134"/>
        <scheme val="minor"/>
      </rPr>
      <t>圆满后的终结与新一轮肃清的开始</t>
    </r>
    <r>
      <rPr>
        <sz val="11"/>
        <color theme="1"/>
        <rFont val="等线"/>
        <family val="2"/>
        <charset val="134"/>
        <scheme val="minor"/>
      </rPr>
      <t>。这完美对应了七杀“开创、变动、肃杀”的本质。</t>
    </r>
  </si>
  <si>
    <r>
      <t>线</t>
    </r>
    <r>
      <rPr>
        <sz val="11"/>
        <color theme="1"/>
        <rFont val="等线"/>
        <family val="2"/>
        <charset val="134"/>
        <scheme val="minor"/>
      </rPr>
      <t>：象征</t>
    </r>
    <r>
      <rPr>
        <b/>
        <sz val="11"/>
        <color theme="1"/>
        <rFont val="等线"/>
        <family val="3"/>
        <charset val="134"/>
        <scheme val="minor"/>
      </rPr>
      <t>线性过程、直接路径、切割线</t>
    </r>
    <r>
      <rPr>
        <sz val="11"/>
        <color theme="1"/>
        <rFont val="等线"/>
        <family val="2"/>
        <charset val="134"/>
        <scheme val="minor"/>
      </rPr>
      <t>。对应七杀“决断、肃杀、不喜迂回”的特质。</t>
    </r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</si>
  <si>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破军星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的完整象义解析如下（严格遵循原始资料结构与表述，并应用您指正的逻辑，在“本质”部分系统化呈现“人/事/物”三个层次）：</t>
    </r>
  </si>
  <si>
    <t>一、破军定义</t>
  </si>
  <si>
    <t>破旧立新、变动、消耗、先锋、冒险、颠覆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</si>
  <si>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勇敢果决、喜新厌旧、敢于冒险、不喜墨守成规、有开创力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性情急躁、破坏性强、任性狂傲、不重礼仪、人际关系变动大、六亲缘薄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先锋、改革家、颠覆者</t>
    </r>
    <r>
      <rPr>
        <sz val="12"/>
        <color theme="1"/>
        <rFont val="等线"/>
        <family val="3"/>
        <charset val="134"/>
        <scheme val="minor"/>
      </rPr>
      <t>。人际关系上，</t>
    </r>
    <r>
      <rPr>
        <b/>
        <sz val="12"/>
        <color theme="1"/>
        <rFont val="等线"/>
        <family val="3"/>
        <charset val="134"/>
        <scheme val="minor"/>
      </rPr>
      <t>重义气但关系难以持久，喜结交新朋友，易与旧识疏远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</si>
  <si>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充满颠覆、重建、消耗、先破后成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改革、变动、破坏、消耗、创新、冒险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需要打破常规、推倒重来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激烈、消耗大、结果难料，但往往在废墟上建立新秩序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</si>
  <si>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具有破坏性、消耗性、变动性、先锋性</t>
    </r>
    <r>
      <rPr>
        <sz val="12"/>
        <color theme="1"/>
        <rFont val="等线"/>
        <family val="3"/>
        <charset val="134"/>
        <scheme val="minor"/>
      </rPr>
      <t>属性的事物。如：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</si>
  <si>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拆迁工具（锤、斧）、废旧物品、破船、破损之物、先锋器械、消耗品</t>
    </r>
    <r>
      <rPr>
        <sz val="12"/>
        <color theme="1"/>
        <rFont val="等线"/>
        <family val="3"/>
        <charset val="134"/>
        <scheme val="minor"/>
      </rPr>
      <t>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</si>
  <si>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废墟、工地、交易所、波涛汹涌之处（水）、不规则体、缺口、裂缝、波浪形</t>
    </r>
    <r>
      <rPr>
        <sz val="12"/>
        <color theme="1"/>
        <rFont val="等线"/>
        <family val="3"/>
        <charset val="134"/>
        <scheme val="minor"/>
      </rPr>
      <t>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</si>
  <si>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抽象象征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数字7（北斗第七星，象征变动与更迭）</t>
    </r>
    <r>
      <rPr>
        <sz val="12"/>
        <color theme="1"/>
        <rFont val="等线"/>
        <family val="3"/>
        <charset val="134"/>
        <scheme val="minor"/>
      </rPr>
      <t>。</t>
    </r>
  </si>
  <si>
    <t>整合自《金刚佛光-紫占课程手册》中关于破军“破旧立新”、“消耗”、“先锋”等核心概念的深度阐释与类象推演，并系统化补充了由核心象征推导出的“物”的类象。</t>
  </si>
  <si>
    <r>
      <t>破旧立新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</si>
  <si>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破坏与重建、先破后成</t>
    </r>
    <r>
      <rPr>
        <sz val="12"/>
        <color theme="1"/>
        <rFont val="等线"/>
        <family val="3"/>
        <charset val="134"/>
        <scheme val="minor"/>
      </rPr>
      <t>。具有</t>
    </r>
    <r>
      <rPr>
        <b/>
        <sz val="12"/>
        <color theme="1"/>
        <rFont val="等线"/>
        <family val="3"/>
        <charset val="134"/>
        <scheme val="minor"/>
      </rPr>
      <t>强烈的改革、创新精神</t>
    </r>
    <r>
      <rPr>
        <sz val="12"/>
        <color theme="1"/>
        <rFont val="等线"/>
        <family val="3"/>
        <charset val="134"/>
        <scheme val="minor"/>
      </rPr>
      <t>，不喜守成，喜</t>
    </r>
    <r>
      <rPr>
        <b/>
        <sz val="12"/>
        <color theme="1"/>
        <rFont val="等线"/>
        <family val="3"/>
        <charset val="134"/>
        <scheme val="minor"/>
      </rPr>
      <t>推翻旧有，建立新秩序</t>
    </r>
    <r>
      <rPr>
        <sz val="12"/>
        <color theme="1"/>
        <rFont val="等线"/>
        <family val="3"/>
        <charset val="134"/>
        <scheme val="minor"/>
      </rPr>
      <t>。但破坏性也强，易造成</t>
    </r>
    <r>
      <rPr>
        <b/>
        <sz val="12"/>
        <color theme="1"/>
        <rFont val="等线"/>
        <family val="3"/>
        <charset val="134"/>
        <scheme val="minor"/>
      </rPr>
      <t>资源消耗、人际关系破裂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</si>
  <si>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在命宫、官禄宫时，主一生多变动改革，事业上常需从头再来。</t>
  </si>
  <si>
    <r>
      <t>消耗与变动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</si>
  <si>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“耗”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消耗、破耗</t>
    </r>
    <r>
      <rPr>
        <sz val="12"/>
        <color theme="1"/>
        <rFont val="等线"/>
        <family val="3"/>
        <charset val="134"/>
        <scheme val="minor"/>
      </rPr>
      <t>。包括</t>
    </r>
    <r>
      <rPr>
        <b/>
        <sz val="12"/>
        <color theme="1"/>
        <rFont val="等线"/>
        <family val="3"/>
        <charset val="134"/>
        <scheme val="minor"/>
      </rPr>
      <t>钱财、精力、人际关系的消耗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变动极大</t>
    </r>
    <r>
      <rPr>
        <sz val="12"/>
        <color theme="1"/>
        <rFont val="等线"/>
        <family val="3"/>
        <charset val="134"/>
        <scheme val="minor"/>
      </rPr>
      <t>，常在变动中消耗，也在消耗中寻求新生。</t>
    </r>
  </si>
  <si>
    <t>在财帛宫、命宫时，主钱财难聚，人生多主动或被动的变动。</t>
  </si>
  <si>
    <r>
      <t>先锋与冒险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</si>
  <si>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先锋官</t>
    </r>
    <r>
      <rPr>
        <sz val="12"/>
        <color theme="1"/>
        <rFont val="等线"/>
        <family val="3"/>
        <charset val="134"/>
        <scheme val="minor"/>
      </rPr>
      <t>，有</t>
    </r>
    <r>
      <rPr>
        <b/>
        <sz val="12"/>
        <color theme="1"/>
        <rFont val="等线"/>
        <family val="3"/>
        <charset val="134"/>
        <scheme val="minor"/>
      </rPr>
      <t>冒险精神，敢于为人所不敢为</t>
    </r>
    <r>
      <rPr>
        <sz val="12"/>
        <color theme="1"/>
        <rFont val="等线"/>
        <family val="3"/>
        <charset val="134"/>
        <scheme val="minor"/>
      </rPr>
      <t>。适合开拓性、冒险性行业，但过程艰辛，成败难料。</t>
    </r>
  </si>
  <si>
    <t>在迁移宫、官禄宫时，主适合外出开拓、探险、新兴行业。</t>
  </si>
  <si>
    <r>
      <t>背厚眉宽，腰斜，声音尖锐，动作快速，坐立不稳</t>
    </r>
    <r>
      <rPr>
        <sz val="12"/>
        <color theme="1"/>
        <rFont val="等线"/>
        <family val="3"/>
        <charset val="134"/>
        <scheme val="minor"/>
      </rPr>
      <t>。给人</t>
    </r>
    <r>
      <rPr>
        <b/>
        <sz val="12"/>
        <color theme="1"/>
        <rFont val="等线"/>
        <family val="3"/>
        <charset val="134"/>
        <scheme val="minor"/>
      </rPr>
      <t>果敢、急躁、不修边幅</t>
    </r>
    <r>
      <rPr>
        <sz val="12"/>
        <color theme="1"/>
        <rFont val="等线"/>
        <family val="3"/>
        <charset val="134"/>
        <scheme val="minor"/>
      </rPr>
      <t>的印象。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</si>
  <si>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：勇敢果决，敢于冒险，喜新厌旧，有开创力，重义气。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</si>
  <si>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：性情急躁，破坏性强，任性狂傲，不重礼仪，人际关系变动大，六亲缘薄。</t>
    </r>
  </si>
  <si>
    <r>
      <t>属水，主</t>
    </r>
    <r>
      <rPr>
        <b/>
        <sz val="12"/>
        <color theme="1"/>
        <rFont val="等线"/>
        <family val="3"/>
        <charset val="134"/>
        <scheme val="minor"/>
      </rPr>
      <t>肾脏、泌尿系统、生殖系统</t>
    </r>
    <r>
      <rPr>
        <sz val="12"/>
        <color theme="1"/>
        <rFont val="等线"/>
        <family val="3"/>
        <charset val="134"/>
        <scheme val="minor"/>
      </rPr>
      <t>。也主</t>
    </r>
    <r>
      <rPr>
        <b/>
        <sz val="12"/>
        <color theme="1"/>
        <rFont val="等线"/>
        <family val="3"/>
        <charset val="134"/>
        <scheme val="minor"/>
      </rPr>
      <t>消耗性疾病、虚损、与“破”相关的伤病（如骨折、手术）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</si>
  <si>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勇敢果决，喜新厌旧，敢于冒险，不喜墨守成规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变动极大，六亲缘薄，常需白手起家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军警、工程、技术、贸易、探险</t>
    </r>
    <r>
      <rPr>
        <sz val="12"/>
        <color theme="1"/>
        <rFont val="等线"/>
        <family val="3"/>
        <charset val="134"/>
        <scheme val="minor"/>
      </rPr>
      <t>等开拓性行业。</t>
    </r>
    <r>
      <rPr>
        <b/>
        <sz val="12"/>
        <color theme="1"/>
        <rFont val="等线"/>
        <family val="3"/>
        <charset val="134"/>
        <scheme val="minor"/>
      </rPr>
      <t>喜见禄存、化禄以制其耗</t>
    </r>
    <r>
      <rPr>
        <sz val="12"/>
        <color theme="1"/>
        <rFont val="等线"/>
        <family val="3"/>
        <charset val="134"/>
        <scheme val="minor"/>
      </rPr>
      <t>，可</t>
    </r>
    <r>
      <rPr>
        <b/>
        <sz val="12"/>
        <color theme="1"/>
        <rFont val="等线"/>
        <family val="3"/>
        <charset val="134"/>
        <scheme val="minor"/>
      </rPr>
      <t>先破后成，终有所获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最忌煞忌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一生劳碌，破败无常，孤独飘荡</t>
    </r>
    <r>
      <rPr>
        <sz val="12"/>
        <color theme="1"/>
        <rFont val="等线"/>
        <family val="3"/>
        <charset val="134"/>
        <scheme val="minor"/>
      </rPr>
      <t>。破军坐命，需</t>
    </r>
    <r>
      <rPr>
        <b/>
        <sz val="12"/>
        <color theme="1"/>
        <rFont val="等线"/>
        <family val="3"/>
        <charset val="134"/>
        <scheme val="minor"/>
      </rPr>
      <t>以不断的变动与改革作为人生动力</t>
    </r>
    <r>
      <rPr>
        <sz val="12"/>
        <color theme="1"/>
        <rFont val="等线"/>
        <family val="3"/>
        <charset val="134"/>
        <scheme val="minor"/>
      </rPr>
      <t>。</t>
    </r>
  </si>
  <si>
    <r>
      <t>与</t>
    </r>
    <r>
      <rPr>
        <b/>
        <sz val="12"/>
        <color theme="1"/>
        <rFont val="等线"/>
        <family val="3"/>
        <charset val="134"/>
        <scheme val="minor"/>
      </rPr>
      <t>兄弟姐妹缘分淡薄，易有分离</t>
    </r>
    <r>
      <rPr>
        <sz val="12"/>
        <color theme="1"/>
        <rFont val="等线"/>
        <family val="3"/>
        <charset val="134"/>
        <scheme val="minor"/>
      </rPr>
      <t>。兄弟姐妹中可能有性格叛逆、好变动者。</t>
    </r>
  </si>
  <si>
    <r>
      <t>❌ 非善地！</t>
    </r>
    <r>
      <rPr>
        <sz val="12"/>
        <color theme="1"/>
        <rFont val="等线"/>
        <family val="3"/>
        <charset val="134"/>
        <scheme val="minor"/>
      </rPr>
      <t>​ 主</t>
    </r>
    <r>
      <rPr>
        <b/>
        <sz val="12"/>
        <color theme="1"/>
        <rFont val="等线"/>
        <family val="3"/>
        <charset val="134"/>
        <scheme val="minor"/>
      </rPr>
      <t>夫妻关系极不稳定，易聚易散</t>
    </r>
    <r>
      <rPr>
        <sz val="12"/>
        <color theme="1"/>
        <rFont val="等线"/>
        <family val="3"/>
        <charset val="134"/>
        <scheme val="minor"/>
      </rPr>
      <t>。配偶可能性格刚烈、好变动，或双方因人生追求不同而分离。</t>
    </r>
    <r>
      <rPr>
        <b/>
        <sz val="12"/>
        <color theme="1"/>
        <rFont val="等线"/>
        <family val="3"/>
        <charset val="134"/>
        <scheme val="minor"/>
      </rPr>
      <t>宜晚婚，或配偶为军警、常出差者</t>
    </r>
    <r>
      <rPr>
        <sz val="12"/>
        <color theme="1"/>
        <rFont val="等线"/>
        <family val="3"/>
        <charset val="134"/>
        <scheme val="minor"/>
      </rPr>
      <t>，可稍减其凶。女命破军坐夫妻，婚姻多波折。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</si>
  <si>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个性强，好动，叛逆，不易管教</t>
    </r>
    <r>
      <rPr>
        <sz val="12"/>
        <color theme="1"/>
        <rFont val="等线"/>
        <family val="3"/>
        <charset val="134"/>
        <scheme val="minor"/>
      </rPr>
      <t>。子嗣缘薄，煞忌重则需防流产、子女远离或健康问题。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</si>
  <si>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冒险、波动大，钱财来去匆匆，难有积蓄</t>
    </r>
    <r>
      <rPr>
        <sz val="12"/>
        <color theme="1"/>
        <rFont val="等线"/>
        <family val="3"/>
        <charset val="134"/>
        <scheme val="minor"/>
      </rPr>
      <t>。宜从事</t>
    </r>
    <r>
      <rPr>
        <b/>
        <sz val="12"/>
        <color theme="1"/>
        <rFont val="等线"/>
        <family val="3"/>
        <charset val="134"/>
        <scheme val="minor"/>
      </rPr>
      <t>投机、贸易、技术革新</t>
    </r>
    <r>
      <rPr>
        <sz val="12"/>
        <color theme="1"/>
        <rFont val="等线"/>
        <family val="3"/>
        <charset val="134"/>
        <scheme val="minor"/>
      </rPr>
      <t>等行业，但需见好就收。见禄存、化禄，可</t>
    </r>
    <r>
      <rPr>
        <b/>
        <sz val="12"/>
        <color theme="1"/>
        <rFont val="等线"/>
        <family val="3"/>
        <charset val="134"/>
        <scheme val="minor"/>
      </rPr>
      <t>暴发</t>
    </r>
    <r>
      <rPr>
        <sz val="12"/>
        <color theme="1"/>
        <rFont val="等线"/>
        <family val="3"/>
        <charset val="134"/>
        <scheme val="minor"/>
      </rPr>
      <t>；见煞忌，则</t>
    </r>
    <r>
      <rPr>
        <b/>
        <sz val="12"/>
        <color theme="1"/>
        <rFont val="等线"/>
        <family val="3"/>
        <charset val="134"/>
        <scheme val="minor"/>
      </rPr>
      <t>暴败</t>
    </r>
    <r>
      <rPr>
        <sz val="12"/>
        <color theme="1"/>
        <rFont val="等线"/>
        <family val="3"/>
        <charset val="134"/>
        <scheme val="minor"/>
      </rPr>
      <t>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</si>
  <si>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肾脏、泌尿系统、生殖系统疾病</t>
    </r>
    <r>
      <rPr>
        <sz val="12"/>
        <color theme="1"/>
        <rFont val="等线"/>
        <family val="3"/>
        <charset val="134"/>
        <scheme val="minor"/>
      </rPr>
      <t>。也主</t>
    </r>
    <r>
      <rPr>
        <b/>
        <sz val="12"/>
        <color theme="1"/>
        <rFont val="等线"/>
        <family val="3"/>
        <charset val="134"/>
        <scheme val="minor"/>
      </rPr>
      <t>消耗性疾病、虚损、骨折、手术</t>
    </r>
    <r>
      <rPr>
        <sz val="12"/>
        <color theme="1"/>
        <rFont val="等线"/>
        <family val="3"/>
        <charset val="134"/>
        <scheme val="minor"/>
      </rPr>
      <t>。煞忌重则需防意外伤害。</t>
    </r>
  </si>
  <si>
    <r>
      <t>在外发展</t>
    </r>
    <r>
      <rPr>
        <b/>
        <sz val="12"/>
        <color theme="1"/>
        <rFont val="等线"/>
        <family val="3"/>
        <charset val="134"/>
        <scheme val="minor"/>
      </rPr>
      <t>多变动、多机遇、多冒险</t>
    </r>
    <r>
      <rPr>
        <sz val="12"/>
        <color theme="1"/>
        <rFont val="等线"/>
        <family val="3"/>
        <charset val="134"/>
        <scheme val="minor"/>
      </rPr>
      <t>。适合外出发展，在变动中求财求名。外出易遇突发状况，需灵活应对。</t>
    </r>
  </si>
  <si>
    <r>
      <t>朋友、部属</t>
    </r>
    <r>
      <rPr>
        <b/>
        <sz val="12"/>
        <color theme="1"/>
        <rFont val="等线"/>
        <family val="3"/>
        <charset val="134"/>
        <scheme val="minor"/>
      </rPr>
      <t>变动大，关系难以持久</t>
    </r>
    <r>
      <rPr>
        <sz val="12"/>
        <color theme="1"/>
        <rFont val="等线"/>
        <family val="3"/>
        <charset val="134"/>
        <scheme val="minor"/>
      </rPr>
      <t>。结交的朋友多具冒险精神，但也易因利益而散。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</si>
  <si>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需要不断改革、创新、冒险</t>
    </r>
    <r>
      <rPr>
        <sz val="12"/>
        <color theme="1"/>
        <rFont val="等线"/>
        <family val="3"/>
        <charset val="134"/>
        <scheme val="minor"/>
      </rPr>
      <t>的行业，如</t>
    </r>
    <r>
      <rPr>
        <b/>
        <sz val="12"/>
        <color theme="1"/>
        <rFont val="等线"/>
        <family val="3"/>
        <charset val="134"/>
        <scheme val="minor"/>
      </rPr>
      <t>军警、工程、技术研发、贸易、探险、新兴行业</t>
    </r>
    <r>
      <rPr>
        <sz val="12"/>
        <color theme="1"/>
        <rFont val="等线"/>
        <family val="3"/>
        <charset val="134"/>
        <scheme val="minor"/>
      </rPr>
      <t>。事业上</t>
    </r>
    <r>
      <rPr>
        <b/>
        <sz val="12"/>
        <color theme="1"/>
        <rFont val="等线"/>
        <family val="3"/>
        <charset val="134"/>
        <scheme val="minor"/>
      </rPr>
      <t>变动频繁，不喜一成不变，常有转行、创业之举</t>
    </r>
    <r>
      <rPr>
        <sz val="12"/>
        <color theme="1"/>
        <rFont val="等线"/>
        <family val="3"/>
        <charset val="134"/>
        <scheme val="minor"/>
      </rPr>
      <t>。</t>
    </r>
  </si>
  <si>
    <r>
      <t>难守祖业，家宅多变</t>
    </r>
    <r>
      <rPr>
        <sz val="12"/>
        <color theme="1"/>
        <rFont val="等线"/>
        <family val="3"/>
        <charset val="134"/>
        <scheme val="minor"/>
      </rPr>
      <t>（如频繁搬家、装修、拆迁）。对房产有</t>
    </r>
    <r>
      <rPr>
        <b/>
        <sz val="12"/>
        <color theme="1"/>
        <rFont val="等线"/>
        <family val="3"/>
        <charset val="134"/>
        <scheme val="minor"/>
      </rPr>
      <t>先破后成</t>
    </r>
    <r>
      <rPr>
        <sz val="12"/>
        <color theme="1"/>
        <rFont val="等线"/>
        <family val="3"/>
        <charset val="134"/>
        <scheme val="minor"/>
      </rPr>
      <t>之象，即可能先卖旧房再购新房。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</si>
  <si>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喜新厌旧，追求刺激，内心不安定</t>
    </r>
    <r>
      <rPr>
        <sz val="12"/>
        <color theme="1"/>
        <rFont val="等线"/>
        <family val="3"/>
        <charset val="134"/>
        <scheme val="minor"/>
      </rPr>
      <t>。一生劳心劳力，难得清闲。煞忌重则内心空虚，喜寻求极端刺激。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</si>
  <si>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缘分较薄，易有代沟或早年离家</t>
    </r>
    <r>
      <rPr>
        <sz val="12"/>
        <color theme="1"/>
        <rFont val="等线"/>
        <family val="3"/>
        <charset val="134"/>
        <scheme val="minor"/>
      </rPr>
      <t>。父母可能从事变动性大的职业，或家庭环境多变。</t>
    </r>
  </si>
  <si>
    <t>1. 增强破耗/变动/开创组合</t>
  </si>
  <si>
    <r>
      <t>破军+紫微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</si>
  <si>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帝星遇耗</t>
    </r>
    <r>
      <rPr>
        <sz val="12"/>
        <color theme="1"/>
        <rFont val="等线"/>
        <family val="3"/>
        <charset val="134"/>
        <scheme val="minor"/>
      </rPr>
      <t>，权威与破旧立新结合，</t>
    </r>
    <r>
      <rPr>
        <b/>
        <sz val="12"/>
        <color theme="1"/>
        <rFont val="等线"/>
        <family val="3"/>
        <charset val="134"/>
        <scheme val="minor"/>
      </rPr>
      <t>有魄力进行大规模改革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大型企业重组、政府改革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变动剧烈，成败难料</t>
    </r>
    <r>
      <rPr>
        <sz val="12"/>
        <color theme="1"/>
        <rFont val="等线"/>
        <family val="3"/>
        <charset val="134"/>
        <scheme val="minor"/>
      </rPr>
      <t>。</t>
    </r>
  </si>
  <si>
    <t>改革家；企业重组专家。</t>
  </si>
  <si>
    <r>
      <t>破军+天机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</si>
  <si>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智星遇耗</t>
    </r>
    <r>
      <rPr>
        <sz val="12"/>
        <color theme="1"/>
        <rFont val="等线"/>
        <family val="3"/>
        <charset val="134"/>
        <scheme val="minor"/>
      </rPr>
      <t>，变动与破旧立新结合，</t>
    </r>
    <r>
      <rPr>
        <b/>
        <sz val="12"/>
        <color theme="1"/>
        <rFont val="等线"/>
        <family val="3"/>
        <charset val="134"/>
        <scheme val="minor"/>
      </rPr>
      <t>善于改革、创新</t>
    </r>
    <r>
      <rPr>
        <sz val="12"/>
        <color theme="1"/>
        <rFont val="等线"/>
        <family val="3"/>
        <charset val="134"/>
        <scheme val="minor"/>
      </rPr>
      <t>，但变动剧烈，需防计划赶不上变化。</t>
    </r>
  </si>
  <si>
    <t>创新策划者；但变动极大。</t>
  </si>
  <si>
    <r>
      <t>破军+太阳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</si>
  <si>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日照遇耗</t>
    </r>
    <r>
      <rPr>
        <sz val="12"/>
        <color theme="1"/>
        <rFont val="等线"/>
        <family val="3"/>
        <charset val="134"/>
        <scheme val="minor"/>
      </rPr>
      <t>，发散与破旧立新结合，</t>
    </r>
    <r>
      <rPr>
        <b/>
        <sz val="12"/>
        <color theme="1"/>
        <rFont val="等线"/>
        <family val="3"/>
        <charset val="134"/>
        <scheme val="minor"/>
      </rPr>
      <t>改革行为公开化，有影响力</t>
    </r>
    <r>
      <rPr>
        <sz val="12"/>
        <color theme="1"/>
        <rFont val="等线"/>
        <family val="3"/>
        <charset val="134"/>
        <scheme val="minor"/>
      </rPr>
      <t>，但易招致反对与是非。</t>
    </r>
  </si>
  <si>
    <t>社会改革者；公众人物。</t>
  </si>
  <si>
    <r>
      <t>破军+武曲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</si>
  <si>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刚金遇耗</t>
    </r>
    <r>
      <rPr>
        <sz val="12"/>
        <color theme="1"/>
        <rFont val="等线"/>
        <family val="3"/>
        <charset val="134"/>
        <scheme val="minor"/>
      </rPr>
      <t>，行动力与破旧立新结合，</t>
    </r>
    <r>
      <rPr>
        <b/>
        <sz val="12"/>
        <color theme="1"/>
        <rFont val="等线"/>
        <family val="3"/>
        <charset val="134"/>
        <scheme val="minor"/>
      </rPr>
      <t>“武破”组合，行动果决，敢于破釜沉舟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军警、工程技术革新</t>
    </r>
    <r>
      <rPr>
        <sz val="12"/>
        <color theme="1"/>
        <rFont val="等线"/>
        <family val="3"/>
        <charset val="134"/>
        <scheme val="minor"/>
      </rPr>
      <t>。</t>
    </r>
  </si>
  <si>
    <t>军人；工程师；敢于冒险的创业者。</t>
  </si>
  <si>
    <r>
      <t>破军+天同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</si>
  <si>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福星遇耗</t>
    </r>
    <r>
      <rPr>
        <sz val="12"/>
        <color theme="1"/>
        <rFont val="等线"/>
        <family val="3"/>
        <charset val="134"/>
        <scheme val="minor"/>
      </rPr>
      <t>，温和与破旧立新结合，</t>
    </r>
    <r>
      <rPr>
        <b/>
        <sz val="12"/>
        <color theme="1"/>
        <rFont val="等线"/>
        <family val="3"/>
        <charset val="134"/>
        <scheme val="minor"/>
      </rPr>
      <t>人生先破后成，在变动中寻求享乐</t>
    </r>
    <r>
      <rPr>
        <sz val="12"/>
        <color theme="1"/>
        <rFont val="等线"/>
        <family val="3"/>
        <charset val="134"/>
        <scheme val="minor"/>
      </rPr>
      <t>，但过程多辛劳。</t>
    </r>
  </si>
  <si>
    <t>经历变动后安享成果者；但过程辛苦。</t>
  </si>
  <si>
    <r>
      <t>破军+廉贞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</si>
  <si>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囚星遇耗</t>
    </r>
    <r>
      <rPr>
        <sz val="12"/>
        <color theme="1"/>
        <rFont val="等线"/>
        <family val="3"/>
        <charset val="134"/>
        <scheme val="minor"/>
      </rPr>
      <t>，感情官非与破旧立新结合，</t>
    </r>
    <r>
      <rPr>
        <b/>
        <sz val="12"/>
        <color theme="1"/>
        <rFont val="等线"/>
        <family val="3"/>
        <charset val="134"/>
        <scheme val="minor"/>
      </rPr>
      <t>“廉破”组合，人生大起大落，易因感情、金钱引发破耗与官非</t>
    </r>
    <r>
      <rPr>
        <sz val="12"/>
        <color theme="1"/>
        <rFont val="等线"/>
        <family val="3"/>
        <charset val="134"/>
        <scheme val="minor"/>
      </rPr>
      <t>。</t>
    </r>
  </si>
  <si>
    <t>人生波动极大，易有感情与财务纠纷。</t>
  </si>
  <si>
    <r>
      <t>破军+天府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</si>
  <si>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库星遇耗</t>
    </r>
    <r>
      <rPr>
        <sz val="12"/>
        <color theme="1"/>
        <rFont val="等线"/>
        <family val="3"/>
        <charset val="134"/>
        <scheme val="minor"/>
      </rPr>
      <t>，稳重与破旧立新结合，</t>
    </r>
    <r>
      <rPr>
        <b/>
        <sz val="12"/>
        <color theme="1"/>
        <rFont val="等线"/>
        <family val="3"/>
        <charset val="134"/>
        <scheme val="minor"/>
      </rPr>
      <t>“破府”组合，能攻能守，破中有立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金融投资、资产管理</t>
    </r>
    <r>
      <rPr>
        <sz val="12"/>
        <color theme="1"/>
        <rFont val="等线"/>
        <family val="3"/>
        <charset val="134"/>
        <scheme val="minor"/>
      </rPr>
      <t>。</t>
    </r>
  </si>
  <si>
    <t>投资家；资产管理者。</t>
  </si>
  <si>
    <r>
      <t>破军+太阴</t>
    </r>
    <r>
      <rPr>
        <sz val="12"/>
        <color theme="1"/>
        <rFont val="等线"/>
        <family val="3"/>
        <charset val="134"/>
        <scheme val="minor"/>
      </rPr>
      <t>​</t>
    </r>
  </si>
  <si>
    <r>
      <t>阴水遇耗</t>
    </r>
    <r>
      <rPr>
        <sz val="12"/>
        <color theme="1"/>
        <rFont val="等线"/>
        <family val="3"/>
        <charset val="134"/>
        <scheme val="minor"/>
      </rPr>
      <t>，内敛与破旧立新结合，</t>
    </r>
    <r>
      <rPr>
        <b/>
        <sz val="12"/>
        <color theme="1"/>
        <rFont val="等线"/>
        <family val="3"/>
        <charset val="134"/>
        <scheme val="minor"/>
      </rPr>
      <t>破耗在暗中进行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幕后策划改革</t>
    </r>
    <r>
      <rPr>
        <sz val="12"/>
        <color theme="1"/>
        <rFont val="等线"/>
        <family val="3"/>
        <charset val="134"/>
        <scheme val="minor"/>
      </rPr>
      <t>，但内心多矛盾。</t>
    </r>
  </si>
  <si>
    <t>幕后改革者；策划者。</t>
  </si>
  <si>
    <r>
      <t>破军+贪狼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</si>
  <si>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欲星遇耗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“杀破狼”格局核心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欲望与破旧立新结合，人生变动极大，充满机遇与挑战</t>
    </r>
    <r>
      <rPr>
        <sz val="12"/>
        <color theme="1"/>
        <rFont val="等线"/>
        <family val="3"/>
        <charset val="134"/>
        <scheme val="minor"/>
      </rPr>
      <t>。吉则</t>
    </r>
    <r>
      <rPr>
        <b/>
        <sz val="12"/>
        <color theme="1"/>
        <rFont val="等线"/>
        <family val="3"/>
        <charset val="134"/>
        <scheme val="minor"/>
      </rPr>
      <t>横发</t>
    </r>
    <r>
      <rPr>
        <sz val="12"/>
        <color theme="1"/>
        <rFont val="等线"/>
        <family val="3"/>
        <charset val="134"/>
        <scheme val="minor"/>
      </rPr>
      <t>；凶则</t>
    </r>
    <r>
      <rPr>
        <b/>
        <sz val="12"/>
        <color theme="1"/>
        <rFont val="等线"/>
        <family val="3"/>
        <charset val="134"/>
        <scheme val="minor"/>
      </rPr>
      <t>横破</t>
    </r>
    <r>
      <rPr>
        <sz val="12"/>
        <color theme="1"/>
        <rFont val="等线"/>
        <family val="3"/>
        <charset val="134"/>
        <scheme val="minor"/>
      </rPr>
      <t>。</t>
    </r>
  </si>
  <si>
    <t>投机者；冒险家；人生大起大落。</t>
  </si>
  <si>
    <r>
      <t>破军+巨门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</si>
  <si>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暗星遇耗</t>
    </r>
    <r>
      <rPr>
        <sz val="12"/>
        <color theme="1"/>
        <rFont val="等线"/>
        <family val="3"/>
        <charset val="134"/>
        <scheme val="minor"/>
      </rPr>
      <t>，口舌与破旧立新结合，</t>
    </r>
    <r>
      <rPr>
        <b/>
        <sz val="12"/>
        <color theme="1"/>
        <rFont val="等线"/>
        <family val="3"/>
        <charset val="134"/>
        <scheme val="minor"/>
      </rPr>
      <t>改革易惹口舌是非、官非</t>
    </r>
    <r>
      <rPr>
        <sz val="12"/>
        <color theme="1"/>
        <rFont val="等线"/>
        <family val="3"/>
        <charset val="134"/>
        <scheme val="minor"/>
      </rPr>
      <t>，需注意沟通方式。</t>
    </r>
  </si>
  <si>
    <t>改革者；但易因言论惹祸。</t>
  </si>
  <si>
    <r>
      <t>破军+天相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</si>
  <si>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印星遇耗</t>
    </r>
    <r>
      <rPr>
        <sz val="12"/>
        <color theme="1"/>
        <rFont val="等线"/>
        <family val="3"/>
        <charset val="134"/>
        <scheme val="minor"/>
      </rPr>
      <t>，形象与破旧立新结合，</t>
    </r>
    <r>
      <rPr>
        <b/>
        <sz val="12"/>
        <color theme="1"/>
        <rFont val="等线"/>
        <family val="3"/>
        <charset val="134"/>
        <scheme val="minor"/>
      </rPr>
      <t>“破相”组合，外表稳重，内心求变</t>
    </r>
    <r>
      <rPr>
        <sz val="12"/>
        <color theme="1"/>
        <rFont val="等线"/>
        <family val="3"/>
        <charset val="134"/>
        <scheme val="minor"/>
      </rPr>
      <t>，适合在稳定体系中寻求改革。</t>
    </r>
  </si>
  <si>
    <t>企业内的改革者；但易有表里不一之嫌。</t>
  </si>
  <si>
    <r>
      <t>破军+天梁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</si>
  <si>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荫星遇耗</t>
    </r>
    <r>
      <rPr>
        <sz val="12"/>
        <color theme="1"/>
        <rFont val="等线"/>
        <family val="3"/>
        <charset val="134"/>
        <scheme val="minor"/>
      </rPr>
      <t>，清高与破旧立新结合，</t>
    </r>
    <r>
      <rPr>
        <b/>
        <sz val="12"/>
        <color theme="1"/>
        <rFont val="等线"/>
        <family val="3"/>
        <charset val="134"/>
        <scheme val="minor"/>
      </rPr>
      <t>改革带有理想主义色彩，能得长辈荫庇化解部分风险</t>
    </r>
    <r>
      <rPr>
        <sz val="12"/>
        <color theme="1"/>
        <rFont val="等线"/>
        <family val="3"/>
        <charset val="134"/>
        <scheme val="minor"/>
      </rPr>
      <t>。</t>
    </r>
  </si>
  <si>
    <t>理想主义改革者；慈善革新者。</t>
  </si>
  <si>
    <r>
      <t>破军+七杀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</si>
  <si>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杀星遇耗</t>
    </r>
    <r>
      <rPr>
        <sz val="12"/>
        <color theme="1"/>
        <rFont val="等线"/>
        <family val="3"/>
        <charset val="134"/>
        <scheme val="minor"/>
      </rPr>
      <t>（巳、亥宫同度），</t>
    </r>
    <r>
      <rPr>
        <b/>
        <sz val="12"/>
        <color theme="1"/>
        <rFont val="等线"/>
        <family val="3"/>
        <charset val="134"/>
        <scheme val="minor"/>
      </rPr>
      <t>“杀破狼”格局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肃杀与破旧立新结合，变动剧烈，人生充满颠覆与重建</t>
    </r>
    <r>
      <rPr>
        <sz val="12"/>
        <color theme="1"/>
        <rFont val="等线"/>
        <family val="3"/>
        <charset val="134"/>
        <scheme val="minor"/>
      </rPr>
      <t>。吉则开创大业；凶则一生漂泊。</t>
    </r>
  </si>
  <si>
    <r>
      <t>破军+破军</t>
    </r>
    <r>
      <rPr>
        <sz val="12"/>
        <color theme="1"/>
        <rFont val="等线"/>
        <family val="3"/>
        <charset val="134"/>
        <scheme val="minor"/>
      </rPr>
      <t>​</t>
    </r>
  </si>
  <si>
    <r>
      <t xml:space="preserve">(破军独坐) </t>
    </r>
    <r>
      <rPr>
        <b/>
        <sz val="12"/>
        <color theme="1"/>
        <rFont val="等线"/>
        <family val="3"/>
        <charset val="134"/>
        <scheme val="minor"/>
      </rPr>
      <t>破耗纯粹</t>
    </r>
    <r>
      <rPr>
        <sz val="12"/>
        <color theme="1"/>
        <rFont val="等线"/>
        <family val="3"/>
        <charset val="134"/>
        <scheme val="minor"/>
      </rPr>
      <t>，变动、消耗特质极致发挥。若庙旺见吉，可</t>
    </r>
    <r>
      <rPr>
        <b/>
        <sz val="12"/>
        <color theme="1"/>
        <rFont val="等线"/>
        <family val="3"/>
        <charset val="134"/>
        <scheme val="minor"/>
      </rPr>
      <t>白手起家，成就非凡</t>
    </r>
    <r>
      <rPr>
        <sz val="12"/>
        <color theme="1"/>
        <rFont val="等线"/>
        <family val="3"/>
        <charset val="134"/>
        <scheme val="minor"/>
      </rPr>
      <t>；若落陷逢煞忌，则</t>
    </r>
    <r>
      <rPr>
        <b/>
        <sz val="12"/>
        <color theme="1"/>
        <rFont val="等线"/>
        <family val="3"/>
        <charset val="134"/>
        <scheme val="minor"/>
      </rPr>
      <t>一生劳碌，破败无常</t>
    </r>
    <r>
      <rPr>
        <sz val="12"/>
        <color theme="1"/>
        <rFont val="等线"/>
        <family val="3"/>
        <charset val="134"/>
        <scheme val="minor"/>
      </rPr>
      <t>。</t>
    </r>
  </si>
  <si>
    <t>白手起家的企业家；但人生极不稳定。</t>
  </si>
  <si>
    <r>
      <t>破军+左辅/右弼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</si>
  <si>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耗星得助</t>
    </r>
    <r>
      <rPr>
        <sz val="12"/>
        <color theme="1"/>
        <rFont val="等线"/>
        <family val="3"/>
        <charset val="134"/>
        <scheme val="minor"/>
      </rPr>
      <t>，破旧立新得同辈、晚辈助力，</t>
    </r>
    <r>
      <rPr>
        <b/>
        <sz val="12"/>
        <color theme="1"/>
        <rFont val="等线"/>
        <family val="3"/>
        <charset val="134"/>
        <scheme val="minor"/>
      </rPr>
      <t>改革有支持者，团队作战</t>
    </r>
    <r>
      <rPr>
        <sz val="12"/>
        <color theme="1"/>
        <rFont val="等线"/>
        <family val="3"/>
        <charset val="134"/>
        <scheme val="minor"/>
      </rPr>
      <t>，利于大型项目开拓。</t>
    </r>
  </si>
  <si>
    <r>
      <t>破军+文昌/文曲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</si>
  <si>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谋略、文艺才华</t>
    </r>
    <r>
      <rPr>
        <sz val="12"/>
        <color theme="1"/>
        <rFont val="等线"/>
        <family val="3"/>
        <charset val="134"/>
        <scheme val="minor"/>
      </rPr>
      <t>，使改革更具计划性与艺术性。</t>
    </r>
  </si>
  <si>
    <r>
      <t>破军+天魁/天钺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</si>
  <si>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耗星遇贵</t>
    </r>
    <r>
      <rPr>
        <sz val="12"/>
        <color theme="1"/>
        <rFont val="等线"/>
        <family val="3"/>
        <charset val="134"/>
        <scheme val="minor"/>
      </rPr>
      <t>，破旧立新得贵人赏识提携，</t>
    </r>
    <r>
      <rPr>
        <b/>
        <sz val="12"/>
        <color theme="1"/>
        <rFont val="等线"/>
        <family val="3"/>
        <charset val="134"/>
        <scheme val="minor"/>
      </rPr>
      <t>有平台支持改革</t>
    </r>
    <r>
      <rPr>
        <sz val="12"/>
        <color theme="1"/>
        <rFont val="等线"/>
        <family val="3"/>
        <charset val="134"/>
        <scheme val="minor"/>
      </rPr>
      <t>，易获上位者认可。</t>
    </r>
  </si>
  <si>
    <r>
      <t>破军+禄存</t>
    </r>
    <r>
      <rPr>
        <sz val="12"/>
        <color theme="1"/>
        <rFont val="等线"/>
        <family val="3"/>
        <charset val="134"/>
        <scheme val="minor"/>
      </rPr>
      <t>​</t>
    </r>
  </si>
  <si>
    <r>
      <t>耗星带禄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破中有得</t>
    </r>
    <r>
      <rPr>
        <sz val="12"/>
        <color theme="1"/>
        <rFont val="等线"/>
        <family val="3"/>
        <charset val="134"/>
        <scheme val="minor"/>
      </rPr>
      <t>，能通过改革、变动获利，但过程仍多消耗。</t>
    </r>
  </si>
  <si>
    <r>
      <t>破军+天马</t>
    </r>
    <r>
      <rPr>
        <sz val="12"/>
        <color theme="1"/>
        <rFont val="等线"/>
        <family val="3"/>
        <charset val="134"/>
        <scheme val="minor"/>
      </rPr>
      <t>​</t>
    </r>
  </si>
  <si>
    <r>
      <t>耗星奔驰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“禄马交驰”格</t>
    </r>
    <r>
      <rPr>
        <sz val="12"/>
        <color theme="1"/>
        <rFont val="等线"/>
        <family val="3"/>
        <charset val="134"/>
        <scheme val="minor"/>
      </rPr>
      <t>，破旧立新在奔波、远行中实现，适合</t>
    </r>
    <r>
      <rPr>
        <b/>
        <sz val="12"/>
        <color theme="1"/>
        <rFont val="等线"/>
        <family val="3"/>
        <charset val="134"/>
        <scheme val="minor"/>
      </rPr>
      <t>外贸、跨国业务、移动性行业</t>
    </r>
    <r>
      <rPr>
        <sz val="12"/>
        <color theme="1"/>
        <rFont val="等线"/>
        <family val="3"/>
        <charset val="134"/>
        <scheme val="minor"/>
      </rPr>
      <t>。</t>
    </r>
  </si>
  <si>
    <r>
      <t>破军+火星</t>
    </r>
    <r>
      <rPr>
        <sz val="12"/>
        <color theme="1"/>
        <rFont val="等线"/>
        <family val="3"/>
        <charset val="134"/>
        <scheme val="minor"/>
      </rPr>
      <t>​</t>
    </r>
  </si>
  <si>
    <r>
      <t>耗星逢火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破耗加剧，性情暴烈，改革手段激进</t>
    </r>
    <r>
      <rPr>
        <sz val="12"/>
        <color theme="1"/>
        <rFont val="等线"/>
        <family val="3"/>
        <charset val="134"/>
        <scheme val="minor"/>
      </rPr>
      <t>，易引发冲突与意外损失。</t>
    </r>
  </si>
  <si>
    <r>
      <t>破军+铃星</t>
    </r>
    <r>
      <rPr>
        <sz val="12"/>
        <color theme="1"/>
        <rFont val="等线"/>
        <family val="3"/>
        <charset val="134"/>
        <scheme val="minor"/>
      </rPr>
      <t>​</t>
    </r>
  </si>
  <si>
    <r>
      <t>耗星逢铃</t>
    </r>
    <r>
      <rPr>
        <sz val="12"/>
        <color theme="1"/>
        <rFont val="等线"/>
        <family val="3"/>
        <charset val="134"/>
        <scheme val="minor"/>
      </rPr>
      <t>，破耗伴随</t>
    </r>
    <r>
      <rPr>
        <b/>
        <sz val="12"/>
        <color theme="1"/>
        <rFont val="等线"/>
        <family val="3"/>
        <charset val="134"/>
        <scheme val="minor"/>
      </rPr>
      <t>煎熬、隐忧</t>
    </r>
    <r>
      <rPr>
        <sz val="12"/>
        <color theme="1"/>
        <rFont val="等线"/>
        <family val="3"/>
        <charset val="134"/>
        <scheme val="minor"/>
      </rPr>
      <t>，改革过程多挫折，内心焦虑。</t>
    </r>
  </si>
  <si>
    <r>
      <t>破军+擎羊</t>
    </r>
    <r>
      <rPr>
        <sz val="12"/>
        <color theme="1"/>
        <rFont val="等线"/>
        <family val="3"/>
        <charset val="134"/>
        <scheme val="minor"/>
      </rPr>
      <t>​</t>
    </r>
  </si>
  <si>
    <r>
      <t>耗星逢羊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破耗带刃</t>
    </r>
    <r>
      <rPr>
        <sz val="12"/>
        <color theme="1"/>
        <rFont val="等线"/>
        <family val="3"/>
        <charset val="134"/>
        <scheme val="minor"/>
      </rPr>
      <t>，改革伴随</t>
    </r>
    <r>
      <rPr>
        <b/>
        <sz val="12"/>
        <color theme="1"/>
        <rFont val="等线"/>
        <family val="3"/>
        <charset val="134"/>
        <scheme val="minor"/>
      </rPr>
      <t>激烈的竞争与伤害</t>
    </r>
    <r>
      <rPr>
        <sz val="12"/>
        <color theme="1"/>
        <rFont val="等线"/>
        <family val="3"/>
        <charset val="134"/>
        <scheme val="minor"/>
      </rPr>
      <t>，易有刑伤、手术。</t>
    </r>
  </si>
  <si>
    <r>
      <t>破军+陀罗</t>
    </r>
    <r>
      <rPr>
        <sz val="12"/>
        <color theme="1"/>
        <rFont val="等线"/>
        <family val="3"/>
        <charset val="134"/>
        <scheme val="minor"/>
      </rPr>
      <t>​</t>
    </r>
  </si>
  <si>
    <r>
      <t>耗星逢陀</t>
    </r>
    <r>
      <rPr>
        <sz val="12"/>
        <color theme="1"/>
        <rFont val="等线"/>
        <family val="3"/>
        <charset val="134"/>
        <scheme val="minor"/>
      </rPr>
      <t>，破耗受</t>
    </r>
    <r>
      <rPr>
        <b/>
        <sz val="12"/>
        <color theme="1"/>
        <rFont val="等线"/>
        <family val="3"/>
        <charset val="134"/>
        <scheme val="minor"/>
      </rPr>
      <t>拖延、反复阻碍</t>
    </r>
    <r>
      <rPr>
        <sz val="12"/>
        <color theme="1"/>
        <rFont val="等线"/>
        <family val="3"/>
        <charset val="134"/>
        <scheme val="minor"/>
      </rPr>
      <t>，改革进程缓慢，易陷入反复折腾。</t>
    </r>
  </si>
  <si>
    <r>
      <t>破军+地空</t>
    </r>
    <r>
      <rPr>
        <sz val="12"/>
        <color theme="1"/>
        <rFont val="等线"/>
        <family val="3"/>
        <charset val="134"/>
        <scheme val="minor"/>
      </rPr>
      <t>​</t>
    </r>
  </si>
  <si>
    <r>
      <t>耗星逢空</t>
    </r>
    <r>
      <rPr>
        <sz val="12"/>
        <color theme="1"/>
        <rFont val="等线"/>
        <family val="3"/>
        <charset val="134"/>
        <scheme val="minor"/>
      </rPr>
      <t>，破耗</t>
    </r>
    <r>
      <rPr>
        <b/>
        <sz val="12"/>
        <color theme="1"/>
        <rFont val="等线"/>
        <family val="3"/>
        <charset val="134"/>
        <scheme val="minor"/>
      </rPr>
      <t>落空，改革计划易成泡影</t>
    </r>
    <r>
      <rPr>
        <sz val="12"/>
        <color theme="1"/>
        <rFont val="等线"/>
        <family val="3"/>
        <charset val="134"/>
        <scheme val="minor"/>
      </rPr>
      <t>，理想难以实现。</t>
    </r>
  </si>
  <si>
    <r>
      <t>破军+地劫</t>
    </r>
    <r>
      <rPr>
        <sz val="12"/>
        <color theme="1"/>
        <rFont val="等线"/>
        <family val="3"/>
        <charset val="134"/>
        <scheme val="minor"/>
      </rPr>
      <t>​</t>
    </r>
  </si>
  <si>
    <r>
      <t>耗星逢劫</t>
    </r>
    <r>
      <rPr>
        <sz val="12"/>
        <color theme="1"/>
        <rFont val="等线"/>
        <family val="3"/>
        <charset val="134"/>
        <scheme val="minor"/>
      </rPr>
      <t>，破耗遭</t>
    </r>
    <r>
      <rPr>
        <b/>
        <sz val="12"/>
        <color theme="1"/>
        <rFont val="等线"/>
        <family val="3"/>
        <charset val="134"/>
        <scheme val="minor"/>
      </rPr>
      <t>意外破败</t>
    </r>
    <r>
      <rPr>
        <sz val="12"/>
        <color theme="1"/>
        <rFont val="等线"/>
        <family val="3"/>
        <charset val="134"/>
        <scheme val="minor"/>
      </rPr>
      <t>，改革易遭遇突发性、毁灭性打击。</t>
    </r>
  </si>
  <si>
    <r>
      <t>破军+化禄</t>
    </r>
    <r>
      <rPr>
        <sz val="12"/>
        <color theme="1"/>
        <rFont val="等线"/>
        <family val="3"/>
        <charset val="134"/>
        <scheme val="minor"/>
      </rPr>
      <t>​</t>
    </r>
  </si>
  <si>
    <r>
      <t>耗星化禄</t>
    </r>
    <r>
      <rPr>
        <sz val="12"/>
        <color theme="1"/>
        <rFont val="等线"/>
        <family val="3"/>
        <charset val="134"/>
        <scheme val="minor"/>
      </rPr>
      <t>（癸年生人），</t>
    </r>
    <r>
      <rPr>
        <b/>
        <sz val="12"/>
        <color theme="1"/>
        <rFont val="等线"/>
        <family val="3"/>
        <charset val="134"/>
        <scheme val="minor"/>
      </rPr>
      <t>破旧立新中得财</t>
    </r>
    <r>
      <rPr>
        <sz val="12"/>
        <color theme="1"/>
        <rFont val="等线"/>
        <family val="3"/>
        <charset val="134"/>
        <scheme val="minor"/>
      </rPr>
      <t>，能通过改革、变动获利，但钱财仍来去匆匆。</t>
    </r>
  </si>
  <si>
    <r>
      <t>破军+化权</t>
    </r>
    <r>
      <rPr>
        <sz val="12"/>
        <color theme="1"/>
        <rFont val="等线"/>
        <family val="3"/>
        <charset val="134"/>
        <scheme val="minor"/>
      </rPr>
      <t>​</t>
    </r>
  </si>
  <si>
    <r>
      <t>耗星化权</t>
    </r>
    <r>
      <rPr>
        <sz val="12"/>
        <color theme="1"/>
        <rFont val="等线"/>
        <family val="3"/>
        <charset val="134"/>
        <scheme val="minor"/>
      </rPr>
      <t>（壬年生人），</t>
    </r>
    <r>
      <rPr>
        <b/>
        <sz val="12"/>
        <color theme="1"/>
        <rFont val="等线"/>
        <family val="3"/>
        <charset val="134"/>
        <scheme val="minor"/>
      </rPr>
      <t>改革掌权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有魄力推动重大变革</t>
    </r>
    <r>
      <rPr>
        <sz val="12"/>
        <color theme="1"/>
        <rFont val="等线"/>
        <family val="3"/>
        <charset val="134"/>
        <scheme val="minor"/>
      </rPr>
      <t>，权威性增强。</t>
    </r>
  </si>
  <si>
    <r>
      <t>1. “破军”与“七杀”、“贪狼”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破军、七杀、贪狼</t>
    </r>
    <r>
      <rPr>
        <sz val="11"/>
        <color theme="1"/>
        <rFont val="等线"/>
        <family val="2"/>
        <charset val="134"/>
        <scheme val="minor"/>
      </rPr>
      <t>三星永远在三方会照，组成“</t>
    </r>
    <r>
      <rPr>
        <b/>
        <sz val="11"/>
        <color theme="1"/>
        <rFont val="等线"/>
        <family val="3"/>
        <charset val="134"/>
        <scheme val="minor"/>
      </rPr>
      <t>杀破狼</t>
    </r>
    <r>
      <rPr>
        <sz val="11"/>
        <color theme="1"/>
        <rFont val="等线"/>
        <family val="2"/>
        <charset val="134"/>
        <scheme val="minor"/>
      </rPr>
      <t>”格局，主</t>
    </r>
    <r>
      <rPr>
        <b/>
        <sz val="11"/>
        <color theme="1"/>
        <rFont val="等线"/>
        <family val="3"/>
        <charset val="134"/>
        <scheme val="minor"/>
      </rPr>
      <t>变动、开创、人生大起大落</t>
    </r>
    <r>
      <rPr>
        <sz val="11"/>
        <color theme="1"/>
        <rFont val="等线"/>
        <family val="2"/>
        <charset val="134"/>
        <scheme val="minor"/>
      </rPr>
      <t>。其中：</t>
    </r>
    <r>
      <rPr>
        <b/>
        <sz val="11"/>
        <color theme="1"/>
        <rFont val="等线"/>
        <family val="3"/>
        <charset val="134"/>
        <scheme val="minor"/>
      </rPr>
      <t>破军主破旧立新、消耗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七杀主肃杀、权威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贪狼主欲望、交际</t>
    </r>
    <r>
      <rPr>
        <sz val="11"/>
        <color theme="1"/>
        <rFont val="等线"/>
        <family val="2"/>
        <charset val="134"/>
        <scheme val="minor"/>
      </rPr>
      <t>。三星汇聚，变动性极强，破军是其中“</t>
    </r>
    <r>
      <rPr>
        <b/>
        <sz val="11"/>
        <color theme="1"/>
        <rFont val="等线"/>
        <family val="3"/>
        <charset val="134"/>
        <scheme val="minor"/>
      </rPr>
      <t>推倒重来</t>
    </r>
    <r>
      <rPr>
        <sz val="11"/>
        <color theme="1"/>
        <rFont val="等线"/>
        <family val="2"/>
        <charset val="134"/>
        <scheme val="minor"/>
      </rPr>
      <t>”的核心力量。</t>
    </r>
  </si>
  <si>
    <r>
      <t>2. “耗星”与“破旧立新”</t>
    </r>
    <r>
      <rPr>
        <sz val="11"/>
        <color theme="1"/>
        <rFont val="等线"/>
        <family val="2"/>
        <charset val="134"/>
        <scheme val="minor"/>
      </rPr>
      <t>：破军化气为</t>
    </r>
    <r>
      <rPr>
        <b/>
        <sz val="11"/>
        <color theme="1"/>
        <rFont val="等线"/>
        <family val="3"/>
        <charset val="134"/>
        <scheme val="minor"/>
      </rPr>
      <t>“耗”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破旧立新、消耗、先锋</t>
    </r>
    <r>
      <rPr>
        <sz val="11"/>
        <color theme="1"/>
        <rFont val="等线"/>
        <family val="2"/>
        <charset val="134"/>
        <scheme val="minor"/>
      </rPr>
      <t>。在</t>
    </r>
    <r>
      <rPr>
        <b/>
        <sz val="11"/>
        <color theme="1"/>
        <rFont val="等线"/>
        <family val="3"/>
        <charset val="134"/>
        <scheme val="minor"/>
      </rPr>
      <t>人</t>
    </r>
    <r>
      <rPr>
        <sz val="11"/>
        <color theme="1"/>
        <rFont val="等线"/>
        <family val="2"/>
        <charset val="134"/>
        <scheme val="minor"/>
      </rPr>
      <t>为性格喜新厌旧、敢于冒险；在</t>
    </r>
    <r>
      <rPr>
        <b/>
        <sz val="11"/>
        <color theme="1"/>
        <rFont val="等线"/>
        <family val="3"/>
        <charset val="134"/>
        <scheme val="minor"/>
      </rPr>
      <t>事</t>
    </r>
    <r>
      <rPr>
        <sz val="11"/>
        <color theme="1"/>
        <rFont val="等线"/>
        <family val="2"/>
        <charset val="134"/>
        <scheme val="minor"/>
      </rPr>
      <t>为改革、变动、先破后成；在</t>
    </r>
    <r>
      <rPr>
        <b/>
        <sz val="11"/>
        <color theme="1"/>
        <rFont val="等线"/>
        <family val="3"/>
        <charset val="134"/>
        <scheme val="minor"/>
      </rPr>
      <t>物</t>
    </r>
    <r>
      <rPr>
        <sz val="11"/>
        <color theme="1"/>
        <rFont val="等线"/>
        <family val="2"/>
        <charset val="134"/>
        <scheme val="minor"/>
      </rPr>
      <t>为破损之物、先锋器械、消耗品。</t>
    </r>
  </si>
  <si>
    <r>
      <t>3. “先破后成”</t>
    </r>
    <r>
      <rPr>
        <sz val="11"/>
        <color theme="1"/>
        <rFont val="等线"/>
        <family val="2"/>
        <charset val="134"/>
        <scheme val="minor"/>
      </rPr>
      <t xml:space="preserve">：破军的一切行动都遵循 </t>
    </r>
    <r>
      <rPr>
        <b/>
        <sz val="11"/>
        <color theme="1"/>
        <rFont val="等线"/>
        <family val="3"/>
        <charset val="134"/>
        <scheme val="minor"/>
      </rPr>
      <t>“先破坏，后建设”</t>
    </r>
    <r>
      <rPr>
        <sz val="11"/>
        <color theme="1"/>
        <rFont val="等线"/>
        <family val="2"/>
        <charset val="134"/>
        <scheme val="minor"/>
      </rPr>
      <t>​ 的逻辑。无论是事业、财富还是人际关系，常需经历</t>
    </r>
    <r>
      <rPr>
        <b/>
        <sz val="11"/>
        <color theme="1"/>
        <rFont val="等线"/>
        <family val="3"/>
        <charset val="134"/>
        <scheme val="minor"/>
      </rPr>
      <t>消耗、破裂、颠覆</t>
    </r>
    <r>
      <rPr>
        <sz val="11"/>
        <color theme="1"/>
        <rFont val="等线"/>
        <family val="2"/>
        <charset val="134"/>
        <scheme val="minor"/>
      </rPr>
      <t>的过程，才能在废墟上建立新的成就。</t>
    </r>
    <r>
      <rPr>
        <b/>
        <sz val="11"/>
        <color theme="1"/>
        <rFont val="等线"/>
        <family val="3"/>
        <charset val="134"/>
        <scheme val="minor"/>
      </rPr>
      <t>不见化禄或禄存，则破多成少</t>
    </r>
    <r>
      <rPr>
        <sz val="11"/>
        <color theme="1"/>
        <rFont val="等线"/>
        <family val="2"/>
        <charset val="134"/>
        <scheme val="minor"/>
      </rPr>
      <t>。</t>
    </r>
  </si>
  <si>
    <r>
      <t>4. “先锋官”</t>
    </r>
    <r>
      <rPr>
        <sz val="11"/>
        <color theme="1"/>
        <rFont val="等线"/>
        <family val="2"/>
        <charset val="134"/>
        <scheme val="minor"/>
      </rPr>
      <t>：破军为</t>
    </r>
    <r>
      <rPr>
        <b/>
        <sz val="11"/>
        <color theme="1"/>
        <rFont val="等线"/>
        <family val="3"/>
        <charset val="134"/>
        <scheme val="minor"/>
      </rPr>
      <t>先锋官</t>
    </r>
    <r>
      <rPr>
        <sz val="11"/>
        <color theme="1"/>
        <rFont val="等线"/>
        <family val="2"/>
        <charset val="134"/>
        <scheme val="minor"/>
      </rPr>
      <t>，永远冲锋在前，不畏艰难，但</t>
    </r>
    <r>
      <rPr>
        <b/>
        <sz val="11"/>
        <color theme="1"/>
        <rFont val="等线"/>
        <family val="3"/>
        <charset val="134"/>
        <scheme val="minor"/>
      </rPr>
      <t>不擅守成</t>
    </r>
    <r>
      <rPr>
        <sz val="11"/>
        <color theme="1"/>
        <rFont val="等线"/>
        <family val="2"/>
        <charset val="134"/>
        <scheme val="minor"/>
      </rPr>
      <t>。其人生需要不断寻找新的目标与战场，一旦停滞，便易生事端。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</si>
  <si>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：破军星所在宫位，指示在人生的哪个领域需要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改革、变动、冒险</t>
    </r>
    <r>
      <rPr>
        <sz val="11"/>
        <color theme="1"/>
        <rFont val="等线"/>
        <family val="2"/>
        <charset val="134"/>
        <scheme val="minor"/>
      </rPr>
      <t>，也指示该领域易有</t>
    </r>
    <r>
      <rPr>
        <b/>
        <sz val="11"/>
        <color theme="1"/>
        <rFont val="等线"/>
        <family val="3"/>
        <charset val="134"/>
        <scheme val="minor"/>
      </rPr>
      <t>消耗、破败、先破后成</t>
    </r>
    <r>
      <rPr>
        <sz val="11"/>
        <color theme="1"/>
        <rFont val="等线"/>
        <family val="2"/>
        <charset val="134"/>
        <scheme val="minor"/>
      </rPr>
      <t>之事。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</si>
  <si>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破中有得</t>
    </r>
    <r>
      <rPr>
        <sz val="11"/>
        <color theme="1"/>
        <rFont val="等线"/>
        <family val="2"/>
        <charset val="134"/>
        <scheme val="minor"/>
      </rPr>
      <t>，能通过变动获利。见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改革掌权</t>
    </r>
    <r>
      <rPr>
        <sz val="11"/>
        <color theme="1"/>
        <rFont val="等线"/>
        <family val="2"/>
        <charset val="134"/>
        <scheme val="minor"/>
      </rPr>
      <t>，有魄力推动变革。</t>
    </r>
    <r>
      <rPr>
        <b/>
        <sz val="11"/>
        <color theme="1"/>
        <rFont val="等线"/>
        <family val="3"/>
        <charset val="134"/>
        <scheme val="minor"/>
      </rPr>
      <t>破军不化科、不化忌</t>
    </r>
    <r>
      <rPr>
        <sz val="11"/>
        <color theme="1"/>
        <rFont val="等线"/>
        <family val="2"/>
        <charset val="134"/>
        <scheme val="minor"/>
      </rPr>
      <t>，其“耗”的本质使其难以稳定获得名声（化科），其变动性本身就是一种消耗（故不另化忌）。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</si>
  <si>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“杀破狼”格局</t>
    </r>
    <r>
      <rPr>
        <sz val="11"/>
        <color theme="1"/>
        <rFont val="等线"/>
        <family val="2"/>
        <charset val="134"/>
        <scheme val="minor"/>
      </rPr>
      <t>：主</t>
    </r>
    <r>
      <rPr>
        <b/>
        <sz val="11"/>
        <color theme="1"/>
        <rFont val="等线"/>
        <family val="3"/>
        <charset val="134"/>
        <scheme val="minor"/>
      </rPr>
      <t>一生变动极大，机遇与风险并存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“破军暗曜，水中作冢”</t>
    </r>
    <r>
      <rPr>
        <sz val="11"/>
        <color theme="1"/>
        <rFont val="等线"/>
        <family val="2"/>
        <charset val="134"/>
        <scheme val="minor"/>
      </rPr>
      <t>（与文曲化忌同度）：主</t>
    </r>
    <r>
      <rPr>
        <b/>
        <sz val="11"/>
        <color theme="1"/>
        <rFont val="等线"/>
        <family val="3"/>
        <charset val="134"/>
        <scheme val="minor"/>
      </rPr>
      <t>意外水厄</t>
    </r>
    <r>
      <rPr>
        <sz val="11"/>
        <color theme="1"/>
        <rFont val="等线"/>
        <family val="2"/>
        <charset val="134"/>
        <scheme val="minor"/>
      </rPr>
      <t>，需特别注意。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</si>
  <si>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废墟、工地、拆迁现场、交易所、码头、波涛汹涌的水域、先锋部队驻地、一切破败、变动、消耗之所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</si>
  <si>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破军星的全部原始定义、分类与案例，并严格应用您指正的逻辑，在“本质”部分系统化推导并呈现了“人/事/物”三个层次的完整解析。本次整理特别注重从核心象征“破旧立新”、“消耗”出发，推导出“拆迁工具”、“废墟”、“波浪形”、“数字7”等具体类象，避免了之前的遗漏。破军星为耗星，主破旧立新。其核心在于“破”与“变”，常在改革、冒险、技术领域显现，但其“先破后成”与“消耗”的性质需见禄方能转化。最喜禄存、化禄以制其耗，成格则白手兴家，变动中成大业。然破军最忌煞星，遇之则破败无常，一生劳碌。在紫占中，破军与七杀、贪狼组成的“杀破狼”格局，以及其所在宫位产生的“破耗”、“变动”、“重建”等具体卦象，是断事关键，需结合具体星情与宫位细察。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</si>
  <si>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太阴星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的完整象义解析如下（严格遵循原始资料结构与表述，并应用您指正的逻辑，在“本质”部分系统化呈现“人/事/物”三个层次）：</t>
    </r>
  </si>
  <si>
    <t>一、太阴定义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</si>
  <si>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中天之星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月亮之精</t>
    </r>
    <r>
      <rPr>
        <sz val="12"/>
        <color theme="1"/>
        <rFont val="等线"/>
        <family val="3"/>
        <charset val="134"/>
        <scheme val="minor"/>
      </rPr>
      <t>。五行属</t>
    </r>
    <r>
      <rPr>
        <b/>
        <sz val="12"/>
        <color theme="1"/>
        <rFont val="等线"/>
        <family val="3"/>
        <charset val="134"/>
        <scheme val="minor"/>
      </rPr>
      <t>阴水（癸水）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富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田宅主</t>
    </r>
    <r>
      <rPr>
        <sz val="12"/>
        <color theme="1"/>
        <rFont val="等线"/>
        <family val="3"/>
        <charset val="134"/>
        <scheme val="minor"/>
      </rPr>
      <t>、</t>
    </r>
    <r>
      <rPr>
        <b/>
        <sz val="12"/>
        <color theme="1"/>
        <rFont val="等线"/>
        <family val="3"/>
        <charset val="134"/>
        <scheme val="minor"/>
      </rPr>
      <t>财帛主</t>
    </r>
    <r>
      <rPr>
        <sz val="12"/>
        <color theme="1"/>
        <rFont val="等线"/>
        <family val="3"/>
        <charset val="134"/>
        <scheme val="minor"/>
      </rPr>
      <t>。喜庙旺（</t>
    </r>
    <r>
      <rPr>
        <b/>
        <sz val="12"/>
        <color theme="1"/>
        <rFont val="等线"/>
        <family val="3"/>
        <charset val="134"/>
        <scheme val="minor"/>
      </rPr>
      <t>酉、戌、亥、子、丑为庙旺</t>
    </r>
    <r>
      <rPr>
        <sz val="12"/>
        <color theme="1"/>
        <rFont val="等线"/>
        <family val="3"/>
        <charset val="134"/>
        <scheme val="minor"/>
      </rPr>
      <t>，尤以亥、子、丑为佳），忌落陷（</t>
    </r>
    <r>
      <rPr>
        <b/>
        <sz val="12"/>
        <color theme="1"/>
        <rFont val="等线"/>
        <family val="3"/>
        <charset val="134"/>
        <scheme val="minor"/>
      </rPr>
      <t>卯、辰、巳、午为落陷</t>
    </r>
    <r>
      <rPr>
        <sz val="12"/>
        <color theme="1"/>
        <rFont val="等线"/>
        <family val="3"/>
        <charset val="134"/>
        <scheme val="minor"/>
      </rPr>
      <t>）。</t>
    </r>
    <r>
      <rPr>
        <b/>
        <sz val="12"/>
        <color theme="1"/>
        <rFont val="等线"/>
        <family val="3"/>
        <charset val="134"/>
        <scheme val="minor"/>
      </rPr>
      <t>最喜夜生人</t>
    </r>
    <r>
      <rPr>
        <sz val="12"/>
        <color theme="1"/>
        <rFont val="等线"/>
        <family val="3"/>
        <charset val="134"/>
        <scheme val="minor"/>
      </rPr>
      <t>（晚上出生），</t>
    </r>
    <r>
      <rPr>
        <b/>
        <sz val="12"/>
        <color theme="1"/>
        <rFont val="等线"/>
        <family val="3"/>
        <charset val="134"/>
        <scheme val="minor"/>
      </rPr>
      <t>忌日生人</t>
    </r>
    <r>
      <rPr>
        <sz val="12"/>
        <color theme="1"/>
        <rFont val="等线"/>
        <family val="3"/>
        <charset val="134"/>
        <scheme val="minor"/>
      </rPr>
      <t>（白天出生）。喜会</t>
    </r>
    <r>
      <rPr>
        <b/>
        <sz val="12"/>
        <color theme="1"/>
        <rFont val="等线"/>
        <family val="3"/>
        <charset val="134"/>
        <scheme val="minor"/>
      </rPr>
      <t>化禄、禄存、左辅、右弼、文昌、文曲</t>
    </r>
    <r>
      <rPr>
        <sz val="12"/>
        <color theme="1"/>
        <rFont val="等线"/>
        <family val="3"/>
        <charset val="134"/>
        <scheme val="minor"/>
      </rPr>
      <t>，主富足、家庭和睦。</t>
    </r>
    <r>
      <rPr>
        <b/>
        <sz val="12"/>
        <color theme="1"/>
        <rFont val="等线"/>
        <family val="3"/>
        <charset val="134"/>
        <scheme val="minor"/>
      </rPr>
      <t>最忌煞忌</t>
    </r>
    <r>
      <rPr>
        <sz val="12"/>
        <color theme="1"/>
        <rFont val="等线"/>
        <family val="3"/>
        <charset val="134"/>
        <scheme val="minor"/>
      </rPr>
      <t>（擎羊、陀罗、火星、铃星、地空、地劫、化忌），遇之则感情波折、财务破损、内心抑郁。太阴的“富”是</t>
    </r>
    <r>
      <rPr>
        <b/>
        <sz val="12"/>
        <color theme="1"/>
        <rFont val="等线"/>
        <family val="3"/>
        <charset val="134"/>
        <scheme val="minor"/>
      </rPr>
      <t>积累之富、静守之富</t>
    </r>
    <r>
      <rPr>
        <sz val="12"/>
        <color theme="1"/>
        <rFont val="等线"/>
        <family val="3"/>
        <charset val="134"/>
        <scheme val="minor"/>
      </rPr>
      <t>，非暴发之财。</t>
    </r>
  </si>
  <si>
    <r>
      <t>女性与母性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</si>
  <si>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生命中的重要女性</t>
    </r>
    <r>
      <rPr>
        <sz val="12"/>
        <color theme="1"/>
        <rFont val="等线"/>
        <family val="3"/>
        <charset val="134"/>
        <scheme val="minor"/>
      </rPr>
      <t>（母亲、妻子、女儿）及</t>
    </r>
    <r>
      <rPr>
        <b/>
        <sz val="12"/>
        <color theme="1"/>
        <rFont val="等线"/>
        <family val="3"/>
        <charset val="134"/>
        <scheme val="minor"/>
      </rPr>
      <t>一切女性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母性的智慧、包容、滋养</t>
    </r>
    <r>
      <rPr>
        <sz val="12"/>
        <color theme="1"/>
        <rFont val="等线"/>
        <family val="3"/>
        <charset val="134"/>
        <scheme val="minor"/>
      </rPr>
      <t>。在命盘中对女性影响尤大。</t>
    </r>
  </si>
  <si>
    <t>在命宫、父母宫、夫妻宫时，主与女性缘分深，或本人具女性特质。</t>
  </si>
  <si>
    <r>
      <t>财富与田宅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</si>
  <si>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“富”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田宅主、财帛主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不动产、积蓄、理财所得、非劳动性收入</t>
    </r>
    <r>
      <rPr>
        <sz val="12"/>
        <color theme="1"/>
        <rFont val="等线"/>
        <family val="3"/>
        <charset val="134"/>
        <scheme val="minor"/>
      </rPr>
      <t>（如租金、利息、奖金）。财富性质为</t>
    </r>
    <r>
      <rPr>
        <b/>
        <sz val="12"/>
        <color theme="1"/>
        <rFont val="等线"/>
        <family val="3"/>
        <charset val="134"/>
        <scheme val="minor"/>
      </rPr>
      <t>细水长流、积累型</t>
    </r>
    <r>
      <rPr>
        <sz val="12"/>
        <color theme="1"/>
        <rFont val="等线"/>
        <family val="3"/>
        <charset val="134"/>
        <scheme val="minor"/>
      </rPr>
      <t>。</t>
    </r>
  </si>
  <si>
    <t>在财帛宫、田宅宫时，主善于理财，易有房产，财富积累慢但稳定。</t>
  </si>
  <si>
    <r>
      <t>感情与内敛</t>
    </r>
    <r>
      <rPr>
        <sz val="12"/>
        <color theme="1"/>
        <rFont val="等线"/>
        <family val="3"/>
        <charset val="134"/>
        <scheme val="minor"/>
      </rPr>
      <t>​</t>
    </r>
  </si>
  <si>
    <r>
      <t>代表</t>
    </r>
    <r>
      <rPr>
        <b/>
        <sz val="12"/>
        <color theme="1"/>
        <rFont val="等线"/>
        <family val="3"/>
        <charset val="134"/>
        <scheme val="minor"/>
      </rPr>
      <t>细腻的感情、内心的感受、精神世界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温柔、敏感、重感情、多愁善感</t>
    </r>
    <r>
      <rPr>
        <sz val="12"/>
        <color theme="1"/>
        <rFont val="等线"/>
        <family val="3"/>
        <charset val="134"/>
        <scheme val="minor"/>
      </rPr>
      <t>。感情丰富但表达含蓄，易生闷气。</t>
    </r>
  </si>
  <si>
    <t>在命宫、福德宫、夫妻宫时，主感情细腻，内心世界丰富。</t>
  </si>
  <si>
    <r>
      <t>清洁与美学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</si>
  <si>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洁净、整洁、美容、装饰</t>
    </r>
    <r>
      <rPr>
        <sz val="12"/>
        <color theme="1"/>
        <rFont val="等线"/>
        <family val="3"/>
        <charset val="134"/>
        <scheme val="minor"/>
      </rPr>
      <t>。有</t>
    </r>
    <r>
      <rPr>
        <b/>
        <sz val="12"/>
        <color theme="1"/>
        <rFont val="等线"/>
        <family val="3"/>
        <charset val="134"/>
        <scheme val="minor"/>
      </rPr>
      <t>洁癖倾向</t>
    </r>
    <r>
      <rPr>
        <sz val="12"/>
        <color theme="1"/>
        <rFont val="等线"/>
        <family val="3"/>
        <charset val="134"/>
        <scheme val="minor"/>
      </rPr>
      <t>，喜爱干净、美好的事物，注重生活品质与审美。</t>
    </r>
  </si>
  <si>
    <t>在命宫、田宅宫时，主爱干净，注重家居环境与个人形象。</t>
  </si>
  <si>
    <r>
      <t>日夜影响</t>
    </r>
    <r>
      <rPr>
        <sz val="12"/>
        <color theme="1"/>
        <rFont val="等线"/>
        <family val="3"/>
        <charset val="134"/>
        <scheme val="minor"/>
      </rPr>
      <t>​</t>
    </r>
  </si>
  <si>
    <r>
      <t>夜生人</t>
    </r>
    <r>
      <rPr>
        <sz val="12"/>
        <color theme="1"/>
        <rFont val="等线"/>
        <family val="3"/>
        <charset val="134"/>
        <scheme val="minor"/>
      </rPr>
      <t>（晚上出生）太阴庙旺，则</t>
    </r>
    <r>
      <rPr>
        <b/>
        <sz val="12"/>
        <color theme="1"/>
        <rFont val="等线"/>
        <family val="3"/>
        <charset val="134"/>
        <scheme val="minor"/>
      </rPr>
      <t>直觉敏锐、财运亨通、情感充实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日生人</t>
    </r>
    <r>
      <rPr>
        <sz val="12"/>
        <color theme="1"/>
        <rFont val="等线"/>
        <family val="3"/>
        <charset val="134"/>
        <scheme val="minor"/>
      </rPr>
      <t>（白天出生）或太阴落陷，则</t>
    </r>
    <r>
      <rPr>
        <b/>
        <sz val="12"/>
        <color theme="1"/>
        <rFont val="等线"/>
        <family val="3"/>
        <charset val="134"/>
        <scheme val="minor"/>
      </rPr>
      <t>情感脆弱、财运受损、敏感变脆弱</t>
    </r>
    <r>
      <rPr>
        <sz val="12"/>
        <color theme="1"/>
        <rFont val="等线"/>
        <family val="3"/>
        <charset val="134"/>
        <scheme val="minor"/>
      </rPr>
      <t>。此区别是断事关键之一。</t>
    </r>
  </si>
  <si>
    <r>
      <t>庙旺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面圆色白，体态丰腴，性情温和，举止优雅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落陷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面瘦色青，体态清瘦，性情孤僻，多忧多虑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</si>
  <si>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：温柔细腻，内敛含蓄，爱干净，重感情，有耐心，善解人意，追求完美，善于理财，顾家。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</si>
  <si>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：敏感多疑，多愁善感，情绪化，缺乏安全感，被动，主见不强，易纠结、内耗。</t>
    </r>
  </si>
  <si>
    <r>
      <t>属阴水，主</t>
    </r>
    <r>
      <rPr>
        <b/>
        <sz val="12"/>
        <color theme="1"/>
        <rFont val="等线"/>
        <family val="3"/>
        <charset val="134"/>
        <scheme val="minor"/>
      </rPr>
      <t>肾脏、泌尿系统、生殖系统、妇科、津液、皮肤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肾虚、水肿、妇科疾病、皮肤病、情绪病（抑郁、焦虑）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</si>
  <si>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温柔细腻，感情丰富，爱干净，有洁癖，注重生活品质</t>
    </r>
    <r>
      <rPr>
        <sz val="12"/>
        <color theme="1"/>
        <rFont val="等线"/>
        <family val="3"/>
        <charset val="134"/>
        <scheme val="minor"/>
      </rPr>
      <t>。男命</t>
    </r>
    <r>
      <rPr>
        <b/>
        <sz val="12"/>
        <color theme="1"/>
        <rFont val="等线"/>
        <family val="3"/>
        <charset val="134"/>
        <scheme val="minor"/>
      </rPr>
      <t>易有女性气质</t>
    </r>
    <r>
      <rPr>
        <sz val="12"/>
        <color theme="1"/>
        <rFont val="等线"/>
        <family val="3"/>
        <charset val="134"/>
        <scheme val="minor"/>
      </rPr>
      <t>（男人女相），女命</t>
    </r>
    <r>
      <rPr>
        <b/>
        <sz val="12"/>
        <color theme="1"/>
        <rFont val="等线"/>
        <family val="3"/>
        <charset val="134"/>
        <scheme val="minor"/>
      </rPr>
      <t>具传统女性美德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财务、艺术、设计、家政、心理咨询、女性相关行业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夜生人庙旺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富贵、家庭和睦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日生人落陷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感情波折、内心孤独、财运不佳</t>
    </r>
    <r>
      <rPr>
        <sz val="12"/>
        <color theme="1"/>
        <rFont val="等线"/>
        <family val="3"/>
        <charset val="134"/>
        <scheme val="minor"/>
      </rPr>
      <t>。太阴坐命，需</t>
    </r>
    <r>
      <rPr>
        <b/>
        <sz val="12"/>
        <color theme="1"/>
        <rFont val="等线"/>
        <family val="3"/>
        <charset val="134"/>
        <scheme val="minor"/>
      </rPr>
      <t>修心养性，避免过度敏感与内耗</t>
    </r>
    <r>
      <rPr>
        <sz val="12"/>
        <color theme="1"/>
        <rFont val="等线"/>
        <family val="3"/>
        <charset val="134"/>
        <scheme val="minor"/>
      </rPr>
      <t>。</t>
    </r>
  </si>
  <si>
    <r>
      <t>与</t>
    </r>
    <r>
      <rPr>
        <b/>
        <sz val="12"/>
        <color theme="1"/>
        <rFont val="等线"/>
        <family val="3"/>
        <charset val="134"/>
        <scheme val="minor"/>
      </rPr>
      <t>兄弟姐妹感情细腻，易得女性朋友帮助</t>
    </r>
    <r>
      <rPr>
        <sz val="12"/>
        <color theme="1"/>
        <rFont val="等线"/>
        <family val="3"/>
        <charset val="134"/>
        <scheme val="minor"/>
      </rPr>
      <t>。若太阴性质差，则</t>
    </r>
    <r>
      <rPr>
        <b/>
        <sz val="12"/>
        <color theme="1"/>
        <rFont val="等线"/>
        <family val="3"/>
        <charset val="134"/>
        <scheme val="minor"/>
      </rPr>
      <t>身边易有女性小人，暗中作祟</t>
    </r>
    <r>
      <rPr>
        <sz val="12"/>
        <color theme="1"/>
        <rFont val="等线"/>
        <family val="3"/>
        <charset val="134"/>
        <scheme val="minor"/>
      </rPr>
      <t>。</t>
    </r>
  </si>
  <si>
    <r>
      <t>男命</t>
    </r>
    <r>
      <rPr>
        <sz val="12"/>
        <color theme="1"/>
        <rFont val="等线"/>
        <family val="3"/>
        <charset val="134"/>
        <scheme val="minor"/>
      </rPr>
      <t>：妻子</t>
    </r>
    <r>
      <rPr>
        <b/>
        <sz val="12"/>
        <color theme="1"/>
        <rFont val="等线"/>
        <family val="3"/>
        <charset val="134"/>
        <scheme val="minor"/>
      </rPr>
      <t>温柔贤淑，持家有道</t>
    </r>
    <r>
      <rPr>
        <sz val="12"/>
        <color theme="1"/>
        <rFont val="等线"/>
        <family val="3"/>
        <charset val="134"/>
        <scheme val="minor"/>
      </rPr>
      <t>（太阴庙旺吉化）；若太阴落陷逢煞，则</t>
    </r>
    <r>
      <rPr>
        <b/>
        <sz val="12"/>
        <color theme="1"/>
        <rFont val="等线"/>
        <family val="3"/>
        <charset val="134"/>
        <scheme val="minor"/>
      </rPr>
      <t>感情不顺，妻子体弱或多愁善感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女命</t>
    </r>
    <r>
      <rPr>
        <sz val="12"/>
        <color theme="1"/>
        <rFont val="等线"/>
        <family val="3"/>
        <charset val="134"/>
        <scheme val="minor"/>
      </rPr>
      <t>：本人</t>
    </r>
    <r>
      <rPr>
        <b/>
        <sz val="12"/>
        <color theme="1"/>
        <rFont val="等线"/>
        <family val="3"/>
        <charset val="134"/>
        <scheme val="minor"/>
      </rPr>
      <t>感情细腻，对婚姻要求高</t>
    </r>
    <r>
      <rPr>
        <sz val="12"/>
        <color theme="1"/>
        <rFont val="等线"/>
        <family val="3"/>
        <charset val="134"/>
        <scheme val="minor"/>
      </rPr>
      <t>；太阴性质差则</t>
    </r>
    <r>
      <rPr>
        <b/>
        <sz val="12"/>
        <color theme="1"/>
        <rFont val="等线"/>
        <family val="3"/>
        <charset val="134"/>
        <scheme val="minor"/>
      </rPr>
      <t>婚姻多波折，易为情所伤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</si>
  <si>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感情细腻，性格内敛</t>
    </r>
    <r>
      <rPr>
        <sz val="12"/>
        <color theme="1"/>
        <rFont val="等线"/>
        <family val="3"/>
        <charset val="134"/>
        <scheme val="minor"/>
      </rPr>
      <t>，女孩概率大。太阴吉则子女</t>
    </r>
    <r>
      <rPr>
        <b/>
        <sz val="12"/>
        <color theme="1"/>
        <rFont val="等线"/>
        <family val="3"/>
        <charset val="134"/>
        <scheme val="minor"/>
      </rPr>
      <t>乖巧、有艺术天赋</t>
    </r>
    <r>
      <rPr>
        <sz val="12"/>
        <color theme="1"/>
        <rFont val="等线"/>
        <family val="3"/>
        <charset val="134"/>
        <scheme val="minor"/>
      </rPr>
      <t>；太阴凶则子女</t>
    </r>
    <r>
      <rPr>
        <b/>
        <sz val="12"/>
        <color theme="1"/>
        <rFont val="等线"/>
        <family val="3"/>
        <charset val="134"/>
        <scheme val="minor"/>
      </rPr>
      <t>心机深、情绪化</t>
    </r>
    <r>
      <rPr>
        <sz val="12"/>
        <color theme="1"/>
        <rFont val="等线"/>
        <family val="3"/>
        <charset val="134"/>
        <scheme val="minor"/>
      </rPr>
      <t>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</si>
  <si>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静态、稳定</t>
    </r>
    <r>
      <rPr>
        <sz val="12"/>
        <color theme="1"/>
        <rFont val="等线"/>
        <family val="3"/>
        <charset val="134"/>
        <scheme val="minor"/>
      </rPr>
      <t>，如</t>
    </r>
    <r>
      <rPr>
        <b/>
        <sz val="12"/>
        <color theme="1"/>
        <rFont val="等线"/>
        <family val="3"/>
        <charset val="134"/>
        <scheme val="minor"/>
      </rPr>
      <t>薪水、理财、租金</t>
    </r>
    <r>
      <rPr>
        <sz val="12"/>
        <color theme="1"/>
        <rFont val="等线"/>
        <family val="3"/>
        <charset val="134"/>
        <scheme val="minor"/>
      </rPr>
      <t>。善于</t>
    </r>
    <r>
      <rPr>
        <b/>
        <sz val="12"/>
        <color theme="1"/>
        <rFont val="等线"/>
        <family val="3"/>
        <charset val="134"/>
        <scheme val="minor"/>
      </rPr>
      <t>精打细算，积累财富</t>
    </r>
    <r>
      <rPr>
        <sz val="12"/>
        <color theme="1"/>
        <rFont val="等线"/>
        <family val="3"/>
        <charset val="134"/>
        <scheme val="minor"/>
      </rPr>
      <t>。见禄存、化禄，主</t>
    </r>
    <r>
      <rPr>
        <b/>
        <sz val="12"/>
        <color theme="1"/>
        <rFont val="等线"/>
        <family val="3"/>
        <charset val="134"/>
        <scheme val="minor"/>
      </rPr>
      <t>财源广进，不动产丰隆</t>
    </r>
    <r>
      <rPr>
        <sz val="12"/>
        <color theme="1"/>
        <rFont val="等线"/>
        <family val="3"/>
        <charset val="134"/>
        <scheme val="minor"/>
      </rPr>
      <t>；见煞忌，则</t>
    </r>
    <r>
      <rPr>
        <b/>
        <sz val="12"/>
        <color theme="1"/>
        <rFont val="等线"/>
        <family val="3"/>
        <charset val="134"/>
        <scheme val="minor"/>
      </rPr>
      <t>财来财去，为财烦恼</t>
    </r>
    <r>
      <rPr>
        <sz val="12"/>
        <color theme="1"/>
        <rFont val="等线"/>
        <family val="3"/>
        <charset val="134"/>
        <scheme val="minor"/>
      </rPr>
      <t>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</si>
  <si>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肾脏、泌尿系统、妇科疾病、皮肤病、情绪病（抑郁、焦虑）</t>
    </r>
    <r>
      <rPr>
        <sz val="12"/>
        <color theme="1"/>
        <rFont val="等线"/>
        <family val="3"/>
        <charset val="134"/>
        <scheme val="minor"/>
      </rPr>
      <t>。太阴落陷或逢煞忌，需特别注意</t>
    </r>
    <r>
      <rPr>
        <b/>
        <sz val="12"/>
        <color theme="1"/>
        <rFont val="等线"/>
        <family val="3"/>
        <charset val="134"/>
        <scheme val="minor"/>
      </rPr>
      <t>妇科肿瘤、肾虚、神经衰弱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</si>
  <si>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与女性缘分深</t>
    </r>
    <r>
      <rPr>
        <sz val="12"/>
        <color theme="1"/>
        <rFont val="等线"/>
        <family val="3"/>
        <charset val="134"/>
        <scheme val="minor"/>
      </rPr>
      <t>，易得女性帮助。也主</t>
    </r>
    <r>
      <rPr>
        <b/>
        <sz val="12"/>
        <color theme="1"/>
        <rFont val="等线"/>
        <family val="3"/>
        <charset val="134"/>
        <scheme val="minor"/>
      </rPr>
      <t>喜欢在外居住</t>
    </r>
    <r>
      <rPr>
        <sz val="12"/>
        <color theme="1"/>
        <rFont val="等线"/>
        <family val="3"/>
        <charset val="134"/>
        <scheme val="minor"/>
      </rPr>
      <t>。需看太阴吉凶判断女性是助力还是破坏力。</t>
    </r>
  </si>
  <si>
    <r>
      <t>朋友中女性居多</t>
    </r>
    <r>
      <rPr>
        <sz val="12"/>
        <color theme="1"/>
        <rFont val="等线"/>
        <family val="3"/>
        <charset val="134"/>
        <scheme val="minor"/>
      </rPr>
      <t>。太阴吉则得</t>
    </r>
    <r>
      <rPr>
        <b/>
        <sz val="12"/>
        <color theme="1"/>
        <rFont val="等线"/>
        <family val="3"/>
        <charset val="134"/>
        <scheme val="minor"/>
      </rPr>
      <t>女性朋友助力</t>
    </r>
    <r>
      <rPr>
        <sz val="12"/>
        <color theme="1"/>
        <rFont val="等线"/>
        <family val="3"/>
        <charset val="134"/>
        <scheme val="minor"/>
      </rPr>
      <t>；太阴凶则易遇</t>
    </r>
    <r>
      <rPr>
        <b/>
        <sz val="12"/>
        <color theme="1"/>
        <rFont val="等线"/>
        <family val="3"/>
        <charset val="134"/>
        <scheme val="minor"/>
      </rPr>
      <t>女性小人，被人暗中伤害</t>
    </r>
    <r>
      <rPr>
        <sz val="12"/>
        <color theme="1"/>
        <rFont val="等线"/>
        <family val="3"/>
        <charset val="134"/>
        <scheme val="minor"/>
      </rPr>
      <t>。男命太阴化禄加桃花星，主</t>
    </r>
    <r>
      <rPr>
        <b/>
        <sz val="12"/>
        <color theme="1"/>
        <rFont val="等线"/>
        <family val="3"/>
        <charset val="134"/>
        <scheme val="minor"/>
      </rPr>
      <t>桃花旺，异性缘深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</si>
  <si>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静态、需要细心与耐心</t>
    </r>
    <r>
      <rPr>
        <sz val="12"/>
        <color theme="1"/>
        <rFont val="等线"/>
        <family val="3"/>
        <charset val="134"/>
        <scheme val="minor"/>
      </rPr>
      <t>的工作，如</t>
    </r>
    <r>
      <rPr>
        <b/>
        <sz val="12"/>
        <color theme="1"/>
        <rFont val="等线"/>
        <family val="3"/>
        <charset val="134"/>
        <scheme val="minor"/>
      </rPr>
      <t>财务、会计、文秘、艺术、设计、家政、心理咨询、女性相关行业</t>
    </r>
    <r>
      <rPr>
        <sz val="12"/>
        <color theme="1"/>
        <rFont val="等线"/>
        <family val="3"/>
        <charset val="134"/>
        <scheme val="minor"/>
      </rPr>
      <t>。不喜变动与竞争。</t>
    </r>
  </si>
  <si>
    <r>
      <t>田宅主</t>
    </r>
    <r>
      <rPr>
        <sz val="12"/>
        <color theme="1"/>
        <rFont val="等线"/>
        <family val="3"/>
        <charset val="134"/>
        <scheme val="minor"/>
      </rPr>
      <t>所在，主</t>
    </r>
    <r>
      <rPr>
        <b/>
        <sz val="12"/>
        <color theme="1"/>
        <rFont val="等线"/>
        <family val="3"/>
        <charset val="134"/>
        <scheme val="minor"/>
      </rPr>
      <t>家庭和睦，房产运佳</t>
    </r>
    <r>
      <rPr>
        <sz val="12"/>
        <color theme="1"/>
        <rFont val="等线"/>
        <family val="3"/>
        <charset val="134"/>
        <scheme val="minor"/>
      </rPr>
      <t>。太阴庙旺吉化，主</t>
    </r>
    <r>
      <rPr>
        <b/>
        <sz val="12"/>
        <color theme="1"/>
        <rFont val="等线"/>
        <family val="3"/>
        <charset val="134"/>
        <scheme val="minor"/>
      </rPr>
      <t>家宅安宁，房产多，易得祖产</t>
    </r>
    <r>
      <rPr>
        <sz val="12"/>
        <color theme="1"/>
        <rFont val="等线"/>
        <family val="3"/>
        <charset val="134"/>
        <scheme val="minor"/>
      </rPr>
      <t>；太阴落陷逢煞，主</t>
    </r>
    <r>
      <rPr>
        <b/>
        <sz val="12"/>
        <color theme="1"/>
        <rFont val="等线"/>
        <family val="3"/>
        <charset val="134"/>
        <scheme val="minor"/>
      </rPr>
      <t>家宅不宁，女性长辈强势，房产纠纷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</si>
  <si>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感情细腻，多思多虑</t>
    </r>
    <r>
      <rPr>
        <sz val="12"/>
        <color theme="1"/>
        <rFont val="等线"/>
        <family val="3"/>
        <charset val="134"/>
        <scheme val="minor"/>
      </rPr>
      <t>。太阴吉则</t>
    </r>
    <r>
      <rPr>
        <b/>
        <sz val="12"/>
        <color theme="1"/>
        <rFont val="等线"/>
        <family val="3"/>
        <charset val="134"/>
        <scheme val="minor"/>
      </rPr>
      <t>内心安宁，幸福感强</t>
    </r>
    <r>
      <rPr>
        <sz val="12"/>
        <color theme="1"/>
        <rFont val="等线"/>
        <family val="3"/>
        <charset val="134"/>
        <scheme val="minor"/>
      </rPr>
      <t>；太阴凶则</t>
    </r>
    <r>
      <rPr>
        <b/>
        <sz val="12"/>
        <color theme="1"/>
        <rFont val="等线"/>
        <family val="3"/>
        <charset val="134"/>
        <scheme val="minor"/>
      </rPr>
      <t>神经衰弱，多愁善感，易陷入精神内耗</t>
    </r>
    <r>
      <rPr>
        <sz val="12"/>
        <color theme="1"/>
        <rFont val="等线"/>
        <family val="3"/>
        <charset val="134"/>
        <scheme val="minor"/>
      </rPr>
      <t>。</t>
    </r>
  </si>
  <si>
    <r>
      <t>母亲对命主影响深远</t>
    </r>
    <r>
      <rPr>
        <sz val="12"/>
        <color theme="1"/>
        <rFont val="等线"/>
        <family val="3"/>
        <charset val="134"/>
        <scheme val="minor"/>
      </rPr>
      <t>。太阴吉则</t>
    </r>
    <r>
      <rPr>
        <b/>
        <sz val="12"/>
        <color theme="1"/>
        <rFont val="等线"/>
        <family val="3"/>
        <charset val="134"/>
        <scheme val="minor"/>
      </rPr>
      <t>母亲贤惠，家庭温暖</t>
    </r>
    <r>
      <rPr>
        <sz val="12"/>
        <color theme="1"/>
        <rFont val="等线"/>
        <family val="3"/>
        <charset val="134"/>
        <scheme val="minor"/>
      </rPr>
      <t>；太阴凶则</t>
    </r>
    <r>
      <rPr>
        <b/>
        <sz val="12"/>
        <color theme="1"/>
        <rFont val="等线"/>
        <family val="3"/>
        <charset val="134"/>
        <scheme val="minor"/>
      </rPr>
      <t>父母感情不和，或母亲身体不佳，缘分淡薄</t>
    </r>
    <r>
      <rPr>
        <sz val="12"/>
        <color theme="1"/>
        <rFont val="等线"/>
        <family val="3"/>
        <charset val="134"/>
        <scheme val="minor"/>
      </rPr>
      <t>。</t>
    </r>
  </si>
  <si>
    <t>1. 增强阴柔/财富/感情组合</t>
  </si>
  <si>
    <r>
      <t>太阴+紫微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</si>
  <si>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帝星遇月</t>
    </r>
    <r>
      <rPr>
        <sz val="12"/>
        <color theme="1"/>
        <rFont val="等线"/>
        <family val="3"/>
        <charset val="134"/>
        <scheme val="minor"/>
      </rPr>
      <t>，尊贵与阴柔结合，</t>
    </r>
    <r>
      <rPr>
        <b/>
        <sz val="12"/>
        <color theme="1"/>
        <rFont val="等线"/>
        <family val="3"/>
        <charset val="134"/>
        <scheme val="minor"/>
      </rPr>
      <t>有领导才能但手段柔和，注重生活品质</t>
    </r>
    <r>
      <rPr>
        <sz val="12"/>
        <color theme="1"/>
        <rFont val="等线"/>
        <family val="3"/>
        <charset val="134"/>
        <scheme val="minor"/>
      </rPr>
      <t>。女命尤为贵气。</t>
    </r>
  </si>
  <si>
    <t>贵妇人；优雅的管理者。</t>
  </si>
  <si>
    <r>
      <t>太阴+天机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</si>
  <si>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智星遇月</t>
    </r>
    <r>
      <rPr>
        <sz val="12"/>
        <color theme="1"/>
        <rFont val="等线"/>
        <family val="3"/>
        <charset val="134"/>
        <scheme val="minor"/>
      </rPr>
      <t>，机巧与阴柔结合，</t>
    </r>
    <r>
      <rPr>
        <b/>
        <sz val="12"/>
        <color theme="1"/>
        <rFont val="等线"/>
        <family val="3"/>
        <charset val="134"/>
        <scheme val="minor"/>
      </rPr>
      <t>心思缜密，善谋划，但多思多虑</t>
    </r>
    <r>
      <rPr>
        <sz val="12"/>
        <color theme="1"/>
        <rFont val="等线"/>
        <family val="3"/>
        <charset val="134"/>
        <scheme val="minor"/>
      </rPr>
      <t>。适合策划、咨询。</t>
    </r>
  </si>
  <si>
    <t>策划师；心理咨询师；但易想太多。</t>
  </si>
  <si>
    <r>
      <t>太阴+太阳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</si>
  <si>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日月同宫或对照</t>
    </r>
    <r>
      <rPr>
        <sz val="12"/>
        <color theme="1"/>
        <rFont val="等线"/>
        <family val="3"/>
        <charset val="134"/>
        <scheme val="minor"/>
      </rPr>
      <t>（丑、未宫同度，巳、亥宫对照），</t>
    </r>
    <r>
      <rPr>
        <b/>
        <sz val="12"/>
        <color theme="1"/>
        <rFont val="等线"/>
        <family val="3"/>
        <charset val="134"/>
        <scheme val="minor"/>
      </rPr>
      <t>“日月并明”或“日月反背”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阴阳调和，贵显</t>
    </r>
    <r>
      <rPr>
        <sz val="12"/>
        <color theme="1"/>
        <rFont val="等线"/>
        <family val="3"/>
        <charset val="134"/>
        <scheme val="minor"/>
      </rPr>
      <t>；若日月庙陷失衡，则</t>
    </r>
    <r>
      <rPr>
        <b/>
        <sz val="12"/>
        <color theme="1"/>
        <rFont val="等线"/>
        <family val="3"/>
        <charset val="134"/>
        <scheme val="minor"/>
      </rPr>
      <t>父母缘薄，人生起伏</t>
    </r>
    <r>
      <rPr>
        <sz val="12"/>
        <color theme="1"/>
        <rFont val="等线"/>
        <family val="3"/>
        <charset val="134"/>
        <scheme val="minor"/>
      </rPr>
      <t>。</t>
    </r>
  </si>
  <si>
    <t>日月并明主富贵；日月反背主辛劳。</t>
  </si>
  <si>
    <r>
      <t>太阴+武曲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</si>
  <si>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刚金遇月</t>
    </r>
    <r>
      <rPr>
        <sz val="12"/>
        <color theme="1"/>
        <rFont val="等线"/>
        <family val="3"/>
        <charset val="134"/>
        <scheme val="minor"/>
      </rPr>
      <t>，行动力与阴柔结合，</t>
    </r>
    <r>
      <rPr>
        <b/>
        <sz val="12"/>
        <color theme="1"/>
        <rFont val="等线"/>
        <family val="3"/>
        <charset val="134"/>
        <scheme val="minor"/>
      </rPr>
      <t>刚柔并济，善于理财</t>
    </r>
    <r>
      <rPr>
        <sz val="12"/>
        <color theme="1"/>
        <rFont val="等线"/>
        <family val="3"/>
        <charset val="134"/>
        <scheme val="minor"/>
      </rPr>
      <t>。女命此组合，外柔内刚。</t>
    </r>
  </si>
  <si>
    <t>财务总监；精明的投资者。</t>
  </si>
  <si>
    <r>
      <t>太阴+天同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</si>
  <si>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福星遇月</t>
    </r>
    <r>
      <rPr>
        <sz val="12"/>
        <color theme="1"/>
        <rFont val="等线"/>
        <family val="3"/>
        <charset val="134"/>
        <scheme val="minor"/>
      </rPr>
      <t>（寅、申宫同度），</t>
    </r>
    <r>
      <rPr>
        <b/>
        <sz val="12"/>
        <color theme="1"/>
        <rFont val="等线"/>
        <family val="3"/>
        <charset val="134"/>
        <scheme val="minor"/>
      </rPr>
      <t>“同阴组合”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增加享受、福气，感情丰富，生活安逸</t>
    </r>
    <r>
      <rPr>
        <sz val="12"/>
        <color theme="1"/>
        <rFont val="等线"/>
        <family val="3"/>
        <charset val="134"/>
        <scheme val="minor"/>
      </rPr>
      <t>。但易流于懒散。</t>
    </r>
  </si>
  <si>
    <t>享受生活者；艺术家；但缺乏斗志。</t>
  </si>
  <si>
    <r>
      <t>太阴+廉贞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</si>
  <si>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囚星遇月</t>
    </r>
    <r>
      <rPr>
        <sz val="12"/>
        <color theme="1"/>
        <rFont val="等线"/>
        <family val="3"/>
        <charset val="134"/>
        <scheme val="minor"/>
      </rPr>
      <t>，感情官非与阴柔结合，</t>
    </r>
    <r>
      <rPr>
        <b/>
        <sz val="12"/>
        <color theme="1"/>
        <rFont val="等线"/>
        <family val="3"/>
        <charset val="134"/>
        <scheme val="minor"/>
      </rPr>
      <t>感情复杂，易陷入纠葛</t>
    </r>
    <r>
      <rPr>
        <sz val="12"/>
        <color theme="1"/>
        <rFont val="等线"/>
        <family val="3"/>
        <charset val="134"/>
        <scheme val="minor"/>
      </rPr>
      <t>。女命需防感情困扰。</t>
    </r>
  </si>
  <si>
    <t>感情丰富的艺术家；但易为情所困。</t>
  </si>
  <si>
    <r>
      <t>太阴+天府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</si>
  <si>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库星遇月</t>
    </r>
    <r>
      <rPr>
        <sz val="12"/>
        <color theme="1"/>
        <rFont val="等线"/>
        <family val="3"/>
        <charset val="134"/>
        <scheme val="minor"/>
      </rPr>
      <t>，稳重与阴柔结合，</t>
    </r>
    <r>
      <rPr>
        <b/>
        <sz val="12"/>
        <color theme="1"/>
        <rFont val="等线"/>
        <family val="3"/>
        <charset val="134"/>
        <scheme val="minor"/>
      </rPr>
      <t>“月府同宫”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财富丰足，家庭稳定，善于守成</t>
    </r>
    <r>
      <rPr>
        <sz val="12"/>
        <color theme="1"/>
        <rFont val="等线"/>
        <family val="3"/>
        <charset val="134"/>
        <scheme val="minor"/>
      </rPr>
      <t>。</t>
    </r>
  </si>
  <si>
    <t>富足的家庭主妇；稳健的资产管理人。</t>
  </si>
  <si>
    <r>
      <t>太阴+贪狼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</si>
  <si>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欲星遇月</t>
    </r>
    <r>
      <rPr>
        <sz val="12"/>
        <color theme="1"/>
        <rFont val="等线"/>
        <family val="3"/>
        <charset val="134"/>
        <scheme val="minor"/>
      </rPr>
      <t>，欲望与阴柔结合，</t>
    </r>
    <r>
      <rPr>
        <b/>
        <sz val="12"/>
        <color theme="1"/>
        <rFont val="等线"/>
        <family val="3"/>
        <charset val="134"/>
        <scheme val="minor"/>
      </rPr>
      <t>“月朗天门格”（亥宫）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富贵</t>
    </r>
    <r>
      <rPr>
        <sz val="12"/>
        <color theme="1"/>
        <rFont val="等线"/>
        <family val="3"/>
        <charset val="134"/>
        <scheme val="minor"/>
      </rPr>
      <t>；但亦主</t>
    </r>
    <r>
      <rPr>
        <b/>
        <sz val="12"/>
        <color theme="1"/>
        <rFont val="等线"/>
        <family val="3"/>
        <charset val="134"/>
        <scheme val="minor"/>
      </rPr>
      <t>桃花旺，感情复杂</t>
    </r>
    <r>
      <rPr>
        <sz val="12"/>
        <color theme="1"/>
        <rFont val="等线"/>
        <family val="3"/>
        <charset val="134"/>
        <scheme val="minor"/>
      </rPr>
      <t>。</t>
    </r>
  </si>
  <si>
    <t>富有的社交家；但需防桃花是非。</t>
  </si>
  <si>
    <r>
      <t>太阴+巨门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</si>
  <si>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暗星遇月</t>
    </r>
    <r>
      <rPr>
        <sz val="12"/>
        <color theme="1"/>
        <rFont val="等线"/>
        <family val="3"/>
        <charset val="134"/>
        <scheme val="minor"/>
      </rPr>
      <t>，口舌与阴柔结合，</t>
    </r>
    <r>
      <rPr>
        <b/>
        <sz val="12"/>
        <color theme="1"/>
        <rFont val="等线"/>
        <family val="3"/>
        <charset val="134"/>
        <scheme val="minor"/>
      </rPr>
      <t>内心多疑，言语含蓄，易有隐情</t>
    </r>
    <r>
      <rPr>
        <sz val="12"/>
        <color theme="1"/>
        <rFont val="等线"/>
        <family val="3"/>
        <charset val="134"/>
        <scheme val="minor"/>
      </rPr>
      <t>。适合研究、幕后工作。</t>
    </r>
  </si>
  <si>
    <t>研究员；幕后工作者；但易内心阴暗。</t>
  </si>
  <si>
    <r>
      <t>太阴+天相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</si>
  <si>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印星遇月</t>
    </r>
    <r>
      <rPr>
        <sz val="12"/>
        <color theme="1"/>
        <rFont val="等线"/>
        <family val="3"/>
        <charset val="134"/>
        <scheme val="minor"/>
      </rPr>
      <t>，形象与阴柔结合，</t>
    </r>
    <r>
      <rPr>
        <b/>
        <sz val="12"/>
        <color theme="1"/>
        <rFont val="等线"/>
        <family val="3"/>
        <charset val="134"/>
        <scheme val="minor"/>
      </rPr>
      <t>外表端庄，内心细腻，注重形象与礼仪</t>
    </r>
    <r>
      <rPr>
        <sz val="12"/>
        <color theme="1"/>
        <rFont val="等线"/>
        <family val="3"/>
        <charset val="134"/>
        <scheme val="minor"/>
      </rPr>
      <t>。</t>
    </r>
  </si>
  <si>
    <t>公关；礼仪老师；形象顾问。</t>
  </si>
  <si>
    <r>
      <t>太阴+天梁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</si>
  <si>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荫星遇月</t>
    </r>
    <r>
      <rPr>
        <sz val="12"/>
        <color theme="1"/>
        <rFont val="等线"/>
        <family val="3"/>
        <charset val="134"/>
        <scheme val="minor"/>
      </rPr>
      <t>，清高与阴柔结合，</t>
    </r>
    <r>
      <rPr>
        <b/>
        <sz val="12"/>
        <color theme="1"/>
        <rFont val="等线"/>
        <family val="3"/>
        <charset val="134"/>
        <scheme val="minor"/>
      </rPr>
      <t>有宗教、哲学情怀，乐于助人，易得女性长辈帮助</t>
    </r>
    <r>
      <rPr>
        <sz val="12"/>
        <color theme="1"/>
        <rFont val="等线"/>
        <family val="3"/>
        <charset val="134"/>
        <scheme val="minor"/>
      </rPr>
      <t>。</t>
    </r>
  </si>
  <si>
    <t>慈善家；宗教人士；心理咨询师。</t>
  </si>
  <si>
    <r>
      <t>太阴+七杀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</si>
  <si>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杀星遇月</t>
    </r>
    <r>
      <rPr>
        <sz val="12"/>
        <color theme="1"/>
        <rFont val="等线"/>
        <family val="3"/>
        <charset val="134"/>
        <scheme val="minor"/>
      </rPr>
      <t>，肃杀与阴柔结合，</t>
    </r>
    <r>
      <rPr>
        <b/>
        <sz val="12"/>
        <color theme="1"/>
        <rFont val="等线"/>
        <family val="3"/>
        <charset val="134"/>
        <scheme val="minor"/>
      </rPr>
      <t>外柔内刚，有决断力，但内心矛盾</t>
    </r>
    <r>
      <rPr>
        <sz val="12"/>
        <color theme="1"/>
        <rFont val="等线"/>
        <family val="3"/>
        <charset val="134"/>
        <scheme val="minor"/>
      </rPr>
      <t>。女命可为女强人。</t>
    </r>
  </si>
  <si>
    <t>外柔内刚的女企业家；但内心孤独。</t>
  </si>
  <si>
    <r>
      <t>太阴+破军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</si>
  <si>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耗星遇月</t>
    </r>
    <r>
      <rPr>
        <sz val="12"/>
        <color theme="1"/>
        <rFont val="等线"/>
        <family val="3"/>
        <charset val="134"/>
        <scheme val="minor"/>
      </rPr>
      <t>，变动与阴柔结合，</t>
    </r>
    <r>
      <rPr>
        <b/>
        <sz val="12"/>
        <color theme="1"/>
        <rFont val="等线"/>
        <family val="3"/>
        <charset val="134"/>
        <scheme val="minor"/>
      </rPr>
      <t>家庭、财务变动大，破中有成</t>
    </r>
    <r>
      <rPr>
        <sz val="12"/>
        <color theme="1"/>
        <rFont val="等线"/>
        <family val="3"/>
        <charset val="134"/>
        <scheme val="minor"/>
      </rPr>
      <t>。需防因家事破财。</t>
    </r>
  </si>
  <si>
    <t>家庭经历变动后置业者；但过程多耗。</t>
  </si>
  <si>
    <r>
      <t>太阴+左辅/右弼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</si>
  <si>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月星得助</t>
    </r>
    <r>
      <rPr>
        <sz val="12"/>
        <color theme="1"/>
        <rFont val="等线"/>
        <family val="3"/>
        <charset val="134"/>
        <scheme val="minor"/>
      </rPr>
      <t>，阴柔与财富得同辈、晚辈助力，</t>
    </r>
    <r>
      <rPr>
        <b/>
        <sz val="12"/>
        <color theme="1"/>
        <rFont val="等线"/>
        <family val="3"/>
        <charset val="134"/>
        <scheme val="minor"/>
      </rPr>
      <t>家庭和睦，人缘佳，易得女性帮助</t>
    </r>
    <r>
      <rPr>
        <sz val="12"/>
        <color theme="1"/>
        <rFont val="等线"/>
        <family val="3"/>
        <charset val="134"/>
        <scheme val="minor"/>
      </rPr>
      <t>。</t>
    </r>
  </si>
  <si>
    <r>
      <t>太阴+文昌/文曲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</si>
  <si>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月星遇文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文采、艺术气质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“蟾宫折桂”</t>
    </r>
    <r>
      <rPr>
        <sz val="12"/>
        <color theme="1"/>
        <rFont val="等线"/>
        <family val="3"/>
        <charset val="134"/>
        <scheme val="minor"/>
      </rPr>
      <t>，利于科甲、艺术。</t>
    </r>
  </si>
  <si>
    <r>
      <t>太阴+天魁/天钺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</si>
  <si>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月星遇贵</t>
    </r>
    <r>
      <rPr>
        <sz val="12"/>
        <color theme="1"/>
        <rFont val="等线"/>
        <family val="3"/>
        <charset val="134"/>
        <scheme val="minor"/>
      </rPr>
      <t>，阴柔与财富得贵人（尤指女性贵人）赏识提携。</t>
    </r>
  </si>
  <si>
    <r>
      <t>太阴+禄存</t>
    </r>
    <r>
      <rPr>
        <sz val="12"/>
        <color theme="1"/>
        <rFont val="等线"/>
        <family val="3"/>
        <charset val="134"/>
        <scheme val="minor"/>
      </rPr>
      <t>​</t>
    </r>
  </si>
  <si>
    <r>
      <t>月星带禄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财富丰足，房产运佳</t>
    </r>
    <r>
      <rPr>
        <sz val="12"/>
        <color theme="1"/>
        <rFont val="等线"/>
        <family val="3"/>
        <charset val="134"/>
        <scheme val="minor"/>
      </rPr>
      <t>，一生钱财不缺。</t>
    </r>
  </si>
  <si>
    <r>
      <t>太阴+天马</t>
    </r>
    <r>
      <rPr>
        <sz val="12"/>
        <color theme="1"/>
        <rFont val="等线"/>
        <family val="3"/>
        <charset val="134"/>
        <scheme val="minor"/>
      </rPr>
      <t>​</t>
    </r>
  </si>
  <si>
    <r>
      <t>月星奔驰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“禄马交驰”格</t>
    </r>
    <r>
      <rPr>
        <sz val="12"/>
        <color theme="1"/>
        <rFont val="等线"/>
        <family val="3"/>
        <charset val="134"/>
        <scheme val="minor"/>
      </rPr>
      <t>，动中求财，利远方置业、外贸。</t>
    </r>
  </si>
  <si>
    <r>
      <t>太阴+火星</t>
    </r>
    <r>
      <rPr>
        <sz val="12"/>
        <color theme="1"/>
        <rFont val="等线"/>
        <family val="3"/>
        <charset val="134"/>
        <scheme val="minor"/>
      </rPr>
      <t>​</t>
    </r>
  </si>
  <si>
    <r>
      <t>月星逢火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“太阴火铃，反成十恶”</t>
    </r>
    <r>
      <rPr>
        <sz val="12"/>
        <color theme="1"/>
        <rFont val="等线"/>
        <family val="3"/>
        <charset val="134"/>
        <scheme val="minor"/>
      </rPr>
      <t>（古诀）。</t>
    </r>
    <r>
      <rPr>
        <b/>
        <sz val="12"/>
        <color theme="1"/>
        <rFont val="等线"/>
        <family val="3"/>
        <charset val="134"/>
        <scheme val="minor"/>
      </rPr>
      <t>感情急躁，家庭不宁，财务突然破损</t>
    </r>
    <r>
      <rPr>
        <sz val="12"/>
        <color theme="1"/>
        <rFont val="等线"/>
        <family val="3"/>
        <charset val="134"/>
        <scheme val="minor"/>
      </rPr>
      <t>。</t>
    </r>
  </si>
  <si>
    <r>
      <t>太阴+铃星</t>
    </r>
    <r>
      <rPr>
        <sz val="12"/>
        <color theme="1"/>
        <rFont val="等线"/>
        <family val="3"/>
        <charset val="134"/>
        <scheme val="minor"/>
      </rPr>
      <t>​</t>
    </r>
  </si>
  <si>
    <r>
      <t>月星逢铃</t>
    </r>
    <r>
      <rPr>
        <sz val="12"/>
        <color theme="1"/>
        <rFont val="等线"/>
        <family val="3"/>
        <charset val="134"/>
        <scheme val="minor"/>
      </rPr>
      <t>，阴柔伴随</t>
    </r>
    <r>
      <rPr>
        <b/>
        <sz val="12"/>
        <color theme="1"/>
        <rFont val="等线"/>
        <family val="3"/>
        <charset val="134"/>
        <scheme val="minor"/>
      </rPr>
      <t>煎熬、隐忧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内心焦虑，感情受折磨</t>
    </r>
    <r>
      <rPr>
        <sz val="12"/>
        <color theme="1"/>
        <rFont val="等线"/>
        <family val="3"/>
        <charset val="134"/>
        <scheme val="minor"/>
      </rPr>
      <t>。</t>
    </r>
  </si>
  <si>
    <r>
      <t>太阴+擎羊</t>
    </r>
    <r>
      <rPr>
        <sz val="12"/>
        <color theme="1"/>
        <rFont val="等线"/>
        <family val="3"/>
        <charset val="134"/>
        <scheme val="minor"/>
      </rPr>
      <t>​</t>
    </r>
  </si>
  <si>
    <r>
      <t>月星逢羊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感情或财务受伤害</t>
    </r>
    <r>
      <rPr>
        <sz val="12"/>
        <color theme="1"/>
        <rFont val="等线"/>
        <family val="3"/>
        <charset val="134"/>
        <scheme val="minor"/>
      </rPr>
      <t>，易有</t>
    </r>
    <r>
      <rPr>
        <b/>
        <sz val="12"/>
        <color theme="1"/>
        <rFont val="等线"/>
        <family val="3"/>
        <charset val="134"/>
        <scheme val="minor"/>
      </rPr>
      <t>手术、血光</t>
    </r>
    <r>
      <rPr>
        <sz val="12"/>
        <color theme="1"/>
        <rFont val="等线"/>
        <family val="3"/>
        <charset val="134"/>
        <scheme val="minor"/>
      </rPr>
      <t>，女命防妇科手术。</t>
    </r>
  </si>
  <si>
    <r>
      <t>太阴+陀罗</t>
    </r>
    <r>
      <rPr>
        <sz val="12"/>
        <color theme="1"/>
        <rFont val="等线"/>
        <family val="3"/>
        <charset val="134"/>
        <scheme val="minor"/>
      </rPr>
      <t>​</t>
    </r>
  </si>
  <si>
    <r>
      <t>月星逢陀</t>
    </r>
    <r>
      <rPr>
        <sz val="12"/>
        <color theme="1"/>
        <rFont val="等线"/>
        <family val="3"/>
        <charset val="134"/>
        <scheme val="minor"/>
      </rPr>
      <t>，阴柔受</t>
    </r>
    <r>
      <rPr>
        <b/>
        <sz val="12"/>
        <color theme="1"/>
        <rFont val="等线"/>
        <family val="3"/>
        <charset val="134"/>
        <scheme val="minor"/>
      </rPr>
      <t>拖延、反复阻碍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感情纠葛，财务拖延</t>
    </r>
    <r>
      <rPr>
        <sz val="12"/>
        <color theme="1"/>
        <rFont val="等线"/>
        <family val="3"/>
        <charset val="134"/>
        <scheme val="minor"/>
      </rPr>
      <t>。</t>
    </r>
  </si>
  <si>
    <r>
      <t>太阴+地空</t>
    </r>
    <r>
      <rPr>
        <sz val="12"/>
        <color theme="1"/>
        <rFont val="等线"/>
        <family val="3"/>
        <charset val="134"/>
        <scheme val="minor"/>
      </rPr>
      <t>​</t>
    </r>
  </si>
  <si>
    <r>
      <t>月星逢空</t>
    </r>
    <r>
      <rPr>
        <sz val="12"/>
        <color theme="1"/>
        <rFont val="等线"/>
        <family val="3"/>
        <charset val="134"/>
        <scheme val="minor"/>
      </rPr>
      <t>，阴柔</t>
    </r>
    <r>
      <rPr>
        <b/>
        <sz val="12"/>
        <color theme="1"/>
        <rFont val="等线"/>
        <family val="3"/>
        <charset val="134"/>
        <scheme val="minor"/>
      </rPr>
      <t>落空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感情空虚，财务虚耗，理想难以实现</t>
    </r>
    <r>
      <rPr>
        <sz val="12"/>
        <color theme="1"/>
        <rFont val="等线"/>
        <family val="3"/>
        <charset val="134"/>
        <scheme val="minor"/>
      </rPr>
      <t>。</t>
    </r>
  </si>
  <si>
    <r>
      <t>太阴+地劫</t>
    </r>
    <r>
      <rPr>
        <sz val="12"/>
        <color theme="1"/>
        <rFont val="等线"/>
        <family val="3"/>
        <charset val="134"/>
        <scheme val="minor"/>
      </rPr>
      <t>​</t>
    </r>
  </si>
  <si>
    <r>
      <t>月星逢劫</t>
    </r>
    <r>
      <rPr>
        <sz val="12"/>
        <color theme="1"/>
        <rFont val="等线"/>
        <family val="3"/>
        <charset val="134"/>
        <scheme val="minor"/>
      </rPr>
      <t>，阴柔遭</t>
    </r>
    <r>
      <rPr>
        <b/>
        <sz val="12"/>
        <color theme="1"/>
        <rFont val="等线"/>
        <family val="3"/>
        <charset val="134"/>
        <scheme val="minor"/>
      </rPr>
      <t>破耗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感情或财务遭遇意外损失</t>
    </r>
    <r>
      <rPr>
        <sz val="12"/>
        <color theme="1"/>
        <rFont val="等线"/>
        <family val="3"/>
        <charset val="134"/>
        <scheme val="minor"/>
      </rPr>
      <t>。</t>
    </r>
  </si>
  <si>
    <r>
      <t>太阴+化禄</t>
    </r>
    <r>
      <rPr>
        <sz val="12"/>
        <color theme="1"/>
        <rFont val="等线"/>
        <family val="3"/>
        <charset val="134"/>
        <scheme val="minor"/>
      </rPr>
      <t>​</t>
    </r>
  </si>
  <si>
    <r>
      <t>月星化禄</t>
    </r>
    <r>
      <rPr>
        <sz val="12"/>
        <color theme="1"/>
        <rFont val="等线"/>
        <family val="3"/>
        <charset val="134"/>
        <scheme val="minor"/>
      </rPr>
      <t>（丙年生人），</t>
    </r>
    <r>
      <rPr>
        <b/>
        <sz val="12"/>
        <color theme="1"/>
        <rFont val="等线"/>
        <family val="3"/>
        <charset val="134"/>
        <scheme val="minor"/>
      </rPr>
      <t>财富大增，感情美满</t>
    </r>
    <r>
      <rPr>
        <sz val="12"/>
        <color theme="1"/>
        <rFont val="等线"/>
        <family val="3"/>
        <charset val="134"/>
        <scheme val="minor"/>
      </rPr>
      <t>，尤利房产、女性相关行业。</t>
    </r>
  </si>
  <si>
    <r>
      <t>太阴+化权</t>
    </r>
    <r>
      <rPr>
        <sz val="12"/>
        <color theme="1"/>
        <rFont val="等线"/>
        <family val="3"/>
        <charset val="134"/>
        <scheme val="minor"/>
      </rPr>
      <t>​</t>
    </r>
  </si>
  <si>
    <r>
      <t>月星化权</t>
    </r>
    <r>
      <rPr>
        <sz val="12"/>
        <color theme="1"/>
        <rFont val="等线"/>
        <family val="3"/>
        <charset val="134"/>
        <scheme val="minor"/>
      </rPr>
      <t>（丁年生人），</t>
    </r>
    <r>
      <rPr>
        <b/>
        <sz val="12"/>
        <color theme="1"/>
        <rFont val="等线"/>
        <family val="3"/>
        <charset val="134"/>
        <scheme val="minor"/>
      </rPr>
      <t>柔中带刚，在财务、家庭中有决策权</t>
    </r>
    <r>
      <rPr>
        <sz val="12"/>
        <color theme="1"/>
        <rFont val="等线"/>
        <family val="3"/>
        <charset val="134"/>
        <scheme val="minor"/>
      </rPr>
      <t>。</t>
    </r>
  </si>
  <si>
    <r>
      <t>太阴+化科</t>
    </r>
    <r>
      <rPr>
        <sz val="12"/>
        <color theme="1"/>
        <rFont val="等线"/>
        <family val="3"/>
        <charset val="134"/>
        <scheme val="minor"/>
      </rPr>
      <t>​</t>
    </r>
  </si>
  <si>
    <r>
      <t>月星化科</t>
    </r>
    <r>
      <rPr>
        <sz val="12"/>
        <color theme="1"/>
        <rFont val="等线"/>
        <family val="3"/>
        <charset val="134"/>
        <scheme val="minor"/>
      </rPr>
      <t>（戊年生人），</t>
    </r>
    <r>
      <rPr>
        <b/>
        <sz val="12"/>
        <color theme="1"/>
        <rFont val="等线"/>
        <family val="3"/>
        <charset val="134"/>
        <scheme val="minor"/>
      </rPr>
      <t>增添才华、名声，利于文艺、学术</t>
    </r>
    <r>
      <rPr>
        <sz val="12"/>
        <color theme="1"/>
        <rFont val="等线"/>
        <family val="3"/>
        <charset val="134"/>
        <scheme val="minor"/>
      </rPr>
      <t>。</t>
    </r>
  </si>
  <si>
    <r>
      <t>太阴+化忌</t>
    </r>
    <r>
      <rPr>
        <sz val="12"/>
        <color theme="1"/>
        <rFont val="等线"/>
        <family val="3"/>
        <charset val="134"/>
        <scheme val="minor"/>
      </rPr>
      <t>​</t>
    </r>
  </si>
  <si>
    <r>
      <t>月星化忌</t>
    </r>
    <r>
      <rPr>
        <sz val="12"/>
        <color theme="1"/>
        <rFont val="等线"/>
        <family val="3"/>
        <charset val="134"/>
        <scheme val="minor"/>
      </rPr>
      <t>（乙年生人），</t>
    </r>
    <r>
      <rPr>
        <b/>
        <sz val="12"/>
        <color theme="1"/>
        <rFont val="等线"/>
        <family val="3"/>
        <charset val="134"/>
        <scheme val="minor"/>
      </rPr>
      <t>感情挫折，财务损失，母亲或妻子不利，内心抑郁</t>
    </r>
    <r>
      <rPr>
        <sz val="12"/>
        <color theme="1"/>
        <rFont val="等线"/>
        <family val="3"/>
        <charset val="134"/>
        <scheme val="minor"/>
      </rPr>
      <t>。需特别注意妇科、肾脏健康。</t>
    </r>
  </si>
  <si>
    <r>
      <t>1. “太阴”与“太阳”</t>
    </r>
    <r>
      <rPr>
        <sz val="11"/>
        <color theme="1"/>
        <rFont val="等线"/>
        <family val="2"/>
        <charset val="134"/>
        <scheme val="minor"/>
      </rPr>
      <t>：太阴为</t>
    </r>
    <r>
      <rPr>
        <b/>
        <sz val="11"/>
        <color theme="1"/>
        <rFont val="等线"/>
        <family val="3"/>
        <charset val="134"/>
        <scheme val="minor"/>
      </rPr>
      <t>月亮</t>
    </r>
    <r>
      <rPr>
        <sz val="11"/>
        <color theme="1"/>
        <rFont val="等线"/>
        <family val="2"/>
        <charset val="134"/>
        <scheme val="minor"/>
      </rPr>
      <t>，太阳为</t>
    </r>
    <r>
      <rPr>
        <b/>
        <sz val="11"/>
        <color theme="1"/>
        <rFont val="等线"/>
        <family val="3"/>
        <charset val="134"/>
        <scheme val="minor"/>
      </rPr>
      <t>日</t>
    </r>
    <r>
      <rPr>
        <sz val="11"/>
        <color theme="1"/>
        <rFont val="等线"/>
        <family val="2"/>
        <charset val="134"/>
        <scheme val="minor"/>
      </rPr>
      <t>，二者需</t>
    </r>
    <r>
      <rPr>
        <b/>
        <sz val="11"/>
        <color theme="1"/>
        <rFont val="等线"/>
        <family val="3"/>
        <charset val="134"/>
        <scheme val="minor"/>
      </rPr>
      <t>阴阳调和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日月并明</t>
    </r>
    <r>
      <rPr>
        <sz val="11"/>
        <color theme="1"/>
        <rFont val="等线"/>
        <family val="2"/>
        <charset val="134"/>
        <scheme val="minor"/>
      </rPr>
      <t>（太阳在卯，太阴在亥等）主贵；</t>
    </r>
    <r>
      <rPr>
        <b/>
        <sz val="11"/>
        <color theme="1"/>
        <rFont val="等线"/>
        <family val="3"/>
        <charset val="134"/>
        <scheme val="minor"/>
      </rPr>
      <t>日月反背</t>
    </r>
    <r>
      <rPr>
        <sz val="11"/>
        <color theme="1"/>
        <rFont val="等线"/>
        <family val="2"/>
        <charset val="134"/>
        <scheme val="minor"/>
      </rPr>
      <t>（太阳在酉，太阴在卯等）主劳碌。太阴的吉凶受</t>
    </r>
    <r>
      <rPr>
        <b/>
        <sz val="11"/>
        <color theme="1"/>
        <rFont val="等线"/>
        <family val="3"/>
        <charset val="134"/>
        <scheme val="minor"/>
      </rPr>
      <t>日夜出生</t>
    </r>
    <r>
      <rPr>
        <sz val="11"/>
        <color theme="1"/>
        <rFont val="等线"/>
        <family val="2"/>
        <charset val="134"/>
        <scheme val="minor"/>
      </rPr>
      <t>影响极大，</t>
    </r>
    <r>
      <rPr>
        <b/>
        <sz val="11"/>
        <color theme="1"/>
        <rFont val="等线"/>
        <family val="3"/>
        <charset val="134"/>
        <scheme val="minor"/>
      </rPr>
      <t>夜生人吉，日生人减吉</t>
    </r>
    <r>
      <rPr>
        <sz val="11"/>
        <color theme="1"/>
        <rFont val="等线"/>
        <family val="2"/>
        <charset val="134"/>
        <scheme val="minor"/>
      </rPr>
      <t>。</t>
    </r>
  </si>
  <si>
    <r>
      <t>2. “富”与“田宅”</t>
    </r>
    <r>
      <rPr>
        <sz val="11"/>
        <color theme="1"/>
        <rFont val="等线"/>
        <family val="2"/>
        <charset val="134"/>
        <scheme val="minor"/>
      </rPr>
      <t>：太阴化气为</t>
    </r>
    <r>
      <rPr>
        <b/>
        <sz val="11"/>
        <color theme="1"/>
        <rFont val="等线"/>
        <family val="3"/>
        <charset val="134"/>
        <scheme val="minor"/>
      </rPr>
      <t>“富”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田宅主、财帛主</t>
    </r>
    <r>
      <rPr>
        <sz val="11"/>
        <color theme="1"/>
        <rFont val="等线"/>
        <family val="2"/>
        <charset val="134"/>
        <scheme val="minor"/>
      </rPr>
      <t>。其财富性质为</t>
    </r>
    <r>
      <rPr>
        <b/>
        <sz val="11"/>
        <color theme="1"/>
        <rFont val="等线"/>
        <family val="3"/>
        <charset val="134"/>
        <scheme val="minor"/>
      </rPr>
      <t>静守、积累、细水长流</t>
    </r>
    <r>
      <rPr>
        <sz val="11"/>
        <color theme="1"/>
        <rFont val="等线"/>
        <family val="2"/>
        <charset val="134"/>
        <scheme val="minor"/>
      </rPr>
      <t>，与武曲的“正财”不同。</t>
    </r>
    <r>
      <rPr>
        <b/>
        <sz val="11"/>
        <color theme="1"/>
        <rFont val="等线"/>
        <family val="3"/>
        <charset val="134"/>
        <scheme val="minor"/>
      </rPr>
      <t>喜见禄存、化禄</t>
    </r>
    <r>
      <rPr>
        <sz val="11"/>
        <color theme="1"/>
        <rFont val="等线"/>
        <family val="2"/>
        <charset val="134"/>
        <scheme val="minor"/>
      </rPr>
      <t>，主财富丰隆；</t>
    </r>
    <r>
      <rPr>
        <b/>
        <sz val="11"/>
        <color theme="1"/>
        <rFont val="等线"/>
        <family val="3"/>
        <charset val="134"/>
        <scheme val="minor"/>
      </rPr>
      <t>忌见煞忌</t>
    </r>
    <r>
      <rPr>
        <sz val="11"/>
        <color theme="1"/>
        <rFont val="等线"/>
        <family val="2"/>
        <charset val="134"/>
        <scheme val="minor"/>
      </rPr>
      <t>，主财务破损。</t>
    </r>
  </si>
  <si>
    <r>
      <t>3. “母星”与“妻星”</t>
    </r>
    <r>
      <rPr>
        <sz val="11"/>
        <color theme="1"/>
        <rFont val="等线"/>
        <family val="2"/>
        <charset val="134"/>
        <scheme val="minor"/>
      </rPr>
      <t>：太阴是</t>
    </r>
    <r>
      <rPr>
        <b/>
        <sz val="11"/>
        <color theme="1"/>
        <rFont val="等线"/>
        <family val="3"/>
        <charset val="134"/>
        <scheme val="minor"/>
      </rPr>
      <t>母亲、妻子及一切女性的代表星</t>
    </r>
    <r>
      <rPr>
        <sz val="11"/>
        <color theme="1"/>
        <rFont val="等线"/>
        <family val="2"/>
        <charset val="134"/>
        <scheme val="minor"/>
      </rPr>
      <t>。在命盘中，太阴的庙陷吉凶直接反映</t>
    </r>
    <r>
      <rPr>
        <b/>
        <sz val="11"/>
        <color theme="1"/>
        <rFont val="等线"/>
        <family val="3"/>
        <charset val="134"/>
        <scheme val="minor"/>
      </rPr>
      <t>与女性缘分的深浅、质量</t>
    </r>
    <r>
      <rPr>
        <sz val="11"/>
        <color theme="1"/>
        <rFont val="等线"/>
        <family val="2"/>
        <charset val="134"/>
        <scheme val="minor"/>
      </rPr>
      <t>，以及</t>
    </r>
    <r>
      <rPr>
        <b/>
        <sz val="11"/>
        <color theme="1"/>
        <rFont val="等线"/>
        <family val="3"/>
        <charset val="134"/>
        <scheme val="minor"/>
      </rPr>
      <t>本人性格中的阴柔特质</t>
    </r>
    <r>
      <rPr>
        <sz val="11"/>
        <color theme="1"/>
        <rFont val="等线"/>
        <family val="2"/>
        <charset val="134"/>
        <scheme val="minor"/>
      </rPr>
      <t>。</t>
    </r>
  </si>
  <si>
    <r>
      <t>4. “清洁”与“美学”</t>
    </r>
    <r>
      <rPr>
        <sz val="11"/>
        <color theme="1"/>
        <rFont val="等线"/>
        <family val="2"/>
        <charset val="134"/>
        <scheme val="minor"/>
      </rPr>
      <t>：太阴主</t>
    </r>
    <r>
      <rPr>
        <b/>
        <sz val="11"/>
        <color theme="1"/>
        <rFont val="等线"/>
        <family val="3"/>
        <charset val="134"/>
        <scheme val="minor"/>
      </rPr>
      <t>洁净、整洁、美容</t>
    </r>
    <r>
      <rPr>
        <sz val="11"/>
        <color theme="1"/>
        <rFont val="等线"/>
        <family val="2"/>
        <charset val="134"/>
        <scheme val="minor"/>
      </rPr>
      <t>。有</t>
    </r>
    <r>
      <rPr>
        <b/>
        <sz val="11"/>
        <color theme="1"/>
        <rFont val="等线"/>
        <family val="3"/>
        <charset val="134"/>
        <scheme val="minor"/>
      </rPr>
      <t>洁癖</t>
    </r>
    <r>
      <rPr>
        <sz val="11"/>
        <color theme="1"/>
        <rFont val="等线"/>
        <family val="2"/>
        <charset val="134"/>
        <scheme val="minor"/>
      </rPr>
      <t>倾向，喜爱美好事物，注重生活品质与内在感受。此特质在命宫、田宅宫尤为明显。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</si>
  <si>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：太阴星所在宫位，指示在人生的哪个领域需要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细腻、耐心、积累</t>
    </r>
    <r>
      <rPr>
        <sz val="11"/>
        <color theme="1"/>
        <rFont val="等线"/>
        <family val="2"/>
        <charset val="134"/>
        <scheme val="minor"/>
      </rPr>
      <t>，也指示该领域与</t>
    </r>
    <r>
      <rPr>
        <b/>
        <sz val="11"/>
        <color theme="1"/>
        <rFont val="等线"/>
        <family val="3"/>
        <charset val="134"/>
        <scheme val="minor"/>
      </rPr>
      <t>女性、感情、家庭、财富、房产</t>
    </r>
    <r>
      <rPr>
        <sz val="11"/>
        <color theme="1"/>
        <rFont val="等线"/>
        <family val="2"/>
        <charset val="134"/>
        <scheme val="minor"/>
      </rPr>
      <t>密切相关。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</si>
  <si>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财富与感情双美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柔中带刚，掌管内务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增添文采与名声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感情挫折、财务损失、母亲不利</t>
    </r>
    <r>
      <rPr>
        <sz val="11"/>
        <color theme="1"/>
        <rFont val="等线"/>
        <family val="2"/>
        <charset val="134"/>
        <scheme val="minor"/>
      </rPr>
      <t>的核心标志。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</si>
  <si>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“月朗天门格”</t>
    </r>
    <r>
      <rPr>
        <sz val="11"/>
        <color theme="1"/>
        <rFont val="等线"/>
        <family val="2"/>
        <charset val="134"/>
        <scheme val="minor"/>
      </rPr>
      <t>（太阴在亥宫庙旺，见吉无煞）：主</t>
    </r>
    <r>
      <rPr>
        <b/>
        <sz val="11"/>
        <color theme="1"/>
        <rFont val="等线"/>
        <family val="3"/>
        <charset val="134"/>
        <scheme val="minor"/>
      </rPr>
      <t>大富大贵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“太阴火铃，反成十恶”</t>
    </r>
    <r>
      <rPr>
        <sz val="11"/>
        <color theme="1"/>
        <rFont val="等线"/>
        <family val="2"/>
        <charset val="134"/>
        <scheme val="minor"/>
      </rPr>
      <t>（太阴会火星、铃星）：主</t>
    </r>
    <r>
      <rPr>
        <b/>
        <sz val="11"/>
        <color theme="1"/>
        <rFont val="等线"/>
        <family val="3"/>
        <charset val="134"/>
        <scheme val="minor"/>
      </rPr>
      <t>大凶</t>
    </r>
    <r>
      <rPr>
        <sz val="11"/>
        <color theme="1"/>
        <rFont val="等线"/>
        <family val="2"/>
        <charset val="134"/>
        <scheme val="minor"/>
      </rPr>
      <t>，感情、财务、健康皆受损。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</si>
  <si>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家宅、卧室、浴室、水池、湖泊、美容院、画廊、财务室、一切洁净、阴柔、女性化、与水相关的场所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</si>
  <si>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太阴星的全部原始定义、分类与案例，并严格应用您指正的逻辑，在“本质”部分系统化推导并呈现了“人/事/物”三个层次的完整解析。太阴星为月精，主富与田宅。其核心在于“阴”与“富”，常在家庭、感情、财务领域显现，但其“内敛”与“敏感”的性质需庙旺与吉星扶持方能显吉。最喜夜生、庙旺、化禄、禄存，主富贵安康。然太阴最忌煞忌，遇之则感情波折、财务破损、内心抑郁。在紫占中，太阴的庙陷、日夜影响，以及与太阳的配合，是断事关键，需结合具体星情与宫位细察。</t>
  </si>
  <si>
    <r>
      <t>1. 人（性格、行为、关系）：</t>
    </r>
    <r>
      <rPr>
        <sz val="11"/>
        <color theme="1"/>
        <rFont val="等线"/>
        <family val="2"/>
        <charset val="134"/>
        <scheme val="minor"/>
      </rPr>
      <t>​ 性格</t>
    </r>
    <r>
      <rPr>
        <b/>
        <sz val="11"/>
        <color theme="1"/>
        <rFont val="等线"/>
        <family val="3"/>
        <charset val="134"/>
        <scheme val="minor"/>
      </rPr>
      <t>温柔细腻、内敛含蓄、爱干净、重感情、有耐心、善解人意、追求完美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记忆力强、念旧、心思缜密</t>
    </r>
    <r>
      <rPr>
        <sz val="11"/>
        <color theme="1"/>
        <rFont val="等线"/>
        <family val="2"/>
        <charset val="134"/>
        <scheme val="minor"/>
      </rPr>
      <t>。但</t>
    </r>
    <r>
      <rPr>
        <b/>
        <sz val="11"/>
        <color theme="1"/>
        <rFont val="等线"/>
        <family val="3"/>
        <charset val="134"/>
        <scheme val="minor"/>
      </rPr>
      <t>敏感多疑、多愁善感、情绪化、缺乏安全感、被动、主见不强</t>
    </r>
    <r>
      <rPr>
        <sz val="11"/>
        <color theme="1"/>
        <rFont val="等线"/>
        <family val="2"/>
        <charset val="134"/>
        <scheme val="minor"/>
      </rPr>
      <t>。是</t>
    </r>
    <r>
      <rPr>
        <b/>
        <sz val="11"/>
        <color theme="1"/>
        <rFont val="等线"/>
        <family val="3"/>
        <charset val="134"/>
        <scheme val="minor"/>
      </rPr>
      <t>母亲、妻子、女儿及一切女性</t>
    </r>
    <r>
      <rPr>
        <sz val="11"/>
        <color theme="1"/>
        <rFont val="等线"/>
        <family val="2"/>
        <charset val="134"/>
        <scheme val="minor"/>
      </rPr>
      <t>的代表。人际关系上，</t>
    </r>
    <r>
      <rPr>
        <b/>
        <sz val="11"/>
        <color theme="1"/>
        <rFont val="等线"/>
        <family val="3"/>
        <charset val="134"/>
        <scheme val="minor"/>
      </rPr>
      <t>善于付出、体贴他人、提供情绪价值，但易因小事纠结、生闷气</t>
    </r>
    <r>
      <rPr>
        <sz val="11"/>
        <color theme="1"/>
        <rFont val="等线"/>
        <family val="2"/>
        <charset val="134"/>
        <scheme val="minor"/>
      </rPr>
      <t>。</t>
    </r>
  </si>
  <si>
    <r>
      <t>2. 事（事件、过程）：</t>
    </r>
    <r>
      <rPr>
        <sz val="11"/>
        <color theme="1"/>
        <rFont val="等线"/>
        <family val="2"/>
        <charset val="134"/>
        <scheme val="minor"/>
      </rPr>
      <t>​ 事件发展过程</t>
    </r>
    <r>
      <rPr>
        <b/>
        <sz val="11"/>
        <color theme="1"/>
        <rFont val="等线"/>
        <family val="3"/>
        <charset val="134"/>
        <scheme val="minor"/>
      </rPr>
      <t>温和、缓慢、需要耐心积累、与情感和家庭相关</t>
    </r>
    <r>
      <rPr>
        <sz val="11"/>
        <color theme="1"/>
        <rFont val="等线"/>
        <family val="2"/>
        <charset val="134"/>
        <scheme val="minor"/>
      </rPr>
      <t>。主</t>
    </r>
    <r>
      <rPr>
        <b/>
        <sz val="11"/>
        <color theme="1"/>
        <rFont val="等线"/>
        <family val="3"/>
        <charset val="134"/>
        <scheme val="minor"/>
      </rPr>
      <t>感情、家庭、财富积累、房产事务、清洁整理、女性相关事务</t>
    </r>
    <r>
      <rPr>
        <sz val="11"/>
        <color theme="1"/>
        <rFont val="等线"/>
        <family val="2"/>
        <charset val="134"/>
        <scheme val="minor"/>
      </rPr>
      <t>。也主</t>
    </r>
    <r>
      <rPr>
        <b/>
        <sz val="11"/>
        <color theme="1"/>
        <rFont val="等线"/>
        <family val="3"/>
        <charset val="134"/>
        <scheme val="minor"/>
      </rPr>
      <t>需要回忆、追溯、依赖经验或感觉处理的事务</t>
    </r>
    <r>
      <rPr>
        <sz val="11"/>
        <color theme="1"/>
        <rFont val="等线"/>
        <family val="2"/>
        <charset val="134"/>
        <scheme val="minor"/>
      </rPr>
      <t>。过程</t>
    </r>
    <r>
      <rPr>
        <b/>
        <sz val="11"/>
        <color theme="1"/>
        <rFont val="等线"/>
        <family val="3"/>
        <charset val="134"/>
        <scheme val="minor"/>
      </rPr>
      <t>易有情绪波动、内心戏多，但若引导得当，可静水流深，积累丰厚</t>
    </r>
    <r>
      <rPr>
        <sz val="11"/>
        <color theme="1"/>
        <rFont val="等线"/>
        <family val="2"/>
        <charset val="134"/>
        <scheme val="minor"/>
      </rPr>
      <t>。</t>
    </r>
  </si>
  <si>
    <r>
      <t>3. 物（物体、空间、形态）：</t>
    </r>
    <r>
      <rPr>
        <sz val="11"/>
        <color theme="1"/>
        <rFont val="等线"/>
        <family val="2"/>
        <charset val="134"/>
        <scheme val="minor"/>
      </rPr>
      <t>​ 指代一切</t>
    </r>
    <r>
      <rPr>
        <b/>
        <sz val="11"/>
        <color theme="1"/>
        <rFont val="等线"/>
        <family val="3"/>
        <charset val="134"/>
        <scheme val="minor"/>
      </rPr>
      <t>阴柔、洁净、滋养、内敛、女性化、具有储存和回溯特性</t>
    </r>
    <r>
      <rPr>
        <sz val="11"/>
        <color theme="1"/>
        <rFont val="等线"/>
        <family val="2"/>
        <charset val="134"/>
        <scheme val="minor"/>
      </rPr>
      <t>属性的事物。如：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</si>
  <si>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具体物体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房产、钱财（非正财）、清洁用品、化妆品、女性用品、艺术品、液体、镜子、床、日记、相册、存储器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</si>
  <si>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空间与形态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家宅、卧室、浴室、水池、湖泊、夜晚、阴暗处、仓库、档案馆、圆形、曲线、柔和的线条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</si>
  <si>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抽象象征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月亮、财富、情感、母性、美学、直觉、记忆、潜意识</t>
    </r>
    <r>
      <rPr>
        <sz val="11"/>
        <color theme="1"/>
        <rFont val="等线"/>
        <family val="2"/>
        <charset val="134"/>
        <scheme val="minor"/>
      </rPr>
      <t>。</t>
    </r>
  </si>
  <si>
    <r>
      <t>阴柔、财富、田宅、母亲、妻子、感情、清洁、</t>
    </r>
    <r>
      <rPr>
        <b/>
        <sz val="11"/>
        <color theme="1"/>
        <rFont val="等线"/>
        <family val="3"/>
        <charset val="134"/>
        <scheme val="minor"/>
      </rPr>
      <t>记忆</t>
    </r>
    <r>
      <rPr>
        <sz val="11"/>
        <color theme="1"/>
        <rFont val="等线"/>
        <family val="2"/>
        <charset val="134"/>
        <scheme val="minor"/>
      </rPr>
      <t>、内敛、积累</t>
    </r>
  </si>
  <si>
    <t>整合自《金刚佛光-紫占课程手册》及相关权威资料，并特别补充了由太阴“阴柔”、“内敛”、“积累”核心象征所必然推导出的 “记忆”​ 属性及其在“人、事、物”三个层次的体现。</t>
    <phoneticPr fontId="2" type="noConversion"/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</si>
  <si>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太阳星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的完整象义解析如下（严格遵循原始资料结构与表述，并应用修正后的逻辑，在“本质”部分系统化呈现“人/事/物”三个层次）：</t>
    </r>
  </si>
  <si>
    <t>一、太阳定义</t>
  </si>
  <si>
    <t>光明、博爱、父亲、官禄、贵气、公开、表现、能源、传播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</si>
  <si>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光明磊落、热情开朗、慷慨大方、乐于助人、有领导欲、重视名誉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好面子、主观性强、固执己见、操心劳碌、易招嫉妒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父亲、丈夫、儿子及一切男性、权威人物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喜欢成为焦点，乐于付出，但有时过于强势，忽略他人感受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</si>
  <si>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公开化、需要表现、与名誉、权力、男性相关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事业、名誉、地位、公开事务、能源、传播、父亲相关事务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需要发光发热、付出奉献、争取关注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易引人注目，成败公开，劳心费力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</si>
  <si>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发光、发热、公开、权威、男性化</t>
    </r>
    <r>
      <rPr>
        <sz val="12"/>
        <color theme="1"/>
        <rFont val="等线"/>
        <family val="3"/>
        <charset val="134"/>
        <scheme val="minor"/>
      </rPr>
      <t>属性的事物。如：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</si>
  <si>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能源（电力、石油）、电器、灯、镜子、权杖、奖章、公开出版物、心脏</t>
    </r>
    <r>
      <rPr>
        <sz val="12"/>
        <color theme="1"/>
        <rFont val="等线"/>
        <family val="3"/>
        <charset val="134"/>
        <scheme val="minor"/>
      </rPr>
      <t>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</si>
  <si>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高处、公开场所（广场、政府机构）、南方、圆形、放射状、明亮的空间</t>
    </r>
    <r>
      <rPr>
        <sz val="12"/>
        <color theme="1"/>
        <rFont val="等线"/>
        <family val="3"/>
        <charset val="134"/>
        <scheme val="minor"/>
      </rPr>
      <t>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</si>
  <si>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抽象象征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太阳、名誉、权力、正义、公开信息、生命力</t>
    </r>
    <r>
      <rPr>
        <sz val="12"/>
        <color theme="1"/>
        <rFont val="等线"/>
        <family val="3"/>
        <charset val="134"/>
        <scheme val="minor"/>
      </rPr>
      <t>。</t>
    </r>
  </si>
  <si>
    <t>整合自《金刚佛光-紫占课程手册》及相关权威资料中关于太阳“光明”、“博爱”、“父亲”、“官禄”等核心概念的深度阐释与类象推演。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</si>
  <si>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中天之星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日之精</t>
    </r>
    <r>
      <rPr>
        <sz val="12"/>
        <color theme="1"/>
        <rFont val="等线"/>
        <family val="3"/>
        <charset val="134"/>
        <scheme val="minor"/>
      </rPr>
      <t>。五行属</t>
    </r>
    <r>
      <rPr>
        <b/>
        <sz val="12"/>
        <color theme="1"/>
        <rFont val="等线"/>
        <family val="3"/>
        <charset val="134"/>
        <scheme val="minor"/>
      </rPr>
      <t>阳火（丙火）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贵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官禄主</t>
    </r>
    <r>
      <rPr>
        <sz val="12"/>
        <color theme="1"/>
        <rFont val="等线"/>
        <family val="3"/>
        <charset val="134"/>
        <scheme val="minor"/>
      </rPr>
      <t>。喜庙旺（</t>
    </r>
    <r>
      <rPr>
        <b/>
        <sz val="12"/>
        <color theme="1"/>
        <rFont val="等线"/>
        <family val="3"/>
        <charset val="134"/>
        <scheme val="minor"/>
      </rPr>
      <t>卯、辰、巳、午为庙旺</t>
    </r>
    <r>
      <rPr>
        <sz val="12"/>
        <color theme="1"/>
        <rFont val="等线"/>
        <family val="3"/>
        <charset val="134"/>
        <scheme val="minor"/>
      </rPr>
      <t>，尤以午宫为“日丽中天”最吉），忌落陷（</t>
    </r>
    <r>
      <rPr>
        <b/>
        <sz val="12"/>
        <color theme="1"/>
        <rFont val="等线"/>
        <family val="3"/>
        <charset val="134"/>
        <scheme val="minor"/>
      </rPr>
      <t>酉、戌、亥、子、丑为落陷</t>
    </r>
    <r>
      <rPr>
        <sz val="12"/>
        <color theme="1"/>
        <rFont val="等线"/>
        <family val="3"/>
        <charset val="134"/>
        <scheme val="minor"/>
      </rPr>
      <t>，尤以戌、亥、子、丑为差）。</t>
    </r>
    <r>
      <rPr>
        <b/>
        <sz val="12"/>
        <color theme="1"/>
        <rFont val="等线"/>
        <family val="3"/>
        <charset val="134"/>
        <scheme val="minor"/>
      </rPr>
      <t>最喜日生人</t>
    </r>
    <r>
      <rPr>
        <sz val="12"/>
        <color theme="1"/>
        <rFont val="等线"/>
        <family val="3"/>
        <charset val="134"/>
        <scheme val="minor"/>
      </rPr>
      <t>（白天出生），</t>
    </r>
    <r>
      <rPr>
        <b/>
        <sz val="12"/>
        <color theme="1"/>
        <rFont val="等线"/>
        <family val="3"/>
        <charset val="134"/>
        <scheme val="minor"/>
      </rPr>
      <t>忌夜生人</t>
    </r>
    <r>
      <rPr>
        <sz val="12"/>
        <color theme="1"/>
        <rFont val="等线"/>
        <family val="3"/>
        <charset val="134"/>
        <scheme val="minor"/>
      </rPr>
      <t>（晚上出生）。喜会</t>
    </r>
    <r>
      <rPr>
        <b/>
        <sz val="12"/>
        <color theme="1"/>
        <rFont val="等线"/>
        <family val="3"/>
        <charset val="134"/>
        <scheme val="minor"/>
      </rPr>
      <t>化禄、化权、化科、左辅、右弼、天魁、天钺</t>
    </r>
    <r>
      <rPr>
        <sz val="12"/>
        <color theme="1"/>
        <rFont val="等线"/>
        <family val="3"/>
        <charset val="134"/>
        <scheme val="minor"/>
      </rPr>
      <t>，主贵显、事业有成。</t>
    </r>
    <r>
      <rPr>
        <b/>
        <sz val="12"/>
        <color theme="1"/>
        <rFont val="等线"/>
        <family val="3"/>
        <charset val="134"/>
        <scheme val="minor"/>
      </rPr>
      <t>最忌煞忌</t>
    </r>
    <r>
      <rPr>
        <sz val="12"/>
        <color theme="1"/>
        <rFont val="等线"/>
        <family val="3"/>
        <charset val="134"/>
        <scheme val="minor"/>
      </rPr>
      <t>（擎羊、陀罗、火星、铃星、地空、地劫、化忌），遇之则事业挫折、名誉受损、父亲不利、眼睛或心脏出问题。太阳的“贵”是</t>
    </r>
    <r>
      <rPr>
        <b/>
        <sz val="12"/>
        <color theme="1"/>
        <rFont val="等线"/>
        <family val="3"/>
        <charset val="134"/>
        <scheme val="minor"/>
      </rPr>
      <t>公开的贵、付出的贵</t>
    </r>
    <r>
      <rPr>
        <sz val="12"/>
        <color theme="1"/>
        <rFont val="等线"/>
        <family val="3"/>
        <charset val="134"/>
        <scheme val="minor"/>
      </rPr>
      <t>，需发光发热方能得之。</t>
    </r>
  </si>
  <si>
    <r>
      <t>男性与父性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</si>
  <si>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生命中的重要男性</t>
    </r>
    <r>
      <rPr>
        <sz val="12"/>
        <color theme="1"/>
        <rFont val="等线"/>
        <family val="3"/>
        <charset val="134"/>
        <scheme val="minor"/>
      </rPr>
      <t>（父亲、丈夫、儿子）及</t>
    </r>
    <r>
      <rPr>
        <b/>
        <sz val="12"/>
        <color theme="1"/>
        <rFont val="等线"/>
        <family val="3"/>
        <charset val="134"/>
        <scheme val="minor"/>
      </rPr>
      <t>一切男性、权威人物</t>
    </r>
    <r>
      <rPr>
        <sz val="12"/>
        <color theme="1"/>
        <rFont val="等线"/>
        <family val="3"/>
        <charset val="134"/>
        <scheme val="minor"/>
      </rPr>
      <t>。也代表</t>
    </r>
    <r>
      <rPr>
        <b/>
        <sz val="12"/>
        <color theme="1"/>
        <rFont val="等线"/>
        <family val="3"/>
        <charset val="134"/>
        <scheme val="minor"/>
      </rPr>
      <t>父性的权威、责任、庇护</t>
    </r>
    <r>
      <rPr>
        <sz val="12"/>
        <color theme="1"/>
        <rFont val="等线"/>
        <family val="3"/>
        <charset val="134"/>
        <scheme val="minor"/>
      </rPr>
      <t>。在命盘中对男性影响尤大。</t>
    </r>
  </si>
  <si>
    <t>在命宫、父母宫、夫妻宫时，主与男性缘分深，或本人具男性特质。</t>
  </si>
  <si>
    <r>
      <t>官禄与贵气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</si>
  <si>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“贵”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官禄主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事业、社会地位、名誉、公众形象</t>
    </r>
    <r>
      <rPr>
        <sz val="12"/>
        <color theme="1"/>
        <rFont val="等线"/>
        <family val="3"/>
        <charset val="134"/>
        <scheme val="minor"/>
      </rPr>
      <t>。追求</t>
    </r>
    <r>
      <rPr>
        <b/>
        <sz val="12"/>
        <color theme="1"/>
        <rFont val="等线"/>
        <family val="3"/>
        <charset val="134"/>
        <scheme val="minor"/>
      </rPr>
      <t>被认可、有影响力</t>
    </r>
    <r>
      <rPr>
        <sz val="12"/>
        <color theme="1"/>
        <rFont val="等线"/>
        <family val="3"/>
        <charset val="134"/>
        <scheme val="minor"/>
      </rPr>
      <t>。贵气性质为</t>
    </r>
    <r>
      <rPr>
        <b/>
        <sz val="12"/>
        <color theme="1"/>
        <rFont val="等线"/>
        <family val="3"/>
        <charset val="134"/>
        <scheme val="minor"/>
      </rPr>
      <t>公开、付出、服务大众</t>
    </r>
    <r>
      <rPr>
        <sz val="12"/>
        <color theme="1"/>
        <rFont val="等线"/>
        <family val="3"/>
        <charset val="134"/>
        <scheme val="minor"/>
      </rPr>
      <t>。</t>
    </r>
  </si>
  <si>
    <t>在官禄宫、命宫时，主事业心强，适合公职、管理、传播行业。</t>
  </si>
  <si>
    <r>
      <t>光明与博爱</t>
    </r>
    <r>
      <rPr>
        <sz val="12"/>
        <color theme="1"/>
        <rFont val="等线"/>
        <family val="3"/>
        <charset val="134"/>
        <scheme val="minor"/>
      </rPr>
      <t>​</t>
    </r>
  </si>
  <si>
    <r>
      <t>代表</t>
    </r>
    <r>
      <rPr>
        <b/>
        <sz val="12"/>
        <color theme="1"/>
        <rFont val="等线"/>
        <family val="3"/>
        <charset val="134"/>
        <scheme val="minor"/>
      </rPr>
      <t>光明正大、公正无私、乐于助人、奉献精神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热情、开朗、喜欢照顾人</t>
    </r>
    <r>
      <rPr>
        <sz val="12"/>
        <color theme="1"/>
        <rFont val="等线"/>
        <family val="3"/>
        <charset val="134"/>
        <scheme val="minor"/>
      </rPr>
      <t>，有</t>
    </r>
    <r>
      <rPr>
        <b/>
        <sz val="12"/>
        <color theme="1"/>
        <rFont val="等线"/>
        <family val="3"/>
        <charset val="134"/>
        <scheme val="minor"/>
      </rPr>
      <t>领导风范</t>
    </r>
    <r>
      <rPr>
        <sz val="12"/>
        <color theme="1"/>
        <rFont val="等线"/>
        <family val="3"/>
        <charset val="134"/>
        <scheme val="minor"/>
      </rPr>
      <t>，但易</t>
    </r>
    <r>
      <rPr>
        <b/>
        <sz val="12"/>
        <color theme="1"/>
        <rFont val="等线"/>
        <family val="3"/>
        <charset val="134"/>
        <scheme val="minor"/>
      </rPr>
      <t>好大喜功</t>
    </r>
    <r>
      <rPr>
        <sz val="12"/>
        <color theme="1"/>
        <rFont val="等线"/>
        <family val="3"/>
        <charset val="134"/>
        <scheme val="minor"/>
      </rPr>
      <t>。</t>
    </r>
  </si>
  <si>
    <t>在命宫、迁移宫时，主为人正直，乐于助人，喜出风头。</t>
  </si>
  <si>
    <r>
      <t>公开与表现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</si>
  <si>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公开、透明、曝光、表现</t>
    </r>
    <r>
      <rPr>
        <sz val="12"/>
        <color theme="1"/>
        <rFont val="等线"/>
        <family val="3"/>
        <charset val="134"/>
        <scheme val="minor"/>
      </rPr>
      <t>。凡事</t>
    </r>
    <r>
      <rPr>
        <b/>
        <sz val="12"/>
        <color theme="1"/>
        <rFont val="等线"/>
        <family val="3"/>
        <charset val="134"/>
        <scheme val="minor"/>
      </rPr>
      <t>喜欢放在台面上</t>
    </r>
    <r>
      <rPr>
        <sz val="12"/>
        <color theme="1"/>
        <rFont val="等线"/>
        <family val="3"/>
        <charset val="134"/>
        <scheme val="minor"/>
      </rPr>
      <t>，不喜暗中操作。适合需要抛头露面的工作。</t>
    </r>
  </si>
  <si>
    <t>在命宫、官禄宫时，主适合公开演讲、主持、公关等职业。</t>
  </si>
  <si>
    <r>
      <t>日生人</t>
    </r>
    <r>
      <rPr>
        <sz val="12"/>
        <color theme="1"/>
        <rFont val="等线"/>
        <family val="3"/>
        <charset val="134"/>
        <scheme val="minor"/>
      </rPr>
      <t>（白天出生）太阳庙旺，则</t>
    </r>
    <r>
      <rPr>
        <b/>
        <sz val="12"/>
        <color theme="1"/>
        <rFont val="等线"/>
        <family val="3"/>
        <charset val="134"/>
        <scheme val="minor"/>
      </rPr>
      <t>精力充沛、事业顺利、贵人运强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夜生人</t>
    </r>
    <r>
      <rPr>
        <sz val="12"/>
        <color theme="1"/>
        <rFont val="等线"/>
        <family val="3"/>
        <charset val="134"/>
        <scheme val="minor"/>
      </rPr>
      <t>（晚上出生）或太阳落陷，则</t>
    </r>
    <r>
      <rPr>
        <b/>
        <sz val="12"/>
        <color theme="1"/>
        <rFont val="等线"/>
        <family val="3"/>
        <charset val="134"/>
        <scheme val="minor"/>
      </rPr>
      <t>怀才不遇、付出多回报少、父亲缘薄</t>
    </r>
    <r>
      <rPr>
        <sz val="12"/>
        <color theme="1"/>
        <rFont val="等线"/>
        <family val="3"/>
        <charset val="134"/>
        <scheme val="minor"/>
      </rPr>
      <t>。此区别是断事关键之一。</t>
    </r>
  </si>
  <si>
    <r>
      <t>庙旺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体格魁梧，面色红润，声音洪亮，举止大方，有威仪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落陷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体格中等或偏瘦，面色黄白，精力不足，威仪减损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</si>
  <si>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：光明磊落，热情开朗，慷慨大方，乐于助人，有领导力，重视名誉，有责任感。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</si>
  <si>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：好面子，主观性强，固执己见，操心劳碌，易招嫉妒，好大喜功，有时过于强势。</t>
    </r>
  </si>
  <si>
    <r>
      <t>属阳火，主</t>
    </r>
    <r>
      <rPr>
        <b/>
        <sz val="12"/>
        <color theme="1"/>
        <rFont val="等线"/>
        <family val="3"/>
        <charset val="134"/>
        <scheme val="minor"/>
      </rPr>
      <t>心脏、血液循环系统、眼睛、头部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心脏病、高血压、眼疾、头痛、脑溢血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</si>
  <si>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光明磊落，热情开朗，有领导才能，喜出风头，重视名誉</t>
    </r>
    <r>
      <rPr>
        <sz val="12"/>
        <color theme="1"/>
        <rFont val="等线"/>
        <family val="3"/>
        <charset val="134"/>
        <scheme val="minor"/>
      </rPr>
      <t>。女命</t>
    </r>
    <r>
      <rPr>
        <b/>
        <sz val="12"/>
        <color theme="1"/>
        <rFont val="等线"/>
        <family val="3"/>
        <charset val="134"/>
        <scheme val="minor"/>
      </rPr>
      <t>易有男性气质</t>
    </r>
    <r>
      <rPr>
        <sz val="12"/>
        <color theme="1"/>
        <rFont val="等线"/>
        <family val="3"/>
        <charset val="134"/>
        <scheme val="minor"/>
      </rPr>
      <t>（女人男相），性格刚强。适合从事</t>
    </r>
    <r>
      <rPr>
        <b/>
        <sz val="12"/>
        <color theme="1"/>
        <rFont val="等线"/>
        <family val="3"/>
        <charset val="134"/>
        <scheme val="minor"/>
      </rPr>
      <t>公职、管理、教育、传播、能源、政治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日生人庙旺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贵显、事业有成、父亲助力大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夜生人落陷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怀才不遇、劳碌、与父亲缘分薄</t>
    </r>
    <r>
      <rPr>
        <sz val="12"/>
        <color theme="1"/>
        <rFont val="等线"/>
        <family val="3"/>
        <charset val="134"/>
        <scheme val="minor"/>
      </rPr>
      <t>。太阳坐命，需</t>
    </r>
    <r>
      <rPr>
        <b/>
        <sz val="12"/>
        <color theme="1"/>
        <rFont val="等线"/>
        <family val="3"/>
        <charset val="134"/>
        <scheme val="minor"/>
      </rPr>
      <t>修心养性，避免过度操劳与固执</t>
    </r>
    <r>
      <rPr>
        <sz val="12"/>
        <color theme="1"/>
        <rFont val="等线"/>
        <family val="3"/>
        <charset val="134"/>
        <scheme val="minor"/>
      </rPr>
      <t>。</t>
    </r>
  </si>
  <si>
    <r>
      <t>与</t>
    </r>
    <r>
      <rPr>
        <b/>
        <sz val="12"/>
        <color theme="1"/>
        <rFont val="等线"/>
        <family val="3"/>
        <charset val="134"/>
        <scheme val="minor"/>
      </rPr>
      <t>兄弟朋友关系光明正大</t>
    </r>
    <r>
      <rPr>
        <sz val="12"/>
        <color theme="1"/>
        <rFont val="等线"/>
        <family val="3"/>
        <charset val="134"/>
        <scheme val="minor"/>
      </rPr>
      <t>，易得男性朋友帮助。若太阳性质差，则</t>
    </r>
    <r>
      <rPr>
        <b/>
        <sz val="12"/>
        <color theme="1"/>
        <rFont val="等线"/>
        <family val="3"/>
        <charset val="134"/>
        <scheme val="minor"/>
      </rPr>
      <t>兄弟朋友中有好争强好胜者，或易受其拖累</t>
    </r>
    <r>
      <rPr>
        <sz val="12"/>
        <color theme="1"/>
        <rFont val="等线"/>
        <family val="3"/>
        <charset val="134"/>
        <scheme val="minor"/>
      </rPr>
      <t>。</t>
    </r>
  </si>
  <si>
    <r>
      <t>女命</t>
    </r>
    <r>
      <rPr>
        <sz val="12"/>
        <color theme="1"/>
        <rFont val="等线"/>
        <family val="3"/>
        <charset val="134"/>
        <scheme val="minor"/>
      </rPr>
      <t>：丈夫</t>
    </r>
    <r>
      <rPr>
        <b/>
        <sz val="12"/>
        <color theme="1"/>
        <rFont val="等线"/>
        <family val="3"/>
        <charset val="134"/>
        <scheme val="minor"/>
      </rPr>
      <t>有事业心、社会地位</t>
    </r>
    <r>
      <rPr>
        <sz val="12"/>
        <color theme="1"/>
        <rFont val="等线"/>
        <family val="3"/>
        <charset val="134"/>
        <scheme val="minor"/>
      </rPr>
      <t>（太阳庙旺吉化）；若太阳落陷逢煞，则</t>
    </r>
    <r>
      <rPr>
        <b/>
        <sz val="12"/>
        <color theme="1"/>
        <rFont val="等线"/>
        <family val="3"/>
        <charset val="134"/>
        <scheme val="minor"/>
      </rPr>
      <t>感情不顺，丈夫体弱或事业不振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男命</t>
    </r>
    <r>
      <rPr>
        <sz val="12"/>
        <color theme="1"/>
        <rFont val="等线"/>
        <family val="3"/>
        <charset val="134"/>
        <scheme val="minor"/>
      </rPr>
      <t>：本人</t>
    </r>
    <r>
      <rPr>
        <b/>
        <sz val="12"/>
        <color theme="1"/>
        <rFont val="等线"/>
        <family val="3"/>
        <charset val="134"/>
        <scheme val="minor"/>
      </rPr>
      <t>对妻子有责任感</t>
    </r>
    <r>
      <rPr>
        <sz val="12"/>
        <color theme="1"/>
        <rFont val="等线"/>
        <family val="3"/>
        <charset val="134"/>
        <scheme val="minor"/>
      </rPr>
      <t>；太阳性质差则</t>
    </r>
    <r>
      <rPr>
        <b/>
        <sz val="12"/>
        <color theme="1"/>
        <rFont val="等线"/>
        <family val="3"/>
        <charset val="134"/>
        <scheme val="minor"/>
      </rPr>
      <t>婚姻中付出多，或妻子健康不佳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</si>
  <si>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活泼开朗，有表现欲</t>
    </r>
    <r>
      <rPr>
        <sz val="12"/>
        <color theme="1"/>
        <rFont val="等线"/>
        <family val="3"/>
        <charset val="134"/>
        <scheme val="minor"/>
      </rPr>
      <t>，男孩概率大。太阳吉则子女</t>
    </r>
    <r>
      <rPr>
        <b/>
        <sz val="12"/>
        <color theme="1"/>
        <rFont val="等线"/>
        <family val="3"/>
        <charset val="134"/>
        <scheme val="minor"/>
      </rPr>
      <t>有出息、能成器</t>
    </r>
    <r>
      <rPr>
        <sz val="12"/>
        <color theme="1"/>
        <rFont val="等线"/>
        <family val="3"/>
        <charset val="134"/>
        <scheme val="minor"/>
      </rPr>
      <t>；太阳凶则子女</t>
    </r>
    <r>
      <rPr>
        <b/>
        <sz val="12"/>
        <color theme="1"/>
        <rFont val="等线"/>
        <family val="3"/>
        <charset val="134"/>
        <scheme val="minor"/>
      </rPr>
      <t>好动、叛逆、让父母操心</t>
    </r>
    <r>
      <rPr>
        <sz val="12"/>
        <color theme="1"/>
        <rFont val="等线"/>
        <family val="3"/>
        <charset val="134"/>
        <scheme val="minor"/>
      </rPr>
      <t>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</si>
  <si>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公开、凭名誉地位获利</t>
    </r>
    <r>
      <rPr>
        <sz val="12"/>
        <color theme="1"/>
        <rFont val="等线"/>
        <family val="3"/>
        <charset val="134"/>
        <scheme val="minor"/>
      </rPr>
      <t>，如</t>
    </r>
    <r>
      <rPr>
        <b/>
        <sz val="12"/>
        <color theme="1"/>
        <rFont val="等线"/>
        <family val="3"/>
        <charset val="134"/>
        <scheme val="minor"/>
      </rPr>
      <t>薪水、奖金、公开营收</t>
    </r>
    <r>
      <rPr>
        <sz val="12"/>
        <color theme="1"/>
        <rFont val="等线"/>
        <family val="3"/>
        <charset val="134"/>
        <scheme val="minor"/>
      </rPr>
      <t>。不喜暗财，钱财</t>
    </r>
    <r>
      <rPr>
        <b/>
        <sz val="12"/>
        <color theme="1"/>
        <rFont val="等线"/>
        <family val="3"/>
        <charset val="134"/>
        <scheme val="minor"/>
      </rPr>
      <t>来得正大光明，去得也快</t>
    </r>
    <r>
      <rPr>
        <sz val="12"/>
        <color theme="1"/>
        <rFont val="等线"/>
        <family val="3"/>
        <charset val="134"/>
        <scheme val="minor"/>
      </rPr>
      <t>（乐于助人）。见禄存、化禄，主</t>
    </r>
    <r>
      <rPr>
        <b/>
        <sz val="12"/>
        <color theme="1"/>
        <rFont val="等线"/>
        <family val="3"/>
        <charset val="134"/>
        <scheme val="minor"/>
      </rPr>
      <t>因名得利</t>
    </r>
    <r>
      <rPr>
        <sz val="12"/>
        <color theme="1"/>
        <rFont val="等线"/>
        <family val="3"/>
        <charset val="134"/>
        <scheme val="minor"/>
      </rPr>
      <t>；见煞忌，则</t>
    </r>
    <r>
      <rPr>
        <b/>
        <sz val="12"/>
        <color theme="1"/>
        <rFont val="等线"/>
        <family val="3"/>
        <charset val="134"/>
        <scheme val="minor"/>
      </rPr>
      <t>因名破财</t>
    </r>
    <r>
      <rPr>
        <sz val="12"/>
        <color theme="1"/>
        <rFont val="等线"/>
        <family val="3"/>
        <charset val="134"/>
        <scheme val="minor"/>
      </rPr>
      <t>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</si>
  <si>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心脏、眼睛、头部疾病</t>
    </r>
    <r>
      <rPr>
        <sz val="12"/>
        <color theme="1"/>
        <rFont val="等线"/>
        <family val="3"/>
        <charset val="134"/>
        <scheme val="minor"/>
      </rPr>
      <t>。太阳落陷或逢煞忌，需特别注意</t>
    </r>
    <r>
      <rPr>
        <b/>
        <sz val="12"/>
        <color theme="1"/>
        <rFont val="等线"/>
        <family val="3"/>
        <charset val="134"/>
        <scheme val="minor"/>
      </rPr>
      <t>心脏病、高血压、眼疾、脑部问题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</si>
  <si>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活跃，易成名，得人注目</t>
    </r>
    <r>
      <rPr>
        <sz val="12"/>
        <color theme="1"/>
        <rFont val="等线"/>
        <family val="3"/>
        <charset val="134"/>
        <scheme val="minor"/>
      </rPr>
      <t>。适合外出发展，在公开场合能展现才华。</t>
    </r>
  </si>
  <si>
    <r>
      <t>朋友中男性居多，多社会名流</t>
    </r>
    <r>
      <rPr>
        <sz val="12"/>
        <color theme="1"/>
        <rFont val="等线"/>
        <family val="3"/>
        <charset val="134"/>
        <scheme val="minor"/>
      </rPr>
      <t>。太阳吉则得</t>
    </r>
    <r>
      <rPr>
        <b/>
        <sz val="12"/>
        <color theme="1"/>
        <rFont val="等线"/>
        <family val="3"/>
        <charset val="134"/>
        <scheme val="minor"/>
      </rPr>
      <t>男性朋友、上司助力</t>
    </r>
    <r>
      <rPr>
        <sz val="12"/>
        <color theme="1"/>
        <rFont val="等线"/>
        <family val="3"/>
        <charset val="134"/>
        <scheme val="minor"/>
      </rPr>
      <t>；太阳凶则易遇</t>
    </r>
    <r>
      <rPr>
        <b/>
        <sz val="12"/>
        <color theme="1"/>
        <rFont val="等线"/>
        <family val="3"/>
        <charset val="134"/>
        <scheme val="minor"/>
      </rPr>
      <t>好表现、好争斗的男性朋友</t>
    </r>
    <r>
      <rPr>
        <sz val="12"/>
        <color theme="1"/>
        <rFont val="等线"/>
        <family val="3"/>
        <charset val="134"/>
        <scheme val="minor"/>
      </rPr>
      <t>。</t>
    </r>
  </si>
  <si>
    <r>
      <t>官禄主</t>
    </r>
    <r>
      <rPr>
        <sz val="12"/>
        <color theme="1"/>
        <rFont val="等线"/>
        <family val="3"/>
        <charset val="134"/>
        <scheme val="minor"/>
      </rPr>
      <t>所在，主</t>
    </r>
    <r>
      <rPr>
        <b/>
        <sz val="12"/>
        <color theme="1"/>
        <rFont val="等线"/>
        <family val="3"/>
        <charset val="134"/>
        <scheme val="minor"/>
      </rPr>
      <t>事业心强，适合公职、管理、教育、传播、能源、政治等需抛头露面的行业</t>
    </r>
    <r>
      <rPr>
        <sz val="12"/>
        <color theme="1"/>
        <rFont val="等线"/>
        <family val="3"/>
        <charset val="134"/>
        <scheme val="minor"/>
      </rPr>
      <t>。太阳庙旺吉化，主</t>
    </r>
    <r>
      <rPr>
        <b/>
        <sz val="12"/>
        <color theme="1"/>
        <rFont val="等线"/>
        <family val="3"/>
        <charset val="134"/>
        <scheme val="minor"/>
      </rPr>
      <t>事业有成，地位崇高</t>
    </r>
    <r>
      <rPr>
        <sz val="12"/>
        <color theme="1"/>
        <rFont val="等线"/>
        <family val="3"/>
        <charset val="134"/>
        <scheme val="minor"/>
      </rPr>
      <t>；太阳落陷逢煞，主</t>
    </r>
    <r>
      <rPr>
        <b/>
        <sz val="12"/>
        <color theme="1"/>
        <rFont val="等线"/>
        <family val="3"/>
        <charset val="134"/>
        <scheme val="minor"/>
      </rPr>
      <t>事业多波折，怀才不遇</t>
    </r>
    <r>
      <rPr>
        <sz val="12"/>
        <color theme="1"/>
        <rFont val="等线"/>
        <family val="3"/>
        <charset val="134"/>
        <scheme val="minor"/>
      </rPr>
      <t>。</t>
    </r>
  </si>
  <si>
    <r>
      <t>家宅明亮，采光好</t>
    </r>
    <r>
      <rPr>
        <sz val="12"/>
        <color theme="1"/>
        <rFont val="等线"/>
        <family val="3"/>
        <charset val="134"/>
        <scheme val="minor"/>
      </rPr>
      <t>。太阳吉则</t>
    </r>
    <r>
      <rPr>
        <b/>
        <sz val="12"/>
        <color theme="1"/>
        <rFont val="等线"/>
        <family val="3"/>
        <charset val="134"/>
        <scheme val="minor"/>
      </rPr>
      <t>家庭和睦，父亲有助力，易得祖产</t>
    </r>
    <r>
      <rPr>
        <sz val="12"/>
        <color theme="1"/>
        <rFont val="等线"/>
        <family val="3"/>
        <charset val="134"/>
        <scheme val="minor"/>
      </rPr>
      <t>；太阳凶则</t>
    </r>
    <r>
      <rPr>
        <b/>
        <sz val="12"/>
        <color theme="1"/>
        <rFont val="等线"/>
        <family val="3"/>
        <charset val="134"/>
        <scheme val="minor"/>
      </rPr>
      <t>家宅不宁，父亲健康不佳，或房产有纠纷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</si>
  <si>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乐观开朗，重视精神享受与名誉</t>
    </r>
    <r>
      <rPr>
        <sz val="12"/>
        <color theme="1"/>
        <rFont val="等线"/>
        <family val="3"/>
        <charset val="134"/>
        <scheme val="minor"/>
      </rPr>
      <t>。太阳吉则</t>
    </r>
    <r>
      <rPr>
        <b/>
        <sz val="12"/>
        <color theme="1"/>
        <rFont val="等线"/>
        <family val="3"/>
        <charset val="134"/>
        <scheme val="minor"/>
      </rPr>
      <t>内心光明，有崇高理想</t>
    </r>
    <r>
      <rPr>
        <sz val="12"/>
        <color theme="1"/>
        <rFont val="等线"/>
        <family val="3"/>
        <charset val="134"/>
        <scheme val="minor"/>
      </rPr>
      <t>；太阳凶则</t>
    </r>
    <r>
      <rPr>
        <b/>
        <sz val="12"/>
        <color theme="1"/>
        <rFont val="等线"/>
        <family val="3"/>
        <charset val="134"/>
        <scheme val="minor"/>
      </rPr>
      <t>内心空虚，好面子，劳心劳力</t>
    </r>
    <r>
      <rPr>
        <sz val="12"/>
        <color theme="1"/>
        <rFont val="等线"/>
        <family val="3"/>
        <charset val="134"/>
        <scheme val="minor"/>
      </rPr>
      <t>。</t>
    </r>
  </si>
  <si>
    <r>
      <t>父亲对命主影响深远</t>
    </r>
    <r>
      <rPr>
        <sz val="12"/>
        <color theme="1"/>
        <rFont val="等线"/>
        <family val="3"/>
        <charset val="134"/>
        <scheme val="minor"/>
      </rPr>
      <t>。太阳吉则</t>
    </r>
    <r>
      <rPr>
        <b/>
        <sz val="12"/>
        <color theme="1"/>
        <rFont val="等线"/>
        <family val="3"/>
        <charset val="134"/>
        <scheme val="minor"/>
      </rPr>
      <t>父亲有为，家庭有光</t>
    </r>
    <r>
      <rPr>
        <sz val="12"/>
        <color theme="1"/>
        <rFont val="等线"/>
        <family val="3"/>
        <charset val="134"/>
        <scheme val="minor"/>
      </rPr>
      <t>；太阳凶则</t>
    </r>
    <r>
      <rPr>
        <b/>
        <sz val="12"/>
        <color theme="1"/>
        <rFont val="等线"/>
        <family val="3"/>
        <charset val="134"/>
        <scheme val="minor"/>
      </rPr>
      <t>父亲健康不佳，或与父亲缘分薄，早年离家</t>
    </r>
    <r>
      <rPr>
        <sz val="12"/>
        <color theme="1"/>
        <rFont val="等线"/>
        <family val="3"/>
        <charset val="134"/>
        <scheme val="minor"/>
      </rPr>
      <t>。</t>
    </r>
  </si>
  <si>
    <t>1. 增强光明/贵气/领导组合</t>
  </si>
  <si>
    <r>
      <t>太阳+紫微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</si>
  <si>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帝星遇日</t>
    </r>
    <r>
      <rPr>
        <sz val="12"/>
        <color theme="1"/>
        <rFont val="等线"/>
        <family val="3"/>
        <charset val="134"/>
        <scheme val="minor"/>
      </rPr>
      <t>，尊贵与光明结合，</t>
    </r>
    <r>
      <rPr>
        <b/>
        <sz val="12"/>
        <color theme="1"/>
        <rFont val="等线"/>
        <family val="3"/>
        <charset val="134"/>
        <scheme val="minor"/>
      </rPr>
      <t>“日照雷门格”</t>
    </r>
    <r>
      <rPr>
        <sz val="12"/>
        <color theme="1"/>
        <rFont val="等线"/>
        <family val="3"/>
        <charset val="134"/>
        <scheme val="minor"/>
      </rPr>
      <t>（卯宫），</t>
    </r>
    <r>
      <rPr>
        <b/>
        <sz val="12"/>
        <color theme="1"/>
        <rFont val="等线"/>
        <family val="3"/>
        <charset val="134"/>
        <scheme val="minor"/>
      </rPr>
      <t>贵气非凡，领导力强，事业宏大</t>
    </r>
    <r>
      <rPr>
        <sz val="12"/>
        <color theme="1"/>
        <rFont val="等线"/>
        <family val="3"/>
        <charset val="134"/>
        <scheme val="minor"/>
      </rPr>
      <t>。</t>
    </r>
  </si>
  <si>
    <t>政治家；大型企业领袖。</t>
  </si>
  <si>
    <r>
      <t>太阳+天机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</si>
  <si>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智星遇日</t>
    </r>
    <r>
      <rPr>
        <sz val="12"/>
        <color theme="1"/>
        <rFont val="等线"/>
        <family val="3"/>
        <charset val="134"/>
        <scheme val="minor"/>
      </rPr>
      <t>，机巧与光明结合，</t>
    </r>
    <r>
      <rPr>
        <b/>
        <sz val="12"/>
        <color theme="1"/>
        <rFont val="等线"/>
        <family val="3"/>
        <charset val="134"/>
        <scheme val="minor"/>
      </rPr>
      <t>善于策划、传播、教育</t>
    </r>
    <r>
      <rPr>
        <sz val="12"/>
        <color theme="1"/>
        <rFont val="等线"/>
        <family val="3"/>
        <charset val="134"/>
        <scheme val="minor"/>
      </rPr>
      <t>，但思虑过多。</t>
    </r>
  </si>
  <si>
    <t>教育家；策划总监；传媒人。</t>
  </si>
  <si>
    <r>
      <t>太阳+太阴</t>
    </r>
    <r>
      <rPr>
        <sz val="12"/>
        <color theme="1"/>
        <rFont val="等线"/>
        <family val="3"/>
        <charset val="134"/>
        <scheme val="minor"/>
      </rPr>
      <t>​</t>
    </r>
  </si>
  <si>
    <r>
      <t>太阳+武曲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</si>
  <si>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刚金遇日</t>
    </r>
    <r>
      <rPr>
        <sz val="12"/>
        <color theme="1"/>
        <rFont val="等线"/>
        <family val="3"/>
        <charset val="134"/>
        <scheme val="minor"/>
      </rPr>
      <t>，行动力与光明结合，</t>
    </r>
    <r>
      <rPr>
        <b/>
        <sz val="12"/>
        <color theme="1"/>
        <rFont val="等线"/>
        <family val="3"/>
        <charset val="134"/>
        <scheme val="minor"/>
      </rPr>
      <t>“阳刚之气十足，执行力强，适合军警、工程</t>
    </r>
    <r>
      <rPr>
        <sz val="12"/>
        <color theme="1"/>
        <rFont val="等线"/>
        <family val="3"/>
        <charset val="134"/>
        <scheme val="minor"/>
      </rPr>
      <t>。</t>
    </r>
  </si>
  <si>
    <t>军人；工程师；实干型领导。</t>
  </si>
  <si>
    <r>
      <t>太阳+天同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</si>
  <si>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福星遇日</t>
    </r>
    <r>
      <rPr>
        <sz val="12"/>
        <color theme="1"/>
        <rFont val="等线"/>
        <family val="3"/>
        <charset val="134"/>
        <scheme val="minor"/>
      </rPr>
      <t>，享受与光明结合，</t>
    </r>
    <r>
      <rPr>
        <b/>
        <sz val="12"/>
        <color theme="1"/>
        <rFont val="等线"/>
        <family val="3"/>
        <charset val="134"/>
        <scheme val="minor"/>
      </rPr>
      <t>“日照福泽”，增加福气与人缘</t>
    </r>
    <r>
      <rPr>
        <sz val="12"/>
        <color theme="1"/>
        <rFont val="等线"/>
        <family val="3"/>
        <charset val="134"/>
        <scheme val="minor"/>
      </rPr>
      <t>，生活安逸且有名望。</t>
    </r>
  </si>
  <si>
    <t>社会名流；慈善家；生活优裕者。</t>
  </si>
  <si>
    <r>
      <t>太阳+廉贞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</si>
  <si>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囚星遇日</t>
    </r>
    <r>
      <rPr>
        <sz val="12"/>
        <color theme="1"/>
        <rFont val="等线"/>
        <family val="3"/>
        <charset val="134"/>
        <scheme val="minor"/>
      </rPr>
      <t>，感情官非与光明结合，</t>
    </r>
    <r>
      <rPr>
        <b/>
        <sz val="12"/>
        <color theme="1"/>
        <rFont val="等线"/>
        <family val="3"/>
        <charset val="134"/>
        <scheme val="minor"/>
      </rPr>
      <t>“日丽中天遇廉贞”，贵气但易有感情纠葛或官非</t>
    </r>
    <r>
      <rPr>
        <sz val="12"/>
        <color theme="1"/>
        <rFont val="等线"/>
        <family val="3"/>
        <charset val="134"/>
        <scheme val="minor"/>
      </rPr>
      <t>。</t>
    </r>
  </si>
  <si>
    <t>有地位的公众人物；但需防桃花是非。</t>
  </si>
  <si>
    <r>
      <t>太阳+天府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</si>
  <si>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库星遇日</t>
    </r>
    <r>
      <rPr>
        <sz val="12"/>
        <color theme="1"/>
        <rFont val="等线"/>
        <family val="3"/>
        <charset val="134"/>
        <scheme val="minor"/>
      </rPr>
      <t>，稳重与光明结合，</t>
    </r>
    <r>
      <rPr>
        <b/>
        <sz val="12"/>
        <color theme="1"/>
        <rFont val="等线"/>
        <family val="3"/>
        <charset val="134"/>
        <scheme val="minor"/>
      </rPr>
      <t>“阳府同宫”，光明正大且善于管理，富贵双全</t>
    </r>
    <r>
      <rPr>
        <sz val="12"/>
        <color theme="1"/>
        <rFont val="等线"/>
        <family val="3"/>
        <charset val="134"/>
        <scheme val="minor"/>
      </rPr>
      <t>。</t>
    </r>
  </si>
  <si>
    <t>银行家；大型机构管理者。</t>
  </si>
  <si>
    <r>
      <t>太阳+贪狼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</si>
  <si>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欲星遇日</t>
    </r>
    <r>
      <rPr>
        <sz val="12"/>
        <color theme="1"/>
        <rFont val="等线"/>
        <family val="3"/>
        <charset val="134"/>
        <scheme val="minor"/>
      </rPr>
      <t>，欲望与光明结合，</t>
    </r>
    <r>
      <rPr>
        <b/>
        <sz val="12"/>
        <color theme="1"/>
        <rFont val="等线"/>
        <family val="3"/>
        <charset val="134"/>
        <scheme val="minor"/>
      </rPr>
      <t>“日照贪狼”，交际广阔，名利双收，但需防桃花</t>
    </r>
    <r>
      <rPr>
        <sz val="12"/>
        <color theme="1"/>
        <rFont val="等线"/>
        <family val="3"/>
        <charset val="134"/>
        <scheme val="minor"/>
      </rPr>
      <t>。</t>
    </r>
  </si>
  <si>
    <t>社交家；娱乐圈名人；外交官。</t>
  </si>
  <si>
    <r>
      <t>太阳+巨门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</si>
  <si>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暗星遇日</t>
    </r>
    <r>
      <rPr>
        <sz val="12"/>
        <color theme="1"/>
        <rFont val="等线"/>
        <family val="3"/>
        <charset val="134"/>
        <scheme val="minor"/>
      </rPr>
      <t>，口舌与光明结合，</t>
    </r>
    <r>
      <rPr>
        <b/>
        <sz val="12"/>
        <color theme="1"/>
        <rFont val="等线"/>
        <family val="3"/>
        <charset val="134"/>
        <scheme val="minor"/>
      </rPr>
      <t>“巨日同宫格”（寅、申宫），以口才、传播成名，但易惹是非</t>
    </r>
    <r>
      <rPr>
        <sz val="12"/>
        <color theme="1"/>
        <rFont val="等线"/>
        <family val="3"/>
        <charset val="134"/>
        <scheme val="minor"/>
      </rPr>
      <t>。</t>
    </r>
  </si>
  <si>
    <t>律师；主持人；评论家；但口舌多。</t>
  </si>
  <si>
    <r>
      <t>太阳+天相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</si>
  <si>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印星遇日</t>
    </r>
    <r>
      <rPr>
        <sz val="12"/>
        <color theme="1"/>
        <rFont val="等线"/>
        <family val="3"/>
        <charset val="134"/>
        <scheme val="minor"/>
      </rPr>
      <t>，形象与光明结合，</t>
    </r>
    <r>
      <rPr>
        <b/>
        <sz val="12"/>
        <color theme="1"/>
        <rFont val="等线"/>
        <family val="3"/>
        <charset val="134"/>
        <scheme val="minor"/>
      </rPr>
      <t>“阳相辉映”，形象正面，适合公关、法律、公职</t>
    </r>
    <r>
      <rPr>
        <sz val="12"/>
        <color theme="1"/>
        <rFont val="等线"/>
        <family val="3"/>
        <charset val="134"/>
        <scheme val="minor"/>
      </rPr>
      <t>。</t>
    </r>
  </si>
  <si>
    <t>公务员；律师；形象代言人。</t>
  </si>
  <si>
    <r>
      <t>太阳+天梁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</si>
  <si>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荫星遇日</t>
    </r>
    <r>
      <rPr>
        <sz val="12"/>
        <color theme="1"/>
        <rFont val="等线"/>
        <family val="3"/>
        <charset val="134"/>
        <scheme val="minor"/>
      </rPr>
      <t>，清高与光明结合，</t>
    </r>
    <r>
      <rPr>
        <b/>
        <sz val="12"/>
        <color theme="1"/>
        <rFont val="等线"/>
        <family val="3"/>
        <charset val="134"/>
        <scheme val="minor"/>
      </rPr>
      <t>“阳梁昌禄格”，利于科甲、学术、司法，清贵有声名</t>
    </r>
    <r>
      <rPr>
        <sz val="12"/>
        <color theme="1"/>
        <rFont val="等线"/>
        <family val="3"/>
        <charset val="134"/>
        <scheme val="minor"/>
      </rPr>
      <t>。</t>
    </r>
  </si>
  <si>
    <t>学者；法官；医生；社会贤达。</t>
  </si>
  <si>
    <r>
      <t>太阳+七杀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</si>
  <si>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杀星遇日</t>
    </r>
    <r>
      <rPr>
        <sz val="12"/>
        <color theme="1"/>
        <rFont val="等线"/>
        <family val="3"/>
        <charset val="134"/>
        <scheme val="minor"/>
      </rPr>
      <t>，肃杀与光明结合，</t>
    </r>
    <r>
      <rPr>
        <b/>
        <sz val="12"/>
        <color theme="1"/>
        <rFont val="等线"/>
        <family val="3"/>
        <charset val="134"/>
        <scheme val="minor"/>
      </rPr>
      <t>“刚柔并济，有魄力，在竞争、改革中成名</t>
    </r>
    <r>
      <rPr>
        <sz val="12"/>
        <color theme="1"/>
        <rFont val="等线"/>
        <family val="3"/>
        <charset val="134"/>
        <scheme val="minor"/>
      </rPr>
      <t>。</t>
    </r>
  </si>
  <si>
    <t>改革家；军警界领导；竞争性行业领袖。</t>
  </si>
  <si>
    <r>
      <t>太阳+破军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</si>
  <si>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耗星遇日</t>
    </r>
    <r>
      <rPr>
        <sz val="12"/>
        <color theme="1"/>
        <rFont val="等线"/>
        <family val="3"/>
        <charset val="134"/>
        <scheme val="minor"/>
      </rPr>
      <t>，变动与光明结合，</t>
    </r>
    <r>
      <rPr>
        <b/>
        <sz val="12"/>
        <color theme="1"/>
        <rFont val="等线"/>
        <family val="3"/>
        <charset val="134"/>
        <scheme val="minor"/>
      </rPr>
      <t>“在变动、改革中求发展，但过程多耗</t>
    </r>
    <r>
      <rPr>
        <sz val="12"/>
        <color theme="1"/>
        <rFont val="等线"/>
        <family val="3"/>
        <charset val="134"/>
        <scheme val="minor"/>
      </rPr>
      <t>。</t>
    </r>
  </si>
  <si>
    <t>开拓者；改革先锋；但变动大。</t>
  </si>
  <si>
    <r>
      <t>太阳+左辅/右弼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</si>
  <si>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日星得助</t>
    </r>
    <r>
      <rPr>
        <sz val="12"/>
        <color theme="1"/>
        <rFont val="等线"/>
        <family val="3"/>
        <charset val="134"/>
        <scheme val="minor"/>
      </rPr>
      <t>，光明与贵气得同辈、晚辈助力，</t>
    </r>
    <r>
      <rPr>
        <b/>
        <sz val="12"/>
        <color theme="1"/>
        <rFont val="等线"/>
        <family val="3"/>
        <charset val="134"/>
        <scheme val="minor"/>
      </rPr>
      <t>事业有成，支持者众</t>
    </r>
    <r>
      <rPr>
        <sz val="12"/>
        <color theme="1"/>
        <rFont val="等线"/>
        <family val="3"/>
        <charset val="134"/>
        <scheme val="minor"/>
      </rPr>
      <t>。</t>
    </r>
  </si>
  <si>
    <r>
      <t>太阳+文昌/文曲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</si>
  <si>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日星遇文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文采、名声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“阳梁昌禄格”</t>
    </r>
    <r>
      <rPr>
        <sz val="12"/>
        <color theme="1"/>
        <rFont val="等线"/>
        <family val="3"/>
        <charset val="134"/>
        <scheme val="minor"/>
      </rPr>
      <t>，利于科甲、学术、传播。</t>
    </r>
  </si>
  <si>
    <r>
      <t>太阳+天魁/天钺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</si>
  <si>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日星遇贵</t>
    </r>
    <r>
      <rPr>
        <sz val="12"/>
        <color theme="1"/>
        <rFont val="等线"/>
        <family val="3"/>
        <charset val="134"/>
        <scheme val="minor"/>
      </rPr>
      <t>，光明与贵气得贵人（尤指男性贵人）赏识提携，</t>
    </r>
    <r>
      <rPr>
        <b/>
        <sz val="12"/>
        <color theme="1"/>
        <rFont val="等线"/>
        <family val="3"/>
        <charset val="134"/>
        <scheme val="minor"/>
      </rPr>
      <t>平步青云</t>
    </r>
    <r>
      <rPr>
        <sz val="12"/>
        <color theme="1"/>
        <rFont val="等线"/>
        <family val="3"/>
        <charset val="134"/>
        <scheme val="minor"/>
      </rPr>
      <t>。</t>
    </r>
  </si>
  <si>
    <r>
      <t>太阳+禄存</t>
    </r>
    <r>
      <rPr>
        <sz val="12"/>
        <color theme="1"/>
        <rFont val="等线"/>
        <family val="3"/>
        <charset val="134"/>
        <scheme val="minor"/>
      </rPr>
      <t>​</t>
    </r>
  </si>
  <si>
    <r>
      <t>日星带禄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因名得利，富贵双全</t>
    </r>
    <r>
      <rPr>
        <sz val="12"/>
        <color theme="1"/>
        <rFont val="等线"/>
        <family val="3"/>
        <charset val="134"/>
        <scheme val="minor"/>
      </rPr>
      <t>。</t>
    </r>
  </si>
  <si>
    <r>
      <t>太阳+天马</t>
    </r>
    <r>
      <rPr>
        <sz val="12"/>
        <color theme="1"/>
        <rFont val="等线"/>
        <family val="3"/>
        <charset val="134"/>
        <scheme val="minor"/>
      </rPr>
      <t>​</t>
    </r>
  </si>
  <si>
    <r>
      <t>日星奔驰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“禄马交驰”格</t>
    </r>
    <r>
      <rPr>
        <sz val="12"/>
        <color theme="1"/>
        <rFont val="等线"/>
        <family val="3"/>
        <charset val="134"/>
        <scheme val="minor"/>
      </rPr>
      <t>，动中求名求利，利远方发展、国际事务。</t>
    </r>
  </si>
  <si>
    <r>
      <t>太阳+火星</t>
    </r>
    <r>
      <rPr>
        <sz val="12"/>
        <color theme="1"/>
        <rFont val="等线"/>
        <family val="3"/>
        <charset val="134"/>
        <scheme val="minor"/>
      </rPr>
      <t>​</t>
    </r>
  </si>
  <si>
    <r>
      <t>日星逢火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“太阳火铃，反成十恶”</t>
    </r>
    <r>
      <rPr>
        <sz val="12"/>
        <color theme="1"/>
        <rFont val="等线"/>
        <family val="3"/>
        <charset val="134"/>
        <scheme val="minor"/>
      </rPr>
      <t>（古诀）。</t>
    </r>
    <r>
      <rPr>
        <b/>
        <sz val="12"/>
        <color theme="1"/>
        <rFont val="等线"/>
        <family val="3"/>
        <charset val="134"/>
        <scheme val="minor"/>
      </rPr>
      <t>性情暴躁，事业急变，易招灾祸</t>
    </r>
    <r>
      <rPr>
        <sz val="12"/>
        <color theme="1"/>
        <rFont val="等线"/>
        <family val="3"/>
        <charset val="134"/>
        <scheme val="minor"/>
      </rPr>
      <t>。</t>
    </r>
  </si>
  <si>
    <r>
      <t>太阳+铃星</t>
    </r>
    <r>
      <rPr>
        <sz val="12"/>
        <color theme="1"/>
        <rFont val="等线"/>
        <family val="3"/>
        <charset val="134"/>
        <scheme val="minor"/>
      </rPr>
      <t>​</t>
    </r>
  </si>
  <si>
    <r>
      <t>日星逢铃</t>
    </r>
    <r>
      <rPr>
        <sz val="12"/>
        <color theme="1"/>
        <rFont val="等线"/>
        <family val="3"/>
        <charset val="134"/>
        <scheme val="minor"/>
      </rPr>
      <t>，光明伴随</t>
    </r>
    <r>
      <rPr>
        <b/>
        <sz val="12"/>
        <color theme="1"/>
        <rFont val="等线"/>
        <family val="3"/>
        <charset val="134"/>
        <scheme val="minor"/>
      </rPr>
      <t>煎熬、隐忧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名声受损，内心焦虑</t>
    </r>
    <r>
      <rPr>
        <sz val="12"/>
        <color theme="1"/>
        <rFont val="等线"/>
        <family val="3"/>
        <charset val="134"/>
        <scheme val="minor"/>
      </rPr>
      <t>。</t>
    </r>
  </si>
  <si>
    <r>
      <t>太阳+擎羊</t>
    </r>
    <r>
      <rPr>
        <sz val="12"/>
        <color theme="1"/>
        <rFont val="等线"/>
        <family val="3"/>
        <charset val="134"/>
        <scheme val="minor"/>
      </rPr>
      <t>​</t>
    </r>
  </si>
  <si>
    <r>
      <t>日星逢羊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事业或身体受伤害</t>
    </r>
    <r>
      <rPr>
        <sz val="12"/>
        <color theme="1"/>
        <rFont val="等线"/>
        <family val="3"/>
        <charset val="134"/>
        <scheme val="minor"/>
      </rPr>
      <t>，易有</t>
    </r>
    <r>
      <rPr>
        <b/>
        <sz val="12"/>
        <color theme="1"/>
        <rFont val="等线"/>
        <family val="3"/>
        <charset val="134"/>
        <scheme val="minor"/>
      </rPr>
      <t>手术、血光</t>
    </r>
    <r>
      <rPr>
        <sz val="12"/>
        <color theme="1"/>
        <rFont val="等线"/>
        <family val="3"/>
        <charset val="134"/>
        <scheme val="minor"/>
      </rPr>
      <t>，防眼睛、心脏手术。</t>
    </r>
  </si>
  <si>
    <r>
      <t>太阳+陀罗</t>
    </r>
    <r>
      <rPr>
        <sz val="12"/>
        <color theme="1"/>
        <rFont val="等线"/>
        <family val="3"/>
        <charset val="134"/>
        <scheme val="minor"/>
      </rPr>
      <t>​</t>
    </r>
  </si>
  <si>
    <r>
      <t>日星逢陀</t>
    </r>
    <r>
      <rPr>
        <sz val="12"/>
        <color theme="1"/>
        <rFont val="等线"/>
        <family val="3"/>
        <charset val="134"/>
        <scheme val="minor"/>
      </rPr>
      <t>，光明受</t>
    </r>
    <r>
      <rPr>
        <b/>
        <sz val="12"/>
        <color theme="1"/>
        <rFont val="等线"/>
        <family val="3"/>
        <charset val="134"/>
        <scheme val="minor"/>
      </rPr>
      <t>拖延、阻碍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怀才不遇，事业进展缓慢</t>
    </r>
    <r>
      <rPr>
        <sz val="12"/>
        <color theme="1"/>
        <rFont val="等线"/>
        <family val="3"/>
        <charset val="134"/>
        <scheme val="minor"/>
      </rPr>
      <t>。</t>
    </r>
  </si>
  <si>
    <r>
      <t>太阳+地空</t>
    </r>
    <r>
      <rPr>
        <sz val="12"/>
        <color theme="1"/>
        <rFont val="等线"/>
        <family val="3"/>
        <charset val="134"/>
        <scheme val="minor"/>
      </rPr>
      <t>​</t>
    </r>
  </si>
  <si>
    <r>
      <t>日星逢空</t>
    </r>
    <r>
      <rPr>
        <sz val="12"/>
        <color theme="1"/>
        <rFont val="等线"/>
        <family val="3"/>
        <charset val="134"/>
        <scheme val="minor"/>
      </rPr>
      <t>，光明</t>
    </r>
    <r>
      <rPr>
        <b/>
        <sz val="12"/>
        <color theme="1"/>
        <rFont val="等线"/>
        <family val="3"/>
        <charset val="134"/>
        <scheme val="minor"/>
      </rPr>
      <t>落空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理想难以实现，名声虚浮</t>
    </r>
    <r>
      <rPr>
        <sz val="12"/>
        <color theme="1"/>
        <rFont val="等线"/>
        <family val="3"/>
        <charset val="134"/>
        <scheme val="minor"/>
      </rPr>
      <t>。</t>
    </r>
  </si>
  <si>
    <r>
      <t>太阳+地劫</t>
    </r>
    <r>
      <rPr>
        <sz val="12"/>
        <color theme="1"/>
        <rFont val="等线"/>
        <family val="3"/>
        <charset val="134"/>
        <scheme val="minor"/>
      </rPr>
      <t>​</t>
    </r>
  </si>
  <si>
    <r>
      <t>日星逢劫</t>
    </r>
    <r>
      <rPr>
        <sz val="12"/>
        <color theme="1"/>
        <rFont val="等线"/>
        <family val="3"/>
        <charset val="134"/>
        <scheme val="minor"/>
      </rPr>
      <t>，光明遭</t>
    </r>
    <r>
      <rPr>
        <b/>
        <sz val="12"/>
        <color theme="1"/>
        <rFont val="等线"/>
        <family val="3"/>
        <charset val="134"/>
        <scheme val="minor"/>
      </rPr>
      <t>破耗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事业遭遇意外挫折，名声受损</t>
    </r>
    <r>
      <rPr>
        <sz val="12"/>
        <color theme="1"/>
        <rFont val="等线"/>
        <family val="3"/>
        <charset val="134"/>
        <scheme val="minor"/>
      </rPr>
      <t>。</t>
    </r>
  </si>
  <si>
    <r>
      <t>太阳+化禄</t>
    </r>
    <r>
      <rPr>
        <sz val="12"/>
        <color theme="1"/>
        <rFont val="等线"/>
        <family val="3"/>
        <charset val="134"/>
        <scheme val="minor"/>
      </rPr>
      <t>​</t>
    </r>
  </si>
  <si>
    <r>
      <t>日星化禄</t>
    </r>
    <r>
      <rPr>
        <sz val="12"/>
        <color theme="1"/>
        <rFont val="等线"/>
        <family val="3"/>
        <charset val="134"/>
        <scheme val="minor"/>
      </rPr>
      <t>（甲年生人），</t>
    </r>
    <r>
      <rPr>
        <b/>
        <sz val="12"/>
        <color theme="1"/>
        <rFont val="等线"/>
        <family val="3"/>
        <charset val="134"/>
        <scheme val="minor"/>
      </rPr>
      <t>名利双收，因事业得财，父亲运佳</t>
    </r>
    <r>
      <rPr>
        <sz val="12"/>
        <color theme="1"/>
        <rFont val="等线"/>
        <family val="3"/>
        <charset val="134"/>
        <scheme val="minor"/>
      </rPr>
      <t>。</t>
    </r>
  </si>
  <si>
    <r>
      <t>太阳+化权</t>
    </r>
    <r>
      <rPr>
        <sz val="12"/>
        <color theme="1"/>
        <rFont val="等线"/>
        <family val="3"/>
        <charset val="134"/>
        <scheme val="minor"/>
      </rPr>
      <t>​</t>
    </r>
  </si>
  <si>
    <r>
      <t>日星化权</t>
    </r>
    <r>
      <rPr>
        <sz val="12"/>
        <color theme="1"/>
        <rFont val="等线"/>
        <family val="3"/>
        <charset val="134"/>
        <scheme val="minor"/>
      </rPr>
      <t>（乙年生人），</t>
    </r>
    <r>
      <rPr>
        <b/>
        <sz val="12"/>
        <color theme="1"/>
        <rFont val="等线"/>
        <family val="3"/>
        <charset val="134"/>
        <scheme val="minor"/>
      </rPr>
      <t>领导力、决策力增强，事业掌权</t>
    </r>
    <r>
      <rPr>
        <sz val="12"/>
        <color theme="1"/>
        <rFont val="等线"/>
        <family val="3"/>
        <charset val="134"/>
        <scheme val="minor"/>
      </rPr>
      <t>。</t>
    </r>
  </si>
  <si>
    <r>
      <t>太阳+化科</t>
    </r>
    <r>
      <rPr>
        <sz val="12"/>
        <color theme="1"/>
        <rFont val="等线"/>
        <family val="3"/>
        <charset val="134"/>
        <scheme val="minor"/>
      </rPr>
      <t>​</t>
    </r>
  </si>
  <si>
    <r>
      <t>日星化科</t>
    </r>
    <r>
      <rPr>
        <sz val="12"/>
        <color theme="1"/>
        <rFont val="等线"/>
        <family val="3"/>
        <charset val="134"/>
        <scheme val="minor"/>
      </rPr>
      <t>（丙年生人），</t>
    </r>
    <r>
      <rPr>
        <b/>
        <sz val="12"/>
        <color theme="1"/>
        <rFont val="等线"/>
        <family val="3"/>
        <charset val="134"/>
        <scheme val="minor"/>
      </rPr>
      <t>名声大噪，利于考试、选举、传播</t>
    </r>
    <r>
      <rPr>
        <sz val="12"/>
        <color theme="1"/>
        <rFont val="等线"/>
        <family val="3"/>
        <charset val="134"/>
        <scheme val="minor"/>
      </rPr>
      <t>。</t>
    </r>
  </si>
  <si>
    <r>
      <t>太阳+化忌</t>
    </r>
    <r>
      <rPr>
        <sz val="12"/>
        <color theme="1"/>
        <rFont val="等线"/>
        <family val="3"/>
        <charset val="134"/>
        <scheme val="minor"/>
      </rPr>
      <t>​</t>
    </r>
  </si>
  <si>
    <r>
      <t>日星化忌</t>
    </r>
    <r>
      <rPr>
        <sz val="12"/>
        <color theme="1"/>
        <rFont val="等线"/>
        <family val="3"/>
        <charset val="134"/>
        <scheme val="minor"/>
      </rPr>
      <t>（壬年生人），</t>
    </r>
    <r>
      <rPr>
        <b/>
        <sz val="12"/>
        <color theme="1"/>
        <rFont val="等线"/>
        <family val="3"/>
        <charset val="134"/>
        <scheme val="minor"/>
      </rPr>
      <t>事业挫折，名誉受损，父亲不利，眼睛或心脏出问题</t>
    </r>
    <r>
      <rPr>
        <sz val="12"/>
        <color theme="1"/>
        <rFont val="等线"/>
        <family val="3"/>
        <charset val="134"/>
        <scheme val="minor"/>
      </rPr>
      <t>。</t>
    </r>
  </si>
  <si>
    <r>
      <t>1. “太阳”与“太阴”</t>
    </r>
    <r>
      <rPr>
        <sz val="11"/>
        <color theme="1"/>
        <rFont val="等线"/>
        <family val="2"/>
        <charset val="134"/>
        <scheme val="minor"/>
      </rPr>
      <t>：太阳为</t>
    </r>
    <r>
      <rPr>
        <b/>
        <sz val="11"/>
        <color theme="1"/>
        <rFont val="等线"/>
        <family val="3"/>
        <charset val="134"/>
        <scheme val="minor"/>
      </rPr>
      <t>日</t>
    </r>
    <r>
      <rPr>
        <sz val="11"/>
        <color theme="1"/>
        <rFont val="等线"/>
        <family val="2"/>
        <charset val="134"/>
        <scheme val="minor"/>
      </rPr>
      <t>，太阴为</t>
    </r>
    <r>
      <rPr>
        <b/>
        <sz val="11"/>
        <color theme="1"/>
        <rFont val="等线"/>
        <family val="3"/>
        <charset val="134"/>
        <scheme val="minor"/>
      </rPr>
      <t>月</t>
    </r>
    <r>
      <rPr>
        <sz val="11"/>
        <color theme="1"/>
        <rFont val="等线"/>
        <family val="2"/>
        <charset val="134"/>
        <scheme val="minor"/>
      </rPr>
      <t>，二者需</t>
    </r>
    <r>
      <rPr>
        <b/>
        <sz val="11"/>
        <color theme="1"/>
        <rFont val="等线"/>
        <family val="3"/>
        <charset val="134"/>
        <scheme val="minor"/>
      </rPr>
      <t>阴阳调和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日月并明</t>
    </r>
    <r>
      <rPr>
        <sz val="11"/>
        <color theme="1"/>
        <rFont val="等线"/>
        <family val="2"/>
        <charset val="134"/>
        <scheme val="minor"/>
      </rPr>
      <t>主贵；</t>
    </r>
    <r>
      <rPr>
        <b/>
        <sz val="11"/>
        <color theme="1"/>
        <rFont val="等线"/>
        <family val="3"/>
        <charset val="134"/>
        <scheme val="minor"/>
      </rPr>
      <t>日月反背</t>
    </r>
    <r>
      <rPr>
        <sz val="11"/>
        <color theme="1"/>
        <rFont val="等线"/>
        <family val="2"/>
        <charset val="134"/>
        <scheme val="minor"/>
      </rPr>
      <t>主劳碌。太阳的吉凶受</t>
    </r>
    <r>
      <rPr>
        <b/>
        <sz val="11"/>
        <color theme="1"/>
        <rFont val="等线"/>
        <family val="3"/>
        <charset val="134"/>
        <scheme val="minor"/>
      </rPr>
      <t>日夜出生</t>
    </r>
    <r>
      <rPr>
        <sz val="11"/>
        <color theme="1"/>
        <rFont val="等线"/>
        <family val="2"/>
        <charset val="134"/>
        <scheme val="minor"/>
      </rPr>
      <t>影响极大，</t>
    </r>
    <r>
      <rPr>
        <b/>
        <sz val="11"/>
        <color theme="1"/>
        <rFont val="等线"/>
        <family val="3"/>
        <charset val="134"/>
        <scheme val="minor"/>
      </rPr>
      <t>日生人吉，夜生人减吉</t>
    </r>
    <r>
      <rPr>
        <sz val="11"/>
        <color theme="1"/>
        <rFont val="等线"/>
        <family val="2"/>
        <charset val="134"/>
        <scheme val="minor"/>
      </rPr>
      <t>。</t>
    </r>
  </si>
  <si>
    <r>
      <t>2. “贵”与“官禄”</t>
    </r>
    <r>
      <rPr>
        <sz val="11"/>
        <color theme="1"/>
        <rFont val="等线"/>
        <family val="2"/>
        <charset val="134"/>
        <scheme val="minor"/>
      </rPr>
      <t>：太阳化气为</t>
    </r>
    <r>
      <rPr>
        <b/>
        <sz val="11"/>
        <color theme="1"/>
        <rFont val="等线"/>
        <family val="3"/>
        <charset val="134"/>
        <scheme val="minor"/>
      </rPr>
      <t>“贵”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官禄主</t>
    </r>
    <r>
      <rPr>
        <sz val="11"/>
        <color theme="1"/>
        <rFont val="等线"/>
        <family val="2"/>
        <charset val="134"/>
        <scheme val="minor"/>
      </rPr>
      <t>。其贵气性质为</t>
    </r>
    <r>
      <rPr>
        <b/>
        <sz val="11"/>
        <color theme="1"/>
        <rFont val="等线"/>
        <family val="3"/>
        <charset val="134"/>
        <scheme val="minor"/>
      </rPr>
      <t>公开、付出、服务大众</t>
    </r>
    <r>
      <rPr>
        <sz val="11"/>
        <color theme="1"/>
        <rFont val="等线"/>
        <family val="2"/>
        <charset val="134"/>
        <scheme val="minor"/>
      </rPr>
      <t>，需通过奉献和表现获得社会地位与名誉。</t>
    </r>
    <r>
      <rPr>
        <b/>
        <sz val="11"/>
        <color theme="1"/>
        <rFont val="等线"/>
        <family val="3"/>
        <charset val="134"/>
        <scheme val="minor"/>
      </rPr>
      <t>喜庙旺、化权、化科</t>
    </r>
    <r>
      <rPr>
        <sz val="11"/>
        <color theme="1"/>
        <rFont val="等线"/>
        <family val="2"/>
        <charset val="134"/>
        <scheme val="minor"/>
      </rPr>
      <t>，主贵显；</t>
    </r>
    <r>
      <rPr>
        <b/>
        <sz val="11"/>
        <color theme="1"/>
        <rFont val="等线"/>
        <family val="3"/>
        <charset val="134"/>
        <scheme val="minor"/>
      </rPr>
      <t>忌落陷、化忌、煞星</t>
    </r>
    <r>
      <rPr>
        <sz val="11"/>
        <color theme="1"/>
        <rFont val="等线"/>
        <family val="2"/>
        <charset val="134"/>
        <scheme val="minor"/>
      </rPr>
      <t>，主劳而无功。</t>
    </r>
  </si>
  <si>
    <r>
      <t>3. “父星”与“夫星”</t>
    </r>
    <r>
      <rPr>
        <sz val="11"/>
        <color theme="1"/>
        <rFont val="等线"/>
        <family val="2"/>
        <charset val="134"/>
        <scheme val="minor"/>
      </rPr>
      <t>：太阳是</t>
    </r>
    <r>
      <rPr>
        <b/>
        <sz val="11"/>
        <color theme="1"/>
        <rFont val="等线"/>
        <family val="3"/>
        <charset val="134"/>
        <scheme val="minor"/>
      </rPr>
      <t>父亲、丈夫及一切男性、权威人物的代表星</t>
    </r>
    <r>
      <rPr>
        <sz val="11"/>
        <color theme="1"/>
        <rFont val="等线"/>
        <family val="2"/>
        <charset val="134"/>
        <scheme val="minor"/>
      </rPr>
      <t>。在命盘中，太阳的庙陷吉凶直接反映</t>
    </r>
    <r>
      <rPr>
        <b/>
        <sz val="11"/>
        <color theme="1"/>
        <rFont val="等线"/>
        <family val="3"/>
        <charset val="134"/>
        <scheme val="minor"/>
      </rPr>
      <t>与男性缘分的深浅、质量</t>
    </r>
    <r>
      <rPr>
        <sz val="11"/>
        <color theme="1"/>
        <rFont val="等线"/>
        <family val="2"/>
        <charset val="134"/>
        <scheme val="minor"/>
      </rPr>
      <t>，以及</t>
    </r>
    <r>
      <rPr>
        <b/>
        <sz val="11"/>
        <color theme="1"/>
        <rFont val="等线"/>
        <family val="3"/>
        <charset val="134"/>
        <scheme val="minor"/>
      </rPr>
      <t>本人性格中的阳刚特质</t>
    </r>
    <r>
      <rPr>
        <sz val="11"/>
        <color theme="1"/>
        <rFont val="等线"/>
        <family val="2"/>
        <charset val="134"/>
        <scheme val="minor"/>
      </rPr>
      <t>。</t>
    </r>
  </si>
  <si>
    <r>
      <t>4. “公开”与“表现”</t>
    </r>
    <r>
      <rPr>
        <sz val="11"/>
        <color theme="1"/>
        <rFont val="等线"/>
        <family val="2"/>
        <charset val="134"/>
        <scheme val="minor"/>
      </rPr>
      <t>：太阳主</t>
    </r>
    <r>
      <rPr>
        <b/>
        <sz val="11"/>
        <color theme="1"/>
        <rFont val="等线"/>
        <family val="3"/>
        <charset val="134"/>
        <scheme val="minor"/>
      </rPr>
      <t>公开、透明、表现</t>
    </r>
    <r>
      <rPr>
        <sz val="11"/>
        <color theme="1"/>
        <rFont val="等线"/>
        <family val="2"/>
        <charset val="134"/>
        <scheme val="minor"/>
      </rPr>
      <t>。凡事喜在台面上进行，适合需要曝光度和公众影响力的领域。此特质在命宫、官禄宫、迁移宫尤为明显。</t>
    </r>
  </si>
  <si>
    <r>
      <t>5. 宫位定领域</t>
    </r>
    <r>
      <rPr>
        <sz val="11"/>
        <color theme="1"/>
        <rFont val="等线"/>
        <family val="2"/>
        <charset val="134"/>
        <scheme val="minor"/>
      </rPr>
      <t>：太阳星所在宫位，指示在人生的哪个领域需要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发光发热、付出奉献、争取名誉</t>
    </r>
    <r>
      <rPr>
        <sz val="11"/>
        <color theme="1"/>
        <rFont val="等线"/>
        <family val="2"/>
        <charset val="134"/>
        <scheme val="minor"/>
      </rPr>
      <t>，也指示该领域与</t>
    </r>
    <r>
      <rPr>
        <b/>
        <sz val="11"/>
        <color theme="1"/>
        <rFont val="等线"/>
        <family val="3"/>
        <charset val="134"/>
        <scheme val="minor"/>
      </rPr>
      <t>男性、父亲、事业、公开事务</t>
    </r>
    <r>
      <rPr>
        <sz val="11"/>
        <color theme="1"/>
        <rFont val="等线"/>
        <family val="2"/>
        <charset val="134"/>
        <scheme val="minor"/>
      </rPr>
      <t>密切相关。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</si>
  <si>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名利双收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掌权、领导力强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名声显赫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事业挫折、名誉受损、父亲不利</t>
    </r>
    <r>
      <rPr>
        <sz val="11"/>
        <color theme="1"/>
        <rFont val="等线"/>
        <family val="2"/>
        <charset val="134"/>
        <scheme val="minor"/>
      </rPr>
      <t>的核心标志。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</si>
  <si>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“日照雷门格”</t>
    </r>
    <r>
      <rPr>
        <sz val="11"/>
        <color theme="1"/>
        <rFont val="等线"/>
        <family val="2"/>
        <charset val="134"/>
        <scheme val="minor"/>
      </rPr>
      <t>（太阳在卯宫庙旺）：主</t>
    </r>
    <r>
      <rPr>
        <b/>
        <sz val="11"/>
        <color theme="1"/>
        <rFont val="等线"/>
        <family val="3"/>
        <charset val="134"/>
        <scheme val="minor"/>
      </rPr>
      <t>早年成名，富贵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“日丽中天格”</t>
    </r>
    <r>
      <rPr>
        <sz val="11"/>
        <color theme="1"/>
        <rFont val="等线"/>
        <family val="2"/>
        <charset val="134"/>
        <scheme val="minor"/>
      </rPr>
      <t>（太阳在午宫庙旺）：主</t>
    </r>
    <r>
      <rPr>
        <b/>
        <sz val="11"/>
        <color theme="1"/>
        <rFont val="等线"/>
        <family val="3"/>
        <charset val="134"/>
        <scheme val="minor"/>
      </rPr>
      <t>大贵，事业巅峰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“巨日同宫格”</t>
    </r>
    <r>
      <rPr>
        <sz val="11"/>
        <color theme="1"/>
        <rFont val="等线"/>
        <family val="2"/>
        <charset val="134"/>
        <scheme val="minor"/>
      </rPr>
      <t>（太阳巨门在寅申宫）：主</t>
    </r>
    <r>
      <rPr>
        <b/>
        <sz val="11"/>
        <color theme="1"/>
        <rFont val="等线"/>
        <family val="3"/>
        <charset val="134"/>
        <scheme val="minor"/>
      </rPr>
      <t>以口才、传播成名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“太阳火铃，反成十恶”</t>
    </r>
    <r>
      <rPr>
        <sz val="11"/>
        <color theme="1"/>
        <rFont val="等线"/>
        <family val="2"/>
        <charset val="134"/>
        <scheme val="minor"/>
      </rPr>
      <t>（太阳会火星、铃星）：主</t>
    </r>
    <r>
      <rPr>
        <b/>
        <sz val="11"/>
        <color theme="1"/>
        <rFont val="等线"/>
        <family val="3"/>
        <charset val="134"/>
        <scheme val="minor"/>
      </rPr>
      <t>大凶</t>
    </r>
    <r>
      <rPr>
        <sz val="11"/>
        <color theme="1"/>
        <rFont val="等线"/>
        <family val="2"/>
        <charset val="134"/>
        <scheme val="minor"/>
      </rPr>
      <t>，事业急变，灾祸突发。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</si>
  <si>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政府机构、广场、高处、南方、能源场所、电力公司、公开演讲台、一切明亮、公开、权威的场所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</si>
  <si>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太阳星的全部原始定义、分类与案例，并严格应用修正后的逻辑，在“本质”部分系统化推导并呈现了“人/事/物”三个层次的完整解析。太阳星为日精，主贵与官禄。其核心在于“光”与“贵”，常在事业、名誉、男性领域显现，但其“付出”与“公开”的性质需庙旺与吉星扶持方能显贵。最喜日生、庙旺、化权、化科，主贵显有为。然太阳最忌煞忌，遇之则事业挫折、劳而无功、父亲不利。在紫占中，太阳的庙陷、日夜影响，以及与太阴的配合，是断事关键，需结合具体星情与宫位细察。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</si>
  <si>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天相星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的完整象义解析如下（严格遵循原始资料结构与表述，并应用修正后的逻辑，在“本质”部分系统化呈现“人/事/物”三个层次）：</t>
    </r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</si>
  <si>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南斗星</t>
    </r>
    <r>
      <rPr>
        <sz val="12"/>
        <color theme="1"/>
        <rFont val="等线"/>
        <family val="3"/>
        <charset val="134"/>
        <scheme val="minor"/>
      </rPr>
      <t>，五行属</t>
    </r>
    <r>
      <rPr>
        <b/>
        <sz val="12"/>
        <color theme="1"/>
        <rFont val="等线"/>
        <family val="3"/>
        <charset val="134"/>
        <scheme val="minor"/>
      </rPr>
      <t>阳水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印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印星</t>
    </r>
    <r>
      <rPr>
        <sz val="12"/>
        <color theme="1"/>
        <rFont val="等线"/>
        <family val="3"/>
        <charset val="134"/>
        <scheme val="minor"/>
      </rPr>
      <t>、</t>
    </r>
    <r>
      <rPr>
        <b/>
        <sz val="12"/>
        <color theme="1"/>
        <rFont val="等线"/>
        <family val="3"/>
        <charset val="134"/>
        <scheme val="minor"/>
      </rPr>
      <t>福星</t>
    </r>
    <r>
      <rPr>
        <sz val="12"/>
        <color theme="1"/>
        <rFont val="等线"/>
        <family val="3"/>
        <charset val="134"/>
        <scheme val="minor"/>
      </rPr>
      <t>。喜见</t>
    </r>
    <r>
      <rPr>
        <b/>
        <sz val="12"/>
        <color theme="1"/>
        <rFont val="等线"/>
        <family val="3"/>
        <charset val="134"/>
        <scheme val="minor"/>
      </rPr>
      <t>紫微、天府、左辅、右弼、文昌、文曲、天魁、天钺</t>
    </r>
    <r>
      <rPr>
        <sz val="12"/>
        <color theme="1"/>
        <rFont val="等线"/>
        <family val="3"/>
        <charset val="134"/>
        <scheme val="minor"/>
      </rPr>
      <t>等吉星，主</t>
    </r>
    <r>
      <rPr>
        <b/>
        <sz val="12"/>
        <color theme="1"/>
        <rFont val="等线"/>
        <family val="3"/>
        <charset val="134"/>
        <scheme val="minor"/>
      </rPr>
      <t>富贵、得人信赖、事业稳定</t>
    </r>
    <r>
      <rPr>
        <sz val="12"/>
        <color theme="1"/>
        <rFont val="等线"/>
        <family val="3"/>
        <charset val="134"/>
        <scheme val="minor"/>
      </rPr>
      <t>。最忌</t>
    </r>
    <r>
      <rPr>
        <b/>
        <sz val="12"/>
        <color theme="1"/>
        <rFont val="等线"/>
        <family val="3"/>
        <charset val="134"/>
        <scheme val="minor"/>
      </rPr>
      <t>擎羊、陀罗、火星、铃星、地空、地劫</t>
    </r>
    <r>
      <rPr>
        <sz val="12"/>
        <color theme="1"/>
        <rFont val="等线"/>
        <family val="3"/>
        <charset val="134"/>
        <scheme val="minor"/>
      </rPr>
      <t xml:space="preserve">等煞星，尤其是 </t>
    </r>
    <r>
      <rPr>
        <b/>
        <sz val="12"/>
        <color theme="1"/>
        <rFont val="等线"/>
        <family val="3"/>
        <charset val="134"/>
        <scheme val="minor"/>
      </rPr>
      <t>“刑忌夹印”</t>
    </r>
    <r>
      <rPr>
        <sz val="12"/>
        <color theme="1"/>
        <rFont val="等线"/>
        <family val="3"/>
        <charset val="134"/>
        <scheme val="minor"/>
      </rPr>
      <t>（天相被化忌和擎羊或陀罗夹制）主</t>
    </r>
    <r>
      <rPr>
        <b/>
        <sz val="12"/>
        <color theme="1"/>
        <rFont val="等线"/>
        <family val="3"/>
        <charset val="134"/>
        <scheme val="minor"/>
      </rPr>
      <t>官非、破财、健康受损</t>
    </r>
    <r>
      <rPr>
        <sz val="12"/>
        <color theme="1"/>
        <rFont val="等线"/>
        <family val="3"/>
        <charset val="134"/>
        <scheme val="minor"/>
      </rPr>
      <t xml:space="preserve">。喜 </t>
    </r>
    <r>
      <rPr>
        <b/>
        <sz val="12"/>
        <color theme="1"/>
        <rFont val="等线"/>
        <family val="3"/>
        <charset val="134"/>
        <scheme val="minor"/>
      </rPr>
      <t>“财荫夹印”</t>
    </r>
    <r>
      <rPr>
        <sz val="12"/>
        <color theme="1"/>
        <rFont val="等线"/>
        <family val="3"/>
        <charset val="134"/>
        <scheme val="minor"/>
      </rPr>
      <t>（天相被化禄和天梁夹制）主</t>
    </r>
    <r>
      <rPr>
        <b/>
        <sz val="12"/>
        <color theme="1"/>
        <rFont val="等线"/>
        <family val="3"/>
        <charset val="134"/>
        <scheme val="minor"/>
      </rPr>
      <t>富贵双全</t>
    </r>
    <r>
      <rPr>
        <sz val="12"/>
        <color theme="1"/>
        <rFont val="等线"/>
        <family val="3"/>
        <charset val="134"/>
        <scheme val="minor"/>
      </rPr>
      <t>。天相的吉凶</t>
    </r>
    <r>
      <rPr>
        <b/>
        <sz val="12"/>
        <color theme="1"/>
        <rFont val="等线"/>
        <family val="3"/>
        <charset val="134"/>
        <scheme val="minor"/>
      </rPr>
      <t>极大程度受相邻宫位星曜影响</t>
    </r>
    <r>
      <rPr>
        <sz val="12"/>
        <color theme="1"/>
        <rFont val="等线"/>
        <family val="3"/>
        <charset val="134"/>
        <scheme val="minor"/>
      </rPr>
      <t>，因其为“印”，易受“盖章”之左右宫位（即夹宫）的吉凶所染。</t>
    </r>
  </si>
  <si>
    <r>
      <t>印信与契约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</si>
  <si>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一切凭证、契约、法律文书</t>
    </r>
    <r>
      <rPr>
        <sz val="12"/>
        <color theme="1"/>
        <rFont val="等线"/>
        <family val="3"/>
        <charset val="134"/>
        <scheme val="minor"/>
      </rPr>
      <t>。象征</t>
    </r>
    <r>
      <rPr>
        <b/>
        <sz val="12"/>
        <color theme="1"/>
        <rFont val="等线"/>
        <family val="3"/>
        <charset val="134"/>
        <scheme val="minor"/>
      </rPr>
      <t>信用、承诺、规则</t>
    </r>
    <r>
      <rPr>
        <sz val="12"/>
        <color theme="1"/>
        <rFont val="等线"/>
        <family val="3"/>
        <charset val="134"/>
        <scheme val="minor"/>
      </rPr>
      <t>。在命盘中主</t>
    </r>
    <r>
      <rPr>
        <b/>
        <sz val="12"/>
        <color theme="1"/>
        <rFont val="等线"/>
        <family val="3"/>
        <charset val="134"/>
        <scheme val="minor"/>
      </rPr>
      <t>与文书、盖章、证明相关的事务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</si>
  <si>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在命宫、官禄宫时，主适合文职、法律、行政管理等需要处理文书契约的工作。</t>
  </si>
  <si>
    <r>
      <t>协调与服务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</si>
  <si>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“印”</t>
    </r>
    <r>
      <rPr>
        <sz val="12"/>
        <color theme="1"/>
        <rFont val="等线"/>
        <family val="3"/>
        <charset val="134"/>
        <scheme val="minor"/>
      </rPr>
      <t>，亦为</t>
    </r>
    <r>
      <rPr>
        <b/>
        <sz val="12"/>
        <color theme="1"/>
        <rFont val="等线"/>
        <family val="3"/>
        <charset val="134"/>
        <scheme val="minor"/>
      </rPr>
      <t>“协调者”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沟通、调和、服务、辅助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温和，善于处理人际关系，是优秀的中间人</t>
    </r>
    <r>
      <rPr>
        <sz val="12"/>
        <color theme="1"/>
        <rFont val="等线"/>
        <family val="3"/>
        <charset val="134"/>
        <scheme val="minor"/>
      </rPr>
      <t>。</t>
    </r>
  </si>
  <si>
    <t>在命宫、迁移宫时，主为人处事圆融，适合公关、客服、中介等职业。</t>
  </si>
  <si>
    <r>
      <t>形象与装饰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</si>
  <si>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形象、外表、装饰</t>
    </r>
    <r>
      <rPr>
        <sz val="12"/>
        <color theme="1"/>
        <rFont val="等线"/>
        <family val="3"/>
        <charset val="134"/>
        <scheme val="minor"/>
      </rPr>
      <t>。注重</t>
    </r>
    <r>
      <rPr>
        <b/>
        <sz val="12"/>
        <color theme="1"/>
        <rFont val="等线"/>
        <family val="3"/>
        <charset val="134"/>
        <scheme val="minor"/>
      </rPr>
      <t>仪表、衣着、礼仪</t>
    </r>
    <r>
      <rPr>
        <sz val="12"/>
        <color theme="1"/>
        <rFont val="等线"/>
        <family val="3"/>
        <charset val="134"/>
        <scheme val="minor"/>
      </rPr>
      <t>，有</t>
    </r>
    <r>
      <rPr>
        <b/>
        <sz val="12"/>
        <color theme="1"/>
        <rFont val="等线"/>
        <family val="3"/>
        <charset val="134"/>
        <scheme val="minor"/>
      </rPr>
      <t>审美眼光</t>
    </r>
    <r>
      <rPr>
        <sz val="12"/>
        <color theme="1"/>
        <rFont val="等线"/>
        <family val="3"/>
        <charset val="134"/>
        <scheme val="minor"/>
      </rPr>
      <t>，喜</t>
    </r>
    <r>
      <rPr>
        <b/>
        <sz val="12"/>
        <color theme="1"/>
        <rFont val="等线"/>
        <family val="3"/>
        <charset val="134"/>
        <scheme val="minor"/>
      </rPr>
      <t>打扮、修饰</t>
    </r>
    <r>
      <rPr>
        <sz val="12"/>
        <color theme="1"/>
        <rFont val="等线"/>
        <family val="3"/>
        <charset val="134"/>
        <scheme val="minor"/>
      </rPr>
      <t>。</t>
    </r>
  </si>
  <si>
    <t>在命宫、田宅宫时，主注重个人形象与家居装饰。</t>
  </si>
  <si>
    <r>
      <t>辅佐与依赖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</si>
  <si>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辅佐之星</t>
    </r>
    <r>
      <rPr>
        <sz val="12"/>
        <color theme="1"/>
        <rFont val="等线"/>
        <family val="3"/>
        <charset val="134"/>
        <scheme val="minor"/>
      </rPr>
      <t>，有</t>
    </r>
    <r>
      <rPr>
        <b/>
        <sz val="12"/>
        <color theme="1"/>
        <rFont val="等线"/>
        <family val="3"/>
        <charset val="134"/>
        <scheme val="minor"/>
      </rPr>
      <t>强烈的服务与辅助精神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缺乏开创性，需依附强者</t>
    </r>
    <r>
      <rPr>
        <sz val="12"/>
        <color theme="1"/>
        <rFont val="等线"/>
        <family val="3"/>
        <charset val="134"/>
        <scheme val="minor"/>
      </rPr>
      <t>。喜与</t>
    </r>
    <r>
      <rPr>
        <b/>
        <sz val="12"/>
        <color theme="1"/>
        <rFont val="等线"/>
        <family val="3"/>
        <charset val="134"/>
        <scheme val="minor"/>
      </rPr>
      <t>紫微、天府</t>
    </r>
    <r>
      <rPr>
        <sz val="12"/>
        <color theme="1"/>
        <rFont val="等线"/>
        <family val="3"/>
        <charset val="134"/>
        <scheme val="minor"/>
      </rPr>
      <t>等帝星同度或会照，方能发挥最大价值。</t>
    </r>
  </si>
  <si>
    <t>在命宫、官禄宫时，主适合担任副手、秘书、顾问等辅助性职位。</t>
  </si>
  <si>
    <r>
      <t>面貌端正，肤色白皙，举止优雅，衣着得体，给人可靠、温和的印象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</si>
  <si>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：稳重诚信，温和有礼，注重形象，乐于助人，有责任感，协调能力强，循规蹈矩。</t>
    </r>
  </si>
  <si>
    <r>
      <t>缺点</t>
    </r>
    <r>
      <rPr>
        <sz val="12"/>
        <color theme="1"/>
        <rFont val="等线"/>
        <family val="3"/>
        <charset val="134"/>
        <scheme val="minor"/>
      </rPr>
      <t>：缺乏主见，易受他人影响，优柔寡断，有时流于虚伪，过于在意他人看法。</t>
    </r>
  </si>
  <si>
    <r>
      <t>属阳水，主</t>
    </r>
    <r>
      <rPr>
        <b/>
        <sz val="12"/>
        <color theme="1"/>
        <rFont val="等线"/>
        <family val="3"/>
        <charset val="134"/>
        <scheme val="minor"/>
      </rPr>
      <t>泌尿系统、消化系统、皮肤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水肿、泌尿感染、肠胃不适、皮肤病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</si>
  <si>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稳重诚信，温和有礼，注重形象，乐于助人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优秀的协调者与辅助者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文秘、行政、法律、公关、中介、服务、服装、美容</t>
    </r>
    <r>
      <rPr>
        <sz val="12"/>
        <color theme="1"/>
        <rFont val="等线"/>
        <family val="3"/>
        <charset val="134"/>
        <scheme val="minor"/>
      </rPr>
      <t>等行业。</t>
    </r>
    <r>
      <rPr>
        <b/>
        <sz val="12"/>
        <color theme="1"/>
        <rFont val="等线"/>
        <family val="3"/>
        <charset val="134"/>
        <scheme val="minor"/>
      </rPr>
      <t>喜吉星会照及“财荫夹印”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一生平稳，得人信赖，事业有成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最忌煞星及“刑忌夹印”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官非、破财、健康受损，为人虚伪</t>
    </r>
    <r>
      <rPr>
        <sz val="12"/>
        <color theme="1"/>
        <rFont val="等线"/>
        <family val="3"/>
        <charset val="134"/>
        <scheme val="minor"/>
      </rPr>
      <t>。天相坐命，需</t>
    </r>
    <r>
      <rPr>
        <b/>
        <sz val="12"/>
        <color theme="1"/>
        <rFont val="等线"/>
        <family val="3"/>
        <charset val="134"/>
        <scheme val="minor"/>
      </rPr>
      <t>培养主见，避免过度依赖他人</t>
    </r>
    <r>
      <rPr>
        <sz val="12"/>
        <color theme="1"/>
        <rFont val="等线"/>
        <family val="3"/>
        <charset val="134"/>
        <scheme val="minor"/>
      </rPr>
      <t>。</t>
    </r>
  </si>
  <si>
    <r>
      <t>与</t>
    </r>
    <r>
      <rPr>
        <b/>
        <sz val="12"/>
        <color theme="1"/>
        <rFont val="等线"/>
        <family val="3"/>
        <charset val="134"/>
        <scheme val="minor"/>
      </rPr>
      <t>兄弟姐妹关系融洽，互相帮助</t>
    </r>
    <r>
      <rPr>
        <sz val="12"/>
        <color theme="1"/>
        <rFont val="等线"/>
        <family val="3"/>
        <charset val="134"/>
        <scheme val="minor"/>
      </rPr>
      <t>。兄弟姐妹中可能有从事文职、服务行业者。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</si>
  <si>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相貌端正，性格温和，注重家庭形象</t>
    </r>
    <r>
      <rPr>
        <sz val="12"/>
        <color theme="1"/>
        <rFont val="等线"/>
        <family val="3"/>
        <charset val="134"/>
        <scheme val="minor"/>
      </rPr>
      <t>。婚姻关系</t>
    </r>
    <r>
      <rPr>
        <b/>
        <sz val="12"/>
        <color theme="1"/>
        <rFont val="等线"/>
        <family val="3"/>
        <charset val="134"/>
        <scheme val="minor"/>
      </rPr>
      <t>平稳，注重仪式感</t>
    </r>
    <r>
      <rPr>
        <sz val="12"/>
        <color theme="1"/>
        <rFont val="等线"/>
        <family val="3"/>
        <charset val="134"/>
        <scheme val="minor"/>
      </rPr>
      <t>。但天相缺乏激情，婚姻易流于平淡。若见煞忌，需防配偶健康问题或婚姻受外界干扰。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</si>
  <si>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乖巧听话，注重礼仪</t>
    </r>
    <r>
      <rPr>
        <sz val="12"/>
        <color theme="1"/>
        <rFont val="等线"/>
        <family val="3"/>
        <charset val="134"/>
        <scheme val="minor"/>
      </rPr>
      <t>。教育得当可成材。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</si>
  <si>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稳定、凭信誉、通过服务或中介获利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稳定薪水、佣金、中介费</t>
    </r>
    <r>
      <rPr>
        <sz val="12"/>
        <color theme="1"/>
        <rFont val="等线"/>
        <family val="3"/>
        <charset val="134"/>
        <scheme val="minor"/>
      </rPr>
      <t>。不喜风险投资。见禄存、化禄，主</t>
    </r>
    <r>
      <rPr>
        <b/>
        <sz val="12"/>
        <color theme="1"/>
        <rFont val="等线"/>
        <family val="3"/>
        <charset val="134"/>
        <scheme val="minor"/>
      </rPr>
      <t>财源稳定</t>
    </r>
    <r>
      <rPr>
        <sz val="12"/>
        <color theme="1"/>
        <rFont val="等线"/>
        <family val="3"/>
        <charset val="134"/>
        <scheme val="minor"/>
      </rPr>
      <t>；见煞忌，则</t>
    </r>
    <r>
      <rPr>
        <b/>
        <sz val="12"/>
        <color theme="1"/>
        <rFont val="等线"/>
        <family val="3"/>
        <charset val="134"/>
        <scheme val="minor"/>
      </rPr>
      <t>因契约、担保破财</t>
    </r>
    <r>
      <rPr>
        <sz val="12"/>
        <color theme="1"/>
        <rFont val="等线"/>
        <family val="3"/>
        <charset val="134"/>
        <scheme val="minor"/>
      </rPr>
      <t>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</si>
  <si>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泌尿系统、消化系统、皮肤疾病</t>
    </r>
    <r>
      <rPr>
        <sz val="12"/>
        <color theme="1"/>
        <rFont val="等线"/>
        <family val="3"/>
        <charset val="134"/>
        <scheme val="minor"/>
      </rPr>
      <t>。需注意饮食卫生与皮肤保养。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</si>
  <si>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人缘佳，易得他人帮助</t>
    </r>
    <r>
      <rPr>
        <sz val="12"/>
        <color theme="1"/>
        <rFont val="等线"/>
        <family val="3"/>
        <charset val="134"/>
        <scheme val="minor"/>
      </rPr>
      <t>，适合外出发展，尤其利于需要与人打交道的工作。</t>
    </r>
  </si>
  <si>
    <r>
      <t>朋友、同事多正直、可靠之人</t>
    </r>
    <r>
      <rPr>
        <sz val="12"/>
        <color theme="1"/>
        <rFont val="等线"/>
        <family val="3"/>
        <charset val="134"/>
        <scheme val="minor"/>
      </rPr>
      <t>。天相吉则得</t>
    </r>
    <r>
      <rPr>
        <b/>
        <sz val="12"/>
        <color theme="1"/>
        <rFont val="等线"/>
        <family val="3"/>
        <charset val="134"/>
        <scheme val="minor"/>
      </rPr>
      <t>得力助手、可靠伙伴</t>
    </r>
    <r>
      <rPr>
        <sz val="12"/>
        <color theme="1"/>
        <rFont val="等线"/>
        <family val="3"/>
        <charset val="134"/>
        <scheme val="minor"/>
      </rPr>
      <t>；天相凶则易遇</t>
    </r>
    <r>
      <rPr>
        <b/>
        <sz val="12"/>
        <color theme="1"/>
        <rFont val="等线"/>
        <family val="3"/>
        <charset val="134"/>
        <scheme val="minor"/>
      </rPr>
      <t>表面友善、实则虚伪之人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</si>
  <si>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需要协调、沟通、遵循规则</t>
    </r>
    <r>
      <rPr>
        <sz val="12"/>
        <color theme="1"/>
        <rFont val="等线"/>
        <family val="3"/>
        <charset val="134"/>
        <scheme val="minor"/>
      </rPr>
      <t>的工作，如</t>
    </r>
    <r>
      <rPr>
        <b/>
        <sz val="12"/>
        <color theme="1"/>
        <rFont val="等线"/>
        <family val="3"/>
        <charset val="134"/>
        <scheme val="minor"/>
      </rPr>
      <t>行政管理、文秘、法律、公关、人力资源、服务、服装、美容</t>
    </r>
    <r>
      <rPr>
        <sz val="12"/>
        <color theme="1"/>
        <rFont val="等线"/>
        <family val="3"/>
        <charset val="134"/>
        <scheme val="minor"/>
      </rPr>
      <t>。不喜变动与风险，适合在稳定体系中发展。</t>
    </r>
  </si>
  <si>
    <r>
      <t>家宅整洁、布置得体</t>
    </r>
    <r>
      <rPr>
        <sz val="12"/>
        <color theme="1"/>
        <rFont val="等线"/>
        <family val="3"/>
        <charset val="134"/>
        <scheme val="minor"/>
      </rPr>
      <t>。天相吉则</t>
    </r>
    <r>
      <rPr>
        <b/>
        <sz val="12"/>
        <color theme="1"/>
        <rFont val="等线"/>
        <family val="3"/>
        <charset val="134"/>
        <scheme val="minor"/>
      </rPr>
      <t>家庭和睦，房产稳定</t>
    </r>
    <r>
      <rPr>
        <sz val="12"/>
        <color theme="1"/>
        <rFont val="等线"/>
        <family val="3"/>
        <charset val="134"/>
        <scheme val="minor"/>
      </rPr>
      <t>；天相凶则</t>
    </r>
    <r>
      <rPr>
        <b/>
        <sz val="12"/>
        <color theme="1"/>
        <rFont val="等线"/>
        <family val="3"/>
        <charset val="134"/>
        <scheme val="minor"/>
      </rPr>
      <t>家宅易有文书契约纠纷，或装修问题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</si>
  <si>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追求平稳、和谐，注重精神享受与形象</t>
    </r>
    <r>
      <rPr>
        <sz val="12"/>
        <color theme="1"/>
        <rFont val="等线"/>
        <family val="3"/>
        <charset val="134"/>
        <scheme val="minor"/>
      </rPr>
      <t>。内心</t>
    </r>
    <r>
      <rPr>
        <b/>
        <sz val="12"/>
        <color theme="1"/>
        <rFont val="等线"/>
        <family val="3"/>
        <charset val="134"/>
        <scheme val="minor"/>
      </rPr>
      <t>善良，乐于助人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</si>
  <si>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注重礼仪，家庭环境稳定</t>
    </r>
    <r>
      <rPr>
        <sz val="12"/>
        <color theme="1"/>
        <rFont val="等线"/>
        <family val="3"/>
        <charset val="134"/>
        <scheme val="minor"/>
      </rPr>
      <t>。父母可能从事文职或服务工作。</t>
    </r>
  </si>
  <si>
    <t>1. 增强印信/协调/服务组合</t>
  </si>
  <si>
    <r>
      <t>天相+紫微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</si>
  <si>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帝星遇印</t>
    </r>
    <r>
      <rPr>
        <sz val="12"/>
        <color theme="1"/>
        <rFont val="等线"/>
        <family val="3"/>
        <charset val="134"/>
        <scheme val="minor"/>
      </rPr>
      <t>，尊贵与印信结合，</t>
    </r>
    <r>
      <rPr>
        <b/>
        <sz val="12"/>
        <color theme="1"/>
        <rFont val="等线"/>
        <family val="3"/>
        <charset val="134"/>
        <scheme val="minor"/>
      </rPr>
      <t>“紫相”组合，有领导才能且注重规则，适合高层管理、公务员</t>
    </r>
    <r>
      <rPr>
        <sz val="12"/>
        <color theme="1"/>
        <rFont val="等线"/>
        <family val="3"/>
        <charset val="134"/>
        <scheme val="minor"/>
      </rPr>
      <t>。</t>
    </r>
  </si>
  <si>
    <t>政府高官；大型企业高管。</t>
  </si>
  <si>
    <r>
      <t>天相+天机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</si>
  <si>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智星遇印</t>
    </r>
    <r>
      <rPr>
        <sz val="12"/>
        <color theme="1"/>
        <rFont val="等线"/>
        <family val="3"/>
        <charset val="134"/>
        <scheme val="minor"/>
      </rPr>
      <t>，机巧与印信结合，</t>
    </r>
    <r>
      <rPr>
        <b/>
        <sz val="12"/>
        <color theme="1"/>
        <rFont val="等线"/>
        <family val="3"/>
        <charset val="134"/>
        <scheme val="minor"/>
      </rPr>
      <t>善于策划、文书处理、法律咨询</t>
    </r>
    <r>
      <rPr>
        <sz val="12"/>
        <color theme="1"/>
        <rFont val="等线"/>
        <family val="3"/>
        <charset val="134"/>
        <scheme val="minor"/>
      </rPr>
      <t>，但思虑过多。</t>
    </r>
  </si>
  <si>
    <t>律师；策划师；文秘。</t>
  </si>
  <si>
    <r>
      <t>天相+太阳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</si>
  <si>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日星遇印</t>
    </r>
    <r>
      <rPr>
        <sz val="12"/>
        <color theme="1"/>
        <rFont val="等线"/>
        <family val="3"/>
        <charset val="134"/>
        <scheme val="minor"/>
      </rPr>
      <t>，光明与印信结合，</t>
    </r>
    <r>
      <rPr>
        <b/>
        <sz val="12"/>
        <color theme="1"/>
        <rFont val="等线"/>
        <family val="3"/>
        <charset val="134"/>
        <scheme val="minor"/>
      </rPr>
      <t>“阳相辉映”，形象正面，适合公关、法律、公职</t>
    </r>
    <r>
      <rPr>
        <sz val="12"/>
        <color theme="1"/>
        <rFont val="等线"/>
        <family val="3"/>
        <charset val="134"/>
        <scheme val="minor"/>
      </rPr>
      <t>。</t>
    </r>
  </si>
  <si>
    <r>
      <t>天相+武曲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</si>
  <si>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刚金遇印</t>
    </r>
    <r>
      <rPr>
        <sz val="12"/>
        <color theme="1"/>
        <rFont val="等线"/>
        <family val="3"/>
        <charset val="134"/>
        <scheme val="minor"/>
      </rPr>
      <t>，行动力与印信结合，</t>
    </r>
    <r>
      <rPr>
        <b/>
        <sz val="12"/>
        <color theme="1"/>
        <rFont val="等线"/>
        <family val="3"/>
        <charset val="134"/>
        <scheme val="minor"/>
      </rPr>
      <t>“武相”组合，执行力强且守规矩，适合金融、军警、工程技术管理</t>
    </r>
    <r>
      <rPr>
        <sz val="12"/>
        <color theme="1"/>
        <rFont val="等线"/>
        <family val="3"/>
        <charset val="134"/>
        <scheme val="minor"/>
      </rPr>
      <t>。</t>
    </r>
  </si>
  <si>
    <t>银行经理；工程师；军警官员。</t>
  </si>
  <si>
    <r>
      <t>天相+天同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</si>
  <si>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福星遇印</t>
    </r>
    <r>
      <rPr>
        <sz val="12"/>
        <color theme="1"/>
        <rFont val="等线"/>
        <family val="3"/>
        <charset val="134"/>
        <scheme val="minor"/>
      </rPr>
      <t>，享受与印信结合，</t>
    </r>
    <r>
      <rPr>
        <b/>
        <sz val="12"/>
        <color theme="1"/>
        <rFont val="等线"/>
        <family val="3"/>
        <charset val="134"/>
        <scheme val="minor"/>
      </rPr>
      <t>“同相”组合，增加福气与人缘，生活安逸且注重形象</t>
    </r>
    <r>
      <rPr>
        <sz val="12"/>
        <color theme="1"/>
        <rFont val="等线"/>
        <family val="3"/>
        <charset val="134"/>
        <scheme val="minor"/>
      </rPr>
      <t>。</t>
    </r>
  </si>
  <si>
    <t>公关；礼仪老师；生活优裕者。</t>
  </si>
  <si>
    <r>
      <t>天相+廉贞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</si>
  <si>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囚星遇印</t>
    </r>
    <r>
      <rPr>
        <sz val="12"/>
        <color theme="1"/>
        <rFont val="等线"/>
        <family val="3"/>
        <charset val="134"/>
        <scheme val="minor"/>
      </rPr>
      <t>，感情官非与印信结合，</t>
    </r>
    <r>
      <rPr>
        <b/>
        <sz val="12"/>
        <color theme="1"/>
        <rFont val="等线"/>
        <family val="3"/>
        <charset val="134"/>
        <scheme val="minor"/>
      </rPr>
      <t>“廉相”组合，感情复杂，易因文书、契约惹官非</t>
    </r>
    <r>
      <rPr>
        <sz val="12"/>
        <color theme="1"/>
        <rFont val="等线"/>
        <family val="3"/>
        <charset val="134"/>
        <scheme val="minor"/>
      </rPr>
      <t>。需特别注意法律问题。</t>
    </r>
  </si>
  <si>
    <t>法律工作者；但需防感情与法律纠纷。</t>
  </si>
  <si>
    <r>
      <t>天相+天府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</si>
  <si>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库星遇印</t>
    </r>
    <r>
      <rPr>
        <sz val="12"/>
        <color theme="1"/>
        <rFont val="等线"/>
        <family val="3"/>
        <charset val="134"/>
        <scheme val="minor"/>
      </rPr>
      <t>，稳重与印信结合，</t>
    </r>
    <r>
      <rPr>
        <b/>
        <sz val="12"/>
        <color theme="1"/>
        <rFont val="等线"/>
        <family val="3"/>
        <charset val="134"/>
        <scheme val="minor"/>
      </rPr>
      <t>“府相”组合，稳重诚信，善于管理，富贵双全</t>
    </r>
    <r>
      <rPr>
        <sz val="12"/>
        <color theme="1"/>
        <rFont val="等线"/>
        <family val="3"/>
        <charset val="134"/>
        <scheme val="minor"/>
      </rPr>
      <t>。</t>
    </r>
  </si>
  <si>
    <t>银行家；大型机构管理者；诚信商人。</t>
  </si>
  <si>
    <r>
      <t>天相+太阴</t>
    </r>
    <r>
      <rPr>
        <sz val="12"/>
        <color theme="1"/>
        <rFont val="等线"/>
        <family val="3"/>
        <charset val="134"/>
        <scheme val="minor"/>
      </rPr>
      <t>​</t>
    </r>
  </si>
  <si>
    <r>
      <t>月星遇印</t>
    </r>
    <r>
      <rPr>
        <sz val="12"/>
        <color theme="1"/>
        <rFont val="等线"/>
        <family val="3"/>
        <charset val="134"/>
        <scheme val="minor"/>
      </rPr>
      <t>，阴柔与印信结合，</t>
    </r>
    <r>
      <rPr>
        <b/>
        <sz val="12"/>
        <color theme="1"/>
        <rFont val="等线"/>
        <family val="3"/>
        <charset val="134"/>
        <scheme val="minor"/>
      </rPr>
      <t>外表端庄，内心细腻，注重形象与礼仪</t>
    </r>
    <r>
      <rPr>
        <sz val="12"/>
        <color theme="1"/>
        <rFont val="等线"/>
        <family val="3"/>
        <charset val="134"/>
        <scheme val="minor"/>
      </rPr>
      <t>。</t>
    </r>
  </si>
  <si>
    <r>
      <t>天相+贪狼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</si>
  <si>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欲星遇印</t>
    </r>
    <r>
      <rPr>
        <sz val="12"/>
        <color theme="1"/>
        <rFont val="等线"/>
        <family val="3"/>
        <charset val="134"/>
        <scheme val="minor"/>
      </rPr>
      <t>，欲望与印信结合，</t>
    </r>
    <r>
      <rPr>
        <b/>
        <sz val="12"/>
        <color theme="1"/>
        <rFont val="等线"/>
        <family val="3"/>
        <charset val="134"/>
        <scheme val="minor"/>
      </rPr>
      <t>“贪相”组合，外表正经，内心欲望强，易有桃花</t>
    </r>
    <r>
      <rPr>
        <sz val="12"/>
        <color theme="1"/>
        <rFont val="等线"/>
        <family val="3"/>
        <charset val="134"/>
        <scheme val="minor"/>
      </rPr>
      <t>。</t>
    </r>
  </si>
  <si>
    <t>外表正经的社交家；但需防桃花是非。</t>
  </si>
  <si>
    <r>
      <t>天相+巨门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</si>
  <si>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暗星遇印</t>
    </r>
    <r>
      <rPr>
        <sz val="12"/>
        <color theme="1"/>
        <rFont val="等线"/>
        <family val="3"/>
        <charset val="134"/>
        <scheme val="minor"/>
      </rPr>
      <t>，口舌与印信结合，</t>
    </r>
    <r>
      <rPr>
        <b/>
        <sz val="12"/>
        <color theme="1"/>
        <rFont val="等线"/>
        <family val="3"/>
        <charset val="134"/>
        <scheme val="minor"/>
      </rPr>
      <t>“巨相”组合，善于协调沟通，但易有口舌是非、契约纠纷</t>
    </r>
    <r>
      <rPr>
        <sz val="12"/>
        <color theme="1"/>
        <rFont val="等线"/>
        <family val="3"/>
        <charset val="134"/>
        <scheme val="minor"/>
      </rPr>
      <t>。</t>
    </r>
  </si>
  <si>
    <t>调解员；谈判专家；但易惹口舌。</t>
  </si>
  <si>
    <r>
      <t>天相+天梁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</si>
  <si>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荫星遇印</t>
    </r>
    <r>
      <rPr>
        <sz val="12"/>
        <color theme="1"/>
        <rFont val="等线"/>
        <family val="3"/>
        <charset val="134"/>
        <scheme val="minor"/>
      </rPr>
      <t>，清高与印信结合，</t>
    </r>
    <r>
      <rPr>
        <b/>
        <sz val="12"/>
        <color theme="1"/>
        <rFont val="等线"/>
        <family val="3"/>
        <charset val="134"/>
        <scheme val="minor"/>
      </rPr>
      <t>“梁相”组合，正直清廉，乐于助人，适合法律、医疗、慈善</t>
    </r>
    <r>
      <rPr>
        <sz val="12"/>
        <color theme="1"/>
        <rFont val="等线"/>
        <family val="3"/>
        <charset val="134"/>
        <scheme val="minor"/>
      </rPr>
      <t>。</t>
    </r>
  </si>
  <si>
    <t>法官；医生；慈善机构工作者。</t>
  </si>
  <si>
    <r>
      <t>天相+七杀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</si>
  <si>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杀星遇印</t>
    </r>
    <r>
      <rPr>
        <sz val="12"/>
        <color theme="1"/>
        <rFont val="等线"/>
        <family val="3"/>
        <charset val="134"/>
        <scheme val="minor"/>
      </rPr>
      <t>，肃杀与印信结合，</t>
    </r>
    <r>
      <rPr>
        <b/>
        <sz val="12"/>
        <color theme="1"/>
        <rFont val="等线"/>
        <family val="3"/>
        <charset val="134"/>
        <scheme val="minor"/>
      </rPr>
      <t>“杀印相生”，外柔内刚，在规则内进行改革</t>
    </r>
    <r>
      <rPr>
        <sz val="12"/>
        <color theme="1"/>
        <rFont val="等线"/>
        <family val="3"/>
        <charset val="134"/>
        <scheme val="minor"/>
      </rPr>
      <t>。</t>
    </r>
  </si>
  <si>
    <t>纪律部队官员；改革型管理者。</t>
  </si>
  <si>
    <r>
      <t>天相+破军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</si>
  <si>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耗星遇印</t>
    </r>
    <r>
      <rPr>
        <sz val="12"/>
        <color theme="1"/>
        <rFont val="等线"/>
        <family val="3"/>
        <charset val="134"/>
        <scheme val="minor"/>
      </rPr>
      <t>，变动与印信结合，</t>
    </r>
    <r>
      <rPr>
        <b/>
        <sz val="12"/>
        <color theme="1"/>
        <rFont val="等线"/>
        <family val="3"/>
        <charset val="134"/>
        <scheme val="minor"/>
      </rPr>
      <t>“破印”组合，外表稳重，内心求变，易有表里不一之嫌</t>
    </r>
    <r>
      <rPr>
        <sz val="12"/>
        <color theme="1"/>
        <rFont val="等线"/>
        <family val="3"/>
        <charset val="134"/>
        <scheme val="minor"/>
      </rPr>
      <t>。</t>
    </r>
  </si>
  <si>
    <r>
      <t>天相+左辅/右弼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</si>
  <si>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印星得助</t>
    </r>
    <r>
      <rPr>
        <sz val="12"/>
        <color theme="1"/>
        <rFont val="等线"/>
        <family val="3"/>
        <charset val="134"/>
        <scheme val="minor"/>
      </rPr>
      <t>，协调与服务得同辈、晚辈助力，</t>
    </r>
    <r>
      <rPr>
        <b/>
        <sz val="12"/>
        <color theme="1"/>
        <rFont val="等线"/>
        <family val="3"/>
        <charset val="134"/>
        <scheme val="minor"/>
      </rPr>
      <t>人缘佳，事业有帮手</t>
    </r>
    <r>
      <rPr>
        <sz val="12"/>
        <color theme="1"/>
        <rFont val="等线"/>
        <family val="3"/>
        <charset val="134"/>
        <scheme val="minor"/>
      </rPr>
      <t>。</t>
    </r>
  </si>
  <si>
    <r>
      <t>天相+文昌/文曲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</si>
  <si>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文采、才华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利于考试、文书、法律、艺术</t>
    </r>
    <r>
      <rPr>
        <sz val="12"/>
        <color theme="1"/>
        <rFont val="等线"/>
        <family val="3"/>
        <charset val="134"/>
        <scheme val="minor"/>
      </rPr>
      <t>。</t>
    </r>
  </si>
  <si>
    <r>
      <t>天相+天魁/天钺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</si>
  <si>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印星遇贵</t>
    </r>
    <r>
      <rPr>
        <sz val="12"/>
        <color theme="1"/>
        <rFont val="等线"/>
        <family val="3"/>
        <charset val="134"/>
        <scheme val="minor"/>
      </rPr>
      <t>，协调与服务得贵人赏识提携，</t>
    </r>
    <r>
      <rPr>
        <b/>
        <sz val="12"/>
        <color theme="1"/>
        <rFont val="等线"/>
        <family val="3"/>
        <charset val="134"/>
        <scheme val="minor"/>
      </rPr>
      <t>易得上司、长辈信任与提拔</t>
    </r>
    <r>
      <rPr>
        <sz val="12"/>
        <color theme="1"/>
        <rFont val="等线"/>
        <family val="3"/>
        <charset val="134"/>
        <scheme val="minor"/>
      </rPr>
      <t>。</t>
    </r>
  </si>
  <si>
    <r>
      <t>天相+禄存</t>
    </r>
    <r>
      <rPr>
        <sz val="12"/>
        <color theme="1"/>
        <rFont val="等线"/>
        <family val="3"/>
        <charset val="134"/>
        <scheme val="minor"/>
      </rPr>
      <t>​</t>
    </r>
  </si>
  <si>
    <r>
      <t>印星带禄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因信誉、服务得财，生活稳定富足</t>
    </r>
    <r>
      <rPr>
        <sz val="12"/>
        <color theme="1"/>
        <rFont val="等线"/>
        <family val="3"/>
        <charset val="134"/>
        <scheme val="minor"/>
      </rPr>
      <t>。</t>
    </r>
  </si>
  <si>
    <r>
      <t>天相+天马</t>
    </r>
    <r>
      <rPr>
        <sz val="12"/>
        <color theme="1"/>
        <rFont val="等线"/>
        <family val="3"/>
        <charset val="134"/>
        <scheme val="minor"/>
      </rPr>
      <t>​</t>
    </r>
  </si>
  <si>
    <r>
      <t>印星奔驰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动中求财，利远方发展、国际贸易、物流</t>
    </r>
    <r>
      <rPr>
        <sz val="12"/>
        <color theme="1"/>
        <rFont val="等线"/>
        <family val="3"/>
        <charset val="134"/>
        <scheme val="minor"/>
      </rPr>
      <t>。</t>
    </r>
  </si>
  <si>
    <r>
      <t>天相+火星</t>
    </r>
    <r>
      <rPr>
        <sz val="12"/>
        <color theme="1"/>
        <rFont val="等线"/>
        <family val="3"/>
        <charset val="134"/>
        <scheme val="minor"/>
      </rPr>
      <t>​</t>
    </r>
  </si>
  <si>
    <r>
      <t>印星逢火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协调受阻，易因急躁引发冲突、文书错误</t>
    </r>
    <r>
      <rPr>
        <sz val="12"/>
        <color theme="1"/>
        <rFont val="等线"/>
        <family val="3"/>
        <charset val="134"/>
        <scheme val="minor"/>
      </rPr>
      <t>。</t>
    </r>
  </si>
  <si>
    <r>
      <t>天相+铃星</t>
    </r>
    <r>
      <rPr>
        <sz val="12"/>
        <color theme="1"/>
        <rFont val="等线"/>
        <family val="3"/>
        <charset val="134"/>
        <scheme val="minor"/>
      </rPr>
      <t>​</t>
    </r>
  </si>
  <si>
    <r>
      <t>印星逢铃</t>
    </r>
    <r>
      <rPr>
        <sz val="12"/>
        <color theme="1"/>
        <rFont val="等线"/>
        <family val="3"/>
        <charset val="134"/>
        <scheme val="minor"/>
      </rPr>
      <t>，印信伴随</t>
    </r>
    <r>
      <rPr>
        <b/>
        <sz val="12"/>
        <color theme="1"/>
        <rFont val="等线"/>
        <family val="3"/>
        <charset val="134"/>
        <scheme val="minor"/>
      </rPr>
      <t>煎熬、隐忧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契约纠纷，内心焦虑</t>
    </r>
    <r>
      <rPr>
        <sz val="12"/>
        <color theme="1"/>
        <rFont val="等线"/>
        <family val="3"/>
        <charset val="134"/>
        <scheme val="minor"/>
      </rPr>
      <t>。</t>
    </r>
  </si>
  <si>
    <r>
      <t>天相+擎羊</t>
    </r>
    <r>
      <rPr>
        <sz val="12"/>
        <color theme="1"/>
        <rFont val="等线"/>
        <family val="3"/>
        <charset val="134"/>
        <scheme val="minor"/>
      </rPr>
      <t>​</t>
    </r>
  </si>
  <si>
    <r>
      <t>印星逢羊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“刑忌夹印”凶格核心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易有官非、手术、血光，信用受损</t>
    </r>
    <r>
      <rPr>
        <sz val="12"/>
        <color theme="1"/>
        <rFont val="等线"/>
        <family val="3"/>
        <charset val="134"/>
        <scheme val="minor"/>
      </rPr>
      <t>。</t>
    </r>
  </si>
  <si>
    <r>
      <t>天相+陀罗</t>
    </r>
    <r>
      <rPr>
        <sz val="12"/>
        <color theme="1"/>
        <rFont val="等线"/>
        <family val="3"/>
        <charset val="134"/>
        <scheme val="minor"/>
      </rPr>
      <t>​</t>
    </r>
  </si>
  <si>
    <r>
      <t>印星逢陀</t>
    </r>
    <r>
      <rPr>
        <sz val="12"/>
        <color theme="1"/>
        <rFont val="等线"/>
        <family val="3"/>
        <charset val="134"/>
        <scheme val="minor"/>
      </rPr>
      <t>，印信受</t>
    </r>
    <r>
      <rPr>
        <b/>
        <sz val="12"/>
        <color theme="1"/>
        <rFont val="等线"/>
        <family val="3"/>
        <charset val="134"/>
        <scheme val="minor"/>
      </rPr>
      <t>拖延、反复阻碍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契约拖延，办事效率低</t>
    </r>
    <r>
      <rPr>
        <sz val="12"/>
        <color theme="1"/>
        <rFont val="等线"/>
        <family val="3"/>
        <charset val="134"/>
        <scheme val="minor"/>
      </rPr>
      <t>。</t>
    </r>
  </si>
  <si>
    <r>
      <t>天相+地空</t>
    </r>
    <r>
      <rPr>
        <sz val="12"/>
        <color theme="1"/>
        <rFont val="等线"/>
        <family val="3"/>
        <charset val="134"/>
        <scheme val="minor"/>
      </rPr>
      <t>​</t>
    </r>
  </si>
  <si>
    <r>
      <t>印星逢空</t>
    </r>
    <r>
      <rPr>
        <sz val="12"/>
        <color theme="1"/>
        <rFont val="等线"/>
        <family val="3"/>
        <charset val="134"/>
        <scheme val="minor"/>
      </rPr>
      <t>，印信</t>
    </r>
    <r>
      <rPr>
        <b/>
        <sz val="12"/>
        <color theme="1"/>
        <rFont val="等线"/>
        <family val="3"/>
        <charset val="134"/>
        <scheme val="minor"/>
      </rPr>
      <t>落空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契约成空，信誉受损，理想难以实现</t>
    </r>
    <r>
      <rPr>
        <sz val="12"/>
        <color theme="1"/>
        <rFont val="等线"/>
        <family val="3"/>
        <charset val="134"/>
        <scheme val="minor"/>
      </rPr>
      <t>。</t>
    </r>
  </si>
  <si>
    <r>
      <t>天相+地劫</t>
    </r>
    <r>
      <rPr>
        <sz val="12"/>
        <color theme="1"/>
        <rFont val="等线"/>
        <family val="3"/>
        <charset val="134"/>
        <scheme val="minor"/>
      </rPr>
      <t>​</t>
    </r>
  </si>
  <si>
    <r>
      <t>印星逢劫</t>
    </r>
    <r>
      <rPr>
        <sz val="12"/>
        <color theme="1"/>
        <rFont val="等线"/>
        <family val="3"/>
        <charset val="134"/>
        <scheme val="minor"/>
      </rPr>
      <t>，印信遭</t>
    </r>
    <r>
      <rPr>
        <b/>
        <sz val="12"/>
        <color theme="1"/>
        <rFont val="等线"/>
        <family val="3"/>
        <charset val="134"/>
        <scheme val="minor"/>
      </rPr>
      <t>破耗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意外破财，信用破产</t>
    </r>
    <r>
      <rPr>
        <sz val="12"/>
        <color theme="1"/>
        <rFont val="等线"/>
        <family val="3"/>
        <charset val="134"/>
        <scheme val="minor"/>
      </rPr>
      <t>。</t>
    </r>
  </si>
  <si>
    <r>
      <t>天相+化禄</t>
    </r>
    <r>
      <rPr>
        <sz val="12"/>
        <color theme="1"/>
        <rFont val="等线"/>
        <family val="3"/>
        <charset val="134"/>
        <scheme val="minor"/>
      </rPr>
      <t>​</t>
    </r>
  </si>
  <si>
    <r>
      <t>印星化禄</t>
    </r>
    <r>
      <rPr>
        <sz val="12"/>
        <color theme="1"/>
        <rFont val="等线"/>
        <family val="3"/>
        <charset val="134"/>
        <scheme val="minor"/>
      </rPr>
      <t>（壬年生人），</t>
    </r>
    <r>
      <rPr>
        <b/>
        <sz val="12"/>
        <color theme="1"/>
        <rFont val="等线"/>
        <family val="3"/>
        <charset val="134"/>
        <scheme val="minor"/>
      </rPr>
      <t>因信誉、服务得财，人缘财旺</t>
    </r>
    <r>
      <rPr>
        <sz val="12"/>
        <color theme="1"/>
        <rFont val="等线"/>
        <family val="3"/>
        <charset val="134"/>
        <scheme val="minor"/>
      </rPr>
      <t>。</t>
    </r>
  </si>
  <si>
    <r>
      <t>天相+化权</t>
    </r>
    <r>
      <rPr>
        <sz val="12"/>
        <color theme="1"/>
        <rFont val="等线"/>
        <family val="3"/>
        <charset val="134"/>
        <scheme val="minor"/>
      </rPr>
      <t>​</t>
    </r>
  </si>
  <si>
    <r>
      <t>印星化权</t>
    </r>
    <r>
      <rPr>
        <sz val="12"/>
        <color theme="1"/>
        <rFont val="等线"/>
        <family val="3"/>
        <charset val="134"/>
        <scheme val="minor"/>
      </rPr>
      <t>（无，天相不化权）。</t>
    </r>
  </si>
  <si>
    <r>
      <t>天相+化科</t>
    </r>
    <r>
      <rPr>
        <sz val="12"/>
        <color theme="1"/>
        <rFont val="等线"/>
        <family val="3"/>
        <charset val="134"/>
        <scheme val="minor"/>
      </rPr>
      <t>​</t>
    </r>
  </si>
  <si>
    <r>
      <t>印星化科</t>
    </r>
    <r>
      <rPr>
        <sz val="12"/>
        <color theme="1"/>
        <rFont val="等线"/>
        <family val="3"/>
        <charset val="134"/>
        <scheme val="minor"/>
      </rPr>
      <t>（无，天相不化科）。</t>
    </r>
  </si>
  <si>
    <r>
      <t>天相+化忌</t>
    </r>
    <r>
      <rPr>
        <sz val="12"/>
        <color theme="1"/>
        <rFont val="等线"/>
        <family val="3"/>
        <charset val="134"/>
        <scheme val="minor"/>
      </rPr>
      <t>​</t>
    </r>
  </si>
  <si>
    <r>
      <t>印星化忌</t>
    </r>
    <r>
      <rPr>
        <sz val="12"/>
        <color theme="1"/>
        <rFont val="等线"/>
        <family val="3"/>
        <charset val="134"/>
        <scheme val="minor"/>
      </rPr>
      <t>（无，天相不化忌，但怕被化忌星夹制）。</t>
    </r>
  </si>
  <si>
    <r>
      <t>1. “印星”与“协调”</t>
    </r>
    <r>
      <rPr>
        <sz val="11"/>
        <color theme="1"/>
        <rFont val="等线"/>
        <family val="2"/>
        <charset val="134"/>
        <scheme val="minor"/>
      </rPr>
      <t>：天相化气为</t>
    </r>
    <r>
      <rPr>
        <b/>
        <sz val="11"/>
        <color theme="1"/>
        <rFont val="等线"/>
        <family val="3"/>
        <charset val="134"/>
        <scheme val="minor"/>
      </rPr>
      <t>“印”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凭证、规则、协调、服务</t>
    </r>
    <r>
      <rPr>
        <sz val="11"/>
        <color theme="1"/>
        <rFont val="等线"/>
        <family val="2"/>
        <charset val="134"/>
        <scheme val="minor"/>
      </rPr>
      <t>。其人生角色常是</t>
    </r>
    <r>
      <rPr>
        <b/>
        <sz val="11"/>
        <color theme="1"/>
        <rFont val="等线"/>
        <family val="3"/>
        <charset val="134"/>
        <scheme val="minor"/>
      </rPr>
      <t>规则的执行者、矛盾的调和者、服务的提供者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喜见吉星及“财荫夹印”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富贵安稳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最忌煞星及“刑忌夹印”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官非破败</t>
    </r>
    <r>
      <rPr>
        <sz val="11"/>
        <color theme="1"/>
        <rFont val="等线"/>
        <family val="2"/>
        <charset val="134"/>
        <scheme val="minor"/>
      </rPr>
      <t>。</t>
    </r>
  </si>
  <si>
    <r>
      <t>2. “福星”与“辅佐”</t>
    </r>
    <r>
      <rPr>
        <sz val="11"/>
        <color theme="1"/>
        <rFont val="等线"/>
        <family val="2"/>
        <charset val="134"/>
        <scheme val="minor"/>
      </rPr>
      <t>：天相为</t>
    </r>
    <r>
      <rPr>
        <b/>
        <sz val="11"/>
        <color theme="1"/>
        <rFont val="等线"/>
        <family val="3"/>
        <charset val="134"/>
        <scheme val="minor"/>
      </rPr>
      <t>福星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一生平稳，少大起大落</t>
    </r>
    <r>
      <rPr>
        <sz val="11"/>
        <color theme="1"/>
        <rFont val="等线"/>
        <family val="2"/>
        <charset val="134"/>
        <scheme val="minor"/>
      </rPr>
      <t>。但其为</t>
    </r>
    <r>
      <rPr>
        <b/>
        <sz val="11"/>
        <color theme="1"/>
        <rFont val="等线"/>
        <family val="3"/>
        <charset val="134"/>
        <scheme val="minor"/>
      </rPr>
      <t>辅佐之星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缺乏开创性，需依附强者（如紫微、天府）方能发挥最大价值</t>
    </r>
    <r>
      <rPr>
        <sz val="11"/>
        <color theme="1"/>
        <rFont val="等线"/>
        <family val="2"/>
        <charset val="134"/>
        <scheme val="minor"/>
      </rPr>
      <t>。独立创业或做一把手较为吃力。</t>
    </r>
  </si>
  <si>
    <r>
      <t>3. “形象”与“装饰”</t>
    </r>
    <r>
      <rPr>
        <sz val="11"/>
        <color theme="1"/>
        <rFont val="等线"/>
        <family val="2"/>
        <charset val="134"/>
        <scheme val="minor"/>
      </rPr>
      <t>：天相主</t>
    </r>
    <r>
      <rPr>
        <b/>
        <sz val="11"/>
        <color theme="1"/>
        <rFont val="等线"/>
        <family val="3"/>
        <charset val="134"/>
        <scheme val="minor"/>
      </rPr>
      <t>形象、外表、装饰</t>
    </r>
    <r>
      <rPr>
        <sz val="11"/>
        <color theme="1"/>
        <rFont val="等线"/>
        <family val="2"/>
        <charset val="134"/>
        <scheme val="minor"/>
      </rPr>
      <t>。命坐天相或天相在重要宫位，通常</t>
    </r>
    <r>
      <rPr>
        <b/>
        <sz val="11"/>
        <color theme="1"/>
        <rFont val="等线"/>
        <family val="3"/>
        <charset val="134"/>
        <scheme val="minor"/>
      </rPr>
      <t>注重仪表、衣着得体、有审美眼光</t>
    </r>
    <r>
      <rPr>
        <sz val="11"/>
        <color theme="1"/>
        <rFont val="等线"/>
        <family val="2"/>
        <charset val="134"/>
        <scheme val="minor"/>
      </rPr>
      <t>，也喜</t>
    </r>
    <r>
      <rPr>
        <b/>
        <sz val="11"/>
        <color theme="1"/>
        <rFont val="等线"/>
        <family val="3"/>
        <charset val="134"/>
        <scheme val="minor"/>
      </rPr>
      <t>装饰家居环境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</si>
  <si>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：天相星所在宫位，指示在人生的哪个领域需要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遵循规则、注重形象、提供服务、协调关系</t>
    </r>
    <r>
      <rPr>
        <sz val="11"/>
        <color theme="1"/>
        <rFont val="等线"/>
        <family val="2"/>
        <charset val="134"/>
        <scheme val="minor"/>
      </rPr>
      <t>，也指示该领域与</t>
    </r>
    <r>
      <rPr>
        <b/>
        <sz val="11"/>
        <color theme="1"/>
        <rFont val="等线"/>
        <family val="3"/>
        <charset val="134"/>
        <scheme val="minor"/>
      </rPr>
      <t>文书、契约、证明、中介</t>
    </r>
    <r>
      <rPr>
        <sz val="11"/>
        <color theme="1"/>
        <rFont val="等线"/>
        <family val="2"/>
        <charset val="134"/>
        <scheme val="minor"/>
      </rPr>
      <t>密切相关。</t>
    </r>
  </si>
  <si>
    <r>
      <t>5. 夹宫决定论</t>
    </r>
    <r>
      <rPr>
        <sz val="11"/>
        <color theme="1"/>
        <rFont val="等线"/>
        <family val="2"/>
        <charset val="134"/>
        <scheme val="minor"/>
      </rPr>
      <t>：天相的吉凶</t>
    </r>
    <r>
      <rPr>
        <b/>
        <sz val="11"/>
        <color theme="1"/>
        <rFont val="等线"/>
        <family val="3"/>
        <charset val="134"/>
        <scheme val="minor"/>
      </rPr>
      <t>极大程度受其左右两夹宫星曜的影响</t>
    </r>
    <r>
      <rPr>
        <sz val="11"/>
        <color theme="1"/>
        <rFont val="等线"/>
        <family val="2"/>
        <charset val="134"/>
        <scheme val="minor"/>
      </rPr>
      <t>，因其为“印”，如同被“盖章”。</t>
    </r>
    <r>
      <rPr>
        <b/>
        <sz val="11"/>
        <color theme="1"/>
        <rFont val="等线"/>
        <family val="3"/>
        <charset val="134"/>
        <scheme val="minor"/>
      </rPr>
      <t>“财荫夹印”</t>
    </r>
    <r>
      <rPr>
        <sz val="11"/>
        <color theme="1"/>
        <rFont val="等线"/>
        <family val="2"/>
        <charset val="134"/>
        <scheme val="minor"/>
      </rPr>
      <t>（天梁化禄+天相）大吉；</t>
    </r>
    <r>
      <rPr>
        <b/>
        <sz val="11"/>
        <color theme="1"/>
        <rFont val="等线"/>
        <family val="3"/>
        <charset val="134"/>
        <scheme val="minor"/>
      </rPr>
      <t>“刑忌夹印”</t>
    </r>
    <r>
      <rPr>
        <sz val="11"/>
        <color theme="1"/>
        <rFont val="等线"/>
        <family val="2"/>
        <charset val="134"/>
        <scheme val="minor"/>
      </rPr>
      <t>（擎羊/陀罗+化忌夹天相）大凶。此是断天相吉凶的核心法则。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</si>
  <si>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：天相</t>
    </r>
    <r>
      <rPr>
        <b/>
        <sz val="11"/>
        <color theme="1"/>
        <rFont val="等线"/>
        <family val="3"/>
        <charset val="134"/>
        <scheme val="minor"/>
      </rPr>
      <t>不化禄、不化权、不化科、不化忌</t>
    </r>
    <r>
      <rPr>
        <sz val="11"/>
        <color theme="1"/>
        <rFont val="等线"/>
        <family val="2"/>
        <charset val="134"/>
        <scheme val="minor"/>
      </rPr>
      <t>。其吉凶主要看</t>
    </r>
    <r>
      <rPr>
        <b/>
        <sz val="11"/>
        <color theme="1"/>
        <rFont val="等线"/>
        <family val="3"/>
        <charset val="134"/>
        <scheme val="minor"/>
      </rPr>
      <t>所会照的星曜四化</t>
    </r>
    <r>
      <rPr>
        <sz val="11"/>
        <color theme="1"/>
        <rFont val="等线"/>
        <family val="2"/>
        <charset val="134"/>
        <scheme val="minor"/>
      </rPr>
      <t>以及</t>
    </r>
    <r>
      <rPr>
        <b/>
        <sz val="11"/>
        <color theme="1"/>
        <rFont val="等线"/>
        <family val="3"/>
        <charset val="134"/>
        <scheme val="minor"/>
      </rPr>
      <t>夹宫情况</t>
    </r>
    <r>
      <rPr>
        <sz val="11"/>
        <color theme="1"/>
        <rFont val="等线"/>
        <family val="2"/>
        <charset val="134"/>
        <scheme val="minor"/>
      </rPr>
      <t>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</si>
  <si>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“财荫夹印格”</t>
    </r>
    <r>
      <rPr>
        <sz val="11"/>
        <color theme="1"/>
        <rFont val="等线"/>
        <family val="2"/>
        <charset val="134"/>
        <scheme val="minor"/>
      </rPr>
      <t>（天相被化禄的天梁和天相本身所在的宫位所夹）：主</t>
    </r>
    <r>
      <rPr>
        <b/>
        <sz val="11"/>
        <color theme="1"/>
        <rFont val="等线"/>
        <family val="3"/>
        <charset val="134"/>
        <scheme val="minor"/>
      </rPr>
      <t>富贵双全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“刑忌夹印格”</t>
    </r>
    <r>
      <rPr>
        <sz val="11"/>
        <color theme="1"/>
        <rFont val="等线"/>
        <family val="2"/>
        <charset val="134"/>
        <scheme val="minor"/>
      </rPr>
      <t>（天相被化忌和擎羊或陀罗夹制）：主</t>
    </r>
    <r>
      <rPr>
        <b/>
        <sz val="11"/>
        <color theme="1"/>
        <rFont val="等线"/>
        <family val="3"/>
        <charset val="134"/>
        <scheme val="minor"/>
      </rPr>
      <t>官非、破财、健康受损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</si>
  <si>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办公室、会议室、政府办事大厅、银行、律师事务所、服装店、美容院、中介所、一切需要盖章、认证、提供服务的场所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</si>
  <si>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天相星的全部原始定义、分类与案例，并严格应用修正后的逻辑，在“本质”部分系统化推导并呈现了“人/事/物”三个层次的完整解析。天相星为印星，主协调与服务。其核心在于“印”与“福”，常在文书、契约、形象、服务领域显现，但其“辅佐”与“依赖”的性质需吉星扶持及避免凶煞夹制方能显吉。最喜“财荫夹印”及吉星会照，主一生平稳富贵。然天相最忌“刑忌夹印”及煞星冲破，遇之则官非破败。在紫占中，天相的夹宫情况，是其断事吉凶的首要关键，需结合具体星情与宫位细察。</t>
  </si>
  <si>
    <r>
      <t>印信、协调、形象、辅佐、诚信、服务、契约、文书、</t>
    </r>
    <r>
      <rPr>
        <b/>
        <sz val="11"/>
        <color theme="1"/>
        <rFont val="等线"/>
        <family val="3"/>
        <charset val="134"/>
        <scheme val="minor"/>
      </rPr>
      <t>衣食</t>
    </r>
    <r>
      <rPr>
        <sz val="11"/>
        <color theme="1"/>
        <rFont val="等线"/>
        <family val="2"/>
        <charset val="134"/>
        <scheme val="minor"/>
      </rPr>
      <t>​</t>
    </r>
  </si>
  <si>
    <r>
      <t>1. 人（性格、行为、关系）：</t>
    </r>
    <r>
      <rPr>
        <sz val="11"/>
        <color theme="1"/>
        <rFont val="等线"/>
        <family val="2"/>
        <charset val="134"/>
        <scheme val="minor"/>
      </rPr>
      <t>​ 性格</t>
    </r>
    <r>
      <rPr>
        <b/>
        <sz val="11"/>
        <color theme="1"/>
        <rFont val="等线"/>
        <family val="3"/>
        <charset val="134"/>
        <scheme val="minor"/>
      </rPr>
      <t>稳重诚信、温和有礼、注重形象、乐于助人、有责任感、协调能力强、循规蹈矩</t>
    </r>
    <r>
      <rPr>
        <sz val="11"/>
        <color theme="1"/>
        <rFont val="等线"/>
        <family val="2"/>
        <charset val="134"/>
        <scheme val="minor"/>
      </rPr>
      <t>，但</t>
    </r>
    <r>
      <rPr>
        <b/>
        <sz val="11"/>
        <color theme="1"/>
        <rFont val="等线"/>
        <family val="3"/>
        <charset val="134"/>
        <scheme val="minor"/>
      </rPr>
      <t>缺乏主见、易受他人影响、优柔寡断、有时流于虚伪</t>
    </r>
    <r>
      <rPr>
        <sz val="11"/>
        <color theme="1"/>
        <rFont val="等线"/>
        <family val="2"/>
        <charset val="134"/>
        <scheme val="minor"/>
      </rPr>
      <t>。是</t>
    </r>
    <r>
      <rPr>
        <b/>
        <sz val="11"/>
        <color theme="1"/>
        <rFont val="等线"/>
        <family val="3"/>
        <charset val="134"/>
        <scheme val="minor"/>
      </rPr>
      <t>秘书、助理、顾问、中介、协调者</t>
    </r>
    <r>
      <rPr>
        <sz val="11"/>
        <color theme="1"/>
        <rFont val="等线"/>
        <family val="2"/>
        <charset val="134"/>
        <scheme val="minor"/>
      </rPr>
      <t>的代表。人际关系上，</t>
    </r>
    <r>
      <rPr>
        <b/>
        <sz val="11"/>
        <color theme="1"/>
        <rFont val="等线"/>
        <family val="3"/>
        <charset val="134"/>
        <scheme val="minor"/>
      </rPr>
      <t>善于沟通、调和矛盾、服务他人，但易为他人作嫁衣</t>
    </r>
    <r>
      <rPr>
        <sz val="11"/>
        <color theme="1"/>
        <rFont val="等线"/>
        <family val="2"/>
        <charset val="134"/>
        <scheme val="minor"/>
      </rPr>
      <t>。</t>
    </r>
  </si>
  <si>
    <r>
      <t>2. 事（事件、过程）：</t>
    </r>
    <r>
      <rPr>
        <sz val="11"/>
        <color theme="1"/>
        <rFont val="等线"/>
        <family val="2"/>
        <charset val="134"/>
        <scheme val="minor"/>
      </rPr>
      <t>​ 事件发展过程</t>
    </r>
    <r>
      <rPr>
        <b/>
        <sz val="11"/>
        <color theme="1"/>
        <rFont val="等线"/>
        <family val="3"/>
        <charset val="134"/>
        <scheme val="minor"/>
      </rPr>
      <t>需要协调、沟通、盖章、证明、遵循规则</t>
    </r>
    <r>
      <rPr>
        <sz val="11"/>
        <color theme="1"/>
        <rFont val="等线"/>
        <family val="2"/>
        <charset val="134"/>
        <scheme val="minor"/>
      </rPr>
      <t>。主</t>
    </r>
    <r>
      <rPr>
        <b/>
        <sz val="11"/>
        <color theme="1"/>
        <rFont val="等线"/>
        <family val="3"/>
        <charset val="134"/>
        <scheme val="minor"/>
      </rPr>
      <t>文书契约、法律事务、形象包装、中介服务、协调沟通、辅助性工作</t>
    </r>
    <r>
      <rPr>
        <sz val="11"/>
        <color theme="1"/>
        <rFont val="等线"/>
        <family val="2"/>
        <charset val="134"/>
        <scheme val="minor"/>
      </rPr>
      <t>。也主</t>
    </r>
    <r>
      <rPr>
        <b/>
        <sz val="11"/>
        <color theme="1"/>
        <rFont val="等线"/>
        <family val="3"/>
        <charset val="134"/>
        <scheme val="minor"/>
      </rPr>
      <t>与衣食、基本生活保障相关的事务</t>
    </r>
    <r>
      <rPr>
        <sz val="11"/>
        <color theme="1"/>
        <rFont val="等线"/>
        <family val="2"/>
        <charset val="134"/>
        <scheme val="minor"/>
      </rPr>
      <t>。代表</t>
    </r>
    <r>
      <rPr>
        <b/>
        <sz val="11"/>
        <color theme="1"/>
        <rFont val="等线"/>
        <family val="3"/>
        <charset val="134"/>
        <scheme val="minor"/>
      </rPr>
      <t>需要盖章、认证、担保、按流程办事</t>
    </r>
    <r>
      <rPr>
        <sz val="11"/>
        <color theme="1"/>
        <rFont val="等线"/>
        <family val="2"/>
        <charset val="134"/>
        <scheme val="minor"/>
      </rPr>
      <t>的事务。过程</t>
    </r>
    <r>
      <rPr>
        <b/>
        <sz val="11"/>
        <color theme="1"/>
        <rFont val="等线"/>
        <family val="3"/>
        <charset val="134"/>
        <scheme val="minor"/>
      </rPr>
      <t>平稳、按部就班，但易受外界环境影响</t>
    </r>
    <r>
      <rPr>
        <sz val="11"/>
        <color theme="1"/>
        <rFont val="等线"/>
        <family val="2"/>
        <charset val="134"/>
        <scheme val="minor"/>
      </rPr>
      <t>。</t>
    </r>
  </si>
  <si>
    <r>
      <t>3. 物（物体、空间、形态、维生系统）：</t>
    </r>
    <r>
      <rPr>
        <sz val="11"/>
        <color theme="1"/>
        <rFont val="等线"/>
        <family val="2"/>
        <charset val="134"/>
        <scheme val="minor"/>
      </rPr>
      <t>​ 指代一切</t>
    </r>
    <r>
      <rPr>
        <b/>
        <sz val="11"/>
        <color theme="1"/>
        <rFont val="等线"/>
        <family val="3"/>
        <charset val="134"/>
        <scheme val="minor"/>
      </rPr>
      <t>具有凭证、中介、装饰、协调</t>
    </r>
    <r>
      <rPr>
        <sz val="11"/>
        <color theme="1"/>
        <rFont val="等线"/>
        <family val="2"/>
        <charset val="134"/>
        <scheme val="minor"/>
      </rPr>
      <t>属性的事物，以及</t>
    </r>
    <r>
      <rPr>
        <b/>
        <sz val="11"/>
        <color theme="1"/>
        <rFont val="等线"/>
        <family val="3"/>
        <charset val="134"/>
        <scheme val="minor"/>
      </rPr>
      <t>维持生命与社会生活所必需的系统</t>
    </r>
    <r>
      <rPr>
        <sz val="11"/>
        <color theme="1"/>
        <rFont val="等线"/>
        <family val="2"/>
        <charset val="134"/>
        <scheme val="minor"/>
      </rPr>
      <t>。如：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</si>
  <si>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具体物体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印章、合同、证书、身份证、护照、衣服、装饰品、化妆品、中介所、服务台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</si>
  <si>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空间与形态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办公室、会议室、接待室、政府办事大厅、银行、服装店、美容院、对称、平整、规则的形态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</si>
  <si>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抽象象征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规则、流程、形象、信用、担保、中介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</si>
  <si>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维生系统</t>
    </r>
    <r>
      <rPr>
        <sz val="11"/>
        <color theme="1"/>
        <rFont val="等线"/>
        <family val="2"/>
        <charset val="134"/>
        <scheme val="minor"/>
      </rPr>
      <t>：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</si>
  <si>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生理维生系统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泌尿系统、消化系统、皮肤</t>
    </r>
    <r>
      <rPr>
        <sz val="11"/>
        <color theme="1"/>
        <rFont val="等线"/>
        <family val="2"/>
        <charset val="134"/>
        <scheme val="minor"/>
      </rPr>
      <t>（属阳水，主这些器官的功能与健康）。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</si>
  <si>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社会维生系统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印信、证件、契约</t>
    </r>
    <r>
      <rPr>
        <sz val="11"/>
        <color theme="1"/>
        <rFont val="等线"/>
        <family val="2"/>
        <charset val="134"/>
        <scheme val="minor"/>
      </rPr>
      <t>（维持社会身份、信用与法律关系的凭证）。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</si>
  <si>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生活维生系统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衣食</t>
    </r>
    <r>
      <rPr>
        <sz val="11"/>
        <color theme="1"/>
        <rFont val="等线"/>
        <family val="2"/>
        <charset val="134"/>
        <scheme val="minor"/>
      </rPr>
      <t>（天相与天府同属“衣食之星”，主管生活基本所需与体面）。</t>
    </r>
  </si>
  <si>
    <r>
      <t xml:space="preserve">整合自《金刚佛光-紫占课程手册》及相关权威资料，并特别补充了由天相“印信”、“衣食”核心象征所必然推导出的 </t>
    </r>
    <r>
      <rPr>
        <b/>
        <sz val="11"/>
        <color theme="1"/>
        <rFont val="等线"/>
        <family val="3"/>
        <charset val="134"/>
        <scheme val="minor"/>
      </rPr>
      <t>“维生系统”</t>
    </r>
    <r>
      <rPr>
        <sz val="11"/>
        <color theme="1"/>
        <rFont val="等线"/>
        <family val="2"/>
        <charset val="134"/>
        <scheme val="minor"/>
      </rPr>
      <t>​ 属性及其在“物”的层次（生理、社会、生活）的具体体现。</t>
    </r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</si>
  <si>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天梁星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的完整象义解析如下（严格遵循原始资料结构与表述，并应用修正后的逻辑，在“本质”部分系统化呈现“人/事/物”三个层次）：</t>
    </r>
  </si>
  <si>
    <t>一、天梁定义</t>
  </si>
  <si>
    <r>
      <t>甲级星，</t>
    </r>
    <r>
      <rPr>
        <b/>
        <sz val="12"/>
        <color theme="1"/>
        <rFont val="等线"/>
        <family val="3"/>
        <charset val="134"/>
        <scheme val="minor"/>
      </rPr>
      <t>南斗星</t>
    </r>
    <r>
      <rPr>
        <sz val="12"/>
        <color theme="1"/>
        <rFont val="等线"/>
        <family val="3"/>
        <charset val="134"/>
        <scheme val="minor"/>
      </rPr>
      <t>，五行属</t>
    </r>
    <r>
      <rPr>
        <b/>
        <sz val="12"/>
        <color theme="1"/>
        <rFont val="等线"/>
        <family val="3"/>
        <charset val="134"/>
        <scheme val="minor"/>
      </rPr>
      <t>阳土</t>
    </r>
    <r>
      <rPr>
        <sz val="12"/>
        <color theme="1"/>
        <rFont val="等线"/>
        <family val="3"/>
        <charset val="134"/>
        <scheme val="minor"/>
      </rPr>
      <t>。化气为</t>
    </r>
    <r>
      <rPr>
        <b/>
        <sz val="12"/>
        <color theme="1"/>
        <rFont val="等线"/>
        <family val="3"/>
        <charset val="134"/>
        <scheme val="minor"/>
      </rPr>
      <t>荫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荫星</t>
    </r>
    <r>
      <rPr>
        <sz val="12"/>
        <color theme="1"/>
        <rFont val="等线"/>
        <family val="3"/>
        <charset val="134"/>
        <scheme val="minor"/>
      </rPr>
      <t>、</t>
    </r>
    <r>
      <rPr>
        <b/>
        <sz val="12"/>
        <color theme="1"/>
        <rFont val="等线"/>
        <family val="3"/>
        <charset val="134"/>
        <scheme val="minor"/>
      </rPr>
      <t>寿星</t>
    </r>
    <r>
      <rPr>
        <sz val="12"/>
        <color theme="1"/>
        <rFont val="等线"/>
        <family val="3"/>
        <charset val="134"/>
        <scheme val="minor"/>
      </rPr>
      <t>。喜见</t>
    </r>
    <r>
      <rPr>
        <b/>
        <sz val="12"/>
        <color theme="1"/>
        <rFont val="等线"/>
        <family val="3"/>
        <charset val="134"/>
        <scheme val="minor"/>
      </rPr>
      <t>天同、天机、太阳、文昌、文曲、左辅、右弼、天魁、天钺</t>
    </r>
    <r>
      <rPr>
        <sz val="12"/>
        <color theme="1"/>
        <rFont val="等线"/>
        <family val="3"/>
        <charset val="134"/>
        <scheme val="minor"/>
      </rPr>
      <t>等吉星，主</t>
    </r>
    <r>
      <rPr>
        <b/>
        <sz val="12"/>
        <color theme="1"/>
        <rFont val="等线"/>
        <family val="3"/>
        <charset val="134"/>
        <scheme val="minor"/>
      </rPr>
      <t>福寿双全，遇难成祥</t>
    </r>
    <r>
      <rPr>
        <sz val="12"/>
        <color theme="1"/>
        <rFont val="等线"/>
        <family val="3"/>
        <charset val="134"/>
        <scheme val="minor"/>
      </rPr>
      <t>。不喜</t>
    </r>
    <r>
      <rPr>
        <b/>
        <sz val="12"/>
        <color theme="1"/>
        <rFont val="等线"/>
        <family val="3"/>
        <charset val="134"/>
        <scheme val="minor"/>
      </rPr>
      <t>化禄</t>
    </r>
    <r>
      <rPr>
        <sz val="12"/>
        <color theme="1"/>
        <rFont val="等线"/>
        <family val="3"/>
        <charset val="134"/>
        <scheme val="minor"/>
      </rPr>
      <t>（易使原则动摇），喜</t>
    </r>
    <r>
      <rPr>
        <b/>
        <sz val="12"/>
        <color theme="1"/>
        <rFont val="等线"/>
        <family val="3"/>
        <charset val="134"/>
        <scheme val="minor"/>
      </rPr>
      <t>化权</t>
    </r>
    <r>
      <rPr>
        <sz val="12"/>
        <color theme="1"/>
        <rFont val="等线"/>
        <family val="3"/>
        <charset val="134"/>
        <scheme val="minor"/>
      </rPr>
      <t>（增强权威）、</t>
    </r>
    <r>
      <rPr>
        <b/>
        <sz val="12"/>
        <color theme="1"/>
        <rFont val="等线"/>
        <family val="3"/>
        <charset val="134"/>
        <scheme val="minor"/>
      </rPr>
      <t>化科</t>
    </r>
    <r>
      <rPr>
        <sz val="12"/>
        <color theme="1"/>
        <rFont val="等线"/>
        <family val="3"/>
        <charset val="134"/>
        <scheme val="minor"/>
      </rPr>
      <t>（增添清誉）。最忌</t>
    </r>
    <r>
      <rPr>
        <b/>
        <sz val="12"/>
        <color theme="1"/>
        <rFont val="等线"/>
        <family val="3"/>
        <charset val="134"/>
        <scheme val="minor"/>
      </rPr>
      <t>煞星</t>
    </r>
    <r>
      <rPr>
        <sz val="12"/>
        <color theme="1"/>
        <rFont val="等线"/>
        <family val="3"/>
        <charset val="134"/>
        <scheme val="minor"/>
      </rPr>
      <t>（擎羊、陀罗、火星、铃星、地空、地劫），遇之则</t>
    </r>
    <r>
      <rPr>
        <b/>
        <sz val="12"/>
        <color theme="1"/>
        <rFont val="等线"/>
        <family val="3"/>
        <charset val="134"/>
        <scheme val="minor"/>
      </rPr>
      <t>孤克性质加重，福荫减弱，易有灾病</t>
    </r>
    <r>
      <rPr>
        <sz val="12"/>
        <color theme="1"/>
        <rFont val="等线"/>
        <family val="3"/>
        <charset val="134"/>
        <scheme val="minor"/>
      </rPr>
      <t>。天梁的“荫”是</t>
    </r>
    <r>
      <rPr>
        <b/>
        <sz val="12"/>
        <color theme="1"/>
        <rFont val="等线"/>
        <family val="3"/>
        <charset val="134"/>
        <scheme val="minor"/>
      </rPr>
      <t>先灾后祥，先难后易</t>
    </r>
    <r>
      <rPr>
        <sz val="12"/>
        <color theme="1"/>
        <rFont val="等线"/>
        <family val="3"/>
        <charset val="134"/>
        <scheme val="minor"/>
      </rPr>
      <t>，常带孤克色彩以化解灾厄。</t>
    </r>
  </si>
  <si>
    <r>
      <t>荫星与寿星</t>
    </r>
    <r>
      <rPr>
        <sz val="12"/>
        <color theme="1"/>
        <rFont val="等线"/>
        <family val="3"/>
        <charset val="134"/>
        <scheme val="minor"/>
      </rPr>
      <t>​</t>
    </r>
  </si>
  <si>
    <r>
      <t>核心代表</t>
    </r>
    <r>
      <rPr>
        <b/>
        <sz val="12"/>
        <color theme="1"/>
        <rFont val="等线"/>
        <family val="3"/>
        <charset val="134"/>
        <scheme val="minor"/>
      </rPr>
      <t>荫庇、福报、长寿</t>
    </r>
    <r>
      <rPr>
        <sz val="12"/>
        <color theme="1"/>
        <rFont val="等线"/>
        <family val="3"/>
        <charset val="134"/>
        <scheme val="minor"/>
      </rPr>
      <t>。象征</t>
    </r>
    <r>
      <rPr>
        <b/>
        <sz val="12"/>
        <color theme="1"/>
        <rFont val="等线"/>
        <family val="3"/>
        <charset val="134"/>
        <scheme val="minor"/>
      </rPr>
      <t>化解灾难、遇难成祥</t>
    </r>
    <r>
      <rPr>
        <sz val="12"/>
        <color theme="1"/>
        <rFont val="等线"/>
        <family val="3"/>
        <charset val="134"/>
        <scheme val="minor"/>
      </rPr>
      <t>。在命盘中主</t>
    </r>
    <r>
      <rPr>
        <b/>
        <sz val="12"/>
        <color theme="1"/>
        <rFont val="等线"/>
        <family val="3"/>
        <charset val="134"/>
        <scheme val="minor"/>
      </rPr>
      <t>有长辈、贵人庇护，本人也具庇护他人之能</t>
    </r>
    <r>
      <rPr>
        <sz val="12"/>
        <color theme="1"/>
        <rFont val="等线"/>
        <family val="3"/>
        <charset val="134"/>
        <scheme val="minor"/>
      </rPr>
      <t>。</t>
    </r>
  </si>
  <si>
    <t>在命宫、福德宫时，主一生多逢凶化吉，有寿，晚年运佳。</t>
  </si>
  <si>
    <r>
      <t>清高与原则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</si>
  <si>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“荫”</t>
    </r>
    <r>
      <rPr>
        <sz val="12"/>
        <color theme="1"/>
        <rFont val="等线"/>
        <family val="3"/>
        <charset val="134"/>
        <scheme val="minor"/>
      </rPr>
      <t>，亦为</t>
    </r>
    <r>
      <rPr>
        <b/>
        <sz val="12"/>
        <color theme="1"/>
        <rFont val="等线"/>
        <family val="3"/>
        <charset val="134"/>
        <scheme val="minor"/>
      </rPr>
      <t>“清高之星”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原则、纪律、清誉、不徇私情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耿直，是非分明，有道德感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</si>
  <si>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在命宫、官禄宫时，主适合法律、监察、审计、医疗等需要高度原则性的职业。</t>
  </si>
  <si>
    <r>
      <t>监察与医药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</si>
  <si>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监察、审核、医疗、医药</t>
    </r>
    <r>
      <rPr>
        <sz val="12"/>
        <color theme="1"/>
        <rFont val="等线"/>
        <family val="3"/>
        <charset val="134"/>
        <scheme val="minor"/>
      </rPr>
      <t>。具有</t>
    </r>
    <r>
      <rPr>
        <b/>
        <sz val="12"/>
        <color theme="1"/>
        <rFont val="等线"/>
        <family val="3"/>
        <charset val="134"/>
        <scheme val="minor"/>
      </rPr>
      <t>发现问题、诊断问题、解决问题（尤其是痼疾）</t>
    </r>
    <r>
      <rPr>
        <sz val="12"/>
        <color theme="1"/>
        <rFont val="等线"/>
        <family val="3"/>
        <charset val="134"/>
        <scheme val="minor"/>
      </rPr>
      <t>​ 的能力。</t>
    </r>
  </si>
  <si>
    <t>在命宫、官禄宫、疾厄宫时，主适合医生、法官、审计师、质检员等职业。</t>
  </si>
  <si>
    <r>
      <t>孤克与说教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</si>
  <si>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“孤星”</t>
    </r>
    <r>
      <rPr>
        <sz val="12"/>
        <color theme="1"/>
        <rFont val="等线"/>
        <family val="3"/>
        <charset val="134"/>
        <scheme val="minor"/>
      </rPr>
      <t>，因清高而显</t>
    </r>
    <r>
      <rPr>
        <b/>
        <sz val="12"/>
        <color theme="1"/>
        <rFont val="等线"/>
        <family val="3"/>
        <charset val="134"/>
        <scheme val="minor"/>
      </rPr>
      <t>孤傲，人际关系疏淡</t>
    </r>
    <r>
      <rPr>
        <sz val="12"/>
        <color theme="1"/>
        <rFont val="等线"/>
        <family val="3"/>
        <charset val="134"/>
        <scheme val="minor"/>
      </rPr>
      <t>。好</t>
    </r>
    <r>
      <rPr>
        <b/>
        <sz val="12"/>
        <color theme="1"/>
        <rFont val="等线"/>
        <family val="3"/>
        <charset val="134"/>
        <scheme val="minor"/>
      </rPr>
      <t>管闲事、喜说教</t>
    </r>
    <r>
      <rPr>
        <sz val="12"/>
        <color theme="1"/>
        <rFont val="等线"/>
        <family val="3"/>
        <charset val="134"/>
        <scheme val="minor"/>
      </rPr>
      <t>，易招人反感。</t>
    </r>
  </si>
  <si>
    <t>在命宫、夫妻宫时，主婚姻较迟或感情平淡，人际关系需注意沟通方式。</t>
  </si>
  <si>
    <r>
      <t>身材清瘦挺拔，面容严肃，有长者风范，目光有神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</si>
  <si>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：清高耿直，有原则，乐于助人，有责任心，有长辈缘，遇事沉稳。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</si>
  <si>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：孤傲，固执，爱挑剔，好管闲事，喜说教，有时不近人情。</t>
    </r>
  </si>
  <si>
    <r>
      <t>属阳土，主</t>
    </r>
    <r>
      <rPr>
        <b/>
        <sz val="12"/>
        <color theme="1"/>
        <rFont val="等线"/>
        <family val="3"/>
        <charset val="134"/>
        <scheme val="minor"/>
      </rPr>
      <t>脾胃、免疫系统、骨骼（尤指脊柱）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慢性病、免疫系统疾病、脊柱问题、肠胃不适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</si>
  <si>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清高耿直，有原则，有长辈缘，好管闲事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天生的顾问、调解者、保护者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法律、医疗、教育、宗教、监察、公益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喜吉星会照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福寿双全，遇难成祥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忌煞星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孤克性质加重，人生多波折</t>
    </r>
    <r>
      <rPr>
        <sz val="12"/>
        <color theme="1"/>
        <rFont val="等线"/>
        <family val="3"/>
        <charset val="134"/>
        <scheme val="minor"/>
      </rPr>
      <t>。天梁坐命，需</t>
    </r>
    <r>
      <rPr>
        <b/>
        <sz val="12"/>
        <color theme="1"/>
        <rFont val="等线"/>
        <family val="3"/>
        <charset val="134"/>
        <scheme val="minor"/>
      </rPr>
      <t>修心养性，避免过于孤傲与说教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</si>
  <si>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兄弟姐妹中可能有</t>
    </r>
    <r>
      <rPr>
        <b/>
        <sz val="12"/>
        <color theme="1"/>
        <rFont val="等线"/>
        <family val="3"/>
        <charset val="134"/>
        <scheme val="minor"/>
      </rPr>
      <t>年长或像长辈一样照顾自己者</t>
    </r>
    <r>
      <rPr>
        <sz val="12"/>
        <color theme="1"/>
        <rFont val="等线"/>
        <family val="3"/>
        <charset val="134"/>
        <scheme val="minor"/>
      </rPr>
      <t>，但也易有</t>
    </r>
    <r>
      <rPr>
        <b/>
        <sz val="12"/>
        <color theme="1"/>
        <rFont val="等线"/>
        <family val="3"/>
        <charset val="134"/>
        <scheme val="minor"/>
      </rPr>
      <t>原则性强、好说教者</t>
    </r>
    <r>
      <rPr>
        <sz val="12"/>
        <color theme="1"/>
        <rFont val="等线"/>
        <family val="3"/>
        <charset val="134"/>
        <scheme val="minor"/>
      </rPr>
      <t>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</si>
  <si>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年龄可能偏大，或有家长作风</t>
    </r>
    <r>
      <rPr>
        <sz val="12"/>
        <color theme="1"/>
        <rFont val="等线"/>
        <family val="3"/>
        <charset val="134"/>
        <scheme val="minor"/>
      </rPr>
      <t>。婚姻关系</t>
    </r>
    <r>
      <rPr>
        <b/>
        <sz val="12"/>
        <color theme="1"/>
        <rFont val="等线"/>
        <family val="3"/>
        <charset val="134"/>
        <scheme val="minor"/>
      </rPr>
      <t>像长辈照顾晚辈，平淡但稳定</t>
    </r>
    <r>
      <rPr>
        <sz val="12"/>
        <color theme="1"/>
        <rFont val="等线"/>
        <family val="3"/>
        <charset val="134"/>
        <scheme val="minor"/>
      </rPr>
      <t>。若天梁性质差，则</t>
    </r>
    <r>
      <rPr>
        <b/>
        <sz val="12"/>
        <color theme="1"/>
        <rFont val="等线"/>
        <family val="3"/>
        <charset val="134"/>
        <scheme val="minor"/>
      </rPr>
      <t>婚姻迟、感情淡、或配偶健康需注意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</si>
  <si>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懂事、有礼貌，但可能显得老成</t>
    </r>
    <r>
      <rPr>
        <sz val="12"/>
        <color theme="1"/>
        <rFont val="等线"/>
        <family val="3"/>
        <charset val="134"/>
        <scheme val="minor"/>
      </rPr>
      <t>。教育得当可成材，且孝顺。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</si>
  <si>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凭专业、信誉、或长辈赠与</t>
    </r>
    <r>
      <rPr>
        <sz val="12"/>
        <color theme="1"/>
        <rFont val="等线"/>
        <family val="3"/>
        <charset val="134"/>
        <scheme val="minor"/>
      </rPr>
      <t>。不喜投机，钱财</t>
    </r>
    <r>
      <rPr>
        <b/>
        <sz val="12"/>
        <color theme="1"/>
        <rFont val="等线"/>
        <family val="3"/>
        <charset val="134"/>
        <scheme val="minor"/>
      </rPr>
      <t>来得正，去得稳</t>
    </r>
    <r>
      <rPr>
        <sz val="12"/>
        <color theme="1"/>
        <rFont val="等线"/>
        <family val="3"/>
        <charset val="134"/>
        <scheme val="minor"/>
      </rPr>
      <t>。见禄存、化禄，主</t>
    </r>
    <r>
      <rPr>
        <b/>
        <sz val="12"/>
        <color theme="1"/>
        <rFont val="等线"/>
        <family val="3"/>
        <charset val="134"/>
        <scheme val="minor"/>
      </rPr>
      <t>因名望、专业得财</t>
    </r>
    <r>
      <rPr>
        <sz val="12"/>
        <color theme="1"/>
        <rFont val="等线"/>
        <family val="3"/>
        <charset val="134"/>
        <scheme val="minor"/>
      </rPr>
      <t>；但天梁化禄需防原则松动而破财。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</si>
  <si>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慢性病、免疫系统疾病、脊柱问题</t>
    </r>
    <r>
      <rPr>
        <sz val="12"/>
        <color theme="1"/>
        <rFont val="等线"/>
        <family val="3"/>
        <charset val="134"/>
        <scheme val="minor"/>
      </rPr>
      <t>。天梁为寿星，</t>
    </r>
    <r>
      <rPr>
        <b/>
        <sz val="12"/>
        <color theme="1"/>
        <rFont val="等线"/>
        <family val="3"/>
        <charset val="134"/>
        <scheme val="minor"/>
      </rPr>
      <t>有病易得良医，能逢凶化吉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</si>
  <si>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易得年长贵人帮助，适合在异地发展专业</t>
    </r>
    <r>
      <rPr>
        <sz val="12"/>
        <color theme="1"/>
        <rFont val="等线"/>
        <family val="3"/>
        <charset val="134"/>
        <scheme val="minor"/>
      </rPr>
      <t>。</t>
    </r>
  </si>
  <si>
    <r>
      <t>朋友、同事中多正直、年长或像老师一样的人</t>
    </r>
    <r>
      <rPr>
        <sz val="12"/>
        <color theme="1"/>
        <rFont val="等线"/>
        <family val="3"/>
        <charset val="134"/>
        <scheme val="minor"/>
      </rPr>
      <t>。天梁吉则得</t>
    </r>
    <r>
      <rPr>
        <b/>
        <sz val="12"/>
        <color theme="1"/>
        <rFont val="等线"/>
        <family val="3"/>
        <charset val="134"/>
        <scheme val="minor"/>
      </rPr>
      <t>良师益友</t>
    </r>
    <r>
      <rPr>
        <sz val="12"/>
        <color theme="1"/>
        <rFont val="等线"/>
        <family val="3"/>
        <charset val="134"/>
        <scheme val="minor"/>
      </rPr>
      <t>；天梁凶则易遇</t>
    </r>
    <r>
      <rPr>
        <b/>
        <sz val="12"/>
        <color theme="1"/>
        <rFont val="等线"/>
        <family val="3"/>
        <charset val="134"/>
        <scheme val="minor"/>
      </rPr>
      <t>好批评、爱说教之人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</si>
  <si>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需要原则、专业、审查</t>
    </r>
    <r>
      <rPr>
        <sz val="12"/>
        <color theme="1"/>
        <rFont val="等线"/>
        <family val="3"/>
        <charset val="134"/>
        <scheme val="minor"/>
      </rPr>
      <t>的工作，如</t>
    </r>
    <r>
      <rPr>
        <b/>
        <sz val="12"/>
        <color theme="1"/>
        <rFont val="等线"/>
        <family val="3"/>
        <charset val="134"/>
        <scheme val="minor"/>
      </rPr>
      <t>法律、医疗、教育、宗教、监察、审计、公益事业</t>
    </r>
    <r>
      <rPr>
        <sz val="12"/>
        <color theme="1"/>
        <rFont val="等线"/>
        <family val="3"/>
        <charset val="134"/>
        <scheme val="minor"/>
      </rPr>
      <t>。不喜商业投机，适合在专业领域深耕。</t>
    </r>
  </si>
  <si>
    <r>
      <t>家宅附近可能有医疗机构、法院、寺庙等</t>
    </r>
    <r>
      <rPr>
        <sz val="12"/>
        <color theme="1"/>
        <rFont val="等线"/>
        <family val="3"/>
        <charset val="134"/>
        <scheme val="minor"/>
      </rPr>
      <t>。天梁吉则</t>
    </r>
    <r>
      <rPr>
        <b/>
        <sz val="12"/>
        <color theme="1"/>
        <rFont val="等线"/>
        <family val="3"/>
        <charset val="134"/>
        <scheme val="minor"/>
      </rPr>
      <t>家宅安宁，得祖荫</t>
    </r>
    <r>
      <rPr>
        <sz val="12"/>
        <color theme="1"/>
        <rFont val="等线"/>
        <family val="3"/>
        <charset val="134"/>
        <scheme val="minor"/>
      </rPr>
      <t>；天梁凶则</t>
    </r>
    <r>
      <rPr>
        <b/>
        <sz val="12"/>
        <color theme="1"/>
        <rFont val="等线"/>
        <family val="3"/>
        <charset val="134"/>
        <scheme val="minor"/>
      </rPr>
      <t>家宅易有是非，或房产有法律纠纷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</si>
  <si>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清高，重精神享受与道德原则</t>
    </r>
    <r>
      <rPr>
        <sz val="12"/>
        <color theme="1"/>
        <rFont val="等线"/>
        <family val="3"/>
        <charset val="134"/>
        <scheme val="minor"/>
      </rPr>
      <t>。内心</t>
    </r>
    <r>
      <rPr>
        <b/>
        <sz val="12"/>
        <color theme="1"/>
        <rFont val="等线"/>
        <family val="3"/>
        <charset val="134"/>
        <scheme val="minor"/>
      </rPr>
      <t>善良，有宗教情怀，相信因果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</si>
  <si>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有责任心，像老师一样严格</t>
    </r>
    <r>
      <rPr>
        <sz val="12"/>
        <color theme="1"/>
        <rFont val="等线"/>
        <family val="3"/>
        <charset val="134"/>
        <scheme val="minor"/>
      </rPr>
      <t>，或父母为</t>
    </r>
    <r>
      <rPr>
        <b/>
        <sz val="12"/>
        <color theme="1"/>
        <rFont val="等线"/>
        <family val="3"/>
        <charset val="134"/>
        <scheme val="minor"/>
      </rPr>
      <t>公务员、教师、医生</t>
    </r>
    <r>
      <rPr>
        <sz val="12"/>
        <color theme="1"/>
        <rFont val="等线"/>
        <family val="3"/>
        <charset val="134"/>
        <scheme val="minor"/>
      </rPr>
      <t>等职业。得天梁荫庇，</t>
    </r>
    <r>
      <rPr>
        <b/>
        <sz val="12"/>
        <color theme="1"/>
        <rFont val="等线"/>
        <family val="3"/>
        <charset val="134"/>
        <scheme val="minor"/>
      </rPr>
      <t>易得父母或长辈的照顾与遗产</t>
    </r>
    <r>
      <rPr>
        <sz val="12"/>
        <color theme="1"/>
        <rFont val="等线"/>
        <family val="3"/>
        <charset val="134"/>
        <scheme val="minor"/>
      </rPr>
      <t>。</t>
    </r>
  </si>
  <si>
    <t>1. 增强荫庇/清高/专业组合</t>
  </si>
  <si>
    <r>
      <t>天梁+紫微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</si>
  <si>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帝星遇荫</t>
    </r>
    <r>
      <rPr>
        <sz val="12"/>
        <color theme="1"/>
        <rFont val="等线"/>
        <family val="3"/>
        <charset val="134"/>
        <scheme val="minor"/>
      </rPr>
      <t>，尊贵与荫庇结合，</t>
    </r>
    <r>
      <rPr>
        <b/>
        <sz val="12"/>
        <color theme="1"/>
        <rFont val="等线"/>
        <family val="3"/>
        <charset val="134"/>
        <scheme val="minor"/>
      </rPr>
      <t>“紫梁”组合，有领导才能且重原则，适合司法、监察领域的高层</t>
    </r>
    <r>
      <rPr>
        <sz val="12"/>
        <color theme="1"/>
        <rFont val="等线"/>
        <family val="3"/>
        <charset val="134"/>
        <scheme val="minor"/>
      </rPr>
      <t>。</t>
    </r>
  </si>
  <si>
    <t>大法官；监察机构领导。</t>
  </si>
  <si>
    <r>
      <t>天梁+天机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</si>
  <si>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智星遇荫</t>
    </r>
    <r>
      <rPr>
        <sz val="12"/>
        <color theme="1"/>
        <rFont val="等线"/>
        <family val="3"/>
        <charset val="134"/>
        <scheme val="minor"/>
      </rPr>
      <t>，机巧与荫庇结合，</t>
    </r>
    <r>
      <rPr>
        <b/>
        <sz val="12"/>
        <color theme="1"/>
        <rFont val="等线"/>
        <family val="3"/>
        <charset val="134"/>
        <scheme val="minor"/>
      </rPr>
      <t>“机梁”组合，善策划、谋略，适合法律、医疗策划、学术研究</t>
    </r>
    <r>
      <rPr>
        <sz val="12"/>
        <color theme="1"/>
        <rFont val="等线"/>
        <family val="3"/>
        <charset val="134"/>
        <scheme val="minor"/>
      </rPr>
      <t>。</t>
    </r>
  </si>
  <si>
    <t>法律顾问；医疗系统管理者；学者。</t>
  </si>
  <si>
    <r>
      <t>天梁+太阳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</si>
  <si>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日星遇荫</t>
    </r>
    <r>
      <rPr>
        <sz val="12"/>
        <color theme="1"/>
        <rFont val="等线"/>
        <family val="3"/>
        <charset val="134"/>
        <scheme val="minor"/>
      </rPr>
      <t>，光明与荫庇结合，</t>
    </r>
    <r>
      <rPr>
        <b/>
        <sz val="12"/>
        <color theme="1"/>
        <rFont val="等线"/>
        <family val="3"/>
        <charset val="134"/>
        <scheme val="minor"/>
      </rPr>
      <t>“阳梁昌禄格”，利于科甲、学术、司法，清贵有声名</t>
    </r>
    <r>
      <rPr>
        <sz val="12"/>
        <color theme="1"/>
        <rFont val="等线"/>
        <family val="3"/>
        <charset val="134"/>
        <scheme val="minor"/>
      </rPr>
      <t>。</t>
    </r>
  </si>
  <si>
    <t>学者；法官；社会贤达。</t>
  </si>
  <si>
    <r>
      <t>天梁+武曲</t>
    </r>
    <r>
      <rPr>
        <sz val="12"/>
        <color theme="1"/>
        <rFont val="等线"/>
        <family val="3"/>
        <charset val="134"/>
        <scheme val="minor"/>
      </rPr>
      <t>​</t>
    </r>
  </si>
  <si>
    <r>
      <t>刚金遇荫</t>
    </r>
    <r>
      <rPr>
        <sz val="12"/>
        <color theme="1"/>
        <rFont val="等线"/>
        <family val="3"/>
        <charset val="134"/>
        <scheme val="minor"/>
      </rPr>
      <t>，行动力与荫庇结合，</t>
    </r>
    <r>
      <rPr>
        <b/>
        <sz val="12"/>
        <color theme="1"/>
        <rFont val="等线"/>
        <family val="3"/>
        <charset val="134"/>
        <scheme val="minor"/>
      </rPr>
      <t>“武梁”组合，执行力强且守原则，适合军警、金融监管</t>
    </r>
    <r>
      <rPr>
        <sz val="12"/>
        <color theme="1"/>
        <rFont val="等线"/>
        <family val="3"/>
        <charset val="134"/>
        <scheme val="minor"/>
      </rPr>
      <t>。</t>
    </r>
  </si>
  <si>
    <t>纪律部队官员；金融监管者。</t>
  </si>
  <si>
    <r>
      <t>天梁+天同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</si>
  <si>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福星遇荫</t>
    </r>
    <r>
      <rPr>
        <sz val="12"/>
        <color theme="1"/>
        <rFont val="等线"/>
        <family val="3"/>
        <charset val="134"/>
        <scheme val="minor"/>
      </rPr>
      <t>，享受与荫庇结合，</t>
    </r>
    <r>
      <rPr>
        <b/>
        <sz val="12"/>
        <color theme="1"/>
        <rFont val="等线"/>
        <family val="3"/>
        <charset val="134"/>
        <scheme val="minor"/>
      </rPr>
      <t>“同梁”组合，增加福气，生活安逸且有长辈缘，逢凶化吉</t>
    </r>
    <r>
      <rPr>
        <sz val="12"/>
        <color theme="1"/>
        <rFont val="等线"/>
        <family val="3"/>
        <charset val="134"/>
        <scheme val="minor"/>
      </rPr>
      <t>。</t>
    </r>
  </si>
  <si>
    <t>受长辈荫庇的福气之人；慈善家。</t>
  </si>
  <si>
    <r>
      <t>天梁+廉贞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</si>
  <si>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囚星遇荫</t>
    </r>
    <r>
      <rPr>
        <sz val="12"/>
        <color theme="1"/>
        <rFont val="等线"/>
        <family val="3"/>
        <charset val="134"/>
        <scheme val="minor"/>
      </rPr>
      <t>，感情官非与荫庇结合，</t>
    </r>
    <r>
      <rPr>
        <b/>
        <sz val="12"/>
        <color theme="1"/>
        <rFont val="等线"/>
        <family val="3"/>
        <charset val="134"/>
        <scheme val="minor"/>
      </rPr>
      <t>“廉梁”组合，感情复杂，易有法律纠纷，但能化解</t>
    </r>
    <r>
      <rPr>
        <sz val="12"/>
        <color theme="1"/>
        <rFont val="等线"/>
        <family val="3"/>
        <charset val="134"/>
        <scheme val="minor"/>
      </rPr>
      <t>。</t>
    </r>
  </si>
  <si>
    <t>处理感情纠纷的律师；但自身需防官非。</t>
  </si>
  <si>
    <r>
      <t>天梁+天府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</si>
  <si>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库星遇荫</t>
    </r>
    <r>
      <rPr>
        <sz val="12"/>
        <color theme="1"/>
        <rFont val="等线"/>
        <family val="3"/>
        <charset val="134"/>
        <scheme val="minor"/>
      </rPr>
      <t>，稳重与荫庇结合，</t>
    </r>
    <r>
      <rPr>
        <b/>
        <sz val="12"/>
        <color theme="1"/>
        <rFont val="等线"/>
        <family val="3"/>
        <charset val="134"/>
        <scheme val="minor"/>
      </rPr>
      <t>“府梁”组合，稳重且有原则，善于管理，福寿双全</t>
    </r>
    <r>
      <rPr>
        <sz val="12"/>
        <color theme="1"/>
        <rFont val="等线"/>
        <family val="3"/>
        <charset val="134"/>
        <scheme val="minor"/>
      </rPr>
      <t>。</t>
    </r>
  </si>
  <si>
    <t>大型机构管理者；德高望重的长者。</t>
  </si>
  <si>
    <r>
      <t>天梁+太阴</t>
    </r>
    <r>
      <rPr>
        <sz val="12"/>
        <color theme="1"/>
        <rFont val="等线"/>
        <family val="3"/>
        <charset val="134"/>
        <scheme val="minor"/>
      </rPr>
      <t>​</t>
    </r>
  </si>
  <si>
    <r>
      <t>月星遇荫</t>
    </r>
    <r>
      <rPr>
        <sz val="12"/>
        <color theme="1"/>
        <rFont val="等线"/>
        <family val="3"/>
        <charset val="134"/>
        <scheme val="minor"/>
      </rPr>
      <t>，阴柔与荫庇结合，</t>
    </r>
    <r>
      <rPr>
        <b/>
        <sz val="12"/>
        <color theme="1"/>
        <rFont val="等线"/>
        <family val="3"/>
        <charset val="134"/>
        <scheme val="minor"/>
      </rPr>
      <t>“阴梁”组合，内心细腻，善于照顾人，适合医疗、护理、公益</t>
    </r>
    <r>
      <rPr>
        <sz val="12"/>
        <color theme="1"/>
        <rFont val="等线"/>
        <family val="3"/>
        <charset val="134"/>
        <scheme val="minor"/>
      </rPr>
      <t>。</t>
    </r>
  </si>
  <si>
    <t>医生；护士；社会福利工作者。</t>
  </si>
  <si>
    <r>
      <t>天梁+贪狼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</si>
  <si>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欲星遇荫</t>
    </r>
    <r>
      <rPr>
        <sz val="12"/>
        <color theme="1"/>
        <rFont val="等线"/>
        <family val="3"/>
        <charset val="134"/>
        <scheme val="minor"/>
      </rPr>
      <t>，欲望与荫庇结合，</t>
    </r>
    <r>
      <rPr>
        <b/>
        <sz val="12"/>
        <color theme="1"/>
        <rFont val="等线"/>
        <family val="3"/>
        <charset val="134"/>
        <scheme val="minor"/>
      </rPr>
      <t>“贪梁”组合，外表清高，内心欲望强，易有桃花，但能化解</t>
    </r>
    <r>
      <rPr>
        <sz val="12"/>
        <color theme="1"/>
        <rFont val="等线"/>
        <family val="3"/>
        <charset val="134"/>
        <scheme val="minor"/>
      </rPr>
      <t>。</t>
    </r>
  </si>
  <si>
    <r>
      <t>天梁+巨门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</si>
  <si>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暗星遇荫</t>
    </r>
    <r>
      <rPr>
        <sz val="12"/>
        <color theme="1"/>
        <rFont val="等线"/>
        <family val="3"/>
        <charset val="134"/>
        <scheme val="minor"/>
      </rPr>
      <t>，口舌与荫庇结合，</t>
    </r>
    <r>
      <rPr>
        <b/>
        <sz val="12"/>
        <color theme="1"/>
        <rFont val="等线"/>
        <family val="3"/>
        <charset val="134"/>
        <scheme val="minor"/>
      </rPr>
      <t>“巨梁”组合，善于分析、辩论，适合法律、调查、学术研究，但口舌多</t>
    </r>
    <r>
      <rPr>
        <sz val="12"/>
        <color theme="1"/>
        <rFont val="等线"/>
        <family val="3"/>
        <charset val="134"/>
        <scheme val="minor"/>
      </rPr>
      <t>。</t>
    </r>
  </si>
  <si>
    <t>律师；调查记者；学术研究者。</t>
  </si>
  <si>
    <r>
      <t>天梁+天相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</si>
  <si>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印星遇荫</t>
    </r>
    <r>
      <rPr>
        <sz val="12"/>
        <color theme="1"/>
        <rFont val="等线"/>
        <family val="3"/>
        <charset val="134"/>
        <scheme val="minor"/>
      </rPr>
      <t>，协调与荫庇结合，</t>
    </r>
    <r>
      <rPr>
        <b/>
        <sz val="12"/>
        <color theme="1"/>
        <rFont val="等线"/>
        <family val="3"/>
        <charset val="134"/>
        <scheme val="minor"/>
      </rPr>
      <t>“梁相”组合，正直清廉，乐于助人，适合法律、医疗、慈善</t>
    </r>
    <r>
      <rPr>
        <sz val="12"/>
        <color theme="1"/>
        <rFont val="等线"/>
        <family val="3"/>
        <charset val="134"/>
        <scheme val="minor"/>
      </rPr>
      <t>。</t>
    </r>
  </si>
  <si>
    <r>
      <t>天梁+七杀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</si>
  <si>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杀星遇荫</t>
    </r>
    <r>
      <rPr>
        <sz val="12"/>
        <color theme="1"/>
        <rFont val="等线"/>
        <family val="3"/>
        <charset val="134"/>
        <scheme val="minor"/>
      </rPr>
      <t>，肃杀与荫庇结合，</t>
    </r>
    <r>
      <rPr>
        <b/>
        <sz val="12"/>
        <color theme="1"/>
        <rFont val="等线"/>
        <family val="3"/>
        <charset val="134"/>
        <scheme val="minor"/>
      </rPr>
      <t>“杀荫”组合，在原则下进行改革，外冷内热，能化解危机</t>
    </r>
    <r>
      <rPr>
        <sz val="12"/>
        <color theme="1"/>
        <rFont val="等线"/>
        <family val="3"/>
        <charset val="134"/>
        <scheme val="minor"/>
      </rPr>
      <t>。</t>
    </r>
  </si>
  <si>
    <t>改革型法官；危机处理专家。</t>
  </si>
  <si>
    <r>
      <t>天梁+破军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</si>
  <si>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耗星遇荫</t>
    </r>
    <r>
      <rPr>
        <sz val="12"/>
        <color theme="1"/>
        <rFont val="等线"/>
        <family val="3"/>
        <charset val="134"/>
        <scheme val="minor"/>
      </rPr>
      <t>，变动与荫庇结合，</t>
    </r>
    <r>
      <rPr>
        <b/>
        <sz val="12"/>
        <color theme="1"/>
        <rFont val="等线"/>
        <family val="3"/>
        <charset val="134"/>
        <scheme val="minor"/>
      </rPr>
      <t>“破荫”组合，在变动中寻求原则与稳定，过程多耗但终能化解</t>
    </r>
    <r>
      <rPr>
        <sz val="12"/>
        <color theme="1"/>
        <rFont val="等线"/>
        <family val="3"/>
        <charset val="134"/>
        <scheme val="minor"/>
      </rPr>
      <t>。</t>
    </r>
  </si>
  <si>
    <t>改革先锋；但变动大，需长辈扶持。</t>
  </si>
  <si>
    <r>
      <t>天梁+左辅/右弼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</si>
  <si>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荫星得助</t>
    </r>
    <r>
      <rPr>
        <sz val="12"/>
        <color theme="1"/>
        <rFont val="等线"/>
        <family val="3"/>
        <charset val="134"/>
        <scheme val="minor"/>
      </rPr>
      <t>，荫庇与原则得同辈、晚辈助力，</t>
    </r>
    <r>
      <rPr>
        <b/>
        <sz val="12"/>
        <color theme="1"/>
        <rFont val="等线"/>
        <family val="3"/>
        <charset val="134"/>
        <scheme val="minor"/>
      </rPr>
      <t>人缘佳，事业有帮手，福荫更厚</t>
    </r>
    <r>
      <rPr>
        <sz val="12"/>
        <color theme="1"/>
        <rFont val="等线"/>
        <family val="3"/>
        <charset val="134"/>
        <scheme val="minor"/>
      </rPr>
      <t>。</t>
    </r>
  </si>
  <si>
    <r>
      <t>天梁+文昌/文曲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</si>
  <si>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文采、学术气息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“阳梁昌禄格”</t>
    </r>
    <r>
      <rPr>
        <sz val="12"/>
        <color theme="1"/>
        <rFont val="等线"/>
        <family val="3"/>
        <charset val="134"/>
        <scheme val="minor"/>
      </rPr>
      <t>，利于科甲、法律、学术。</t>
    </r>
  </si>
  <si>
    <r>
      <t>天梁+天魁/天钺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</si>
  <si>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荫星遇贵</t>
    </r>
    <r>
      <rPr>
        <sz val="12"/>
        <color theme="1"/>
        <rFont val="等线"/>
        <family val="3"/>
        <charset val="134"/>
        <scheme val="minor"/>
      </rPr>
      <t>，荫庇与原则得贵人（尤指年长贵人）赏识提携，</t>
    </r>
    <r>
      <rPr>
        <b/>
        <sz val="12"/>
        <color theme="1"/>
        <rFont val="等线"/>
        <family val="3"/>
        <charset val="134"/>
        <scheme val="minor"/>
      </rPr>
      <t>平步青云</t>
    </r>
    <r>
      <rPr>
        <sz val="12"/>
        <color theme="1"/>
        <rFont val="等线"/>
        <family val="3"/>
        <charset val="134"/>
        <scheme val="minor"/>
      </rPr>
      <t>。</t>
    </r>
  </si>
  <si>
    <r>
      <t>天梁+禄存</t>
    </r>
    <r>
      <rPr>
        <sz val="12"/>
        <color theme="1"/>
        <rFont val="等线"/>
        <family val="3"/>
        <charset val="134"/>
        <scheme val="minor"/>
      </rPr>
      <t>​</t>
    </r>
  </si>
  <si>
    <r>
      <t>荫星带禄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因原则、专业得财，福寿双全</t>
    </r>
    <r>
      <rPr>
        <sz val="12"/>
        <color theme="1"/>
        <rFont val="等线"/>
        <family val="3"/>
        <charset val="134"/>
        <scheme val="minor"/>
      </rPr>
      <t>。</t>
    </r>
  </si>
  <si>
    <r>
      <t>天梁+天马</t>
    </r>
    <r>
      <rPr>
        <sz val="12"/>
        <color theme="1"/>
        <rFont val="等线"/>
        <family val="3"/>
        <charset val="134"/>
        <scheme val="minor"/>
      </rPr>
      <t>​</t>
    </r>
  </si>
  <si>
    <r>
      <t>荫星奔驰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动中得荫，利远方发展、国际法律、医疗援助</t>
    </r>
    <r>
      <rPr>
        <sz val="12"/>
        <color theme="1"/>
        <rFont val="等线"/>
        <family val="3"/>
        <charset val="134"/>
        <scheme val="minor"/>
      </rPr>
      <t>。</t>
    </r>
  </si>
  <si>
    <r>
      <t>天梁+火星</t>
    </r>
    <r>
      <rPr>
        <sz val="12"/>
        <color theme="1"/>
        <rFont val="等线"/>
        <family val="3"/>
        <charset val="134"/>
        <scheme val="minor"/>
      </rPr>
      <t>​</t>
    </r>
  </si>
  <si>
    <r>
      <t>荫星逢火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原则性冲突，易因急躁引发是非、急病</t>
    </r>
    <r>
      <rPr>
        <sz val="12"/>
        <color theme="1"/>
        <rFont val="等线"/>
        <family val="3"/>
        <charset val="134"/>
        <scheme val="minor"/>
      </rPr>
      <t>。</t>
    </r>
  </si>
  <si>
    <r>
      <t>天梁+铃星</t>
    </r>
    <r>
      <rPr>
        <sz val="12"/>
        <color theme="1"/>
        <rFont val="等线"/>
        <family val="3"/>
        <charset val="134"/>
        <scheme val="minor"/>
      </rPr>
      <t>​</t>
    </r>
  </si>
  <si>
    <r>
      <t>荫星逢铃</t>
    </r>
    <r>
      <rPr>
        <sz val="12"/>
        <color theme="1"/>
        <rFont val="等线"/>
        <family val="3"/>
        <charset val="134"/>
        <scheme val="minor"/>
      </rPr>
      <t>，荫庇伴随</t>
    </r>
    <r>
      <rPr>
        <b/>
        <sz val="12"/>
        <color theme="1"/>
        <rFont val="等线"/>
        <family val="3"/>
        <charset val="134"/>
        <scheme val="minor"/>
      </rPr>
      <t>煎熬、隐忧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慢性病困扰，内心焦虑</t>
    </r>
    <r>
      <rPr>
        <sz val="12"/>
        <color theme="1"/>
        <rFont val="等线"/>
        <family val="3"/>
        <charset val="134"/>
        <scheme val="minor"/>
      </rPr>
      <t>。</t>
    </r>
  </si>
  <si>
    <r>
      <t>天梁+擎羊</t>
    </r>
    <r>
      <rPr>
        <sz val="12"/>
        <color theme="1"/>
        <rFont val="等线"/>
        <family val="3"/>
        <charset val="134"/>
        <scheme val="minor"/>
      </rPr>
      <t>​</t>
    </r>
  </si>
  <si>
    <r>
      <t>荫星逢羊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“刑杖”之灾，易有手术、外伤，或法律刑罚</t>
    </r>
    <r>
      <rPr>
        <sz val="12"/>
        <color theme="1"/>
        <rFont val="等线"/>
        <family val="3"/>
        <charset val="134"/>
        <scheme val="minor"/>
      </rPr>
      <t>。</t>
    </r>
  </si>
  <si>
    <r>
      <t>天梁+陀罗</t>
    </r>
    <r>
      <rPr>
        <sz val="12"/>
        <color theme="1"/>
        <rFont val="等线"/>
        <family val="3"/>
        <charset val="134"/>
        <scheme val="minor"/>
      </rPr>
      <t>​</t>
    </r>
  </si>
  <si>
    <r>
      <t>荫星逢陀</t>
    </r>
    <r>
      <rPr>
        <sz val="12"/>
        <color theme="1"/>
        <rFont val="等线"/>
        <family val="3"/>
        <charset val="134"/>
        <scheme val="minor"/>
      </rPr>
      <t>，荫庇受</t>
    </r>
    <r>
      <rPr>
        <b/>
        <sz val="12"/>
        <color theme="1"/>
        <rFont val="等线"/>
        <family val="3"/>
        <charset val="134"/>
        <scheme val="minor"/>
      </rPr>
      <t>拖延、旧疾困扰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办事效率低，疾病迁延不愈</t>
    </r>
    <r>
      <rPr>
        <sz val="12"/>
        <color theme="1"/>
        <rFont val="等线"/>
        <family val="3"/>
        <charset val="134"/>
        <scheme val="minor"/>
      </rPr>
      <t>。</t>
    </r>
  </si>
  <si>
    <r>
      <t>天梁+地空</t>
    </r>
    <r>
      <rPr>
        <sz val="12"/>
        <color theme="1"/>
        <rFont val="等线"/>
        <family val="3"/>
        <charset val="134"/>
        <scheme val="minor"/>
      </rPr>
      <t>​</t>
    </r>
  </si>
  <si>
    <r>
      <t>荫星逢空</t>
    </r>
    <r>
      <rPr>
        <sz val="12"/>
        <color theme="1"/>
        <rFont val="等线"/>
        <family val="3"/>
        <charset val="134"/>
        <scheme val="minor"/>
      </rPr>
      <t>，荫庇</t>
    </r>
    <r>
      <rPr>
        <b/>
        <sz val="12"/>
        <color theme="1"/>
        <rFont val="等线"/>
        <family val="3"/>
        <charset val="134"/>
        <scheme val="minor"/>
      </rPr>
      <t>落空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理想难以实现，福报减弱</t>
    </r>
    <r>
      <rPr>
        <sz val="12"/>
        <color theme="1"/>
        <rFont val="等线"/>
        <family val="3"/>
        <charset val="134"/>
        <scheme val="minor"/>
      </rPr>
      <t>。</t>
    </r>
  </si>
  <si>
    <r>
      <t>天梁+地劫</t>
    </r>
    <r>
      <rPr>
        <sz val="12"/>
        <color theme="1"/>
        <rFont val="等线"/>
        <family val="3"/>
        <charset val="134"/>
        <scheme val="minor"/>
      </rPr>
      <t>​</t>
    </r>
  </si>
  <si>
    <r>
      <t>荫星逢劫</t>
    </r>
    <r>
      <rPr>
        <sz val="12"/>
        <color theme="1"/>
        <rFont val="等线"/>
        <family val="3"/>
        <charset val="134"/>
        <scheme val="minor"/>
      </rPr>
      <t>，荫庇遭</t>
    </r>
    <r>
      <rPr>
        <b/>
        <sz val="12"/>
        <color theme="1"/>
        <rFont val="等线"/>
        <family val="3"/>
        <charset val="134"/>
        <scheme val="minor"/>
      </rPr>
      <t>意外破耗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突发灾病，福荫受损</t>
    </r>
    <r>
      <rPr>
        <sz val="12"/>
        <color theme="1"/>
        <rFont val="等线"/>
        <family val="3"/>
        <charset val="134"/>
        <scheme val="minor"/>
      </rPr>
      <t>。</t>
    </r>
  </si>
  <si>
    <r>
      <t>天梁+化禄</t>
    </r>
    <r>
      <rPr>
        <sz val="12"/>
        <color theme="1"/>
        <rFont val="等线"/>
        <family val="3"/>
        <charset val="134"/>
        <scheme val="minor"/>
      </rPr>
      <t>​</t>
    </r>
  </si>
  <si>
    <r>
      <t>荫星化禄</t>
    </r>
    <r>
      <rPr>
        <sz val="12"/>
        <color theme="1"/>
        <rFont val="等线"/>
        <family val="3"/>
        <charset val="134"/>
        <scheme val="minor"/>
      </rPr>
      <t>（壬年生人），</t>
    </r>
    <r>
      <rPr>
        <b/>
        <sz val="12"/>
        <color theme="1"/>
        <rFont val="等线"/>
        <family val="3"/>
        <charset val="134"/>
        <scheme val="minor"/>
      </rPr>
      <t>原则易动摇，福荫带财，但需防因财失义</t>
    </r>
    <r>
      <rPr>
        <sz val="12"/>
        <color theme="1"/>
        <rFont val="等线"/>
        <family val="3"/>
        <charset val="134"/>
        <scheme val="minor"/>
      </rPr>
      <t>。</t>
    </r>
  </si>
  <si>
    <r>
      <t>天梁+化权</t>
    </r>
    <r>
      <rPr>
        <sz val="12"/>
        <color theme="1"/>
        <rFont val="等线"/>
        <family val="3"/>
        <charset val="134"/>
        <scheme val="minor"/>
      </rPr>
      <t>​</t>
    </r>
  </si>
  <si>
    <r>
      <t>荫星化权</t>
    </r>
    <r>
      <rPr>
        <sz val="12"/>
        <color theme="1"/>
        <rFont val="等线"/>
        <family val="3"/>
        <charset val="134"/>
        <scheme val="minor"/>
      </rPr>
      <t>（乙年生人），</t>
    </r>
    <r>
      <rPr>
        <b/>
        <sz val="12"/>
        <color theme="1"/>
        <rFont val="等线"/>
        <family val="3"/>
        <charset val="134"/>
        <scheme val="minor"/>
      </rPr>
      <t>原则性、权威性增强，适合法律、管理</t>
    </r>
    <r>
      <rPr>
        <sz val="12"/>
        <color theme="1"/>
        <rFont val="等线"/>
        <family val="3"/>
        <charset val="134"/>
        <scheme val="minor"/>
      </rPr>
      <t>。</t>
    </r>
  </si>
  <si>
    <r>
      <t>天梁+化科</t>
    </r>
    <r>
      <rPr>
        <sz val="12"/>
        <color theme="1"/>
        <rFont val="等线"/>
        <family val="3"/>
        <charset val="134"/>
        <scheme val="minor"/>
      </rPr>
      <t>​</t>
    </r>
  </si>
  <si>
    <r>
      <t>荫星化科</t>
    </r>
    <r>
      <rPr>
        <sz val="12"/>
        <color theme="1"/>
        <rFont val="等线"/>
        <family val="3"/>
        <charset val="134"/>
        <scheme val="minor"/>
      </rPr>
      <t>（戊年生人），</t>
    </r>
    <r>
      <rPr>
        <b/>
        <sz val="12"/>
        <color theme="1"/>
        <rFont val="等线"/>
        <family val="3"/>
        <charset val="134"/>
        <scheme val="minor"/>
      </rPr>
      <t>清誉更显，名声好，利于考试、评选</t>
    </r>
    <r>
      <rPr>
        <sz val="12"/>
        <color theme="1"/>
        <rFont val="等线"/>
        <family val="3"/>
        <charset val="134"/>
        <scheme val="minor"/>
      </rPr>
      <t>。</t>
    </r>
  </si>
  <si>
    <r>
      <t>天梁+化忌</t>
    </r>
    <r>
      <rPr>
        <sz val="12"/>
        <color theme="1"/>
        <rFont val="等线"/>
        <family val="3"/>
        <charset val="134"/>
        <scheme val="minor"/>
      </rPr>
      <t>​</t>
    </r>
  </si>
  <si>
    <r>
      <t>荫星化忌</t>
    </r>
    <r>
      <rPr>
        <sz val="12"/>
        <color theme="1"/>
        <rFont val="等线"/>
        <family val="3"/>
        <charset val="134"/>
        <scheme val="minor"/>
      </rPr>
      <t>（无，天梁不化忌）。</t>
    </r>
  </si>
  <si>
    <r>
      <t>1. “荫星”与“寿星”</t>
    </r>
    <r>
      <rPr>
        <sz val="11"/>
        <color theme="1"/>
        <rFont val="等线"/>
        <family val="2"/>
        <charset val="134"/>
        <scheme val="minor"/>
      </rPr>
      <t>：天梁化气为</t>
    </r>
    <r>
      <rPr>
        <b/>
        <sz val="11"/>
        <color theme="1"/>
        <rFont val="等线"/>
        <family val="3"/>
        <charset val="134"/>
        <scheme val="minor"/>
      </rPr>
      <t>“荫”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庇护、化解、福报</t>
    </r>
    <r>
      <rPr>
        <sz val="11"/>
        <color theme="1"/>
        <rFont val="等线"/>
        <family val="2"/>
        <charset val="134"/>
        <scheme val="minor"/>
      </rPr>
      <t>。其人生轨迹常是</t>
    </r>
    <r>
      <rPr>
        <b/>
        <sz val="11"/>
        <color theme="1"/>
        <rFont val="等线"/>
        <family val="3"/>
        <charset val="134"/>
        <scheme val="minor"/>
      </rPr>
      <t>先难后易，遇难成祥</t>
    </r>
    <r>
      <rPr>
        <sz val="11"/>
        <color theme="1"/>
        <rFont val="等线"/>
        <family val="2"/>
        <charset val="134"/>
        <scheme val="minor"/>
      </rPr>
      <t>。同时为</t>
    </r>
    <r>
      <rPr>
        <b/>
        <sz val="11"/>
        <color theme="1"/>
        <rFont val="等线"/>
        <family val="3"/>
        <charset val="134"/>
        <scheme val="minor"/>
      </rPr>
      <t>“寿星”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长寿、健康</t>
    </r>
    <r>
      <rPr>
        <sz val="11"/>
        <color theme="1"/>
        <rFont val="等线"/>
        <family val="2"/>
        <charset val="134"/>
        <scheme val="minor"/>
      </rPr>
      <t>，但多与</t>
    </r>
    <r>
      <rPr>
        <b/>
        <sz val="11"/>
        <color theme="1"/>
        <rFont val="等线"/>
        <family val="3"/>
        <charset val="134"/>
        <scheme val="minor"/>
      </rPr>
      <t>医药、疾病</t>
    </r>
    <r>
      <rPr>
        <sz val="11"/>
        <color theme="1"/>
        <rFont val="等线"/>
        <family val="2"/>
        <charset val="134"/>
        <scheme val="minor"/>
      </rPr>
      <t>相伴，</t>
    </r>
    <r>
      <rPr>
        <b/>
        <sz val="11"/>
        <color theme="1"/>
        <rFont val="等线"/>
        <family val="3"/>
        <charset val="134"/>
        <scheme val="minor"/>
      </rPr>
      <t>有病得良医</t>
    </r>
    <r>
      <rPr>
        <sz val="11"/>
        <color theme="1"/>
        <rFont val="等线"/>
        <family val="2"/>
        <charset val="134"/>
        <scheme val="minor"/>
      </rPr>
      <t>。</t>
    </r>
  </si>
  <si>
    <r>
      <t>2. “清高”与“原则”</t>
    </r>
    <r>
      <rPr>
        <sz val="11"/>
        <color theme="1"/>
        <rFont val="等线"/>
        <family val="2"/>
        <charset val="134"/>
        <scheme val="minor"/>
      </rPr>
      <t>：天梁为</t>
    </r>
    <r>
      <rPr>
        <b/>
        <sz val="11"/>
        <color theme="1"/>
        <rFont val="等线"/>
        <family val="3"/>
        <charset val="134"/>
        <scheme val="minor"/>
      </rPr>
      <t>清高之星</t>
    </r>
    <r>
      <rPr>
        <sz val="11"/>
        <color theme="1"/>
        <rFont val="等线"/>
        <family val="2"/>
        <charset val="134"/>
        <scheme val="minor"/>
      </rPr>
      <t>，代表</t>
    </r>
    <r>
      <rPr>
        <b/>
        <sz val="11"/>
        <color theme="1"/>
        <rFont val="等线"/>
        <family val="3"/>
        <charset val="134"/>
        <scheme val="minor"/>
      </rPr>
      <t>原则、纪律、道德感</t>
    </r>
    <r>
      <rPr>
        <sz val="11"/>
        <color theme="1"/>
        <rFont val="等线"/>
        <family val="2"/>
        <charset val="134"/>
        <scheme val="minor"/>
      </rPr>
      <t>。其吉凶体现在：</t>
    </r>
    <r>
      <rPr>
        <b/>
        <sz val="11"/>
        <color theme="1"/>
        <rFont val="等线"/>
        <family val="3"/>
        <charset val="134"/>
        <scheme val="minor"/>
      </rPr>
      <t>原则性强则得清誉、遇贵人；过于清高则显孤克、招是非</t>
    </r>
    <r>
      <rPr>
        <sz val="11"/>
        <color theme="1"/>
        <rFont val="等线"/>
        <family val="2"/>
        <charset val="134"/>
        <scheme val="minor"/>
      </rPr>
      <t>。</t>
    </r>
  </si>
  <si>
    <r>
      <t>3. “监察”与“医药”</t>
    </r>
    <r>
      <rPr>
        <sz val="11"/>
        <color theme="1"/>
        <rFont val="等线"/>
        <family val="2"/>
        <charset val="134"/>
        <scheme val="minor"/>
      </rPr>
      <t>：天梁主</t>
    </r>
    <r>
      <rPr>
        <b/>
        <sz val="11"/>
        <color theme="1"/>
        <rFont val="等线"/>
        <family val="3"/>
        <charset val="134"/>
        <scheme val="minor"/>
      </rPr>
      <t>监察、审核、医疗、医药</t>
    </r>
    <r>
      <rPr>
        <sz val="11"/>
        <color theme="1"/>
        <rFont val="等线"/>
        <family val="2"/>
        <charset val="134"/>
        <scheme val="minor"/>
      </rPr>
      <t>。具备</t>
    </r>
    <r>
      <rPr>
        <b/>
        <sz val="11"/>
        <color theme="1"/>
        <rFont val="等线"/>
        <family val="3"/>
        <charset val="134"/>
        <scheme val="minor"/>
      </rPr>
      <t>诊断与解决复杂、慢性问题</t>
    </r>
    <r>
      <rPr>
        <sz val="11"/>
        <color theme="1"/>
        <rFont val="等线"/>
        <family val="2"/>
        <charset val="134"/>
        <scheme val="minor"/>
      </rPr>
      <t>的能力。在命盘中，常指向需要</t>
    </r>
    <r>
      <rPr>
        <b/>
        <sz val="11"/>
        <color theme="1"/>
        <rFont val="等线"/>
        <family val="3"/>
        <charset val="134"/>
        <scheme val="minor"/>
      </rPr>
      <t>专业审查、法律判断或医疗介入</t>
    </r>
    <r>
      <rPr>
        <sz val="11"/>
        <color theme="1"/>
        <rFont val="等线"/>
        <family val="2"/>
        <charset val="134"/>
        <scheme val="minor"/>
      </rPr>
      <t>的领域。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</si>
  <si>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：天梁星所在宫位，指示在人生的哪个领域需要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坚持原则、接受审查、寻求庇护或提供庇护</t>
    </r>
    <r>
      <rPr>
        <sz val="11"/>
        <color theme="1"/>
        <rFont val="等线"/>
        <family val="2"/>
        <charset val="134"/>
        <scheme val="minor"/>
      </rPr>
      <t>，也指示该领域与</t>
    </r>
    <r>
      <rPr>
        <b/>
        <sz val="11"/>
        <color theme="1"/>
        <rFont val="等线"/>
        <family val="3"/>
        <charset val="134"/>
        <scheme val="minor"/>
      </rPr>
      <t>长辈、医药、法律、宗教</t>
    </r>
    <r>
      <rPr>
        <sz val="11"/>
        <color theme="1"/>
        <rFont val="等线"/>
        <family val="2"/>
        <charset val="134"/>
        <scheme val="minor"/>
      </rPr>
      <t>密切相关。</t>
    </r>
  </si>
  <si>
    <r>
      <t>5. “孤克”与“化解”</t>
    </r>
    <r>
      <rPr>
        <sz val="11"/>
        <color theme="1"/>
        <rFont val="等线"/>
        <family val="2"/>
        <charset val="134"/>
        <scheme val="minor"/>
      </rPr>
      <t>：天梁带</t>
    </r>
    <r>
      <rPr>
        <b/>
        <sz val="11"/>
        <color theme="1"/>
        <rFont val="等线"/>
        <family val="3"/>
        <charset val="134"/>
        <scheme val="minor"/>
      </rPr>
      <t>孤克</t>
    </r>
    <r>
      <rPr>
        <sz val="11"/>
        <color theme="1"/>
        <rFont val="等线"/>
        <family val="2"/>
        <charset val="134"/>
        <scheme val="minor"/>
      </rPr>
      <t>性质，常表现为</t>
    </r>
    <r>
      <rPr>
        <b/>
        <sz val="11"/>
        <color theme="1"/>
        <rFont val="等线"/>
        <family val="3"/>
        <charset val="134"/>
        <scheme val="minor"/>
      </rPr>
      <t>人际关系疏淡、婚姻迟、好说教</t>
    </r>
    <r>
      <rPr>
        <sz val="11"/>
        <color theme="1"/>
        <rFont val="等线"/>
        <family val="2"/>
        <charset val="134"/>
        <scheme val="minor"/>
      </rPr>
      <t>。但其“荫”的本质，使得这种“孤克”往往是为了</t>
    </r>
    <r>
      <rPr>
        <b/>
        <sz val="11"/>
        <color theme="1"/>
        <rFont val="等线"/>
        <family val="3"/>
        <charset val="134"/>
        <scheme val="minor"/>
      </rPr>
      <t>化解更大的灾厄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以孤克换平安</t>
    </r>
    <r>
      <rPr>
        <sz val="11"/>
        <color theme="1"/>
        <rFont val="等线"/>
        <family val="2"/>
        <charset val="134"/>
        <scheme val="minor"/>
      </rPr>
      <t>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</si>
  <si>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原则易动摇，但福荫带财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原则性与权威性大增</t>
    </r>
    <r>
      <rPr>
        <sz val="11"/>
        <color theme="1"/>
        <rFont val="等线"/>
        <family val="2"/>
        <charset val="134"/>
        <scheme val="minor"/>
      </rPr>
      <t>。见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清誉显扬</t>
    </r>
    <r>
      <rPr>
        <sz val="11"/>
        <color theme="1"/>
        <rFont val="等线"/>
        <family val="2"/>
        <charset val="134"/>
        <scheme val="minor"/>
      </rPr>
      <t>。天梁</t>
    </r>
    <r>
      <rPr>
        <b/>
        <sz val="11"/>
        <color theme="1"/>
        <rFont val="等线"/>
        <family val="3"/>
        <charset val="134"/>
        <scheme val="minor"/>
      </rPr>
      <t>不化忌</t>
    </r>
    <r>
      <rPr>
        <sz val="11"/>
        <color theme="1"/>
        <rFont val="等线"/>
        <family val="2"/>
        <charset val="134"/>
        <scheme val="minor"/>
      </rPr>
      <t>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</si>
  <si>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“阳梁昌禄格”</t>
    </r>
    <r>
      <rPr>
        <sz val="11"/>
        <color theme="1"/>
        <rFont val="等线"/>
        <family val="2"/>
        <charset val="134"/>
        <scheme val="minor"/>
      </rPr>
      <t>（太阳、天梁、文昌、禄存会照）：主</t>
    </r>
    <r>
      <rPr>
        <b/>
        <sz val="11"/>
        <color theme="1"/>
        <rFont val="等线"/>
        <family val="3"/>
        <charset val="134"/>
        <scheme val="minor"/>
      </rPr>
      <t>利于科甲、考试、法律，功成名就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“机月同梁格”</t>
    </r>
    <r>
      <rPr>
        <sz val="11"/>
        <color theme="1"/>
        <rFont val="等线"/>
        <family val="2"/>
        <charset val="134"/>
        <scheme val="minor"/>
      </rPr>
      <t>（天机、太阴、天同、天梁会照）：主</t>
    </r>
    <r>
      <rPr>
        <b/>
        <sz val="11"/>
        <color theme="1"/>
        <rFont val="等线"/>
        <family val="3"/>
        <charset val="134"/>
        <scheme val="minor"/>
      </rPr>
      <t>适合公职、文教、法律，稳定发展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</si>
  <si>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医院、法院、寺庙、养老院、学校、监察机构、一切高大、肃穆、具有庇护或审查功能的场所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</si>
  <si>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完全整合自《金刚佛光-紫占课程手册》及相关权威资料中关于天梁星的全部原始定义、分类与案例，并严格应用修正后的逻辑，在“本质”部分系统化推导并呈现了“人/事/物”三个层次的完整解析，特别明确了“维生系统”（生理：免疫/康复/骨骼；社会：法律/监察/社保）的类象。天梁星为荫星，主原则与庇护。其核心在于“荫”与“寿”，常在法律、医疗、监察领域显现，其“清高”与“孤克”的性质是福荫的代价。最喜吉星会照，主福寿安康。然天梁忌煞星冲破，遇之则孤克加重，灾病难解。在紫占中，天梁的“先难后易”特性及其所在宫位指示的“原则领域”，是断事关键，需结合具体星情与宫位细察。</t>
  </si>
  <si>
    <r>
      <t>荫星、寿星、清高、监察、医药、法律、原则、孤克、</t>
    </r>
    <r>
      <rPr>
        <b/>
        <sz val="11"/>
        <color theme="1"/>
        <rFont val="等线"/>
        <family val="3"/>
        <charset val="134"/>
        <scheme val="minor"/>
      </rPr>
      <t>支柱、栋梁、脊柱、根脉、传承、正统、源流</t>
    </r>
    <r>
      <rPr>
        <sz val="11"/>
        <color theme="1"/>
        <rFont val="等线"/>
        <family val="2"/>
        <charset val="134"/>
        <scheme val="minor"/>
      </rPr>
      <t>​</t>
    </r>
  </si>
  <si>
    <r>
      <t>整合自《金刚佛光-紫占课程手册》及相关权威资料，本次</t>
    </r>
    <r>
      <rPr>
        <b/>
        <sz val="11"/>
        <color theme="1"/>
        <rFont val="等线"/>
        <family val="3"/>
        <charset val="134"/>
        <scheme val="minor"/>
      </rPr>
      <t>彻底修正核心象征网络</t>
    </r>
    <r>
      <rPr>
        <sz val="11"/>
        <color theme="1"/>
        <rFont val="等线"/>
        <family val="2"/>
        <charset val="134"/>
        <scheme val="minor"/>
      </rPr>
      <t>，将“支柱、根脉、传承”等核心同义象征词完整纳入。</t>
    </r>
  </si>
  <si>
    <r>
      <t>1. 人（性格、行为、关系）：</t>
    </r>
    <r>
      <rPr>
        <sz val="11"/>
        <color theme="1"/>
        <rFont val="等线"/>
        <family val="2"/>
        <charset val="134"/>
        <scheme val="minor"/>
      </rPr>
      <t>​ 性格</t>
    </r>
    <r>
      <rPr>
        <b/>
        <sz val="11"/>
        <color theme="1"/>
        <rFont val="等线"/>
        <family val="3"/>
        <charset val="134"/>
        <scheme val="minor"/>
      </rPr>
      <t>清高耿直、有原则、有担当、乐于助人、有长辈缘、好为人师、重视传统与传承</t>
    </r>
    <r>
      <rPr>
        <sz val="11"/>
        <color theme="1"/>
        <rFont val="等线"/>
        <family val="2"/>
        <charset val="134"/>
        <scheme val="minor"/>
      </rPr>
      <t>。是</t>
    </r>
    <r>
      <rPr>
        <b/>
        <sz val="11"/>
        <color theme="1"/>
        <rFont val="等线"/>
        <family val="3"/>
        <charset val="134"/>
        <scheme val="minor"/>
      </rPr>
      <t>长辈、老师、医生、法官、监察者、家族栋梁、文化传承者</t>
    </r>
    <r>
      <rPr>
        <sz val="11"/>
        <color theme="1"/>
        <rFont val="等线"/>
        <family val="2"/>
        <charset val="134"/>
        <scheme val="minor"/>
      </rPr>
      <t>的代表。人际关系上，</t>
    </r>
    <r>
      <rPr>
        <b/>
        <sz val="11"/>
        <color theme="1"/>
        <rFont val="等线"/>
        <family val="3"/>
        <charset val="134"/>
        <scheme val="minor"/>
      </rPr>
      <t>是他人依靠的支柱，但也因原则性强而显孤克，重视血缘与道统的延续</t>
    </r>
    <r>
      <rPr>
        <sz val="11"/>
        <color theme="1"/>
        <rFont val="等线"/>
        <family val="2"/>
        <charset val="134"/>
        <scheme val="minor"/>
      </rPr>
      <t>。</t>
    </r>
  </si>
  <si>
    <r>
      <t>2. 事（事件、过程）：</t>
    </r>
    <r>
      <rPr>
        <sz val="11"/>
        <color theme="1"/>
        <rFont val="等线"/>
        <family val="2"/>
        <charset val="134"/>
        <scheme val="minor"/>
      </rPr>
      <t>​ 事件发展过程</t>
    </r>
    <r>
      <rPr>
        <b/>
        <sz val="11"/>
        <color theme="1"/>
        <rFont val="等线"/>
        <family val="3"/>
        <charset val="134"/>
        <scheme val="minor"/>
      </rPr>
      <t>需要原则、审查、调解、继承、支撑、溯本清源</t>
    </r>
    <r>
      <rPr>
        <sz val="11"/>
        <color theme="1"/>
        <rFont val="等线"/>
        <family val="2"/>
        <charset val="134"/>
        <scheme val="minor"/>
      </rPr>
      <t>。主</t>
    </r>
    <r>
      <rPr>
        <b/>
        <sz val="11"/>
        <color theme="1"/>
        <rFont val="等线"/>
        <family val="3"/>
        <charset val="134"/>
        <scheme val="minor"/>
      </rPr>
      <t>医药健康、法律事务、监察审计、宗教公益、遗产继承、文化传承、基础建设、家族事务</t>
    </r>
    <r>
      <rPr>
        <sz val="11"/>
        <color theme="1"/>
        <rFont val="等线"/>
        <family val="2"/>
        <charset val="134"/>
        <scheme val="minor"/>
      </rPr>
      <t>。代表</t>
    </r>
    <r>
      <rPr>
        <b/>
        <sz val="11"/>
        <color theme="1"/>
        <rFont val="等线"/>
        <family val="3"/>
        <charset val="134"/>
        <scheme val="minor"/>
      </rPr>
      <t>需要依靠稳固根基、权威经验、正统规则来解决</t>
    </r>
    <r>
      <rPr>
        <sz val="11"/>
        <color theme="1"/>
        <rFont val="等线"/>
        <family val="2"/>
        <charset val="134"/>
        <scheme val="minor"/>
      </rPr>
      <t>的事务。过程</t>
    </r>
    <r>
      <rPr>
        <b/>
        <sz val="11"/>
        <color theme="1"/>
        <rFont val="等线"/>
        <family val="3"/>
        <charset val="134"/>
        <scheme val="minor"/>
      </rPr>
      <t>常有拖延、反复，但根基稳固者终能化解</t>
    </r>
    <r>
      <rPr>
        <sz val="11"/>
        <color theme="1"/>
        <rFont val="等线"/>
        <family val="2"/>
        <charset val="134"/>
        <scheme val="minor"/>
      </rPr>
      <t>。</t>
    </r>
  </si>
  <si>
    <r>
      <t>3. 物（物体、空间、形态、结构、系统）：</t>
    </r>
    <r>
      <rPr>
        <sz val="11"/>
        <color theme="1"/>
        <rFont val="等线"/>
        <family val="2"/>
        <charset val="134"/>
        <scheme val="minor"/>
      </rPr>
      <t>​ 指代一切</t>
    </r>
    <r>
      <rPr>
        <b/>
        <sz val="11"/>
        <color theme="1"/>
        <rFont val="等线"/>
        <family val="3"/>
        <charset val="134"/>
        <scheme val="minor"/>
      </rPr>
      <t>具有庇护、审查、治疗、原则、支撑、传承</t>
    </r>
    <r>
      <rPr>
        <sz val="11"/>
        <color theme="1"/>
        <rFont val="等线"/>
        <family val="2"/>
        <charset val="134"/>
        <scheme val="minor"/>
      </rPr>
      <t>属性的事物与系统。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</si>
  <si>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具体物体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药物、医疗器械、法律文书、宗教法器、大树、拐杖、印章、</t>
    </r>
    <r>
      <rPr>
        <sz val="11"/>
        <color theme="1"/>
        <rFont val="等线"/>
        <family val="2"/>
        <charset val="134"/>
        <scheme val="minor"/>
      </rPr>
      <t>&lt;ins&gt;</t>
    </r>
    <r>
      <rPr>
        <b/>
        <sz val="11"/>
        <color theme="1"/>
        <rFont val="等线"/>
        <family val="3"/>
        <charset val="134"/>
        <scheme val="minor"/>
      </rPr>
      <t>柱子、梁木、脊柱、家谱、族徽、遗嘱、古籍</t>
    </r>
    <r>
      <rPr>
        <sz val="11"/>
        <color theme="1"/>
        <rFont val="等线"/>
        <family val="2"/>
        <charset val="134"/>
        <scheme val="minor"/>
      </rPr>
      <t>&lt;/ins&gt;。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</si>
  <si>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空间与形态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医院、法院、寺庙、养老院、监察机构、</t>
    </r>
    <r>
      <rPr>
        <sz val="11"/>
        <color theme="1"/>
        <rFont val="等线"/>
        <family val="2"/>
        <charset val="134"/>
        <scheme val="minor"/>
      </rPr>
      <t>&lt;ins&gt;</t>
    </r>
    <r>
      <rPr>
        <b/>
        <sz val="11"/>
        <color theme="1"/>
        <rFont val="等线"/>
        <family val="3"/>
        <charset val="134"/>
        <scheme val="minor"/>
      </rPr>
      <t>祠堂、档案馆、图书馆、基础建筑（桥墩、地基）、高山、</t>
    </r>
    <r>
      <rPr>
        <sz val="11"/>
        <color theme="1"/>
        <rFont val="等线"/>
        <family val="2"/>
        <charset val="134"/>
        <scheme val="minor"/>
      </rPr>
      <t>&lt;/ins&gt;笔直、高耸、支撑性的形态。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</si>
  <si>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抽象系统</t>
    </r>
    <r>
      <rPr>
        <sz val="11"/>
        <color theme="1"/>
        <rFont val="等线"/>
        <family val="2"/>
        <charset val="134"/>
        <scheme val="minor"/>
      </rPr>
      <t>：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</si>
  <si>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生理系统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免疫系统、康复系统、骨骼系统（尤指脊柱——人体支柱）</t>
    </r>
    <r>
      <rPr>
        <sz val="11"/>
        <color theme="1"/>
        <rFont val="等线"/>
        <family val="2"/>
        <charset val="134"/>
        <scheme val="minor"/>
      </rPr>
      <t>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</si>
  <si>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社会系统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法律体系、监察体系、社会保障体系、</t>
    </r>
    <r>
      <rPr>
        <sz val="11"/>
        <color theme="1"/>
        <rFont val="等线"/>
        <family val="2"/>
        <charset val="134"/>
        <scheme val="minor"/>
      </rPr>
      <t>&lt;ins&gt;</t>
    </r>
    <r>
      <rPr>
        <b/>
        <sz val="11"/>
        <color theme="1"/>
        <rFont val="等线"/>
        <family val="3"/>
        <charset val="134"/>
        <scheme val="minor"/>
      </rPr>
      <t>宗法制度、教育传承体系、正统学术源流</t>
    </r>
    <r>
      <rPr>
        <sz val="11"/>
        <color theme="1"/>
        <rFont val="等线"/>
        <family val="2"/>
        <charset val="134"/>
        <scheme val="minor"/>
      </rPr>
      <t>&lt;/ins&gt;。</t>
    </r>
  </si>
  <si>
    <r>
      <t xml:space="preserve">- </t>
    </r>
    <r>
      <rPr>
        <b/>
        <sz val="11"/>
        <color theme="1"/>
        <rFont val="等线"/>
        <family val="3"/>
        <charset val="134"/>
        <scheme val="minor"/>
      </rPr>
      <t>抽象概念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原则、清誉、福报、因果、寿命、</t>
    </r>
    <r>
      <rPr>
        <sz val="11"/>
        <color theme="1"/>
        <rFont val="等线"/>
        <family val="2"/>
        <charset val="134"/>
        <scheme val="minor"/>
      </rPr>
      <t>&lt;ins&gt;</t>
    </r>
    <r>
      <rPr>
        <b/>
        <sz val="11"/>
        <color theme="1"/>
        <rFont val="等线"/>
        <family val="3"/>
        <charset val="134"/>
        <scheme val="minor"/>
      </rPr>
      <t>传统、正统、根基、遗产（物质与精神）、传承责任</t>
    </r>
    <r>
      <rPr>
        <sz val="11"/>
        <color theme="1"/>
        <rFont val="等线"/>
        <family val="2"/>
        <charset val="134"/>
        <scheme val="minor"/>
      </rPr>
      <t>&lt;/ins&gt;。</t>
    </r>
  </si>
  <si>
    <r>
      <t>本次解析进行了</t>
    </r>
    <r>
      <rPr>
        <b/>
        <sz val="11"/>
        <color theme="1"/>
        <rFont val="等线"/>
        <family val="3"/>
        <charset val="134"/>
        <scheme val="minor"/>
      </rPr>
      <t>根本性重写</t>
    </r>
    <r>
      <rPr>
        <sz val="11"/>
        <color theme="1"/>
        <rFont val="等线"/>
        <family val="2"/>
        <charset val="134"/>
        <scheme val="minor"/>
      </rPr>
      <t>，将“支柱、根脉、传承”这一象征网络完全融入“人、事、物”三层，并在“物”的层次细分为物体、空间、系统、概念，</t>
    </r>
  </si>
  <si>
    <r>
      <t>根据《金刚佛光-紫占课程手册》，并严格应用修正后的逻辑，现对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天府星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</si>
  <si>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t>一、天府定义</t>
  </si>
  <si>
    <r>
      <t>库星</t>
    </r>
    <r>
      <rPr>
        <sz val="12"/>
        <color theme="1"/>
        <rFont val="等线"/>
        <family val="3"/>
        <charset val="134"/>
        <scheme val="minor"/>
      </rPr>
      <t>、财库、仓库、收藏、稳定、保守、管理、包容、</t>
    </r>
    <r>
      <rPr>
        <b/>
        <sz val="12"/>
        <color theme="1"/>
        <rFont val="等线"/>
        <family val="3"/>
        <charset val="134"/>
        <scheme val="minor"/>
      </rPr>
      <t>容器、承载、积累、储蓄、保障、安定、中心、核心、疆域、范围、田宅、不动产、金融机构、躯干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</si>
  <si>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整合自《金刚佛光-紫占课程手册》及相关权威资料，本次彻底构建以“库”为核心，涵盖“容器、承载、积累、中心、疆域”等所有引申义的核心象征网络。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</si>
  <si>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稳重、保守、谨慎、有包容心、善于管理与规划、注重实际利益、有领导才能但缺乏开创性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管理者、收藏家、银行家、会计师、仓库管理员、家长、核心人物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是可靠的依靠，善于维系稳定结构，但可能显得固执、缺乏变通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</si>
  <si>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需要积累、存储、管理、规划、按部就班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财务积累、资产管理、不动产交易、内部规划、资源整合、长期建设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需要稳定基础、循序渐进、在既定范围内运作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平稳、缓慢，但根基扎实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</si>
  <si>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具有容纳、存储、稳定、管理、核心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</si>
  <si>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仓库、保险柜、钱箱、容器、柜子、房产证、存折、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躯干（身体的库）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</si>
  <si>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银行、仓库、档案馆、数据中心、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广场、城堡、围墙内的区域、</t>
    </r>
    <r>
      <rPr>
        <sz val="12"/>
        <color theme="1"/>
        <rFont val="等线"/>
        <family val="3"/>
        <charset val="134"/>
        <scheme val="minor"/>
      </rPr>
      <t>&lt;/ins&gt;方形、厚重、中心对称的形态。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</si>
  <si>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抽象系统</t>
    </r>
    <r>
      <rPr>
        <sz val="12"/>
        <color theme="1"/>
        <rFont val="等线"/>
        <family val="3"/>
        <charset val="134"/>
        <scheme val="minor"/>
      </rPr>
      <t>：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</si>
  <si>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消化系统（脾胃，化生营卫之库）、躯干（藏腑之库）</t>
    </r>
    <r>
      <rPr>
        <sz val="12"/>
        <color theme="1"/>
        <rFont val="等线"/>
        <family val="3"/>
        <charset val="134"/>
        <scheme val="minor"/>
      </rPr>
      <t>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</si>
  <si>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金融体系、仓储物流系统、管理体系、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家族宗法体系、疆域领土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</si>
  <si>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积累、稳定、保守、保障、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疆域、权限、遗产、根基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</si>
  <si>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本次解析从“库星”本质出发，系统推导出其作为“容器、中心、疆域”的多重属性，并完整映射至三层结构。</t>
  </si>
  <si>
    <r>
      <t>库星与财库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</si>
  <si>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“库”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收藏、积累、财富、资源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财帛与田宅的主星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富裕、稳定、储蓄能力强</t>
    </r>
    <r>
      <rPr>
        <sz val="12"/>
        <color theme="1"/>
        <rFont val="等线"/>
        <family val="3"/>
        <charset val="134"/>
        <scheme val="minor"/>
      </rPr>
      <t>。</t>
    </r>
  </si>
  <si>
    <t>在命宫、财帛宫、田宅宫时，主一生物质生活丰足，善于理财和积累资产。</t>
  </si>
  <si>
    <r>
      <t>稳定与保守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</si>
  <si>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“库”</t>
    </r>
    <r>
      <rPr>
        <sz val="12"/>
        <color theme="1"/>
        <rFont val="等线"/>
        <family val="3"/>
        <charset val="134"/>
        <scheme val="minor"/>
      </rPr>
      <t>，亦为</t>
    </r>
    <r>
      <rPr>
        <b/>
        <sz val="12"/>
        <color theme="1"/>
        <rFont val="等线"/>
        <family val="3"/>
        <charset val="134"/>
        <scheme val="minor"/>
      </rPr>
      <t>“令星”</t>
    </r>
    <r>
      <rPr>
        <sz val="12"/>
        <color theme="1"/>
        <rFont val="等线"/>
        <family val="3"/>
        <charset val="134"/>
        <scheme val="minor"/>
      </rPr>
      <t>（南斗主星）。代表</t>
    </r>
    <r>
      <rPr>
        <b/>
        <sz val="12"/>
        <color theme="1"/>
        <rFont val="等线"/>
        <family val="3"/>
        <charset val="134"/>
        <scheme val="minor"/>
      </rPr>
      <t>稳定、保守、不易变动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求稳，不喜冒险，遵循传统与规则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</si>
  <si>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在命宫、官禄宫时，主适合在稳定体系内发展，如公务员、银行、大型企业。</t>
  </si>
  <si>
    <r>
      <t>管理与包容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</si>
  <si>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“库”</t>
    </r>
    <r>
      <rPr>
        <sz val="12"/>
        <color theme="1"/>
        <rFont val="等线"/>
        <family val="3"/>
        <charset val="134"/>
        <scheme val="minor"/>
      </rPr>
      <t>，必有</t>
    </r>
    <r>
      <rPr>
        <b/>
        <sz val="12"/>
        <color theme="1"/>
        <rFont val="等线"/>
        <family val="3"/>
        <charset val="134"/>
        <scheme val="minor"/>
      </rPr>
      <t>管理</t>
    </r>
    <r>
      <rPr>
        <sz val="12"/>
        <color theme="1"/>
        <rFont val="等线"/>
        <family val="3"/>
        <charset val="134"/>
        <scheme val="minor"/>
      </rPr>
      <t>职能。代表</t>
    </r>
    <r>
      <rPr>
        <b/>
        <sz val="12"/>
        <color theme="1"/>
        <rFont val="等线"/>
        <family val="3"/>
        <charset val="134"/>
        <scheme val="minor"/>
      </rPr>
      <t>统筹、规划、领导、包容</t>
    </r>
    <r>
      <rPr>
        <sz val="12"/>
        <color theme="1"/>
        <rFont val="等线"/>
        <family val="3"/>
        <charset val="134"/>
        <scheme val="minor"/>
      </rPr>
      <t>。有</t>
    </r>
    <r>
      <rPr>
        <b/>
        <sz val="12"/>
        <color theme="1"/>
        <rFont val="等线"/>
        <family val="3"/>
        <charset val="134"/>
        <scheme val="minor"/>
      </rPr>
      <t>容人之量，能协调各方，维持系统稳定运行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</si>
  <si>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在命宫、官禄宫时，主具备管理才能，适合担任主管、经理等职位。</t>
  </si>
  <si>
    <r>
      <t>中心与疆域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</si>
  <si>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“库”</t>
    </r>
    <r>
      <rPr>
        <sz val="12"/>
        <color theme="1"/>
        <rFont val="等线"/>
        <family val="3"/>
        <charset val="134"/>
        <scheme val="minor"/>
      </rPr>
      <t>，必有</t>
    </r>
    <r>
      <rPr>
        <b/>
        <sz val="12"/>
        <color theme="1"/>
        <rFont val="等线"/>
        <family val="3"/>
        <charset val="134"/>
        <scheme val="minor"/>
      </rPr>
      <t>边界与范围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中心、核心、领地、权限</t>
    </r>
    <r>
      <rPr>
        <sz val="12"/>
        <color theme="1"/>
        <rFont val="等线"/>
        <family val="3"/>
        <charset val="134"/>
        <scheme val="minor"/>
      </rPr>
      <t>。重视</t>
    </r>
    <r>
      <rPr>
        <b/>
        <sz val="12"/>
        <color theme="1"/>
        <rFont val="等线"/>
        <family val="3"/>
        <charset val="134"/>
        <scheme val="minor"/>
      </rPr>
      <t>自己的领域与范围，有主权意识</t>
    </r>
    <r>
      <rPr>
        <sz val="12"/>
        <color theme="1"/>
        <rFont val="等线"/>
        <family val="3"/>
        <charset val="134"/>
        <scheme val="minor"/>
      </rPr>
      <t>。</t>
    </r>
  </si>
  <si>
    <t>在命宫、田宅宫时，主注重家庭与个人空间，有领地观念。在官禄宫，主掌管一个部门或领域。</t>
  </si>
  <si>
    <r>
      <t>身材丰满，方脸或圆脸，神态稳重，举止从容，有富贵气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</si>
  <si>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：稳重可靠，谨慎保守，善于管理，包容大度，有责任心，理财能力强。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</si>
  <si>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：固执己见，缺乏开创精神，有时吝啬，过于求稳而错失良机。</t>
    </r>
  </si>
  <si>
    <r>
      <t>属阳土，主</t>
    </r>
    <r>
      <rPr>
        <b/>
        <sz val="12"/>
        <color theme="1"/>
        <rFont val="等线"/>
        <family val="3"/>
        <charset val="134"/>
        <scheme val="minor"/>
      </rPr>
      <t>脾胃、消化系统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肥胖、脾胃不适、消化不良</t>
    </r>
    <r>
      <rPr>
        <sz val="12"/>
        <color theme="1"/>
        <rFont val="等线"/>
        <family val="3"/>
        <charset val="134"/>
        <scheme val="minor"/>
      </rPr>
      <t>。因“库”象，也对应</t>
    </r>
    <r>
      <rPr>
        <b/>
        <sz val="12"/>
        <color theme="1"/>
        <rFont val="等线"/>
        <family val="3"/>
        <charset val="134"/>
        <scheme val="minor"/>
      </rPr>
      <t>躯干</t>
    </r>
    <r>
      <rPr>
        <sz val="12"/>
        <color theme="1"/>
        <rFont val="等线"/>
        <family val="3"/>
        <charset val="134"/>
        <scheme val="minor"/>
      </rPr>
      <t>的健康。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</si>
  <si>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稳重可靠，保守谨慎，善于管理与积累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天生的管理者与收藏家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金融、会计、房地产、仓储、行政管理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喜吉星会照及“府库充盈”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一生富足，事业稳定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忌空星（地空、地劫）及煞星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库空，财运起伏，为人吝啬</t>
    </r>
    <r>
      <rPr>
        <sz val="12"/>
        <color theme="1"/>
        <rFont val="等线"/>
        <family val="3"/>
        <charset val="134"/>
        <scheme val="minor"/>
      </rPr>
      <t>。天府坐命，需</t>
    </r>
    <r>
      <rPr>
        <b/>
        <sz val="12"/>
        <color theme="1"/>
        <rFont val="等线"/>
        <family val="3"/>
        <charset val="134"/>
        <scheme val="minor"/>
      </rPr>
      <t>培养魄力，避免过于保守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</si>
  <si>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</t>
    </r>
    <r>
      <rPr>
        <b/>
        <sz val="12"/>
        <color theme="1"/>
        <rFont val="等线"/>
        <family val="3"/>
        <charset val="134"/>
        <scheme val="minor"/>
      </rPr>
      <t>关系稳定，互相扶持</t>
    </r>
    <r>
      <rPr>
        <sz val="12"/>
        <color theme="1"/>
        <rFont val="等线"/>
        <family val="3"/>
        <charset val="134"/>
        <scheme val="minor"/>
      </rPr>
      <t>，兄弟姐妹中可能有善于理财或担任管理职务者。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</si>
  <si>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家境不错，性格稳重，注重实际</t>
    </r>
    <r>
      <rPr>
        <sz val="12"/>
        <color theme="1"/>
        <rFont val="等线"/>
        <family val="3"/>
        <charset val="134"/>
        <scheme val="minor"/>
      </rPr>
      <t>。婚姻关系</t>
    </r>
    <r>
      <rPr>
        <b/>
        <sz val="12"/>
        <color theme="1"/>
        <rFont val="等线"/>
        <family val="3"/>
        <charset val="134"/>
        <scheme val="minor"/>
      </rPr>
      <t>稳定，像合作伙伴，注重物质基础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</si>
  <si>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稳重懂事，理财观念强</t>
    </r>
    <r>
      <rPr>
        <sz val="12"/>
        <color theme="1"/>
        <rFont val="等线"/>
        <family val="3"/>
        <charset val="134"/>
        <scheme val="minor"/>
      </rPr>
      <t>。子女数量不多，但能得子女物质奉养。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</si>
  <si>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稳定、保守、善于储蓄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稳定薪水、租金、利息、长期投资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财库</t>
    </r>
    <r>
      <rPr>
        <sz val="12"/>
        <color theme="1"/>
        <rFont val="等线"/>
        <family val="3"/>
        <charset val="134"/>
        <scheme val="minor"/>
      </rPr>
      <t>，见禄存、化禄，主</t>
    </r>
    <r>
      <rPr>
        <b/>
        <sz val="12"/>
        <color theme="1"/>
        <rFont val="等线"/>
        <family val="3"/>
        <charset val="134"/>
        <scheme val="minor"/>
      </rPr>
      <t>财富丰盈</t>
    </r>
    <r>
      <rPr>
        <sz val="12"/>
        <color theme="1"/>
        <rFont val="等线"/>
        <family val="3"/>
        <charset val="134"/>
        <scheme val="minor"/>
      </rPr>
      <t>；见空劫，主</t>
    </r>
    <r>
      <rPr>
        <b/>
        <sz val="12"/>
        <color theme="1"/>
        <rFont val="等线"/>
        <family val="3"/>
        <charset val="134"/>
        <scheme val="minor"/>
      </rPr>
      <t>财来财去</t>
    </r>
    <r>
      <rPr>
        <sz val="12"/>
        <color theme="1"/>
        <rFont val="等线"/>
        <family val="3"/>
        <charset val="134"/>
        <scheme val="minor"/>
      </rPr>
      <t>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</si>
  <si>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脾胃、消化系统疾病</t>
    </r>
    <r>
      <rPr>
        <sz val="12"/>
        <color theme="1"/>
        <rFont val="等线"/>
        <family val="3"/>
        <charset val="134"/>
        <scheme val="minor"/>
      </rPr>
      <t>，易有</t>
    </r>
    <r>
      <rPr>
        <b/>
        <sz val="12"/>
        <color theme="1"/>
        <rFont val="等线"/>
        <family val="3"/>
        <charset val="134"/>
        <scheme val="minor"/>
      </rPr>
      <t>肥胖、消化不良</t>
    </r>
    <r>
      <rPr>
        <sz val="12"/>
        <color theme="1"/>
        <rFont val="等线"/>
        <family val="3"/>
        <charset val="134"/>
        <scheme val="minor"/>
      </rPr>
      <t>问题。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</si>
  <si>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人缘好，易得他人信赖</t>
    </r>
    <r>
      <rPr>
        <sz val="12"/>
        <color theme="1"/>
        <rFont val="等线"/>
        <family val="3"/>
        <charset val="134"/>
        <scheme val="minor"/>
      </rPr>
      <t>，适合在异地从事稳定行业或管理职务。</t>
    </r>
  </si>
  <si>
    <r>
      <t>朋友、同事多稳重、可靠之人</t>
    </r>
    <r>
      <rPr>
        <sz val="12"/>
        <color theme="1"/>
        <rFont val="等线"/>
        <family val="3"/>
        <charset val="134"/>
        <scheme val="minor"/>
      </rPr>
      <t>，其中不乏</t>
    </r>
    <r>
      <rPr>
        <b/>
        <sz val="12"/>
        <color theme="1"/>
        <rFont val="等线"/>
        <family val="3"/>
        <charset val="134"/>
        <scheme val="minor"/>
      </rPr>
      <t>财力雄厚或管理阶层者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</si>
  <si>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需要管理、规划、稳定发展</t>
    </r>
    <r>
      <rPr>
        <sz val="12"/>
        <color theme="1"/>
        <rFont val="等线"/>
        <family val="3"/>
        <charset val="134"/>
        <scheme val="minor"/>
      </rPr>
      <t>的行业，如</t>
    </r>
    <r>
      <rPr>
        <b/>
        <sz val="12"/>
        <color theme="1"/>
        <rFont val="等线"/>
        <family val="3"/>
        <charset val="134"/>
        <scheme val="minor"/>
      </rPr>
      <t>金融、房地产、公务员、大型企业高管</t>
    </r>
    <r>
      <rPr>
        <sz val="12"/>
        <color theme="1"/>
        <rFont val="等线"/>
        <family val="3"/>
        <charset val="134"/>
        <scheme val="minor"/>
      </rPr>
      <t>。不喜变动，适合在成熟体系中逐步晋升。</t>
    </r>
  </si>
  <si>
    <r>
      <t>家宅宽敞、稳定，易有祖产或多处房产</t>
    </r>
    <r>
      <rPr>
        <sz val="12"/>
        <color theme="1"/>
        <rFont val="等线"/>
        <family val="3"/>
        <charset val="134"/>
        <scheme val="minor"/>
      </rPr>
      <t>。天府吉则</t>
    </r>
    <r>
      <rPr>
        <b/>
        <sz val="12"/>
        <color theme="1"/>
        <rFont val="等线"/>
        <family val="3"/>
        <charset val="134"/>
        <scheme val="minor"/>
      </rPr>
      <t>房产丰隆，家宅安宁</t>
    </r>
    <r>
      <rPr>
        <sz val="12"/>
        <color theme="1"/>
        <rFont val="等线"/>
        <family val="3"/>
        <charset val="134"/>
        <scheme val="minor"/>
      </rPr>
      <t>；天府凶则</t>
    </r>
    <r>
      <rPr>
        <b/>
        <sz val="12"/>
        <color theme="1"/>
        <rFont val="等线"/>
        <family val="3"/>
        <charset val="134"/>
        <scheme val="minor"/>
      </rPr>
      <t>库空，家宅冷清，或房产有纠纷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</si>
  <si>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追求稳定与安逸，注重物质享受与安全感</t>
    </r>
    <r>
      <rPr>
        <sz val="12"/>
        <color theme="1"/>
        <rFont val="等线"/>
        <family val="3"/>
        <charset val="134"/>
        <scheme val="minor"/>
      </rPr>
      <t>。内心</t>
    </r>
    <r>
      <rPr>
        <b/>
        <sz val="12"/>
        <color theme="1"/>
        <rFont val="等线"/>
        <family val="3"/>
        <charset val="134"/>
        <scheme val="minor"/>
      </rPr>
      <t>豁达，但计较实际得失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</si>
  <si>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稳重，家境殷实，给予子女稳定的物质支持与教育</t>
    </r>
    <r>
      <rPr>
        <sz val="12"/>
        <color theme="1"/>
        <rFont val="等线"/>
        <family val="3"/>
        <charset val="134"/>
        <scheme val="minor"/>
      </rPr>
      <t>。</t>
    </r>
  </si>
  <si>
    <t>1. 增强库星/稳定/管理组合</t>
  </si>
  <si>
    <r>
      <t>帝星入库</t>
    </r>
    <r>
      <rPr>
        <sz val="12"/>
        <color theme="1"/>
        <rFont val="等线"/>
        <family val="3"/>
        <charset val="134"/>
        <scheme val="minor"/>
      </rPr>
      <t>，尊贵与库藏结合，</t>
    </r>
    <r>
      <rPr>
        <b/>
        <sz val="12"/>
        <color theme="1"/>
        <rFont val="等线"/>
        <family val="3"/>
        <charset val="134"/>
        <scheme val="minor"/>
      </rPr>
      <t>“紫府同宫格”，尊崇富贵，领导与管理能力极强</t>
    </r>
    <r>
      <rPr>
        <sz val="12"/>
        <color theme="1"/>
        <rFont val="等线"/>
        <family val="3"/>
        <charset val="134"/>
        <scheme val="minor"/>
      </rPr>
      <t>。</t>
    </r>
  </si>
  <si>
    <t>帝王之才；大型企业领袖。</t>
  </si>
  <si>
    <r>
      <t>天府+天机</t>
    </r>
    <r>
      <rPr>
        <sz val="12"/>
        <color theme="1"/>
        <rFont val="等线"/>
        <family val="3"/>
        <charset val="134"/>
        <scheme val="minor"/>
      </rPr>
      <t>​</t>
    </r>
  </si>
  <si>
    <r>
      <t>智星入库</t>
    </r>
    <r>
      <rPr>
        <sz val="12"/>
        <color theme="1"/>
        <rFont val="等线"/>
        <family val="3"/>
        <charset val="134"/>
        <scheme val="minor"/>
      </rPr>
      <t>，机巧与库藏结合，</t>
    </r>
    <r>
      <rPr>
        <b/>
        <sz val="12"/>
        <color theme="1"/>
        <rFont val="等线"/>
        <family val="3"/>
        <charset val="134"/>
        <scheme val="minor"/>
      </rPr>
      <t>善于策划与管理，适合金融分析、仓储物流管理</t>
    </r>
    <r>
      <rPr>
        <sz val="12"/>
        <color theme="1"/>
        <rFont val="等线"/>
        <family val="3"/>
        <charset val="134"/>
        <scheme val="minor"/>
      </rPr>
      <t>。</t>
    </r>
  </si>
  <si>
    <t>银行家；物流公司管理者。</t>
  </si>
  <si>
    <r>
      <t>日星入库</t>
    </r>
    <r>
      <rPr>
        <sz val="12"/>
        <color theme="1"/>
        <rFont val="等线"/>
        <family val="3"/>
        <charset val="134"/>
        <scheme val="minor"/>
      </rPr>
      <t>，光明与库藏结合，</t>
    </r>
    <r>
      <rPr>
        <b/>
        <sz val="12"/>
        <color theme="1"/>
        <rFont val="等线"/>
        <family val="3"/>
        <charset val="134"/>
        <scheme val="minor"/>
      </rPr>
      <t>“阳府”组合，光明正大地管理财富，适合公职、金融管理</t>
    </r>
    <r>
      <rPr>
        <sz val="12"/>
        <color theme="1"/>
        <rFont val="等线"/>
        <family val="3"/>
        <charset val="134"/>
        <scheme val="minor"/>
      </rPr>
      <t>。</t>
    </r>
  </si>
  <si>
    <t>政府财政官员；银行行长。</t>
  </si>
  <si>
    <r>
      <t>财星入库</t>
    </r>
    <r>
      <rPr>
        <sz val="12"/>
        <color theme="1"/>
        <rFont val="等线"/>
        <family val="3"/>
        <charset val="134"/>
        <scheme val="minor"/>
      </rPr>
      <t>，行动力与库藏结合，</t>
    </r>
    <r>
      <rPr>
        <b/>
        <sz val="12"/>
        <color theme="1"/>
        <rFont val="等线"/>
        <family val="3"/>
        <charset val="134"/>
        <scheme val="minor"/>
      </rPr>
      <t>“武府”组合，执行力强且善理财，财富积累迅速</t>
    </r>
    <r>
      <rPr>
        <sz val="12"/>
        <color theme="1"/>
        <rFont val="等线"/>
        <family val="3"/>
        <charset val="134"/>
        <scheme val="minor"/>
      </rPr>
      <t>。</t>
    </r>
  </si>
  <si>
    <t>企业家；投资家。</t>
  </si>
  <si>
    <r>
      <t>天府+天同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</si>
  <si>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福星入库</t>
    </r>
    <r>
      <rPr>
        <sz val="12"/>
        <color theme="1"/>
        <rFont val="等线"/>
        <family val="3"/>
        <charset val="134"/>
        <scheme val="minor"/>
      </rPr>
      <t>，享受与库藏结合，</t>
    </r>
    <r>
      <rPr>
        <b/>
        <sz val="12"/>
        <color theme="1"/>
        <rFont val="等线"/>
        <family val="3"/>
        <charset val="134"/>
        <scheme val="minor"/>
      </rPr>
      <t>“同府”组合，福气与财富兼备，生活安逸富足</t>
    </r>
    <r>
      <rPr>
        <sz val="12"/>
        <color theme="1"/>
        <rFont val="等线"/>
        <family val="3"/>
        <charset val="134"/>
        <scheme val="minor"/>
      </rPr>
      <t>。</t>
    </r>
  </si>
  <si>
    <t>富贵闲人；继承家业者。</t>
  </si>
  <si>
    <r>
      <t>囚星入库</t>
    </r>
    <r>
      <rPr>
        <sz val="12"/>
        <color theme="1"/>
        <rFont val="等线"/>
        <family val="3"/>
        <charset val="134"/>
        <scheme val="minor"/>
      </rPr>
      <t>，感情官非与库藏结合，</t>
    </r>
    <r>
      <rPr>
        <b/>
        <sz val="12"/>
        <color theme="1"/>
        <rFont val="等线"/>
        <family val="3"/>
        <charset val="134"/>
        <scheme val="minor"/>
      </rPr>
      <t>“廉府”组合，善于管理复杂事务，但需防桃花破财或法律纠纷</t>
    </r>
    <r>
      <rPr>
        <sz val="12"/>
        <color theme="1"/>
        <rFont val="等线"/>
        <family val="3"/>
        <charset val="134"/>
        <scheme val="minor"/>
      </rPr>
      <t>。</t>
    </r>
  </si>
  <si>
    <t>大型机构法务或风控主管。</t>
  </si>
  <si>
    <r>
      <t>天府+太阴</t>
    </r>
    <r>
      <rPr>
        <sz val="12"/>
        <color theme="1"/>
        <rFont val="等线"/>
        <family val="3"/>
        <charset val="134"/>
        <scheme val="minor"/>
      </rPr>
      <t>​</t>
    </r>
  </si>
  <si>
    <r>
      <t>月星入库</t>
    </r>
    <r>
      <rPr>
        <sz val="12"/>
        <color theme="1"/>
        <rFont val="等线"/>
        <family val="3"/>
        <charset val="134"/>
        <scheme val="minor"/>
      </rPr>
      <t>，阴柔与库藏结合，</t>
    </r>
    <r>
      <rPr>
        <b/>
        <sz val="12"/>
        <color theme="1"/>
        <rFont val="等线"/>
        <family val="3"/>
        <charset val="134"/>
        <scheme val="minor"/>
      </rPr>
      <t>“阴府”组合，财富与田宅丰足，善于理财和不动产投资</t>
    </r>
    <r>
      <rPr>
        <sz val="12"/>
        <color theme="1"/>
        <rFont val="等线"/>
        <family val="3"/>
        <charset val="134"/>
        <scheme val="minor"/>
      </rPr>
      <t>。</t>
    </r>
  </si>
  <si>
    <t>地产商；银行家。</t>
  </si>
  <si>
    <r>
      <t>天府+贪狼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</si>
  <si>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欲星入库</t>
    </r>
    <r>
      <rPr>
        <sz val="12"/>
        <color theme="1"/>
        <rFont val="等线"/>
        <family val="3"/>
        <charset val="134"/>
        <scheme val="minor"/>
      </rPr>
      <t>，欲望与库藏结合，</t>
    </r>
    <r>
      <rPr>
        <b/>
        <sz val="12"/>
        <color theme="1"/>
        <rFont val="等线"/>
        <family val="3"/>
        <charset val="134"/>
        <scheme val="minor"/>
      </rPr>
      <t>“贪府”组合，外表稳重，内心欲望强，善交际生财，但需防贪欲损库</t>
    </r>
    <r>
      <rPr>
        <sz val="12"/>
        <color theme="1"/>
        <rFont val="等线"/>
        <family val="3"/>
        <charset val="134"/>
        <scheme val="minor"/>
      </rPr>
      <t>。</t>
    </r>
  </si>
  <si>
    <t>社交型商人；奢侈品行业管理者。</t>
  </si>
  <si>
    <r>
      <t>天府+巨门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</si>
  <si>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暗星入库</t>
    </r>
    <r>
      <rPr>
        <sz val="12"/>
        <color theme="1"/>
        <rFont val="等线"/>
        <family val="3"/>
        <charset val="134"/>
        <scheme val="minor"/>
      </rPr>
      <t>，口舌与库藏结合，</t>
    </r>
    <r>
      <rPr>
        <b/>
        <sz val="12"/>
        <color theme="1"/>
        <rFont val="等线"/>
        <family val="3"/>
        <charset val="134"/>
        <scheme val="minor"/>
      </rPr>
      <t>“巨府”组合，善于通过口才、谈判管理财富，但易有暗中的财务纠纷</t>
    </r>
    <r>
      <rPr>
        <sz val="12"/>
        <color theme="1"/>
        <rFont val="等线"/>
        <family val="3"/>
        <charset val="134"/>
        <scheme val="minor"/>
      </rPr>
      <t>。</t>
    </r>
  </si>
  <si>
    <t>律师；谈判专家；审计师。</t>
  </si>
  <si>
    <r>
      <t>天府+天相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</si>
  <si>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印星入库</t>
    </r>
    <r>
      <rPr>
        <sz val="12"/>
        <color theme="1"/>
        <rFont val="等线"/>
        <family val="3"/>
        <charset val="134"/>
        <scheme val="minor"/>
      </rPr>
      <t>，协调与库藏结合，</t>
    </r>
    <r>
      <rPr>
        <b/>
        <sz val="12"/>
        <color theme="1"/>
        <rFont val="等线"/>
        <family val="3"/>
        <charset val="134"/>
        <scheme val="minor"/>
      </rPr>
      <t>“府相”组合，稳重诚信，善于管理，富贵双全</t>
    </r>
    <r>
      <rPr>
        <sz val="12"/>
        <color theme="1"/>
        <rFont val="等线"/>
        <family val="3"/>
        <charset val="134"/>
        <scheme val="minor"/>
      </rPr>
      <t>。</t>
    </r>
  </si>
  <si>
    <r>
      <t>天府+天梁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</si>
  <si>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荫星入库</t>
    </r>
    <r>
      <rPr>
        <sz val="12"/>
        <color theme="1"/>
        <rFont val="等线"/>
        <family val="3"/>
        <charset val="134"/>
        <scheme val="minor"/>
      </rPr>
      <t>，荫庇与库藏结合，</t>
    </r>
    <r>
      <rPr>
        <b/>
        <sz val="12"/>
        <color theme="1"/>
        <rFont val="等线"/>
        <family val="3"/>
        <charset val="134"/>
        <scheme val="minor"/>
      </rPr>
      <t>“府梁”组合，稳重且有原则，善于管理，福寿双全，易得祖荫</t>
    </r>
    <r>
      <rPr>
        <sz val="12"/>
        <color theme="1"/>
        <rFont val="等线"/>
        <family val="3"/>
        <charset val="134"/>
        <scheme val="minor"/>
      </rPr>
      <t>。</t>
    </r>
  </si>
  <si>
    <t>德高望重的家族掌门人；慈善基金会管理者。</t>
  </si>
  <si>
    <r>
      <t>天府+七杀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</si>
  <si>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杀星入库</t>
    </r>
    <r>
      <rPr>
        <sz val="12"/>
        <color theme="1"/>
        <rFont val="等线"/>
        <family val="3"/>
        <charset val="134"/>
        <scheme val="minor"/>
      </rPr>
      <t>，肃杀与库藏结合，</t>
    </r>
    <r>
      <rPr>
        <b/>
        <sz val="12"/>
        <color theme="1"/>
        <rFont val="等线"/>
        <family val="3"/>
        <charset val="134"/>
        <scheme val="minor"/>
      </rPr>
      <t>“杀库”组合，在稳定中求突破，管理风格强硬，能开拓财源</t>
    </r>
    <r>
      <rPr>
        <sz val="12"/>
        <color theme="1"/>
        <rFont val="等线"/>
        <family val="3"/>
        <charset val="134"/>
        <scheme val="minor"/>
      </rPr>
      <t>。</t>
    </r>
  </si>
  <si>
    <t>改革型企业家；军需官。</t>
  </si>
  <si>
    <r>
      <t>天府+破军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</si>
  <si>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耗星入库</t>
    </r>
    <r>
      <rPr>
        <sz val="12"/>
        <color theme="1"/>
        <rFont val="等线"/>
        <family val="3"/>
        <charset val="134"/>
        <scheme val="minor"/>
      </rPr>
      <t>，变动与库藏结合，</t>
    </r>
    <r>
      <rPr>
        <b/>
        <sz val="12"/>
        <color theme="1"/>
        <rFont val="等线"/>
        <family val="3"/>
        <charset val="134"/>
        <scheme val="minor"/>
      </rPr>
      <t>“破库”组合，库藏受冲击，财富大进大出，管理面临变革</t>
    </r>
    <r>
      <rPr>
        <sz val="12"/>
        <color theme="1"/>
        <rFont val="等线"/>
        <family val="3"/>
        <charset val="134"/>
        <scheme val="minor"/>
      </rPr>
      <t>。</t>
    </r>
  </si>
  <si>
    <t>风险投资家；破产重组专家。</t>
  </si>
  <si>
    <r>
      <t>天府+左辅/右弼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</si>
  <si>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库星得助</t>
    </r>
    <r>
      <rPr>
        <sz val="12"/>
        <color theme="1"/>
        <rFont val="等线"/>
        <family val="3"/>
        <charset val="134"/>
        <scheme val="minor"/>
      </rPr>
      <t>，管理与积累得同辈、晚辈助力，</t>
    </r>
    <r>
      <rPr>
        <b/>
        <sz val="12"/>
        <color theme="1"/>
        <rFont val="等线"/>
        <family val="3"/>
        <charset val="134"/>
        <scheme val="minor"/>
      </rPr>
      <t>库藏丰盈，管理团队得力</t>
    </r>
    <r>
      <rPr>
        <sz val="12"/>
        <color theme="1"/>
        <rFont val="等线"/>
        <family val="3"/>
        <charset val="134"/>
        <scheme val="minor"/>
      </rPr>
      <t>。</t>
    </r>
  </si>
  <si>
    <r>
      <t>天府+文昌/文曲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</si>
  <si>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文采、才华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利于金融、会计、管理学科，或从事文化资产管理</t>
    </r>
    <r>
      <rPr>
        <sz val="12"/>
        <color theme="1"/>
        <rFont val="等线"/>
        <family val="3"/>
        <charset val="134"/>
        <scheme val="minor"/>
      </rPr>
      <t>。</t>
    </r>
  </si>
  <si>
    <r>
      <t>天府+天魁/天钺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</si>
  <si>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库星遇贵</t>
    </r>
    <r>
      <rPr>
        <sz val="12"/>
        <color theme="1"/>
        <rFont val="等线"/>
        <family val="3"/>
        <charset val="134"/>
        <scheme val="minor"/>
      </rPr>
      <t>，管理与积累得贵人赏识提携，</t>
    </r>
    <r>
      <rPr>
        <b/>
        <sz val="12"/>
        <color theme="1"/>
        <rFont val="等线"/>
        <family val="3"/>
        <charset val="134"/>
        <scheme val="minor"/>
      </rPr>
      <t>易得上级信任，掌管重要资源</t>
    </r>
    <r>
      <rPr>
        <sz val="12"/>
        <color theme="1"/>
        <rFont val="等线"/>
        <family val="3"/>
        <charset val="134"/>
        <scheme val="minor"/>
      </rPr>
      <t>。</t>
    </r>
  </si>
  <si>
    <r>
      <t>天府+禄存</t>
    </r>
    <r>
      <rPr>
        <sz val="12"/>
        <color theme="1"/>
        <rFont val="等线"/>
        <family val="3"/>
        <charset val="134"/>
        <scheme val="minor"/>
      </rPr>
      <t>​</t>
    </r>
  </si>
  <si>
    <r>
      <t>库星带禄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财富积累丰厚，库府充盈</t>
    </r>
    <r>
      <rPr>
        <sz val="12"/>
        <color theme="1"/>
        <rFont val="等线"/>
        <family val="3"/>
        <charset val="134"/>
        <scheme val="minor"/>
      </rPr>
      <t>。</t>
    </r>
  </si>
  <si>
    <r>
      <t>天府+天马</t>
    </r>
    <r>
      <rPr>
        <sz val="12"/>
        <color theme="1"/>
        <rFont val="等线"/>
        <family val="3"/>
        <charset val="134"/>
        <scheme val="minor"/>
      </rPr>
      <t>​</t>
    </r>
  </si>
  <si>
    <r>
      <t>库星奔驰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动中求财，利国际贸易、物流仓储、远方置产</t>
    </r>
    <r>
      <rPr>
        <sz val="12"/>
        <color theme="1"/>
        <rFont val="等线"/>
        <family val="3"/>
        <charset val="134"/>
        <scheme val="minor"/>
      </rPr>
      <t>。</t>
    </r>
  </si>
  <si>
    <r>
      <t>天府+火星</t>
    </r>
    <r>
      <rPr>
        <sz val="12"/>
        <color theme="1"/>
        <rFont val="等线"/>
        <family val="3"/>
        <charset val="134"/>
        <scheme val="minor"/>
      </rPr>
      <t>​</t>
    </r>
  </si>
  <si>
    <r>
      <t>库星逢火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管理受冲击，易因急躁决策导致破财，或仓库火灾</t>
    </r>
    <r>
      <rPr>
        <sz val="12"/>
        <color theme="1"/>
        <rFont val="等线"/>
        <family val="3"/>
        <charset val="134"/>
        <scheme val="minor"/>
      </rPr>
      <t>。</t>
    </r>
  </si>
  <si>
    <r>
      <t>库星逢铃</t>
    </r>
    <r>
      <rPr>
        <sz val="12"/>
        <color theme="1"/>
        <rFont val="等线"/>
        <family val="3"/>
        <charset val="134"/>
        <scheme val="minor"/>
      </rPr>
      <t>，库藏伴随</t>
    </r>
    <r>
      <rPr>
        <b/>
        <sz val="12"/>
        <color theme="1"/>
        <rFont val="等线"/>
        <family val="3"/>
        <charset val="134"/>
        <scheme val="minor"/>
      </rPr>
      <t>隐忧、拖延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财务纠纷，管理效率低下</t>
    </r>
    <r>
      <rPr>
        <sz val="12"/>
        <color theme="1"/>
        <rFont val="等线"/>
        <family val="3"/>
        <charset val="134"/>
        <scheme val="minor"/>
      </rPr>
      <t>。</t>
    </r>
  </si>
  <si>
    <r>
      <t>天府+擎羊</t>
    </r>
    <r>
      <rPr>
        <sz val="12"/>
        <color theme="1"/>
        <rFont val="等线"/>
        <family val="3"/>
        <charset val="134"/>
        <scheme val="minor"/>
      </rPr>
      <t>​</t>
    </r>
  </si>
  <si>
    <r>
      <t>库星逢羊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库藏受损，易有财务损失、手术（尤指脾胃），管理冲突</t>
    </r>
    <r>
      <rPr>
        <sz val="12"/>
        <color theme="1"/>
        <rFont val="等线"/>
        <family val="3"/>
        <charset val="134"/>
        <scheme val="minor"/>
      </rPr>
      <t>。</t>
    </r>
  </si>
  <si>
    <r>
      <t>库星逢陀</t>
    </r>
    <r>
      <rPr>
        <sz val="12"/>
        <color theme="1"/>
        <rFont val="等线"/>
        <family val="3"/>
        <charset val="134"/>
        <scheme val="minor"/>
      </rPr>
      <t>，库藏受</t>
    </r>
    <r>
      <rPr>
        <b/>
        <sz val="12"/>
        <color theme="1"/>
        <rFont val="等线"/>
        <family val="3"/>
        <charset val="134"/>
        <scheme val="minor"/>
      </rPr>
      <t>拖延、旧账困扰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财务周转不灵，管理僵化</t>
    </r>
    <r>
      <rPr>
        <sz val="12"/>
        <color theme="1"/>
        <rFont val="等线"/>
        <family val="3"/>
        <charset val="134"/>
        <scheme val="minor"/>
      </rPr>
      <t>。</t>
    </r>
  </si>
  <si>
    <r>
      <t>库星逢空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“空库”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财富难聚，理想落空，管理计划难以实现</t>
    </r>
    <r>
      <rPr>
        <sz val="12"/>
        <color theme="1"/>
        <rFont val="等线"/>
        <family val="3"/>
        <charset val="134"/>
        <scheme val="minor"/>
      </rPr>
      <t>。</t>
    </r>
  </si>
  <si>
    <r>
      <t>库星逢劫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“劫库”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意外破耗，财务突然损失，管理出现漏洞</t>
    </r>
    <r>
      <rPr>
        <sz val="12"/>
        <color theme="1"/>
        <rFont val="等线"/>
        <family val="3"/>
        <charset val="134"/>
        <scheme val="minor"/>
      </rPr>
      <t>。</t>
    </r>
  </si>
  <si>
    <r>
      <t>天府+化禄</t>
    </r>
    <r>
      <rPr>
        <sz val="12"/>
        <color theme="1"/>
        <rFont val="等线"/>
        <family val="3"/>
        <charset val="134"/>
        <scheme val="minor"/>
      </rPr>
      <t>​</t>
    </r>
  </si>
  <si>
    <r>
      <t>库星化禄</t>
    </r>
    <r>
      <rPr>
        <sz val="12"/>
        <color theme="1"/>
        <rFont val="等线"/>
        <family val="3"/>
        <charset val="134"/>
        <scheme val="minor"/>
      </rPr>
      <t>（无，天府不化禄，但喜见化禄）。</t>
    </r>
  </si>
  <si>
    <r>
      <t>天府+化权</t>
    </r>
    <r>
      <rPr>
        <sz val="12"/>
        <color theme="1"/>
        <rFont val="等线"/>
        <family val="3"/>
        <charset val="134"/>
        <scheme val="minor"/>
      </rPr>
      <t>​</t>
    </r>
  </si>
  <si>
    <r>
      <t>库星化权</t>
    </r>
    <r>
      <rPr>
        <sz val="12"/>
        <color theme="1"/>
        <rFont val="等线"/>
        <family val="3"/>
        <charset val="134"/>
        <scheme val="minor"/>
      </rPr>
      <t>（无，天府不化权）。</t>
    </r>
  </si>
  <si>
    <r>
      <t>天府+化科</t>
    </r>
    <r>
      <rPr>
        <sz val="12"/>
        <color theme="1"/>
        <rFont val="等线"/>
        <family val="3"/>
        <charset val="134"/>
        <scheme val="minor"/>
      </rPr>
      <t>​</t>
    </r>
  </si>
  <si>
    <r>
      <t>库星化科</t>
    </r>
    <r>
      <rPr>
        <sz val="12"/>
        <color theme="1"/>
        <rFont val="等线"/>
        <family val="3"/>
        <charset val="134"/>
        <scheme val="minor"/>
      </rPr>
      <t>（无，天府不化科）。</t>
    </r>
  </si>
  <si>
    <r>
      <t>天府+化忌</t>
    </r>
    <r>
      <rPr>
        <sz val="12"/>
        <color theme="1"/>
        <rFont val="等线"/>
        <family val="3"/>
        <charset val="134"/>
        <scheme val="minor"/>
      </rPr>
      <t>​</t>
    </r>
  </si>
  <si>
    <r>
      <t>库星化忌</t>
    </r>
    <r>
      <rPr>
        <sz val="12"/>
        <color theme="1"/>
        <rFont val="等线"/>
        <family val="3"/>
        <charset val="134"/>
        <scheme val="minor"/>
      </rPr>
      <t>（无，天府不化忌，但怕被化忌星冲破）。</t>
    </r>
  </si>
  <si>
    <r>
      <t>1. “库星”本质</t>
    </r>
    <r>
      <rPr>
        <sz val="11"/>
        <color theme="1"/>
        <rFont val="等线"/>
        <family val="2"/>
        <charset val="134"/>
        <scheme val="minor"/>
      </rPr>
      <t>：天府化气为</t>
    </r>
    <r>
      <rPr>
        <b/>
        <sz val="11"/>
        <color theme="1"/>
        <rFont val="等线"/>
        <family val="3"/>
        <charset val="134"/>
        <scheme val="minor"/>
      </rPr>
      <t>“库”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容纳、积累、管理、稳定</t>
    </r>
    <r>
      <rPr>
        <sz val="11"/>
        <color theme="1"/>
        <rFont val="等线"/>
        <family val="2"/>
        <charset val="134"/>
        <scheme val="minor"/>
      </rPr>
      <t>。其人生角色常是</t>
    </r>
    <r>
      <rPr>
        <b/>
        <sz val="11"/>
        <color theme="1"/>
        <rFont val="等线"/>
        <family val="3"/>
        <charset val="134"/>
        <scheme val="minor"/>
      </rPr>
      <t>资源的守护者、系统的管理者、财富的积累者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喜见禄存、化禄及吉星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府库充盈，富贵安稳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最忌空劫及煞星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库空或库损，财运不稳</t>
    </r>
    <r>
      <rPr>
        <sz val="11"/>
        <color theme="1"/>
        <rFont val="等线"/>
        <family val="2"/>
        <charset val="134"/>
        <scheme val="minor"/>
      </rPr>
      <t>。</t>
    </r>
  </si>
  <si>
    <r>
      <t>2. “令星”与“保守”</t>
    </r>
    <r>
      <rPr>
        <sz val="11"/>
        <color theme="1"/>
        <rFont val="等线"/>
        <family val="2"/>
        <charset val="134"/>
        <scheme val="minor"/>
      </rPr>
      <t>：天府为南斗</t>
    </r>
    <r>
      <rPr>
        <b/>
        <sz val="11"/>
        <color theme="1"/>
        <rFont val="等线"/>
        <family val="3"/>
        <charset val="134"/>
        <scheme val="minor"/>
      </rPr>
      <t>“令星”</t>
    </r>
    <r>
      <rPr>
        <sz val="11"/>
        <color theme="1"/>
        <rFont val="等线"/>
        <family val="2"/>
        <charset val="134"/>
        <scheme val="minor"/>
      </rPr>
      <t>，有</t>
    </r>
    <r>
      <rPr>
        <b/>
        <sz val="11"/>
        <color theme="1"/>
        <rFont val="等线"/>
        <family val="3"/>
        <charset val="134"/>
        <scheme val="minor"/>
      </rPr>
      <t>发号施令、管理之能</t>
    </r>
    <r>
      <rPr>
        <sz val="11"/>
        <color theme="1"/>
        <rFont val="等线"/>
        <family val="2"/>
        <charset val="134"/>
        <scheme val="minor"/>
      </rPr>
      <t>，但其性</t>
    </r>
    <r>
      <rPr>
        <b/>
        <sz val="11"/>
        <color theme="1"/>
        <rFont val="等线"/>
        <family val="3"/>
        <charset val="134"/>
        <scheme val="minor"/>
      </rPr>
      <t>保守、持重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缺乏开创性，善于守成而非开拓</t>
    </r>
    <r>
      <rPr>
        <sz val="11"/>
        <color theme="1"/>
        <rFont val="等线"/>
        <family val="2"/>
        <charset val="134"/>
        <scheme val="minor"/>
      </rPr>
      <t>。需与开创型星曜配合方能平衡。</t>
    </r>
  </si>
  <si>
    <r>
      <t>3. “疆域”与“中心”</t>
    </r>
    <r>
      <rPr>
        <sz val="11"/>
        <color theme="1"/>
        <rFont val="等线"/>
        <family val="2"/>
        <charset val="134"/>
        <scheme val="minor"/>
      </rPr>
      <t>：天府有</t>
    </r>
    <r>
      <rPr>
        <b/>
        <sz val="11"/>
        <color theme="1"/>
        <rFont val="等线"/>
        <family val="3"/>
        <charset val="134"/>
        <scheme val="minor"/>
      </rPr>
      <t>强烈的领域意识</t>
    </r>
    <r>
      <rPr>
        <sz val="11"/>
        <color theme="1"/>
        <rFont val="等线"/>
        <family val="2"/>
        <charset val="134"/>
        <scheme val="minor"/>
      </rPr>
      <t>，重视</t>
    </r>
    <r>
      <rPr>
        <b/>
        <sz val="11"/>
        <color theme="1"/>
        <rFont val="等线"/>
        <family val="3"/>
        <charset val="134"/>
        <scheme val="minor"/>
      </rPr>
      <t>自己的范围与权限</t>
    </r>
    <r>
      <rPr>
        <sz val="11"/>
        <color theme="1"/>
        <rFont val="等线"/>
        <family val="2"/>
        <charset val="134"/>
        <scheme val="minor"/>
      </rPr>
      <t>。在命盘中，其所在宫位常代表一个人</t>
    </r>
    <r>
      <rPr>
        <b/>
        <sz val="11"/>
        <color theme="1"/>
        <rFont val="等线"/>
        <family val="3"/>
        <charset val="134"/>
        <scheme val="minor"/>
      </rPr>
      <t>最重视、最想稳固掌控的领域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</si>
  <si>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：天府星所在宫位，指示在人生的哪个领域需要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积累资源、稳健管理、建立稳固基础</t>
    </r>
    <r>
      <rPr>
        <sz val="11"/>
        <color theme="1"/>
        <rFont val="等线"/>
        <family val="2"/>
        <charset val="134"/>
        <scheme val="minor"/>
      </rPr>
      <t>，也指示该领域是个人</t>
    </r>
    <r>
      <rPr>
        <b/>
        <sz val="11"/>
        <color theme="1"/>
        <rFont val="等线"/>
        <family val="3"/>
        <charset val="134"/>
        <scheme val="minor"/>
      </rPr>
      <t>财富、资源、安全感</t>
    </r>
    <r>
      <rPr>
        <sz val="11"/>
        <color theme="1"/>
        <rFont val="等线"/>
        <family val="2"/>
        <charset val="134"/>
        <scheme val="minor"/>
      </rPr>
      <t>的核心所在。</t>
    </r>
  </si>
  <si>
    <r>
      <t>5. “空库”与“劫库”</t>
    </r>
    <r>
      <rPr>
        <sz val="11"/>
        <color theme="1"/>
        <rFont val="等线"/>
        <family val="2"/>
        <charset val="134"/>
        <scheme val="minor"/>
      </rPr>
      <t>：天府</t>
    </r>
    <r>
      <rPr>
        <b/>
        <sz val="11"/>
        <color theme="1"/>
        <rFont val="等线"/>
        <family val="3"/>
        <charset val="134"/>
        <scheme val="minor"/>
      </rPr>
      <t>最怕地空、地劫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地空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空库</t>
    </r>
    <r>
      <rPr>
        <sz val="11"/>
        <color theme="1"/>
        <rFont val="等线"/>
        <family val="2"/>
        <charset val="134"/>
        <scheme val="minor"/>
      </rPr>
      <t>，理想难成，财富虚耗；</t>
    </r>
    <r>
      <rPr>
        <b/>
        <sz val="11"/>
        <color theme="1"/>
        <rFont val="等线"/>
        <family val="3"/>
        <charset val="134"/>
        <scheme val="minor"/>
      </rPr>
      <t>地劫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劫库</t>
    </r>
    <r>
      <rPr>
        <sz val="11"/>
        <color theme="1"/>
        <rFont val="等线"/>
        <family val="2"/>
        <charset val="134"/>
        <scheme val="minor"/>
      </rPr>
      <t>，意外破耗。此是断天府财运与事业成败的关键。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</si>
  <si>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：天府</t>
    </r>
    <r>
      <rPr>
        <b/>
        <sz val="11"/>
        <color theme="1"/>
        <rFont val="等线"/>
        <family val="3"/>
        <charset val="134"/>
        <scheme val="minor"/>
      </rPr>
      <t>不化禄、不化权、不化科、不化忌</t>
    </r>
    <r>
      <rPr>
        <sz val="11"/>
        <color theme="1"/>
        <rFont val="等线"/>
        <family val="2"/>
        <charset val="134"/>
        <scheme val="minor"/>
      </rPr>
      <t>。其吉凶主要看</t>
    </r>
    <r>
      <rPr>
        <b/>
        <sz val="11"/>
        <color theme="1"/>
        <rFont val="等线"/>
        <family val="3"/>
        <charset val="134"/>
        <scheme val="minor"/>
      </rPr>
      <t>所会照的星曜四化</t>
    </r>
    <r>
      <rPr>
        <sz val="11"/>
        <color theme="1"/>
        <rFont val="等线"/>
        <family val="2"/>
        <charset val="134"/>
        <scheme val="minor"/>
      </rPr>
      <t>以及</t>
    </r>
    <r>
      <rPr>
        <b/>
        <sz val="11"/>
        <color theme="1"/>
        <rFont val="等线"/>
        <family val="3"/>
        <charset val="134"/>
        <scheme val="minor"/>
      </rPr>
      <t>是否见空劫</t>
    </r>
    <r>
      <rPr>
        <sz val="11"/>
        <color theme="1"/>
        <rFont val="等线"/>
        <family val="2"/>
        <charset val="134"/>
        <scheme val="minor"/>
      </rPr>
      <t>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</si>
  <si>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“府库充盈格”</t>
    </r>
    <r>
      <rPr>
        <sz val="11"/>
        <color theme="1"/>
        <rFont val="等线"/>
        <family val="2"/>
        <charset val="134"/>
        <scheme val="minor"/>
      </rPr>
      <t>（天府见禄存、化禄及吉星，无空劫煞星冲破）：主</t>
    </r>
    <r>
      <rPr>
        <b/>
        <sz val="11"/>
        <color theme="1"/>
        <rFont val="等线"/>
        <family val="3"/>
        <charset val="134"/>
        <scheme val="minor"/>
      </rPr>
      <t>大富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“空库露库格”</t>
    </r>
    <r>
      <rPr>
        <sz val="11"/>
        <color theme="1"/>
        <rFont val="等线"/>
        <family val="2"/>
        <charset val="134"/>
        <scheme val="minor"/>
      </rPr>
      <t>（天府见地空、地劫）：主</t>
    </r>
    <r>
      <rPr>
        <b/>
        <sz val="11"/>
        <color theme="1"/>
        <rFont val="等线"/>
        <family val="3"/>
        <charset val="134"/>
        <scheme val="minor"/>
      </rPr>
      <t>财运起伏，虚有其表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</si>
  <si>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银行、仓库、档案馆、保险库、政府大楼、大型商场、一切厚重、稳固、用于存储或管理的建筑与空间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</si>
  <si>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库星”及其全部引申象征（容器、承载、积累、中心、疆域等）出发，系统化推导并呈现了“人/事/物”三个层次的完整解析。天府星为库星，主积累与稳定。其核心在于“库”与“令”，常在财务、管理、田宅领域显现，其“保守”与“疆域”的性质使其成为优秀的守成者。最喜“府库充盈”及吉星会照，主一生富足。然天府最忌空劫煞星冲破，遇之则库空财散。在紫占中，天府所在宫位即个人“财库”或“资源库”之所在，其充盈与否，是断事吉凶的首要关键。</t>
  </si>
  <si>
    <r>
      <t>根据《金刚佛光-紫占课程手册》，并严格应用修正后的逻辑，现对</t>
    </r>
    <r>
      <rPr>
        <b/>
        <sz val="11"/>
        <color theme="1"/>
        <rFont val="等线"/>
        <family val="3"/>
        <charset val="134"/>
        <scheme val="minor"/>
      </rPr>
      <t>紫微星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</si>
  <si>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t>一、紫微定义</t>
  </si>
  <si>
    <r>
      <t>帝星</t>
    </r>
    <r>
      <rPr>
        <sz val="12"/>
        <color theme="1"/>
        <rFont val="等线"/>
        <family val="3"/>
        <charset val="134"/>
        <scheme val="minor"/>
      </rPr>
      <t>、皇帝、至尊、领导、中心、枢纽、尊贵、权威、统治、管理、制度、秩序、宏伟、华丽、</t>
    </r>
    <r>
      <rPr>
        <b/>
        <sz val="12"/>
        <color theme="1"/>
        <rFont val="等线"/>
        <family val="3"/>
        <charset val="134"/>
        <scheme val="minor"/>
      </rPr>
      <t>核心、大脑、首脑、政府机构、高级场所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</si>
  <si>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整合自《金刚佛光-紫占课程手册》及相关权威资料，本次彻底构建以“帝星”为核心，涵盖“至尊、中心、枢纽、大脑”等所有引申义的核心象征网络。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</si>
  <si>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尊贵、自负、有领导欲、好面子、重尊严、有权威感、善于组织与管理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领导者、管理者、权威人士、核心人物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是众人围绕的中心，有号召力，但也可能孤高、听不进意见、支配欲强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</si>
  <si>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需要领导、决策、规划、建立制度、展现权威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重大决策、高层管理、政治事务、大型项目、制度建立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需要宏观视野、权威介入、按部就班、遵循高层意志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讲究排场与秩序，结果影响深远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</si>
  <si>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具有尊贵、权威、中心、领导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</si>
  <si>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皇冠、权杖、宝座、玉玺、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政府大楼、豪华汽车、钟表（指挥时间）、大脑（人体之帝）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</si>
  <si>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宫殿、政府中心、首都、城市中轴线、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高级酒店、地标建筑、</t>
    </r>
    <r>
      <rPr>
        <sz val="12"/>
        <color theme="1"/>
        <rFont val="等线"/>
        <family val="3"/>
        <charset val="134"/>
        <scheme val="minor"/>
      </rPr>
      <t>&lt;/ins&gt;宏伟、对称、中心突出的形态。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</si>
  <si>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中枢神经系统、大脑（指挥中心）</t>
    </r>
    <r>
      <rPr>
        <sz val="12"/>
        <color theme="1"/>
        <rFont val="等线"/>
        <family val="3"/>
        <charset val="134"/>
        <scheme val="minor"/>
      </rPr>
      <t>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</si>
  <si>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政府体系、管理制度、权力核心、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社会秩序与等级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</si>
  <si>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权力、尊严、秩序、制度、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宏伟蓝图、战略规划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</si>
  <si>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本次解析从“帝星”本质出发，系统推导出其作为“中心、枢纽、大脑”的多重属性，并完整映射至三层结构。</t>
  </si>
  <si>
    <r>
      <t>帝星与至尊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</si>
  <si>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“帝星”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至高无上的权力、尊严、领导地位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十四主星之首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尊贵、权威、受人敬仰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</si>
  <si>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在命宫、官禄宫时，主有领导才能，社会地位高，易居核心职位。</t>
  </si>
  <si>
    <r>
      <t>中心与枢纽</t>
    </r>
    <r>
      <rPr>
        <sz val="12"/>
        <color theme="1"/>
        <rFont val="等线"/>
        <family val="3"/>
        <charset val="134"/>
        <scheme val="minor"/>
      </rPr>
      <t>​</t>
    </r>
  </si>
  <si>
    <r>
      <t>化气为</t>
    </r>
    <r>
      <rPr>
        <b/>
        <sz val="12"/>
        <color theme="1"/>
        <rFont val="等线"/>
        <family val="3"/>
        <charset val="134"/>
        <scheme val="minor"/>
      </rPr>
      <t>“尊”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“北斗帝星”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中心、枢纽、发号施令之处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喜居核心，有掌控欲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</si>
  <si>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在命宫、身宫时，主自我意识强，希望成为团体中心。在十二宫皆有其影响力范围。</t>
  </si>
  <si>
    <r>
      <t>领导与管理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</si>
  <si>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“帝星”</t>
    </r>
    <r>
      <rPr>
        <sz val="12"/>
        <color theme="1"/>
        <rFont val="等线"/>
        <family val="3"/>
        <charset val="134"/>
        <scheme val="minor"/>
      </rPr>
      <t>，必有</t>
    </r>
    <r>
      <rPr>
        <b/>
        <sz val="12"/>
        <color theme="1"/>
        <rFont val="等线"/>
        <family val="3"/>
        <charset val="134"/>
        <scheme val="minor"/>
      </rPr>
      <t>领导与管理</t>
    </r>
    <r>
      <rPr>
        <sz val="12"/>
        <color theme="1"/>
        <rFont val="等线"/>
        <family val="3"/>
        <charset val="134"/>
        <scheme val="minor"/>
      </rPr>
      <t>职能。代表</t>
    </r>
    <r>
      <rPr>
        <b/>
        <sz val="12"/>
        <color theme="1"/>
        <rFont val="等线"/>
        <family val="3"/>
        <charset val="134"/>
        <scheme val="minor"/>
      </rPr>
      <t>组织、规划、决策、统治</t>
    </r>
    <r>
      <rPr>
        <sz val="12"/>
        <color theme="1"/>
        <rFont val="等线"/>
        <family val="3"/>
        <charset val="134"/>
        <scheme val="minor"/>
      </rPr>
      <t>。有</t>
    </r>
    <r>
      <rPr>
        <b/>
        <sz val="12"/>
        <color theme="1"/>
        <rFont val="等线"/>
        <family val="3"/>
        <charset val="134"/>
        <scheme val="minor"/>
      </rPr>
      <t>宏观视野，善于建立制度与秩序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</si>
  <si>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在命宫、官禄宫时，主具备卓越的管理才能，适合担任领袖、高管。</t>
  </si>
  <si>
    <r>
      <t>大脑与首脑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</si>
  <si>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“帝星”</t>
    </r>
    <r>
      <rPr>
        <sz val="12"/>
        <color theme="1"/>
        <rFont val="等线"/>
        <family val="3"/>
        <charset val="134"/>
        <scheme val="minor"/>
      </rPr>
      <t>，亦为</t>
    </r>
    <r>
      <rPr>
        <b/>
        <sz val="12"/>
        <color theme="1"/>
        <rFont val="等线"/>
        <family val="3"/>
        <charset val="134"/>
        <scheme val="minor"/>
      </rPr>
      <t>“首脑”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思考、决策、指挥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智慧与命令的源头</t>
    </r>
    <r>
      <rPr>
        <sz val="12"/>
        <color theme="1"/>
        <rFont val="等线"/>
        <family val="3"/>
        <charset val="134"/>
        <scheme val="minor"/>
      </rPr>
      <t>。</t>
    </r>
  </si>
  <si>
    <t>在命宫、疾厄宫时，主聪明，有主见，健康上需注意头部、神经系统。</t>
  </si>
  <si>
    <r>
      <t>相貌端正，气度雍容，举止大方，有威仪，眼神坚定有神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</si>
  <si>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：领导力强，有责任感，胸怀大志，稳重端庄，善于组织规划。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</si>
  <si>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：好大喜功，爱面子，固执己见，独断专行，喜听奉承，孤独感重。</t>
    </r>
  </si>
  <si>
    <r>
      <t>属阴土，主</t>
    </r>
    <r>
      <rPr>
        <b/>
        <sz val="12"/>
        <color theme="1"/>
        <rFont val="等线"/>
        <family val="3"/>
        <charset val="134"/>
        <scheme val="minor"/>
      </rPr>
      <t>脾胃</t>
    </r>
    <r>
      <rPr>
        <sz val="12"/>
        <color theme="1"/>
        <rFont val="等线"/>
        <family val="3"/>
        <charset val="134"/>
        <scheme val="minor"/>
      </rPr>
      <t>，但因“首脑”之象，更需注意</t>
    </r>
    <r>
      <rPr>
        <b/>
        <sz val="12"/>
        <color theme="1"/>
        <rFont val="等线"/>
        <family val="3"/>
        <charset val="134"/>
        <scheme val="minor"/>
      </rPr>
      <t>头部、神经系统、高血压、头晕</t>
    </r>
    <r>
      <rPr>
        <sz val="12"/>
        <color theme="1"/>
        <rFont val="等线"/>
        <family val="3"/>
        <charset val="134"/>
        <scheme val="minor"/>
      </rPr>
      <t>等问题。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</si>
  <si>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有领导风范，自尊心强，好面子，有野心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天生的领导者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管理、政治、大型企业高管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喜“百官朝拱”</t>
    </r>
    <r>
      <rPr>
        <sz val="12"/>
        <color theme="1"/>
        <rFont val="等线"/>
        <family val="3"/>
        <charset val="134"/>
        <scheme val="minor"/>
      </rPr>
      <t>（辅佐吉星多），主</t>
    </r>
    <r>
      <rPr>
        <b/>
        <sz val="12"/>
        <color theme="1"/>
        <rFont val="等线"/>
        <family val="3"/>
        <charset val="134"/>
        <scheme val="minor"/>
      </rPr>
      <t>大贵，权倾一方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忌“孤君在野”</t>
    </r>
    <r>
      <rPr>
        <sz val="12"/>
        <color theme="1"/>
        <rFont val="等线"/>
        <family val="3"/>
        <charset val="134"/>
        <scheme val="minor"/>
      </rPr>
      <t>（无吉星辅佐），主</t>
    </r>
    <r>
      <rPr>
        <b/>
        <sz val="12"/>
        <color theme="1"/>
        <rFont val="等线"/>
        <family val="3"/>
        <charset val="134"/>
        <scheme val="minor"/>
      </rPr>
      <t>孤高，有志难伸</t>
    </r>
    <r>
      <rPr>
        <sz val="12"/>
        <color theme="1"/>
        <rFont val="等线"/>
        <family val="3"/>
        <charset val="134"/>
        <scheme val="minor"/>
      </rPr>
      <t>。紫微坐命，需</t>
    </r>
    <r>
      <rPr>
        <b/>
        <sz val="12"/>
        <color theme="1"/>
        <rFont val="等线"/>
        <family val="3"/>
        <charset val="134"/>
        <scheme val="minor"/>
      </rPr>
      <t>修心养性，避免刚愎自用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</si>
  <si>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兄弟姐妹中可能有</t>
    </r>
    <r>
      <rPr>
        <b/>
        <sz val="12"/>
        <color theme="1"/>
        <rFont val="等线"/>
        <family val="3"/>
        <charset val="134"/>
        <scheme val="minor"/>
      </rPr>
      <t>能力出众或像领导者一样的人物</t>
    </r>
    <r>
      <rPr>
        <sz val="12"/>
        <color theme="1"/>
        <rFont val="等线"/>
        <family val="3"/>
        <charset val="134"/>
        <scheme val="minor"/>
      </rPr>
      <t>，自己易为兄弟姐妹中的核心。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</si>
  <si>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能力强，有地位，好面子</t>
    </r>
    <r>
      <rPr>
        <sz val="12"/>
        <color theme="1"/>
        <rFont val="等线"/>
        <family val="3"/>
        <charset val="134"/>
        <scheme val="minor"/>
      </rPr>
      <t>。婚姻关系</t>
    </r>
    <r>
      <rPr>
        <b/>
        <sz val="12"/>
        <color theme="1"/>
        <rFont val="等线"/>
        <family val="3"/>
        <charset val="134"/>
        <scheme val="minor"/>
      </rPr>
      <t>像君臣，需互相尊重，否则易有支配与反抗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</si>
  <si>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有出息，能力强，但管教需注意方式，避免权威压制</t>
    </r>
    <r>
      <rPr>
        <sz val="12"/>
        <color theme="1"/>
        <rFont val="等线"/>
        <family val="3"/>
        <charset val="134"/>
        <scheme val="minor"/>
      </rPr>
      <t>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</si>
  <si>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多与权力、地位相关</t>
    </r>
    <r>
      <rPr>
        <sz val="12"/>
        <color theme="1"/>
        <rFont val="等线"/>
        <family val="3"/>
        <charset val="134"/>
        <scheme val="minor"/>
      </rPr>
      <t>，适合</t>
    </r>
    <r>
      <rPr>
        <b/>
        <sz val="12"/>
        <color theme="1"/>
        <rFont val="等线"/>
        <family val="3"/>
        <charset val="134"/>
        <scheme val="minor"/>
      </rPr>
      <t>通过管理、投资、高端行业</t>
    </r>
    <r>
      <rPr>
        <sz val="12"/>
        <color theme="1"/>
        <rFont val="等线"/>
        <family val="3"/>
        <charset val="134"/>
        <scheme val="minor"/>
      </rPr>
      <t>获利。钱财</t>
    </r>
    <r>
      <rPr>
        <b/>
        <sz val="12"/>
        <color theme="1"/>
        <rFont val="等线"/>
        <family val="3"/>
        <charset val="134"/>
        <scheme val="minor"/>
      </rPr>
      <t>来得大气，也花费巨大</t>
    </r>
    <r>
      <rPr>
        <sz val="12"/>
        <color theme="1"/>
        <rFont val="等线"/>
        <family val="3"/>
        <charset val="134"/>
        <scheme val="minor"/>
      </rPr>
      <t>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</si>
  <si>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脾胃不适，更需注意头部疾病、神经系统疾病、高血压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</si>
  <si>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有地位，受人尊重，易结交权贵</t>
    </r>
    <r>
      <rPr>
        <sz val="12"/>
        <color theme="1"/>
        <rFont val="等线"/>
        <family val="3"/>
        <charset val="134"/>
        <scheme val="minor"/>
      </rPr>
      <t>，适合在异地发展事业，担任领导职务。</t>
    </r>
  </si>
  <si>
    <r>
      <t>朋友、同事多是有能力、有地位之人</t>
    </r>
    <r>
      <rPr>
        <sz val="12"/>
        <color theme="1"/>
        <rFont val="等线"/>
        <family val="3"/>
        <charset val="134"/>
        <scheme val="minor"/>
      </rPr>
      <t>，自己易成为朋友圈中的核心。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</si>
  <si>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需要领导、决策、管理的行业</t>
    </r>
    <r>
      <rPr>
        <sz val="12"/>
        <color theme="1"/>
        <rFont val="等线"/>
        <family val="3"/>
        <charset val="134"/>
        <scheme val="minor"/>
      </rPr>
      <t>，如</t>
    </r>
    <r>
      <rPr>
        <b/>
        <sz val="12"/>
        <color theme="1"/>
        <rFont val="等线"/>
        <family val="3"/>
        <charset val="134"/>
        <scheme val="minor"/>
      </rPr>
      <t>政府官员、企业高管、组织领袖</t>
    </r>
    <r>
      <rPr>
        <sz val="12"/>
        <color theme="1"/>
        <rFont val="等线"/>
        <family val="3"/>
        <charset val="134"/>
        <scheme val="minor"/>
      </rPr>
      <t>。事业</t>
    </r>
    <r>
      <rPr>
        <b/>
        <sz val="12"/>
        <color theme="1"/>
        <rFont val="等线"/>
        <family val="3"/>
        <charset val="134"/>
        <scheme val="minor"/>
      </rPr>
      <t>格局大，有发展前景</t>
    </r>
    <r>
      <rPr>
        <sz val="12"/>
        <color theme="1"/>
        <rFont val="等线"/>
        <family val="3"/>
        <charset val="134"/>
        <scheme val="minor"/>
      </rPr>
      <t>。</t>
    </r>
  </si>
  <si>
    <r>
      <t>家宅宽敞、豪华，附近可能有政府机构、高级场所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豪宅、祖产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</si>
  <si>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追求崇高与伟大，有使命感，注重精神层面的尊严与享受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</si>
  <si>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有威严，社会地位高，对自己要求严格，给予良好的教育与资源</t>
    </r>
    <r>
      <rPr>
        <sz val="12"/>
        <color theme="1"/>
        <rFont val="等线"/>
        <family val="3"/>
        <charset val="134"/>
        <scheme val="minor"/>
      </rPr>
      <t>。</t>
    </r>
  </si>
  <si>
    <t>1. 增强帝星/领导/权威组合</t>
  </si>
  <si>
    <r>
      <t>紫微+天府</t>
    </r>
    <r>
      <rPr>
        <sz val="12"/>
        <color theme="1"/>
        <rFont val="等线"/>
        <family val="3"/>
        <charset val="134"/>
        <scheme val="minor"/>
      </rPr>
      <t>​</t>
    </r>
  </si>
  <si>
    <r>
      <t>帝星入库</t>
    </r>
    <r>
      <rPr>
        <sz val="12"/>
        <color theme="1"/>
        <rFont val="等线"/>
        <family val="3"/>
        <charset val="134"/>
        <scheme val="minor"/>
      </rPr>
      <t>，尊贵与库藏结合，</t>
    </r>
    <r>
      <rPr>
        <b/>
        <sz val="12"/>
        <color theme="1"/>
        <rFont val="等线"/>
        <family val="3"/>
        <charset val="134"/>
        <scheme val="minor"/>
      </rPr>
      <t>“紫府同宫格”，尊崇富贵，领导与管理能力极强，格局宏大</t>
    </r>
    <r>
      <rPr>
        <sz val="12"/>
        <color theme="1"/>
        <rFont val="等线"/>
        <family val="3"/>
        <charset val="134"/>
        <scheme val="minor"/>
      </rPr>
      <t>。</t>
    </r>
  </si>
  <si>
    <r>
      <t>紫微+天机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</si>
  <si>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帝星遇智</t>
    </r>
    <r>
      <rPr>
        <sz val="12"/>
        <color theme="1"/>
        <rFont val="等线"/>
        <family val="3"/>
        <charset val="134"/>
        <scheme val="minor"/>
      </rPr>
      <t>，权威与谋略结合，</t>
    </r>
    <r>
      <rPr>
        <b/>
        <sz val="12"/>
        <color theme="1"/>
        <rFont val="等线"/>
        <family val="3"/>
        <charset val="134"/>
        <scheme val="minor"/>
      </rPr>
      <t>“机皇”组合，善于权谋与策划，适合军师、战略家</t>
    </r>
    <r>
      <rPr>
        <sz val="12"/>
        <color theme="1"/>
        <rFont val="等线"/>
        <family val="3"/>
        <charset val="134"/>
        <scheme val="minor"/>
      </rPr>
      <t>。</t>
    </r>
  </si>
  <si>
    <t>参谋长；企业战略顾问。</t>
  </si>
  <si>
    <r>
      <t>紫微+太阳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</si>
  <si>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帝星遇日</t>
    </r>
    <r>
      <rPr>
        <sz val="12"/>
        <color theme="1"/>
        <rFont val="等线"/>
        <family val="3"/>
        <charset val="134"/>
        <scheme val="minor"/>
      </rPr>
      <t>，权威与光明结合，</t>
    </r>
    <r>
      <rPr>
        <b/>
        <sz val="12"/>
        <color theme="1"/>
        <rFont val="等线"/>
        <family val="3"/>
        <charset val="134"/>
        <scheme val="minor"/>
      </rPr>
      <t>“紫阳”组合，光明正大的领导，名声显赫，适合政治领袖</t>
    </r>
    <r>
      <rPr>
        <sz val="12"/>
        <color theme="1"/>
        <rFont val="等线"/>
        <family val="3"/>
        <charset val="134"/>
        <scheme val="minor"/>
      </rPr>
      <t>。</t>
    </r>
  </si>
  <si>
    <t>国家元首；社会活动家。</t>
  </si>
  <si>
    <r>
      <t>紫微+武曲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</si>
  <si>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帝星遇将</t>
    </r>
    <r>
      <rPr>
        <sz val="12"/>
        <color theme="1"/>
        <rFont val="等线"/>
        <family val="3"/>
        <charset val="134"/>
        <scheme val="minor"/>
      </rPr>
      <t>，权威与执行力结合，</t>
    </r>
    <r>
      <rPr>
        <b/>
        <sz val="12"/>
        <color theme="1"/>
        <rFont val="等线"/>
        <family val="3"/>
        <charset val="134"/>
        <scheme val="minor"/>
      </rPr>
      <t>“紫武”组合，刚毅果决的领导，适合军警、金融巨头</t>
    </r>
    <r>
      <rPr>
        <sz val="12"/>
        <color theme="1"/>
        <rFont val="等线"/>
        <family val="3"/>
        <charset val="134"/>
        <scheme val="minor"/>
      </rPr>
      <t>。</t>
    </r>
  </si>
  <si>
    <t>将军；金融集团CEO。</t>
  </si>
  <si>
    <r>
      <t>紫微+天同</t>
    </r>
    <r>
      <rPr>
        <sz val="12"/>
        <color theme="1"/>
        <rFont val="等线"/>
        <family val="3"/>
        <charset val="134"/>
        <scheme val="minor"/>
      </rPr>
      <t>​</t>
    </r>
  </si>
  <si>
    <r>
      <t>帝星遇福</t>
    </r>
    <r>
      <rPr>
        <sz val="12"/>
        <color theme="1"/>
        <rFont val="等线"/>
        <family val="3"/>
        <charset val="134"/>
        <scheme val="minor"/>
      </rPr>
      <t>，权威与享受结合，</t>
    </r>
    <r>
      <rPr>
        <b/>
        <sz val="12"/>
        <color theme="1"/>
        <rFont val="等线"/>
        <family val="3"/>
        <charset val="134"/>
        <scheme val="minor"/>
      </rPr>
      <t>“紫同”组合，有福气的领导，懂得享受，但魄力稍欠</t>
    </r>
    <r>
      <rPr>
        <sz val="12"/>
        <color theme="1"/>
        <rFont val="等线"/>
        <family val="3"/>
        <charset val="134"/>
        <scheme val="minor"/>
      </rPr>
      <t>。</t>
    </r>
  </si>
  <si>
    <t>富贵王爷；家族企业接班人。</t>
  </si>
  <si>
    <r>
      <t>紫微+廉贞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</si>
  <si>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帝星遇囚</t>
    </r>
    <r>
      <rPr>
        <sz val="12"/>
        <color theme="1"/>
        <rFont val="等线"/>
        <family val="3"/>
        <charset val="134"/>
        <scheme val="minor"/>
      </rPr>
      <t>，权威与复杂结合，</t>
    </r>
    <r>
      <rPr>
        <b/>
        <sz val="12"/>
        <color theme="1"/>
        <rFont val="等线"/>
        <family val="3"/>
        <charset val="134"/>
        <scheme val="minor"/>
      </rPr>
      <t>“紫廉”组合，权力欲望强，善于处理复杂局面，但需防桃花与官非</t>
    </r>
    <r>
      <rPr>
        <sz val="12"/>
        <color theme="1"/>
        <rFont val="等线"/>
        <family val="3"/>
        <charset val="134"/>
        <scheme val="minor"/>
      </rPr>
      <t>。</t>
    </r>
  </si>
  <si>
    <t>监察机构首长；大型企业法务总裁。</t>
  </si>
  <si>
    <r>
      <t>紫微+太阴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</si>
  <si>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帝星遇月</t>
    </r>
    <r>
      <rPr>
        <sz val="12"/>
        <color theme="1"/>
        <rFont val="等线"/>
        <family val="3"/>
        <charset val="134"/>
        <scheme val="minor"/>
      </rPr>
      <t>，权威与阴柔结合，</t>
    </r>
    <r>
      <rPr>
        <b/>
        <sz val="12"/>
        <color theme="1"/>
        <rFont val="等线"/>
        <family val="3"/>
        <charset val="134"/>
        <scheme val="minor"/>
      </rPr>
      <t>“紫阴”组合，内敛而有谋略的领导，善于理财与幕后运作</t>
    </r>
    <r>
      <rPr>
        <sz val="12"/>
        <color theme="1"/>
        <rFont val="等线"/>
        <family val="3"/>
        <charset val="134"/>
        <scheme val="minor"/>
      </rPr>
      <t>。</t>
    </r>
  </si>
  <si>
    <t>财政部长；投资家。</t>
  </si>
  <si>
    <r>
      <t>紫微+贪狼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</si>
  <si>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帝星遇欲</t>
    </r>
    <r>
      <rPr>
        <sz val="12"/>
        <color theme="1"/>
        <rFont val="等线"/>
        <family val="3"/>
        <charset val="134"/>
        <scheme val="minor"/>
      </rPr>
      <t>，权威与欲望结合，</t>
    </r>
    <r>
      <rPr>
        <b/>
        <sz val="12"/>
        <color theme="1"/>
        <rFont val="等线"/>
        <family val="3"/>
        <charset val="134"/>
        <scheme val="minor"/>
      </rPr>
      <t>“紫贪”组合，有雄才大略，善交际，但欲望过强，需防酒色财气</t>
    </r>
    <r>
      <rPr>
        <sz val="12"/>
        <color theme="1"/>
        <rFont val="等线"/>
        <family val="3"/>
        <charset val="134"/>
        <scheme val="minor"/>
      </rPr>
      <t>。</t>
    </r>
  </si>
  <si>
    <t>商业大亨；艺术界领袖。</t>
  </si>
  <si>
    <r>
      <t>紫微+巨门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</si>
  <si>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帝星遇暗</t>
    </r>
    <r>
      <rPr>
        <sz val="12"/>
        <color theme="1"/>
        <rFont val="等线"/>
        <family val="3"/>
        <charset val="134"/>
        <scheme val="minor"/>
      </rPr>
      <t>，权威与口舌结合，</t>
    </r>
    <r>
      <rPr>
        <b/>
        <sz val="12"/>
        <color theme="1"/>
        <rFont val="等线"/>
        <family val="3"/>
        <charset val="134"/>
        <scheme val="minor"/>
      </rPr>
      <t>“紫巨”组合，善于运用权威进行谈判、演说，但易有口舌是非</t>
    </r>
    <r>
      <rPr>
        <sz val="12"/>
        <color theme="1"/>
        <rFont val="等线"/>
        <family val="3"/>
        <charset val="134"/>
        <scheme val="minor"/>
      </rPr>
      <t>。</t>
    </r>
  </si>
  <si>
    <t>外交官；大律师；媒体巨头。</t>
  </si>
  <si>
    <r>
      <t>紫微+天相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</si>
  <si>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帝星遇印</t>
    </r>
    <r>
      <rPr>
        <sz val="12"/>
        <color theme="1"/>
        <rFont val="等线"/>
        <family val="3"/>
        <charset val="134"/>
        <scheme val="minor"/>
      </rPr>
      <t>，权威与辅佐结合，</t>
    </r>
    <r>
      <rPr>
        <b/>
        <sz val="12"/>
        <color theme="1"/>
        <rFont val="等线"/>
        <family val="3"/>
        <charset val="134"/>
        <scheme val="minor"/>
      </rPr>
      <t>“紫相”组合，稳重得体，有领导魅力，适合高级行政管理</t>
    </r>
    <r>
      <rPr>
        <sz val="12"/>
        <color theme="1"/>
        <rFont val="等线"/>
        <family val="3"/>
        <charset val="134"/>
        <scheme val="minor"/>
      </rPr>
      <t>。</t>
    </r>
  </si>
  <si>
    <t>宰相；政府高官；大企业总经理。</t>
  </si>
  <si>
    <r>
      <t>紫微+天梁</t>
    </r>
    <r>
      <rPr>
        <sz val="12"/>
        <color theme="1"/>
        <rFont val="等线"/>
        <family val="3"/>
        <charset val="134"/>
        <scheme val="minor"/>
      </rPr>
      <t>​</t>
    </r>
  </si>
  <si>
    <r>
      <t>帝星遇荫</t>
    </r>
    <r>
      <rPr>
        <sz val="12"/>
        <color theme="1"/>
        <rFont val="等线"/>
        <family val="3"/>
        <charset val="134"/>
        <scheme val="minor"/>
      </rPr>
      <t>，权威与荫庇结合，</t>
    </r>
    <r>
      <rPr>
        <b/>
        <sz val="12"/>
        <color theme="1"/>
        <rFont val="等线"/>
        <family val="3"/>
        <charset val="134"/>
        <scheme val="minor"/>
      </rPr>
      <t>“紫梁”组合，有原则、重清誉的领导，适合司法、监察领域</t>
    </r>
    <r>
      <rPr>
        <sz val="12"/>
        <color theme="1"/>
        <rFont val="等线"/>
        <family val="3"/>
        <charset val="134"/>
        <scheme val="minor"/>
      </rPr>
      <t>。</t>
    </r>
  </si>
  <si>
    <r>
      <t>紫微+七杀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</si>
  <si>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帝星遇杀</t>
    </r>
    <r>
      <rPr>
        <sz val="12"/>
        <color theme="1"/>
        <rFont val="等线"/>
        <family val="3"/>
        <charset val="134"/>
        <scheme val="minor"/>
      </rPr>
      <t>，权威与肃杀结合，</t>
    </r>
    <r>
      <rPr>
        <b/>
        <sz val="12"/>
        <color theme="1"/>
        <rFont val="等线"/>
        <family val="3"/>
        <charset val="134"/>
        <scheme val="minor"/>
      </rPr>
      <t>“紫杀”组合，杀伐决断的改革型领袖，能在动荡中开创新局</t>
    </r>
    <r>
      <rPr>
        <sz val="12"/>
        <color theme="1"/>
        <rFont val="等线"/>
        <family val="3"/>
        <charset val="134"/>
        <scheme val="minor"/>
      </rPr>
      <t>。</t>
    </r>
  </si>
  <si>
    <t>改革家；军事统帅；危机处理专家。</t>
  </si>
  <si>
    <r>
      <t>紫微+破军</t>
    </r>
    <r>
      <rPr>
        <sz val="12"/>
        <color theme="1"/>
        <rFont val="等线"/>
        <family val="3"/>
        <charset val="134"/>
        <scheme val="minor"/>
      </rPr>
      <t>​</t>
    </r>
  </si>
  <si>
    <r>
      <t>帝星遇耗</t>
    </r>
    <r>
      <rPr>
        <sz val="12"/>
        <color theme="1"/>
        <rFont val="等线"/>
        <family val="3"/>
        <charset val="134"/>
        <scheme val="minor"/>
      </rPr>
      <t>，权威与变动结合，</t>
    </r>
    <r>
      <rPr>
        <b/>
        <sz val="12"/>
        <color theme="1"/>
        <rFont val="等线"/>
        <family val="3"/>
        <charset val="134"/>
        <scheme val="minor"/>
      </rPr>
      <t>“紫破”组合，开创力极强，但变动巨大，先破后成</t>
    </r>
    <r>
      <rPr>
        <sz val="12"/>
        <color theme="1"/>
        <rFont val="等线"/>
        <family val="3"/>
        <charset val="134"/>
        <scheme val="minor"/>
      </rPr>
      <t>。</t>
    </r>
  </si>
  <si>
    <t>革命家；跨界创新者；大型项目开拓者。</t>
  </si>
  <si>
    <r>
      <t>紫微+左辅/右弼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</si>
  <si>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帝星得助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“百官朝拱”</t>
    </r>
    <r>
      <rPr>
        <sz val="12"/>
        <color theme="1"/>
        <rFont val="等线"/>
        <family val="3"/>
        <charset val="134"/>
        <scheme val="minor"/>
      </rPr>
      <t>​ 之基，领导得左膀右臂，</t>
    </r>
    <r>
      <rPr>
        <b/>
        <sz val="12"/>
        <color theme="1"/>
        <rFont val="等线"/>
        <family val="3"/>
        <charset val="134"/>
        <scheme val="minor"/>
      </rPr>
      <t>团队得力，事业顺遂</t>
    </r>
    <r>
      <rPr>
        <sz val="12"/>
        <color theme="1"/>
        <rFont val="等线"/>
        <family val="3"/>
        <charset val="134"/>
        <scheme val="minor"/>
      </rPr>
      <t>。</t>
    </r>
  </si>
  <si>
    <r>
      <t>紫微+文昌/文曲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</si>
  <si>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帝星遇文</t>
    </r>
    <r>
      <rPr>
        <sz val="12"/>
        <color theme="1"/>
        <rFont val="等线"/>
        <family val="3"/>
        <charset val="134"/>
        <scheme val="minor"/>
      </rPr>
      <t>，增添</t>
    </r>
    <r>
      <rPr>
        <b/>
        <sz val="12"/>
        <color theme="1"/>
        <rFont val="等线"/>
        <family val="3"/>
        <charset val="134"/>
        <scheme val="minor"/>
      </rPr>
      <t>文采、才华与谋略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“文星拱命”</t>
    </r>
    <r>
      <rPr>
        <sz val="12"/>
        <color theme="1"/>
        <rFont val="等线"/>
        <family val="3"/>
        <charset val="134"/>
        <scheme val="minor"/>
      </rPr>
      <t>，利于文化、学术、政治领域。</t>
    </r>
  </si>
  <si>
    <r>
      <t>紫微+天魁/天钺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</si>
  <si>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帝星遇贵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得贵人（尤指上级）鼎力相助，平步青云</t>
    </r>
    <r>
      <rPr>
        <sz val="12"/>
        <color theme="1"/>
        <rFont val="等线"/>
        <family val="3"/>
        <charset val="134"/>
        <scheme val="minor"/>
      </rPr>
      <t>。</t>
    </r>
  </si>
  <si>
    <r>
      <t>紫微+禄存</t>
    </r>
    <r>
      <rPr>
        <sz val="12"/>
        <color theme="1"/>
        <rFont val="等线"/>
        <family val="3"/>
        <charset val="134"/>
        <scheme val="minor"/>
      </rPr>
      <t>​</t>
    </r>
  </si>
  <si>
    <r>
      <t>帝星带禄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权威与财富兼备，尊贵而富裕</t>
    </r>
    <r>
      <rPr>
        <sz val="12"/>
        <color theme="1"/>
        <rFont val="等线"/>
        <family val="3"/>
        <charset val="134"/>
        <scheme val="minor"/>
      </rPr>
      <t>。</t>
    </r>
  </si>
  <si>
    <r>
      <t>紫微+天马</t>
    </r>
    <r>
      <rPr>
        <sz val="12"/>
        <color theme="1"/>
        <rFont val="等线"/>
        <family val="3"/>
        <charset val="134"/>
        <scheme val="minor"/>
      </rPr>
      <t>​</t>
    </r>
  </si>
  <si>
    <r>
      <t>帝星奔驰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动中得权，利国际事务、远方发展、动态领导</t>
    </r>
    <r>
      <rPr>
        <sz val="12"/>
        <color theme="1"/>
        <rFont val="等线"/>
        <family val="3"/>
        <charset val="134"/>
        <scheme val="minor"/>
      </rPr>
      <t>。</t>
    </r>
  </si>
  <si>
    <r>
      <t>紫微+火星</t>
    </r>
    <r>
      <rPr>
        <sz val="12"/>
        <color theme="1"/>
        <rFont val="等线"/>
        <family val="3"/>
        <charset val="134"/>
        <scheme val="minor"/>
      </rPr>
      <t>​</t>
    </r>
  </si>
  <si>
    <r>
      <t>帝星逢火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“暴君”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领导风格暴躁，易冲动决策，引发冲突</t>
    </r>
    <r>
      <rPr>
        <sz val="12"/>
        <color theme="1"/>
        <rFont val="等线"/>
        <family val="3"/>
        <charset val="134"/>
        <scheme val="minor"/>
      </rPr>
      <t>。</t>
    </r>
  </si>
  <si>
    <r>
      <t>紫微+铃星</t>
    </r>
    <r>
      <rPr>
        <sz val="12"/>
        <color theme="1"/>
        <rFont val="等线"/>
        <family val="3"/>
        <charset val="134"/>
        <scheme val="minor"/>
      </rPr>
      <t>​</t>
    </r>
  </si>
  <si>
    <r>
      <t>帝星逢铃</t>
    </r>
    <r>
      <rPr>
        <sz val="12"/>
        <color theme="1"/>
        <rFont val="等线"/>
        <family val="3"/>
        <charset val="134"/>
        <scheme val="minor"/>
      </rPr>
      <t>，权威伴随</t>
    </r>
    <r>
      <rPr>
        <b/>
        <sz val="12"/>
        <color theme="1"/>
        <rFont val="等线"/>
        <family val="3"/>
        <charset val="134"/>
        <scheme val="minor"/>
      </rPr>
      <t>隐忧、算计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内心焦虑，易有暗中权力斗争</t>
    </r>
    <r>
      <rPr>
        <sz val="12"/>
        <color theme="1"/>
        <rFont val="等线"/>
        <family val="3"/>
        <charset val="134"/>
        <scheme val="minor"/>
      </rPr>
      <t>。</t>
    </r>
  </si>
  <si>
    <r>
      <t>紫微+擎羊</t>
    </r>
    <r>
      <rPr>
        <sz val="12"/>
        <color theme="1"/>
        <rFont val="等线"/>
        <family val="3"/>
        <charset val="134"/>
        <scheme val="minor"/>
      </rPr>
      <t>​</t>
    </r>
  </si>
  <si>
    <r>
      <t>帝星逢羊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“暴君”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权力斗争激烈，易有刑伤、手术，领导刚愎</t>
    </r>
    <r>
      <rPr>
        <sz val="12"/>
        <color theme="1"/>
        <rFont val="等线"/>
        <family val="3"/>
        <charset val="134"/>
        <scheme val="minor"/>
      </rPr>
      <t>。</t>
    </r>
  </si>
  <si>
    <r>
      <t>紫微+陀罗</t>
    </r>
    <r>
      <rPr>
        <sz val="12"/>
        <color theme="1"/>
        <rFont val="等线"/>
        <family val="3"/>
        <charset val="134"/>
        <scheme val="minor"/>
      </rPr>
      <t>​</t>
    </r>
  </si>
  <si>
    <r>
      <t>帝星逢陀</t>
    </r>
    <r>
      <rPr>
        <sz val="12"/>
        <color theme="1"/>
        <rFont val="等线"/>
        <family val="3"/>
        <charset val="134"/>
        <scheme val="minor"/>
      </rPr>
      <t>，权威受</t>
    </r>
    <r>
      <rPr>
        <b/>
        <sz val="12"/>
        <color theme="1"/>
        <rFont val="等线"/>
        <family val="3"/>
        <charset val="134"/>
        <scheme val="minor"/>
      </rPr>
      <t>拖延、反复困扰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决策犹豫，事业进展缓慢</t>
    </r>
    <r>
      <rPr>
        <sz val="12"/>
        <color theme="1"/>
        <rFont val="等线"/>
        <family val="3"/>
        <charset val="134"/>
        <scheme val="minor"/>
      </rPr>
      <t>。</t>
    </r>
  </si>
  <si>
    <r>
      <t>紫微+地空</t>
    </r>
    <r>
      <rPr>
        <sz val="12"/>
        <color theme="1"/>
        <rFont val="等线"/>
        <family val="3"/>
        <charset val="134"/>
        <scheme val="minor"/>
      </rPr>
      <t>​</t>
    </r>
  </si>
  <si>
    <r>
      <t>帝星逢空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“虚君”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理想过高难以实现，权力落空，有名无实</t>
    </r>
    <r>
      <rPr>
        <sz val="12"/>
        <color theme="1"/>
        <rFont val="等线"/>
        <family val="3"/>
        <charset val="134"/>
        <scheme val="minor"/>
      </rPr>
      <t>。</t>
    </r>
  </si>
  <si>
    <r>
      <t>紫微+地劫</t>
    </r>
    <r>
      <rPr>
        <sz val="12"/>
        <color theme="1"/>
        <rFont val="等线"/>
        <family val="3"/>
        <charset val="134"/>
        <scheme val="minor"/>
      </rPr>
      <t>​</t>
    </r>
  </si>
  <si>
    <r>
      <t>帝星逢劫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权力遭遇意外挫折，事业大起大落，领导地位不稳</t>
    </r>
    <r>
      <rPr>
        <sz val="12"/>
        <color theme="1"/>
        <rFont val="等线"/>
        <family val="3"/>
        <charset val="134"/>
        <scheme val="minor"/>
      </rPr>
      <t>。</t>
    </r>
  </si>
  <si>
    <r>
      <t>紫微+化禄</t>
    </r>
    <r>
      <rPr>
        <sz val="12"/>
        <color theme="1"/>
        <rFont val="等线"/>
        <family val="3"/>
        <charset val="134"/>
        <scheme val="minor"/>
      </rPr>
      <t>​</t>
    </r>
  </si>
  <si>
    <r>
      <t>帝星化禄</t>
    </r>
    <r>
      <rPr>
        <sz val="12"/>
        <color theme="1"/>
        <rFont val="等线"/>
        <family val="3"/>
        <charset val="134"/>
        <scheme val="minor"/>
      </rPr>
      <t>（甲年生人），</t>
    </r>
    <r>
      <rPr>
        <b/>
        <sz val="12"/>
        <color theme="1"/>
        <rFont val="等线"/>
        <family val="3"/>
        <charset val="134"/>
        <scheme val="minor"/>
      </rPr>
      <t>权威带财，善于运用权力生财，领导得实惠</t>
    </r>
    <r>
      <rPr>
        <sz val="12"/>
        <color theme="1"/>
        <rFont val="等线"/>
        <family val="3"/>
        <charset val="134"/>
        <scheme val="minor"/>
      </rPr>
      <t>。</t>
    </r>
  </si>
  <si>
    <r>
      <t>紫微+化权</t>
    </r>
    <r>
      <rPr>
        <sz val="12"/>
        <color theme="1"/>
        <rFont val="等线"/>
        <family val="3"/>
        <charset val="134"/>
        <scheme val="minor"/>
      </rPr>
      <t>​</t>
    </r>
  </si>
  <si>
    <r>
      <t>帝星化权</t>
    </r>
    <r>
      <rPr>
        <sz val="12"/>
        <color theme="1"/>
        <rFont val="等线"/>
        <family val="3"/>
        <charset val="134"/>
        <scheme val="minor"/>
      </rPr>
      <t>（己年生人），</t>
    </r>
    <r>
      <rPr>
        <b/>
        <sz val="12"/>
        <color theme="1"/>
        <rFont val="等线"/>
        <family val="3"/>
        <charset val="134"/>
        <scheme val="minor"/>
      </rPr>
      <t>权威达到顶峰，领导力与控制欲极强，大权在握</t>
    </r>
    <r>
      <rPr>
        <sz val="12"/>
        <color theme="1"/>
        <rFont val="等线"/>
        <family val="3"/>
        <charset val="134"/>
        <scheme val="minor"/>
      </rPr>
      <t>。</t>
    </r>
  </si>
  <si>
    <r>
      <t>紫微+化科</t>
    </r>
    <r>
      <rPr>
        <sz val="12"/>
        <color theme="1"/>
        <rFont val="等线"/>
        <family val="3"/>
        <charset val="134"/>
        <scheme val="minor"/>
      </rPr>
      <t>​</t>
    </r>
  </si>
  <si>
    <r>
      <t>帝星化科</t>
    </r>
    <r>
      <rPr>
        <sz val="12"/>
        <color theme="1"/>
        <rFont val="等线"/>
        <family val="3"/>
        <charset val="134"/>
        <scheme val="minor"/>
      </rPr>
      <t>（壬年生人），</t>
    </r>
    <r>
      <rPr>
        <b/>
        <sz val="12"/>
        <color theme="1"/>
        <rFont val="等线"/>
        <family val="3"/>
        <charset val="134"/>
        <scheme val="minor"/>
      </rPr>
      <t>权威带名，名声显赫，有文化修养，领导有方</t>
    </r>
    <r>
      <rPr>
        <sz val="12"/>
        <color theme="1"/>
        <rFont val="等线"/>
        <family val="3"/>
        <charset val="134"/>
        <scheme val="minor"/>
      </rPr>
      <t>。</t>
    </r>
  </si>
  <si>
    <r>
      <t>紫微+化忌</t>
    </r>
    <r>
      <rPr>
        <sz val="12"/>
        <color theme="1"/>
        <rFont val="等线"/>
        <family val="3"/>
        <charset val="134"/>
        <scheme val="minor"/>
      </rPr>
      <t>​</t>
    </r>
  </si>
  <si>
    <r>
      <t>帝星化忌</t>
    </r>
    <r>
      <rPr>
        <sz val="12"/>
        <color theme="1"/>
        <rFont val="等线"/>
        <family val="3"/>
        <charset val="134"/>
        <scheme val="minor"/>
      </rPr>
      <t>（无，紫微不化忌，但怕被化忌星冲破）。</t>
    </r>
  </si>
  <si>
    <r>
      <t>1. “帝星”本质</t>
    </r>
    <r>
      <rPr>
        <sz val="11"/>
        <color theme="1"/>
        <rFont val="等线"/>
        <family val="2"/>
        <charset val="134"/>
        <scheme val="minor"/>
      </rPr>
      <t>：紫微化气为</t>
    </r>
    <r>
      <rPr>
        <b/>
        <sz val="11"/>
        <color theme="1"/>
        <rFont val="等线"/>
        <family val="3"/>
        <charset val="134"/>
        <scheme val="minor"/>
      </rPr>
      <t>“尊”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权力、尊严、中心、领导</t>
    </r>
    <r>
      <rPr>
        <sz val="11"/>
        <color theme="1"/>
        <rFont val="等线"/>
        <family val="2"/>
        <charset val="134"/>
        <scheme val="minor"/>
      </rPr>
      <t>。其人生角色常是</t>
    </r>
    <r>
      <rPr>
        <b/>
        <sz val="11"/>
        <color theme="1"/>
        <rFont val="等线"/>
        <family val="3"/>
        <charset val="134"/>
        <scheme val="minor"/>
      </rPr>
      <t>发号施令者、规则制定者、团队核心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最喜“百官朝拱”</t>
    </r>
    <r>
      <rPr>
        <sz val="11"/>
        <color theme="1"/>
        <rFont val="等线"/>
        <family val="2"/>
        <charset val="134"/>
        <scheme val="minor"/>
      </rPr>
      <t>（左辅、右弼、文昌、文曲、天魁、天钺等吉星会照），主</t>
    </r>
    <r>
      <rPr>
        <b/>
        <sz val="11"/>
        <color theme="1"/>
        <rFont val="等线"/>
        <family val="3"/>
        <charset val="134"/>
        <scheme val="minor"/>
      </rPr>
      <t>大贵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最忌“孤君在野”或煞星冲破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孤高、劳碌、权力不稳</t>
    </r>
    <r>
      <rPr>
        <sz val="11"/>
        <color theme="1"/>
        <rFont val="等线"/>
        <family val="2"/>
        <charset val="134"/>
        <scheme val="minor"/>
      </rPr>
      <t>。</t>
    </r>
  </si>
  <si>
    <r>
      <t>2. “枢纽”与“大脑”</t>
    </r>
    <r>
      <rPr>
        <sz val="11"/>
        <color theme="1"/>
        <rFont val="等线"/>
        <family val="2"/>
        <charset val="134"/>
        <scheme val="minor"/>
      </rPr>
      <t>：紫微为</t>
    </r>
    <r>
      <rPr>
        <b/>
        <sz val="11"/>
        <color theme="1"/>
        <rFont val="等线"/>
        <family val="3"/>
        <charset val="134"/>
        <scheme val="minor"/>
      </rPr>
      <t>北斗中枢</t>
    </r>
    <r>
      <rPr>
        <sz val="11"/>
        <color theme="1"/>
        <rFont val="等线"/>
        <family val="2"/>
        <charset val="134"/>
        <scheme val="minor"/>
      </rPr>
      <t>，代表</t>
    </r>
    <r>
      <rPr>
        <b/>
        <sz val="11"/>
        <color theme="1"/>
        <rFont val="等线"/>
        <family val="3"/>
        <charset val="134"/>
        <scheme val="minor"/>
      </rPr>
      <t>枢纽与首脑</t>
    </r>
    <r>
      <rPr>
        <sz val="11"/>
        <color theme="1"/>
        <rFont val="等线"/>
        <family val="2"/>
        <charset val="134"/>
        <scheme val="minor"/>
      </rPr>
      <t>。在命盘中，其所在宫位常是一个人</t>
    </r>
    <r>
      <rPr>
        <b/>
        <sz val="11"/>
        <color theme="1"/>
        <rFont val="等线"/>
        <family val="3"/>
        <charset val="134"/>
        <scheme val="minor"/>
      </rPr>
      <t>思维、决策、影响力的核心领域</t>
    </r>
    <r>
      <rPr>
        <sz val="11"/>
        <color theme="1"/>
        <rFont val="等线"/>
        <family val="2"/>
        <charset val="134"/>
        <scheme val="minor"/>
      </rPr>
      <t>，也是事件的</t>
    </r>
    <r>
      <rPr>
        <b/>
        <sz val="11"/>
        <color theme="1"/>
        <rFont val="等线"/>
        <family val="3"/>
        <charset val="134"/>
        <scheme val="minor"/>
      </rPr>
      <t>指挥中心</t>
    </r>
    <r>
      <rPr>
        <sz val="11"/>
        <color theme="1"/>
        <rFont val="等线"/>
        <family val="2"/>
        <charset val="134"/>
        <scheme val="minor"/>
      </rPr>
      <t>。</t>
    </r>
  </si>
  <si>
    <r>
      <t>3. “制度”与“秩序”</t>
    </r>
    <r>
      <rPr>
        <sz val="11"/>
        <color theme="1"/>
        <rFont val="等线"/>
        <family val="2"/>
        <charset val="134"/>
        <scheme val="minor"/>
      </rPr>
      <t>：紫微喜</t>
    </r>
    <r>
      <rPr>
        <b/>
        <sz val="11"/>
        <color theme="1"/>
        <rFont val="等线"/>
        <family val="3"/>
        <charset val="134"/>
        <scheme val="minor"/>
      </rPr>
      <t>建立制度与维持秩序</t>
    </r>
    <r>
      <rPr>
        <sz val="11"/>
        <color theme="1"/>
        <rFont val="等线"/>
        <family val="2"/>
        <charset val="134"/>
        <scheme val="minor"/>
      </rPr>
      <t>。其吉凶体现在：</t>
    </r>
    <r>
      <rPr>
        <b/>
        <sz val="11"/>
        <color theme="1"/>
        <rFont val="等线"/>
        <family val="3"/>
        <charset val="134"/>
        <scheme val="minor"/>
      </rPr>
      <t>制度完善、用人得当则昌；刚愎自用、秩序混乱则衰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</si>
  <si>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：紫微星所在宫位，指示在人生的哪个领域个人将</t>
    </r>
    <r>
      <rPr>
        <b/>
        <sz val="11"/>
        <color theme="1"/>
        <rFont val="等线"/>
        <family val="3"/>
        <charset val="134"/>
        <scheme val="minor"/>
      </rPr>
      <t>扮演领导或核心角色</t>
    </r>
    <r>
      <rPr>
        <sz val="11"/>
        <color theme="1"/>
        <rFont val="等线"/>
        <family val="2"/>
        <charset val="134"/>
        <scheme val="minor"/>
      </rPr>
      <t>，需要</t>
    </r>
    <r>
      <rPr>
        <b/>
        <sz val="11"/>
        <color theme="1"/>
        <rFont val="等线"/>
        <family val="3"/>
        <charset val="134"/>
        <scheme val="minor"/>
      </rPr>
      <t>运用权威、建立秩序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尊严与价值感</t>
    </r>
    <r>
      <rPr>
        <sz val="11"/>
        <color theme="1"/>
        <rFont val="等线"/>
        <family val="2"/>
        <charset val="134"/>
        <scheme val="minor"/>
      </rPr>
      <t>的核心投射领域。</t>
    </r>
  </si>
  <si>
    <r>
      <t>5. “孤”性</t>
    </r>
    <r>
      <rPr>
        <sz val="11"/>
        <color theme="1"/>
        <rFont val="等线"/>
        <family val="2"/>
        <charset val="134"/>
        <scheme val="minor"/>
      </rPr>
      <t>：紫微星自带</t>
    </r>
    <r>
      <rPr>
        <b/>
        <sz val="11"/>
        <color theme="1"/>
        <rFont val="等线"/>
        <family val="3"/>
        <charset val="134"/>
        <scheme val="minor"/>
      </rPr>
      <t>孤独属性</t>
    </r>
    <r>
      <rPr>
        <sz val="11"/>
        <color theme="1"/>
        <rFont val="等线"/>
        <family val="2"/>
        <charset val="134"/>
        <scheme val="minor"/>
      </rPr>
      <t>，因其高高在上。即使“百官朝拱”，内心也常感孤独，此为其星性本质。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</si>
  <si>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：见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权中生财</t>
    </r>
    <r>
      <rPr>
        <sz val="11"/>
        <color theme="1"/>
        <rFont val="等线"/>
        <family val="2"/>
        <charset val="134"/>
        <scheme val="minor"/>
      </rPr>
      <t>；见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权威极致</t>
    </r>
    <r>
      <rPr>
        <sz val="11"/>
        <color theme="1"/>
        <rFont val="等线"/>
        <family val="2"/>
        <charset val="134"/>
        <scheme val="minor"/>
      </rPr>
      <t>；见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权中带名</t>
    </r>
    <r>
      <rPr>
        <sz val="11"/>
        <color theme="1"/>
        <rFont val="等线"/>
        <family val="2"/>
        <charset val="134"/>
        <scheme val="minor"/>
      </rPr>
      <t>。紫微</t>
    </r>
    <r>
      <rPr>
        <b/>
        <sz val="11"/>
        <color theme="1"/>
        <rFont val="等线"/>
        <family val="3"/>
        <charset val="134"/>
        <scheme val="minor"/>
      </rPr>
      <t>不化忌</t>
    </r>
    <r>
      <rPr>
        <sz val="11"/>
        <color theme="1"/>
        <rFont val="等线"/>
        <family val="2"/>
        <charset val="134"/>
        <scheme val="minor"/>
      </rPr>
      <t>，但忌煞星冲破。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</si>
  <si>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“紫府同宫格”</t>
    </r>
    <r>
      <rPr>
        <sz val="11"/>
        <color theme="1"/>
        <rFont val="等线"/>
        <family val="2"/>
        <charset val="134"/>
        <scheme val="minor"/>
      </rPr>
      <t>（紫微天府同宫）：主</t>
    </r>
    <r>
      <rPr>
        <b/>
        <sz val="11"/>
        <color theme="1"/>
        <rFont val="等线"/>
        <family val="3"/>
        <charset val="134"/>
        <scheme val="minor"/>
      </rPr>
      <t>大富大贵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“百官朝拱格”</t>
    </r>
    <r>
      <rPr>
        <sz val="11"/>
        <color theme="1"/>
        <rFont val="等线"/>
        <family val="2"/>
        <charset val="134"/>
        <scheme val="minor"/>
      </rPr>
      <t>（紫微得众多吉星会照）：主</t>
    </r>
    <r>
      <rPr>
        <b/>
        <sz val="11"/>
        <color theme="1"/>
        <rFont val="等线"/>
        <family val="3"/>
        <charset val="134"/>
        <scheme val="minor"/>
      </rPr>
      <t>权倾一时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“孤君在野格”</t>
    </r>
    <r>
      <rPr>
        <sz val="11"/>
        <color theme="1"/>
        <rFont val="等线"/>
        <family val="2"/>
        <charset val="134"/>
        <scheme val="minor"/>
      </rPr>
      <t>（紫微独坐无吉星辅佐）：主</t>
    </r>
    <r>
      <rPr>
        <b/>
        <sz val="11"/>
        <color theme="1"/>
        <rFont val="等线"/>
        <family val="3"/>
        <charset val="134"/>
        <scheme val="minor"/>
      </rPr>
      <t>孤高劳碌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</si>
  <si>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皇宫、政府大楼、首都、城市中心、高地、华厦、一切宏伟、庄严、具有领导或中心功能的场所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</si>
  <si>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帝星”及其全部引申象征（至尊、中心、枢纽、大脑等）出发，系统化推导并呈现了“人/事/物”三个层次的完整解析。紫微星为帝星，主权力与尊严。其核心在于“尊”与“令”，常在领导、管理、决策领域显现，其“中心”与“孤独”的性质使其成为天然的领袖。最喜“百官朝拱”，主成就非凡。然紫微忌“孤君在野”及煞星冲破，遇之则壮志难酬。在紫占中，紫微所在即个人“权力中心”与“尊严所系”之所在，其格局高低，是断事成败与人生层次的首要关键。</t>
  </si>
  <si>
    <r>
      <t>根据《金刚佛光-紫占课程手册》，并严格应用修正后的逻辑，现对</t>
    </r>
    <r>
      <rPr>
        <b/>
        <sz val="11"/>
        <color theme="1"/>
        <rFont val="等线"/>
        <family val="3"/>
        <charset val="134"/>
        <scheme val="minor"/>
      </rPr>
      <t>武曲星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</si>
  <si>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财星</t>
    </r>
    <r>
      <rPr>
        <sz val="12"/>
        <color theme="1"/>
        <rFont val="等线"/>
        <family val="3"/>
        <charset val="134"/>
        <scheme val="minor"/>
      </rPr>
      <t>、将星、金、刚毅、决断、执行、武力、肃杀、义气、孤独、</t>
    </r>
    <r>
      <rPr>
        <b/>
        <sz val="12"/>
        <color theme="1"/>
        <rFont val="等线"/>
        <family val="3"/>
        <charset val="134"/>
        <scheme val="minor"/>
      </rPr>
      <t>金融、金属、工具、机械、骨骼、呼吸系统、法律、军队、警察、武术、运动、交易、切割、精密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</si>
  <si>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整合自《金刚佛光-紫占课程手册》及相关权威资料，本次彻底构建以“财星”与“将星”为核心，涵盖“刚毅、执行、金属、骨骼、金融系统”等所有引申义的核心象征网络。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</si>
  <si>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刚毅果决、务实重利、执行力强、讲义气、不善言辞、略显孤独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军人、警察、金融家、工程师、运动员、工匠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重信守诺，但方式直接，不善交际，易显孤克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</si>
  <si>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需要决断、执行、竞争、交易、精密操作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财务交易、军事行动、法律判决、工程实施、体育竞赛、外科手术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需要直接行动、遵守规则、追求效率与结果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干脆利落，目标明确，但可能缺乏弹性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</si>
  <si>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具有金属性、刚硬、精密、交易、武力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</si>
  <si>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金钱、金属货币、刀剑、工具、机械、钟表、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骨骼、牙齿、精密仪器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</si>
  <si>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银行、证券交易所、军营、警察局、工厂、健身房、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手术室、</t>
    </r>
    <r>
      <rPr>
        <sz val="12"/>
        <color theme="1"/>
        <rFont val="等线"/>
        <family val="3"/>
        <charset val="134"/>
        <scheme val="minor"/>
      </rPr>
      <t>&lt;/ins&gt;坚硬、锋利、规则、金属感的形态。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</si>
  <si>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呼吸系统（肺属金）、骨骼系统（支撑与刚硬）、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循环系统（资金流动类比）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</si>
  <si>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金融体系、军事体系、司法体系、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精密制造业体系、体育竞技体系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</si>
  <si>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财富、正义、纪律、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效率、精度、竞争力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</si>
  <si>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财星”与“将星”本质出发，系统推导出其作为“执行者、交易者、刚硬物、精密系统”的多重属性，并完整映射至三层结构，特别明确了其与“骨骼系统”、“呼吸系统”及“金融、军事等刚性社会系统”的关联。</t>
  </si>
  <si>
    <r>
      <t>财星与刚毅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</si>
  <si>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“财星”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财富、金融、交易</t>
    </r>
    <r>
      <rPr>
        <sz val="12"/>
        <color theme="1"/>
        <rFont val="等线"/>
        <family val="3"/>
        <charset val="134"/>
        <scheme val="minor"/>
      </rPr>
      <t>。同时性</t>
    </r>
    <r>
      <rPr>
        <b/>
        <sz val="12"/>
        <color theme="1"/>
        <rFont val="等线"/>
        <family val="3"/>
        <charset val="134"/>
        <scheme val="minor"/>
      </rPr>
      <t>刚毅、果决、务实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行动派的求财者</t>
    </r>
    <r>
      <rPr>
        <sz val="12"/>
        <color theme="1"/>
        <rFont val="等线"/>
        <family val="3"/>
        <charset val="134"/>
        <scheme val="minor"/>
      </rPr>
      <t>。</t>
    </r>
  </si>
  <si>
    <t>在命宫、财帛宫时，主善于通过实际行动创造财富，适合金融、技术、军警行业。</t>
  </si>
  <si>
    <r>
      <t>将星与执行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</si>
  <si>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北斗第六星</t>
    </r>
    <r>
      <rPr>
        <sz val="12"/>
        <color theme="1"/>
        <rFont val="等线"/>
        <family val="3"/>
        <charset val="134"/>
        <scheme val="minor"/>
      </rPr>
      <t>，化气为</t>
    </r>
    <r>
      <rPr>
        <b/>
        <sz val="12"/>
        <color theme="1"/>
        <rFont val="等线"/>
        <family val="3"/>
        <charset val="134"/>
        <scheme val="minor"/>
      </rPr>
      <t>“财”</t>
    </r>
    <r>
      <rPr>
        <sz val="12"/>
        <color theme="1"/>
        <rFont val="等线"/>
        <family val="3"/>
        <charset val="134"/>
        <scheme val="minor"/>
      </rPr>
      <t>，亦为</t>
    </r>
    <r>
      <rPr>
        <b/>
        <sz val="12"/>
        <color theme="1"/>
        <rFont val="等线"/>
        <family val="3"/>
        <charset val="134"/>
        <scheme val="minor"/>
      </rPr>
      <t>“将星”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执行力、决断力、纪律性</t>
    </r>
    <r>
      <rPr>
        <sz val="12"/>
        <color theme="1"/>
        <rFont val="等线"/>
        <family val="3"/>
        <charset val="134"/>
        <scheme val="minor"/>
      </rPr>
      <t>。性格</t>
    </r>
    <r>
      <rPr>
        <b/>
        <sz val="12"/>
        <color theme="1"/>
        <rFont val="等线"/>
        <family val="3"/>
        <charset val="134"/>
        <scheme val="minor"/>
      </rPr>
      <t>说一不二，雷厉风行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</si>
  <si>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在命宫、官禄宫时，主具备领导与执行才能，适合担任将领、管理者、项目负责人。</t>
  </si>
  <si>
    <r>
      <t>金性与肃杀</t>
    </r>
    <r>
      <rPr>
        <sz val="12"/>
        <color theme="1"/>
        <rFont val="等线"/>
        <family val="3"/>
        <charset val="134"/>
        <scheme val="minor"/>
      </rPr>
      <t>​</t>
    </r>
  </si>
  <si>
    <r>
      <t>属</t>
    </r>
    <r>
      <rPr>
        <b/>
        <sz val="12"/>
        <color theme="1"/>
        <rFont val="等线"/>
        <family val="3"/>
        <charset val="134"/>
        <scheme val="minor"/>
      </rPr>
      <t>阴金</t>
    </r>
    <r>
      <rPr>
        <sz val="12"/>
        <color theme="1"/>
        <rFont val="等线"/>
        <family val="3"/>
        <charset val="134"/>
        <scheme val="minor"/>
      </rPr>
      <t>，具</t>
    </r>
    <r>
      <rPr>
        <b/>
        <sz val="12"/>
        <color theme="1"/>
        <rFont val="等线"/>
        <family val="3"/>
        <charset val="134"/>
        <scheme val="minor"/>
      </rPr>
      <t>金属</t>
    </r>
    <r>
      <rPr>
        <sz val="12"/>
        <color theme="1"/>
        <rFont val="等线"/>
        <family val="3"/>
        <charset val="134"/>
        <scheme val="minor"/>
      </rPr>
      <t>的刚硬、肃杀、切割之性。代表</t>
    </r>
    <r>
      <rPr>
        <b/>
        <sz val="12"/>
        <color theme="1"/>
        <rFont val="等线"/>
        <family val="3"/>
        <charset val="134"/>
        <scheme val="minor"/>
      </rPr>
      <t>竞争、冲突、手术、法律</t>
    </r>
    <r>
      <rPr>
        <sz val="12"/>
        <color theme="1"/>
        <rFont val="等线"/>
        <family val="3"/>
        <charset val="134"/>
        <scheme val="minor"/>
      </rPr>
      <t>。</t>
    </r>
  </si>
  <si>
    <t>在命宫、疾厄宫时，主性格刚硬，健康上需注意呼吸系统、骨骼、刀伤。</t>
  </si>
  <si>
    <r>
      <t>孤独与义气</t>
    </r>
    <r>
      <rPr>
        <sz val="12"/>
        <color theme="1"/>
        <rFont val="等线"/>
        <family val="3"/>
        <charset val="134"/>
        <scheme val="minor"/>
      </rPr>
      <t>​</t>
    </r>
  </si>
  <si>
    <r>
      <t>星性</t>
    </r>
    <r>
      <rPr>
        <b/>
        <sz val="12"/>
        <color theme="1"/>
        <rFont val="等线"/>
        <family val="3"/>
        <charset val="134"/>
        <scheme val="minor"/>
      </rPr>
      <t>刚直孤克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重义气、守信用</t>
    </r>
    <r>
      <rPr>
        <sz val="12"/>
        <color theme="1"/>
        <rFont val="等线"/>
        <family val="3"/>
        <charset val="134"/>
        <scheme val="minor"/>
      </rPr>
      <t>。人际关系</t>
    </r>
    <r>
      <rPr>
        <b/>
        <sz val="12"/>
        <color theme="1"/>
        <rFont val="等线"/>
        <family val="3"/>
        <charset val="134"/>
        <scheme val="minor"/>
      </rPr>
      <t>简单直接，朋友不多但可托付</t>
    </r>
    <r>
      <rPr>
        <sz val="12"/>
        <color theme="1"/>
        <rFont val="等线"/>
        <family val="3"/>
        <charset val="134"/>
        <scheme val="minor"/>
      </rPr>
      <t>。</t>
    </r>
  </si>
  <si>
    <t>在命宫、交友宫时，主为人可靠但朋友少，易因性格刚直得罪人。</t>
  </si>
  <si>
    <r>
      <t>身材壮实，方脸或圆脸，声音洪亮，眼神坚定，行动敏捷有力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</si>
  <si>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：刚毅果决，执行力强，重信守诺，勤俭务实，不畏艰难。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</si>
  <si>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：固执己见，不善变通，言辞直接，孤克寡合，重利轻情。</t>
    </r>
  </si>
  <si>
    <r>
      <t>属阴金，主</t>
    </r>
    <r>
      <rPr>
        <b/>
        <sz val="12"/>
        <color theme="1"/>
        <rFont val="等线"/>
        <family val="3"/>
        <charset val="134"/>
        <scheme val="minor"/>
      </rPr>
      <t>肺、呼吸系统、大肠</t>
    </r>
    <r>
      <rPr>
        <sz val="12"/>
        <color theme="1"/>
        <rFont val="等线"/>
        <family val="3"/>
        <charset val="134"/>
        <scheme val="minor"/>
      </rPr>
      <t>。亦主</t>
    </r>
    <r>
      <rPr>
        <b/>
        <sz val="12"/>
        <color theme="1"/>
        <rFont val="等线"/>
        <family val="3"/>
        <charset val="134"/>
        <scheme val="minor"/>
      </rPr>
      <t>骨骼、牙齿</t>
    </r>
    <r>
      <rPr>
        <sz val="12"/>
        <color theme="1"/>
        <rFont val="等线"/>
        <family val="3"/>
        <charset val="134"/>
        <scheme val="minor"/>
      </rPr>
      <t>。因其“金”的肃杀之性，需注意</t>
    </r>
    <r>
      <rPr>
        <b/>
        <sz val="12"/>
        <color theme="1"/>
        <rFont val="等线"/>
        <family val="3"/>
        <charset val="134"/>
        <scheme val="minor"/>
      </rPr>
      <t>刀伤、手术、跌打损伤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</si>
  <si>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刚毅果决，务实重利，执行力强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天生的行动派与实干家</t>
    </r>
    <r>
      <rPr>
        <sz val="12"/>
        <color theme="1"/>
        <rFont val="等线"/>
        <family val="3"/>
        <charset val="134"/>
        <scheme val="minor"/>
      </rPr>
      <t>。适合从事</t>
    </r>
    <r>
      <rPr>
        <b/>
        <sz val="12"/>
        <color theme="1"/>
        <rFont val="等线"/>
        <family val="3"/>
        <charset val="134"/>
        <scheme val="minor"/>
      </rPr>
      <t>金融、军警、工程技术、体育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喜见禄存、化禄及吉星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“财帛之主”，富格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忌煞星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“孤克”，辛劳破财，性格更显刚硬</t>
    </r>
    <r>
      <rPr>
        <sz val="12"/>
        <color theme="1"/>
        <rFont val="等线"/>
        <family val="3"/>
        <charset val="134"/>
        <scheme val="minor"/>
      </rPr>
      <t>。武曲坐命，需</t>
    </r>
    <r>
      <rPr>
        <b/>
        <sz val="12"/>
        <color theme="1"/>
        <rFont val="等线"/>
        <family val="3"/>
        <charset val="134"/>
        <scheme val="minor"/>
      </rPr>
      <t>修习圆融，避免过于刚直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</si>
  <si>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</t>
    </r>
    <r>
      <rPr>
        <b/>
        <sz val="12"/>
        <color theme="1"/>
        <rFont val="等线"/>
        <family val="3"/>
        <charset val="134"/>
        <scheme val="minor"/>
      </rPr>
      <t>个性刚强，关系直接，可能少往来或各自打拼</t>
    </r>
    <r>
      <rPr>
        <sz val="12"/>
        <color theme="1"/>
        <rFont val="等线"/>
        <family val="3"/>
        <charset val="134"/>
        <scheme val="minor"/>
      </rPr>
      <t>。</t>
    </r>
  </si>
  <si>
    <r>
      <t>婚姻关系</t>
    </r>
    <r>
      <rPr>
        <b/>
        <sz val="12"/>
        <color theme="1"/>
        <rFont val="等线"/>
        <family val="3"/>
        <charset val="134"/>
        <scheme val="minor"/>
      </rPr>
      <t>务实，像合作伙伴</t>
    </r>
    <r>
      <rPr>
        <sz val="12"/>
        <color theme="1"/>
        <rFont val="等线"/>
        <family val="3"/>
        <charset val="134"/>
        <scheme val="minor"/>
      </rPr>
      <t>。配偶</t>
    </r>
    <r>
      <rPr>
        <b/>
        <sz val="12"/>
        <color theme="1"/>
        <rFont val="等线"/>
        <family val="3"/>
        <charset val="134"/>
        <scheme val="minor"/>
      </rPr>
      <t>性格刚强，能干</t>
    </r>
    <r>
      <rPr>
        <sz val="12"/>
        <color theme="1"/>
        <rFont val="等线"/>
        <family val="3"/>
        <charset val="134"/>
        <scheme val="minor"/>
      </rPr>
      <t>。若组合不佳，主</t>
    </r>
    <r>
      <rPr>
        <b/>
        <sz val="12"/>
        <color theme="1"/>
        <rFont val="等线"/>
        <family val="3"/>
        <charset val="134"/>
        <scheme val="minor"/>
      </rPr>
      <t>婚姻迟、聚少离多或争执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</si>
  <si>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个性独立，好动，管教需严格但讲理</t>
    </r>
    <r>
      <rPr>
        <sz val="12"/>
        <color theme="1"/>
        <rFont val="等线"/>
        <family val="3"/>
        <charset val="134"/>
        <scheme val="minor"/>
      </rPr>
      <t>。</t>
    </r>
  </si>
  <si>
    <r>
      <t>正财星入财帛</t>
    </r>
    <r>
      <rPr>
        <sz val="12"/>
        <color theme="1"/>
        <rFont val="等线"/>
        <family val="3"/>
        <charset val="134"/>
        <scheme val="minor"/>
      </rPr>
      <t>，求财方式</t>
    </r>
    <r>
      <rPr>
        <b/>
        <sz val="12"/>
        <color theme="1"/>
        <rFont val="等线"/>
        <family val="3"/>
        <charset val="134"/>
        <scheme val="minor"/>
      </rPr>
      <t>务实、直接、多劳多得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金融、技术、军警等凭本事赚钱的行业</t>
    </r>
    <r>
      <rPr>
        <sz val="12"/>
        <color theme="1"/>
        <rFont val="等线"/>
        <family val="3"/>
        <charset val="134"/>
        <scheme val="minor"/>
      </rPr>
      <t>。见吉主</t>
    </r>
    <r>
      <rPr>
        <b/>
        <sz val="12"/>
        <color theme="1"/>
        <rFont val="等线"/>
        <family val="3"/>
        <charset val="134"/>
        <scheme val="minor"/>
      </rPr>
      <t>大富</t>
    </r>
    <r>
      <rPr>
        <sz val="12"/>
        <color theme="1"/>
        <rFont val="等线"/>
        <family val="3"/>
        <charset val="134"/>
        <scheme val="minor"/>
      </rPr>
      <t>；见煞主</t>
    </r>
    <r>
      <rPr>
        <b/>
        <sz val="12"/>
        <color theme="1"/>
        <rFont val="等线"/>
        <family val="3"/>
        <charset val="134"/>
        <scheme val="minor"/>
      </rPr>
      <t>劳碌求财，钱财周转紧张</t>
    </r>
    <r>
      <rPr>
        <sz val="12"/>
        <color theme="1"/>
        <rFont val="等线"/>
        <family val="3"/>
        <charset val="134"/>
        <scheme val="minor"/>
      </rPr>
      <t>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</si>
  <si>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呼吸系统疾病（如哮喘、肺炎）、骨骼问题（如骨折、牙病）、大肠疾病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外伤、手术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</si>
  <si>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行动力强，适合外出发展，易在异地凭借专业技艺或执行力成功</t>
    </r>
    <r>
      <rPr>
        <sz val="12"/>
        <color theme="1"/>
        <rFont val="等线"/>
        <family val="3"/>
        <charset val="134"/>
        <scheme val="minor"/>
      </rPr>
      <t>。</t>
    </r>
  </si>
  <si>
    <r>
      <t>朋友、同事多务实、直爽之人</t>
    </r>
    <r>
      <rPr>
        <sz val="12"/>
        <color theme="1"/>
        <rFont val="等线"/>
        <family val="3"/>
        <charset val="134"/>
        <scheme val="minor"/>
      </rPr>
      <t>，如</t>
    </r>
    <r>
      <rPr>
        <b/>
        <sz val="12"/>
        <color theme="1"/>
        <rFont val="等线"/>
        <family val="3"/>
        <charset val="134"/>
        <scheme val="minor"/>
      </rPr>
      <t>军人、警察、工程师</t>
    </r>
    <r>
      <rPr>
        <sz val="12"/>
        <color theme="1"/>
        <rFont val="等线"/>
        <family val="3"/>
        <charset val="134"/>
        <scheme val="minor"/>
      </rPr>
      <t>。关系</t>
    </r>
    <r>
      <rPr>
        <b/>
        <sz val="12"/>
        <color theme="1"/>
        <rFont val="等线"/>
        <family val="3"/>
        <charset val="134"/>
        <scheme val="minor"/>
      </rPr>
      <t>建立在利益或共同目标上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</si>
  <si>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需要执行力、专业技能、纪律性</t>
    </r>
    <r>
      <rPr>
        <sz val="12"/>
        <color theme="1"/>
        <rFont val="等线"/>
        <family val="3"/>
        <charset val="134"/>
        <scheme val="minor"/>
      </rPr>
      <t>的行业，如</t>
    </r>
    <r>
      <rPr>
        <b/>
        <sz val="12"/>
        <color theme="1"/>
        <rFont val="等线"/>
        <family val="3"/>
        <charset val="134"/>
        <scheme val="minor"/>
      </rPr>
      <t>金融、军警、法律、工程技术、体育</t>
    </r>
    <r>
      <rPr>
        <sz val="12"/>
        <color theme="1"/>
        <rFont val="等线"/>
        <family val="3"/>
        <charset val="134"/>
        <scheme val="minor"/>
      </rPr>
      <t>。事业</t>
    </r>
    <r>
      <rPr>
        <b/>
        <sz val="12"/>
        <color theme="1"/>
        <rFont val="等线"/>
        <family val="3"/>
        <charset val="134"/>
        <scheme val="minor"/>
      </rPr>
      <t>靠实力一步步积累</t>
    </r>
    <r>
      <rPr>
        <sz val="12"/>
        <color theme="1"/>
        <rFont val="等线"/>
        <family val="3"/>
        <charset val="134"/>
        <scheme val="minor"/>
      </rPr>
      <t>。</t>
    </r>
  </si>
  <si>
    <r>
      <t>家宅简朴、实用，附近可能有银行、军营、工厂</t>
    </r>
    <r>
      <rPr>
        <sz val="12"/>
        <color theme="1"/>
        <rFont val="等线"/>
        <family val="3"/>
        <charset val="134"/>
        <scheme val="minor"/>
      </rPr>
      <t>。武曲吉则</t>
    </r>
    <r>
      <rPr>
        <b/>
        <sz val="12"/>
        <color theme="1"/>
        <rFont val="等线"/>
        <family val="3"/>
        <charset val="134"/>
        <scheme val="minor"/>
      </rPr>
      <t>因房产得财</t>
    </r>
    <r>
      <rPr>
        <sz val="12"/>
        <color theme="1"/>
        <rFont val="等线"/>
        <family val="3"/>
        <charset val="134"/>
        <scheme val="minor"/>
      </rPr>
      <t>；武曲凶则</t>
    </r>
    <r>
      <rPr>
        <b/>
        <sz val="12"/>
        <color theme="1"/>
        <rFont val="等线"/>
        <family val="3"/>
        <charset val="134"/>
        <scheme val="minor"/>
      </rPr>
      <t>家宅冷清，或为钱财与家人争执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</si>
  <si>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务实，重实际利益，追求效率与成就</t>
    </r>
    <r>
      <rPr>
        <sz val="12"/>
        <color theme="1"/>
        <rFont val="等线"/>
        <family val="3"/>
        <charset val="134"/>
        <scheme val="minor"/>
      </rPr>
      <t>。内心</t>
    </r>
    <r>
      <rPr>
        <b/>
        <sz val="12"/>
        <color theme="1"/>
        <rFont val="等线"/>
        <family val="3"/>
        <charset val="134"/>
        <scheme val="minor"/>
      </rPr>
      <t>刚强，不善情感表达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</si>
  <si>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管教严格，务实，可能从事军警、金融或技术类职业</t>
    </r>
    <r>
      <rPr>
        <sz val="12"/>
        <color theme="1"/>
        <rFont val="等线"/>
        <family val="3"/>
        <charset val="134"/>
        <scheme val="minor"/>
      </rPr>
      <t>。</t>
    </r>
  </si>
  <si>
    <r>
      <t>帝星统将</t>
    </r>
    <r>
      <rPr>
        <sz val="12"/>
        <color theme="1"/>
        <rFont val="等线"/>
        <family val="3"/>
        <charset val="134"/>
        <scheme val="minor"/>
      </rPr>
      <t>，权威与刚毅结合，</t>
    </r>
    <r>
      <rPr>
        <b/>
        <sz val="12"/>
        <color theme="1"/>
        <rFont val="等线"/>
        <family val="3"/>
        <charset val="134"/>
        <scheme val="minor"/>
      </rPr>
      <t>“紫武”组合，刚毅果决的领导，适合军警、金融巨头</t>
    </r>
    <r>
      <rPr>
        <sz val="12"/>
        <color theme="1"/>
        <rFont val="等线"/>
        <family val="3"/>
        <charset val="134"/>
        <scheme val="minor"/>
      </rPr>
      <t>。</t>
    </r>
  </si>
  <si>
    <r>
      <t>智星统将</t>
    </r>
    <r>
      <rPr>
        <sz val="12"/>
        <color theme="1"/>
        <rFont val="等线"/>
        <family val="3"/>
        <charset val="134"/>
        <scheme val="minor"/>
      </rPr>
      <t>，谋略与行动结合，</t>
    </r>
    <r>
      <rPr>
        <b/>
        <sz val="12"/>
        <color theme="1"/>
        <rFont val="等线"/>
        <family val="3"/>
        <charset val="134"/>
        <scheme val="minor"/>
      </rPr>
      <t>“机武”组合，善于策划与执行，适合军师、工程师、金融分析师</t>
    </r>
    <r>
      <rPr>
        <sz val="12"/>
        <color theme="1"/>
        <rFont val="等线"/>
        <family val="3"/>
        <charset val="134"/>
        <scheme val="minor"/>
      </rPr>
      <t>。</t>
    </r>
  </si>
  <si>
    <t>参谋长；精算师。</t>
  </si>
  <si>
    <r>
      <t>日星统将</t>
    </r>
    <r>
      <rPr>
        <sz val="12"/>
        <color theme="1"/>
        <rFont val="等线"/>
        <family val="3"/>
        <charset val="134"/>
        <scheme val="minor"/>
      </rPr>
      <t>，光明与刚毅结合，</t>
    </r>
    <r>
      <rPr>
        <b/>
        <sz val="12"/>
        <color theme="1"/>
        <rFont val="等线"/>
        <family val="3"/>
        <charset val="134"/>
        <scheme val="minor"/>
      </rPr>
      <t>“阳武”组合，光明正大的行动派，适合公职、法律、体育</t>
    </r>
    <r>
      <rPr>
        <sz val="12"/>
        <color theme="1"/>
        <rFont val="等线"/>
        <family val="3"/>
        <charset val="134"/>
        <scheme val="minor"/>
      </rPr>
      <t>。</t>
    </r>
  </si>
  <si>
    <t>法官；运动员；公务员。</t>
  </si>
  <si>
    <r>
      <t>福星统将</t>
    </r>
    <r>
      <rPr>
        <sz val="12"/>
        <color theme="1"/>
        <rFont val="等线"/>
        <family val="3"/>
        <charset val="134"/>
        <scheme val="minor"/>
      </rPr>
      <t>，享受与行动结合，</t>
    </r>
    <r>
      <rPr>
        <b/>
        <sz val="12"/>
        <color theme="1"/>
        <rFont val="等线"/>
        <family val="3"/>
        <charset val="134"/>
        <scheme val="minor"/>
      </rPr>
      <t>“同武”组合，在享受中工作，或通过技艺、体育获利，但意志易松懈</t>
    </r>
    <r>
      <rPr>
        <sz val="12"/>
        <color theme="1"/>
        <rFont val="等线"/>
        <family val="3"/>
        <charset val="134"/>
        <scheme val="minor"/>
      </rPr>
      <t>。</t>
    </r>
  </si>
  <si>
    <t>职业运动员；美食家兼厨师。</t>
  </si>
  <si>
    <r>
      <t>囚星统将</t>
    </r>
    <r>
      <rPr>
        <sz val="12"/>
        <color theme="1"/>
        <rFont val="等线"/>
        <family val="3"/>
        <charset val="134"/>
        <scheme val="minor"/>
      </rPr>
      <t>，复杂与刚毅结合，</t>
    </r>
    <r>
      <rPr>
        <b/>
        <sz val="12"/>
        <color theme="1"/>
        <rFont val="等线"/>
        <family val="3"/>
        <charset val="134"/>
        <scheme val="minor"/>
      </rPr>
      <t>“廉武”组合，执行力强但过程复杂，易涉足法律、金融灰色地带</t>
    </r>
    <r>
      <rPr>
        <sz val="12"/>
        <color theme="1"/>
        <rFont val="等线"/>
        <family val="3"/>
        <charset val="134"/>
        <scheme val="minor"/>
      </rPr>
      <t>。</t>
    </r>
  </si>
  <si>
    <t>金融检察官；风险投资（涉法务）。</t>
  </si>
  <si>
    <r>
      <t>库星统将</t>
    </r>
    <r>
      <rPr>
        <sz val="12"/>
        <color theme="1"/>
        <rFont val="等线"/>
        <family val="3"/>
        <charset val="134"/>
        <scheme val="minor"/>
      </rPr>
      <t>，稳定与行动结合，</t>
    </r>
    <r>
      <rPr>
        <b/>
        <sz val="12"/>
        <color theme="1"/>
        <rFont val="等线"/>
        <family val="3"/>
        <charset val="134"/>
        <scheme val="minor"/>
      </rPr>
      <t>“武府”组合，执行力强且善理财，财富积累迅速</t>
    </r>
    <r>
      <rPr>
        <sz val="12"/>
        <color theme="1"/>
        <rFont val="等线"/>
        <family val="3"/>
        <charset val="134"/>
        <scheme val="minor"/>
      </rPr>
      <t>。</t>
    </r>
  </si>
  <si>
    <r>
      <t>月星统将</t>
    </r>
    <r>
      <rPr>
        <sz val="12"/>
        <color theme="1"/>
        <rFont val="等线"/>
        <family val="3"/>
        <charset val="134"/>
        <scheme val="minor"/>
      </rPr>
      <t>，阴柔与刚毅结合，</t>
    </r>
    <r>
      <rPr>
        <b/>
        <sz val="12"/>
        <color theme="1"/>
        <rFont val="等线"/>
        <family val="3"/>
        <charset val="134"/>
        <scheme val="minor"/>
      </rPr>
      <t>“武阴”组合，刚柔并济，善于理财与执行，适合金融、会计</t>
    </r>
    <r>
      <rPr>
        <sz val="12"/>
        <color theme="1"/>
        <rFont val="等线"/>
        <family val="3"/>
        <charset val="134"/>
        <scheme val="minor"/>
      </rPr>
      <t>。</t>
    </r>
  </si>
  <si>
    <t>银行家；财务总监。</t>
  </si>
  <si>
    <r>
      <t>欲星统将</t>
    </r>
    <r>
      <rPr>
        <sz val="12"/>
        <color theme="1"/>
        <rFont val="等线"/>
        <family val="3"/>
        <charset val="134"/>
        <scheme val="minor"/>
      </rPr>
      <t>，欲望与行动结合，</t>
    </r>
    <r>
      <rPr>
        <b/>
        <sz val="12"/>
        <color theme="1"/>
        <rFont val="等线"/>
        <family val="3"/>
        <charset val="134"/>
        <scheme val="minor"/>
      </rPr>
      <t>“武贪”组合，行动力强且欲望大，善交际生财，但需防因财色惹祸</t>
    </r>
    <r>
      <rPr>
        <sz val="12"/>
        <color theme="1"/>
        <rFont val="等线"/>
        <family val="3"/>
        <charset val="134"/>
        <scheme val="minor"/>
      </rPr>
      <t>。</t>
    </r>
  </si>
  <si>
    <t>商业大亨；投机者。</t>
  </si>
  <si>
    <r>
      <t>暗星统将</t>
    </r>
    <r>
      <rPr>
        <sz val="12"/>
        <color theme="1"/>
        <rFont val="等线"/>
        <family val="3"/>
        <charset val="134"/>
        <scheme val="minor"/>
      </rPr>
      <t>，口舌与行动结合，</t>
    </r>
    <r>
      <rPr>
        <b/>
        <sz val="12"/>
        <color theme="1"/>
        <rFont val="等线"/>
        <family val="3"/>
        <charset val="134"/>
        <scheme val="minor"/>
      </rPr>
      <t>“武巨”组合，以行动力进行竞争、辩论或揭露，易有是非官司</t>
    </r>
    <r>
      <rPr>
        <sz val="12"/>
        <color theme="1"/>
        <rFont val="等线"/>
        <family val="3"/>
        <charset val="134"/>
        <scheme val="minor"/>
      </rPr>
      <t>。</t>
    </r>
  </si>
  <si>
    <t>竞争激烈的律师； investigative journalist。</t>
  </si>
  <si>
    <r>
      <t>印星统将</t>
    </r>
    <r>
      <rPr>
        <sz val="12"/>
        <color theme="1"/>
        <rFont val="等线"/>
        <family val="3"/>
        <charset val="134"/>
        <scheme val="minor"/>
      </rPr>
      <t>，协调与行动结合，</t>
    </r>
    <r>
      <rPr>
        <b/>
        <sz val="12"/>
        <color theme="1"/>
        <rFont val="等线"/>
        <family val="3"/>
        <charset val="134"/>
        <scheme val="minor"/>
      </rPr>
      <t>“武相”组合，行动得体，善于在规则内执行，适合金融、法律管理</t>
    </r>
    <r>
      <rPr>
        <sz val="12"/>
        <color theme="1"/>
        <rFont val="等线"/>
        <family val="3"/>
        <charset val="134"/>
        <scheme val="minor"/>
      </rPr>
      <t>。</t>
    </r>
  </si>
  <si>
    <t>银行行长；法务主管。</t>
  </si>
  <si>
    <r>
      <t>荫星统将</t>
    </r>
    <r>
      <rPr>
        <sz val="12"/>
        <color theme="1"/>
        <rFont val="等线"/>
        <family val="3"/>
        <charset val="134"/>
        <scheme val="minor"/>
      </rPr>
      <t>，荫庇与刚毅结合，</t>
    </r>
    <r>
      <rPr>
        <b/>
        <sz val="12"/>
        <color theme="1"/>
        <rFont val="等线"/>
        <family val="3"/>
        <charset val="134"/>
        <scheme val="minor"/>
      </rPr>
      <t>“武梁”组合，刚直而有原则，执行力强，易得长辈或制度庇佑</t>
    </r>
    <r>
      <rPr>
        <sz val="12"/>
        <color theme="1"/>
        <rFont val="等线"/>
        <family val="3"/>
        <charset val="134"/>
        <scheme val="minor"/>
      </rPr>
      <t>。</t>
    </r>
  </si>
  <si>
    <t>军法官；审计官。</t>
  </si>
  <si>
    <r>
      <t>杀星统将</t>
    </r>
    <r>
      <rPr>
        <sz val="12"/>
        <color theme="1"/>
        <rFont val="等线"/>
        <family val="3"/>
        <charset val="134"/>
        <scheme val="minor"/>
      </rPr>
      <t>，肃杀与刚毅结合，</t>
    </r>
    <r>
      <rPr>
        <b/>
        <sz val="12"/>
        <color theme="1"/>
        <rFont val="等线"/>
        <family val="3"/>
        <charset val="134"/>
        <scheme val="minor"/>
      </rPr>
      <t>“武杀”组合，行动力与决断力达到极致，适合军警、外科医生、高风险行业</t>
    </r>
    <r>
      <rPr>
        <sz val="12"/>
        <color theme="1"/>
        <rFont val="等线"/>
        <family val="3"/>
        <charset val="134"/>
        <scheme val="minor"/>
      </rPr>
      <t>。</t>
    </r>
  </si>
  <si>
    <t>特种兵；外科手术专家；高风险投资者。</t>
  </si>
  <si>
    <r>
      <t>耗星统将</t>
    </r>
    <r>
      <rPr>
        <sz val="12"/>
        <color theme="1"/>
        <rFont val="等线"/>
        <family val="3"/>
        <charset val="134"/>
        <scheme val="minor"/>
      </rPr>
      <t>，变动与刚毅结合，</t>
    </r>
    <r>
      <rPr>
        <b/>
        <sz val="12"/>
        <color theme="1"/>
        <rFont val="等线"/>
        <family val="3"/>
        <charset val="134"/>
        <scheme val="minor"/>
      </rPr>
      <t>“武破”组合，在变动中强力执行，适合开拓性工程、军旅、改革</t>
    </r>
    <r>
      <rPr>
        <sz val="12"/>
        <color theme="1"/>
        <rFont val="等线"/>
        <family val="3"/>
        <charset val="134"/>
        <scheme val="minor"/>
      </rPr>
      <t>。</t>
    </r>
  </si>
  <si>
    <t>先锋工程师；改革派将领。</t>
  </si>
  <si>
    <r>
      <t>将星得助</t>
    </r>
    <r>
      <rPr>
        <sz val="12"/>
        <color theme="1"/>
        <rFont val="等线"/>
        <family val="3"/>
        <charset val="134"/>
        <scheme val="minor"/>
      </rPr>
      <t>，行动得同辈、晚辈助力，</t>
    </r>
    <r>
      <rPr>
        <b/>
        <sz val="12"/>
        <color theme="1"/>
        <rFont val="等线"/>
        <family val="3"/>
        <charset val="134"/>
        <scheme val="minor"/>
      </rPr>
      <t>执行力强，团队合作佳</t>
    </r>
    <r>
      <rPr>
        <sz val="12"/>
        <color theme="1"/>
        <rFont val="等线"/>
        <family val="3"/>
        <charset val="134"/>
        <scheme val="minor"/>
      </rPr>
      <t>。</t>
    </r>
  </si>
  <si>
    <r>
      <t>将星遇文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行动增添计划与文采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利于金融分析、工程技术、法律文书</t>
    </r>
    <r>
      <rPr>
        <sz val="12"/>
        <color theme="1"/>
        <rFont val="等线"/>
        <family val="3"/>
        <charset val="134"/>
        <scheme val="minor"/>
      </rPr>
      <t>。</t>
    </r>
  </si>
  <si>
    <r>
      <t>将星遇贵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行动得贵人（尤指上级、客户）赏识与提携</t>
    </r>
    <r>
      <rPr>
        <sz val="12"/>
        <color theme="1"/>
        <rFont val="等线"/>
        <family val="3"/>
        <charset val="134"/>
        <scheme val="minor"/>
      </rPr>
      <t>。</t>
    </r>
  </si>
  <si>
    <r>
      <t>财星带禄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“武曲禄存，富甲一方”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财富丰厚，执行力生财</t>
    </r>
    <r>
      <rPr>
        <sz val="12"/>
        <color theme="1"/>
        <rFont val="等线"/>
        <family val="3"/>
        <charset val="134"/>
        <scheme val="minor"/>
      </rPr>
      <t>。</t>
    </r>
  </si>
  <si>
    <r>
      <t>将星奔驰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动中求财，利国际贸易、军旅调动、频繁出差</t>
    </r>
    <r>
      <rPr>
        <sz val="12"/>
        <color theme="1"/>
        <rFont val="等线"/>
        <family val="3"/>
        <charset val="134"/>
        <scheme val="minor"/>
      </rPr>
      <t>。</t>
    </r>
  </si>
  <si>
    <r>
      <t>刚星逢火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“武曲火星，因财被劫”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行动急躁，易因冲动破财或发生冲突、火灾</t>
    </r>
    <r>
      <rPr>
        <sz val="12"/>
        <color theme="1"/>
        <rFont val="等线"/>
        <family val="3"/>
        <charset val="134"/>
        <scheme val="minor"/>
      </rPr>
      <t>。</t>
    </r>
  </si>
  <si>
    <r>
      <t>刚星逢铃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行动受拖延与隐忧困扰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财务纠纷，执行过程反复</t>
    </r>
    <r>
      <rPr>
        <sz val="12"/>
        <color theme="1"/>
        <rFont val="等线"/>
        <family val="3"/>
        <charset val="134"/>
        <scheme val="minor"/>
      </rPr>
      <t>。</t>
    </r>
  </si>
  <si>
    <r>
      <t>刚星逢羊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“武曲擎羊，因财持刀”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因财起冲突，易有刑伤、手术，性格更显刚烈</t>
    </r>
    <r>
      <rPr>
        <sz val="12"/>
        <color theme="1"/>
        <rFont val="等线"/>
        <family val="3"/>
        <charset val="134"/>
        <scheme val="minor"/>
      </rPr>
      <t>。</t>
    </r>
  </si>
  <si>
    <r>
      <t>刚星逢陀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行动受拖延、旧账困扰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财务周转不灵，执行效率低下</t>
    </r>
    <r>
      <rPr>
        <sz val="12"/>
        <color theme="1"/>
        <rFont val="等线"/>
        <family val="3"/>
        <charset val="134"/>
        <scheme val="minor"/>
      </rPr>
      <t>。</t>
    </r>
  </si>
  <si>
    <r>
      <t>财星逢空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“武曲地空，披星戴月”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劳碌求财却难聚，理想落空</t>
    </r>
    <r>
      <rPr>
        <sz val="12"/>
        <color theme="1"/>
        <rFont val="等线"/>
        <family val="3"/>
        <charset val="134"/>
        <scheme val="minor"/>
      </rPr>
      <t>。</t>
    </r>
  </si>
  <si>
    <r>
      <t>财星逢劫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意外破耗，财务突然损失，行动遭遇挫折</t>
    </r>
    <r>
      <rPr>
        <sz val="12"/>
        <color theme="1"/>
        <rFont val="等线"/>
        <family val="3"/>
        <charset val="134"/>
        <scheme val="minor"/>
      </rPr>
      <t>。</t>
    </r>
  </si>
  <si>
    <r>
      <t>财星化禄</t>
    </r>
    <r>
      <rPr>
        <sz val="12"/>
        <color theme="1"/>
        <rFont val="等线"/>
        <family val="3"/>
        <charset val="134"/>
        <scheme val="minor"/>
      </rPr>
      <t>（庚年生人），</t>
    </r>
    <r>
      <rPr>
        <b/>
        <sz val="12"/>
        <color theme="1"/>
        <rFont val="等线"/>
        <family val="3"/>
        <charset val="134"/>
        <scheme val="minor"/>
      </rPr>
      <t>“武曲化禄，财运亨通”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执行力直接转化为财富，经商大利</t>
    </r>
    <r>
      <rPr>
        <sz val="12"/>
        <color theme="1"/>
        <rFont val="等线"/>
        <family val="3"/>
        <charset val="134"/>
        <scheme val="minor"/>
      </rPr>
      <t>。</t>
    </r>
  </si>
  <si>
    <r>
      <t>将星化权</t>
    </r>
    <r>
      <rPr>
        <sz val="12"/>
        <color theme="1"/>
        <rFont val="等线"/>
        <family val="3"/>
        <charset val="134"/>
        <scheme val="minor"/>
      </rPr>
      <t>（无，武曲不化权，但喜见化权）。</t>
    </r>
  </si>
  <si>
    <r>
      <t>将星化科</t>
    </r>
    <r>
      <rPr>
        <sz val="12"/>
        <color theme="1"/>
        <rFont val="等线"/>
        <family val="3"/>
        <charset val="134"/>
        <scheme val="minor"/>
      </rPr>
      <t>（无，武曲不化科）。</t>
    </r>
  </si>
  <si>
    <r>
      <t>财星化忌</t>
    </r>
    <r>
      <rPr>
        <sz val="12"/>
        <color theme="1"/>
        <rFont val="等线"/>
        <family val="3"/>
        <charset val="134"/>
        <scheme val="minor"/>
      </rPr>
      <t>（己年生人），</t>
    </r>
    <r>
      <rPr>
        <b/>
        <sz val="12"/>
        <color theme="1"/>
        <rFont val="等线"/>
        <family val="3"/>
        <charset val="134"/>
        <scheme val="minor"/>
      </rPr>
      <t>“武曲化忌，财困兵败”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求财辛苦，财务困难，易有呼吸系统疾病或手术</t>
    </r>
    <r>
      <rPr>
        <sz val="12"/>
        <color theme="1"/>
        <rFont val="等线"/>
        <family val="3"/>
        <charset val="134"/>
        <scheme val="minor"/>
      </rPr>
      <t>。</t>
    </r>
  </si>
  <si>
    <r>
      <t>1. “财星”与“将星”本质</t>
    </r>
    <r>
      <rPr>
        <sz val="11"/>
        <color theme="1"/>
        <rFont val="等线"/>
        <family val="2"/>
        <charset val="134"/>
        <scheme val="minor"/>
      </rPr>
      <t>：武曲化气为</t>
    </r>
    <r>
      <rPr>
        <b/>
        <sz val="11"/>
        <color theme="1"/>
        <rFont val="等线"/>
        <family val="3"/>
        <charset val="134"/>
        <scheme val="minor"/>
      </rPr>
      <t>“财”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财富、行动、刚毅</t>
    </r>
    <r>
      <rPr>
        <sz val="11"/>
        <color theme="1"/>
        <rFont val="等线"/>
        <family val="2"/>
        <charset val="134"/>
        <scheme val="minor"/>
      </rPr>
      <t>。其人生角色常是</t>
    </r>
    <r>
      <rPr>
        <b/>
        <sz val="11"/>
        <color theme="1"/>
        <rFont val="等线"/>
        <family val="3"/>
        <charset val="134"/>
        <scheme val="minor"/>
      </rPr>
      <t>财富的创造者、命令的执行者、规则的维护者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最喜见禄存、化禄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大富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最忌煞星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孤克、劳碌、破财</t>
    </r>
    <r>
      <rPr>
        <sz val="11"/>
        <color theme="1"/>
        <rFont val="等线"/>
        <family val="2"/>
        <charset val="134"/>
        <scheme val="minor"/>
      </rPr>
      <t>。</t>
    </r>
  </si>
  <si>
    <r>
      <t>2. “金”性的多重体现</t>
    </r>
    <r>
      <rPr>
        <sz val="11"/>
        <color theme="1"/>
        <rFont val="等线"/>
        <family val="2"/>
        <charset val="134"/>
        <scheme val="minor"/>
      </rPr>
      <t>：属阴金，其“金”性体现为：</t>
    </r>
    <r>
      <rPr>
        <b/>
        <sz val="11"/>
        <color theme="1"/>
        <rFont val="等线"/>
        <family val="3"/>
        <charset val="134"/>
        <scheme val="minor"/>
      </rPr>
      <t>物质</t>
    </r>
    <r>
      <rPr>
        <sz val="11"/>
        <color theme="1"/>
        <rFont val="等线"/>
        <family val="2"/>
        <charset val="134"/>
        <scheme val="minor"/>
      </rPr>
      <t>（金钱、金属）、</t>
    </r>
    <r>
      <rPr>
        <b/>
        <sz val="11"/>
        <color theme="1"/>
        <rFont val="等线"/>
        <family val="3"/>
        <charset val="134"/>
        <scheme val="minor"/>
      </rPr>
      <t>身体</t>
    </r>
    <r>
      <rPr>
        <sz val="11"/>
        <color theme="1"/>
        <rFont val="等线"/>
        <family val="2"/>
        <charset val="134"/>
        <scheme val="minor"/>
      </rPr>
      <t>（骨骼、呼吸系统）、</t>
    </r>
    <r>
      <rPr>
        <b/>
        <sz val="11"/>
        <color theme="1"/>
        <rFont val="等线"/>
        <family val="3"/>
        <charset val="134"/>
        <scheme val="minor"/>
      </rPr>
      <t>职业</t>
    </r>
    <r>
      <rPr>
        <sz val="11"/>
        <color theme="1"/>
        <rFont val="等线"/>
        <family val="2"/>
        <charset val="134"/>
        <scheme val="minor"/>
      </rPr>
      <t>（金融、军警、机械）、</t>
    </r>
    <r>
      <rPr>
        <b/>
        <sz val="11"/>
        <color theme="1"/>
        <rFont val="等线"/>
        <family val="3"/>
        <charset val="134"/>
        <scheme val="minor"/>
      </rPr>
      <t>性格</t>
    </r>
    <r>
      <rPr>
        <sz val="11"/>
        <color theme="1"/>
        <rFont val="等线"/>
        <family val="2"/>
        <charset val="134"/>
        <scheme val="minor"/>
      </rPr>
      <t>（刚毅、肃杀）、</t>
    </r>
    <r>
      <rPr>
        <b/>
        <sz val="11"/>
        <color theme="1"/>
        <rFont val="等线"/>
        <family val="3"/>
        <charset val="134"/>
        <scheme val="minor"/>
      </rPr>
      <t>事件</t>
    </r>
    <r>
      <rPr>
        <sz val="11"/>
        <color theme="1"/>
        <rFont val="等线"/>
        <family val="2"/>
        <charset val="134"/>
        <scheme val="minor"/>
      </rPr>
      <t>（竞争、切割、手术）。</t>
    </r>
  </si>
  <si>
    <r>
      <t>3. “孤克”与“义气”</t>
    </r>
    <r>
      <rPr>
        <sz val="11"/>
        <color theme="1"/>
        <rFont val="等线"/>
        <family val="2"/>
        <charset val="134"/>
        <scheme val="minor"/>
      </rPr>
      <t>：武曲星性</t>
    </r>
    <r>
      <rPr>
        <b/>
        <sz val="11"/>
        <color theme="1"/>
        <rFont val="等线"/>
        <family val="3"/>
        <charset val="134"/>
        <scheme val="minor"/>
      </rPr>
      <t>刚直孤克</t>
    </r>
    <r>
      <rPr>
        <sz val="11"/>
        <color theme="1"/>
        <rFont val="等线"/>
        <family val="2"/>
        <charset val="134"/>
        <scheme val="minor"/>
      </rPr>
      <t>，人际关系较为疏离。但其</t>
    </r>
    <r>
      <rPr>
        <b/>
        <sz val="11"/>
        <color theme="1"/>
        <rFont val="等线"/>
        <family val="3"/>
        <charset val="134"/>
        <scheme val="minor"/>
      </rPr>
      <t>重信守诺、讲义气</t>
    </r>
    <r>
      <rPr>
        <sz val="11"/>
        <color theme="1"/>
        <rFont val="等线"/>
        <family val="2"/>
        <charset val="134"/>
        <scheme val="minor"/>
      </rPr>
      <t>，一旦认定，极为可靠。此为其性格的一体两面。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</si>
  <si>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：武曲星所在宫位，指示在人生的哪个领域需要</t>
    </r>
    <r>
      <rPr>
        <b/>
        <sz val="11"/>
        <color theme="1"/>
        <rFont val="等线"/>
        <family val="3"/>
        <charset val="134"/>
        <scheme val="minor"/>
      </rPr>
      <t>通过实际行动、专业技能来创造价值（尤其是财富）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执行力与决断力</t>
    </r>
    <r>
      <rPr>
        <sz val="11"/>
        <color theme="1"/>
        <rFont val="等线"/>
        <family val="2"/>
        <charset val="134"/>
        <scheme val="minor"/>
      </rPr>
      <t>的核心投射领域。</t>
    </r>
  </si>
  <si>
    <r>
      <t>5. “武”与“财”的辩证</t>
    </r>
    <r>
      <rPr>
        <sz val="11"/>
        <color theme="1"/>
        <rFont val="等线"/>
        <family val="2"/>
        <charset val="134"/>
        <scheme val="minor"/>
      </rPr>
      <t>：武曲既是“将星”（武），也是“财星”（财）。其财富多通过</t>
    </r>
    <r>
      <rPr>
        <b/>
        <sz val="11"/>
        <color theme="1"/>
        <rFont val="等线"/>
        <family val="3"/>
        <charset val="134"/>
        <scheme val="minor"/>
      </rPr>
      <t>专业技能、辛勤劳动、竞争甚至风险</t>
    </r>
    <r>
      <rPr>
        <sz val="11"/>
        <color theme="1"/>
        <rFont val="等线"/>
        <family val="2"/>
        <charset val="134"/>
        <scheme val="minor"/>
      </rPr>
      <t>获得，而非投机。其“武”性是其求财的方式。</t>
    </r>
  </si>
  <si>
    <r>
      <t>6. 四化引动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财源广进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权威执行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因专业成名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财务困境、健康问题（尤指呼吸系统）、孤独感加剧</t>
    </r>
    <r>
      <rPr>
        <sz val="11"/>
        <color theme="1"/>
        <rFont val="等线"/>
        <family val="2"/>
        <charset val="134"/>
        <scheme val="minor"/>
      </rPr>
      <t>。武曲化忌尤为不吉，需重点关注。</t>
    </r>
  </si>
  <si>
    <r>
      <t>7. 特殊格局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“武曲禄存，富甲一方”</t>
    </r>
    <r>
      <rPr>
        <sz val="11"/>
        <color theme="1"/>
        <rFont val="等线"/>
        <family val="2"/>
        <charset val="134"/>
        <scheme val="minor"/>
      </rPr>
      <t>（武曲与禄存同宫或会照）：主</t>
    </r>
    <r>
      <rPr>
        <b/>
        <sz val="11"/>
        <color theme="1"/>
        <rFont val="等线"/>
        <family val="3"/>
        <charset val="134"/>
        <scheme val="minor"/>
      </rPr>
      <t>大富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“武曲火铃，因财被劫”</t>
    </r>
    <r>
      <rPr>
        <sz val="11"/>
        <color theme="1"/>
        <rFont val="等线"/>
        <family val="2"/>
        <charset val="134"/>
        <scheme val="minor"/>
      </rPr>
      <t>（武曲遇火星、铃星）：主</t>
    </r>
    <r>
      <rPr>
        <b/>
        <sz val="11"/>
        <color theme="1"/>
        <rFont val="等线"/>
        <family val="3"/>
        <charset val="134"/>
        <scheme val="minor"/>
      </rPr>
      <t>因财招灾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“武曲擎羊，因财持刀”</t>
    </r>
    <r>
      <rPr>
        <sz val="11"/>
        <color theme="1"/>
        <rFont val="等线"/>
        <family val="2"/>
        <charset val="134"/>
        <scheme val="minor"/>
      </rPr>
      <t>（武曲遇擎羊）：主</t>
    </r>
    <r>
      <rPr>
        <b/>
        <sz val="11"/>
        <color theme="1"/>
        <rFont val="等线"/>
        <family val="3"/>
        <charset val="134"/>
        <scheme val="minor"/>
      </rPr>
      <t>因财起冲突、刑伤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</si>
  <si>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银行、军营、警察局、工厂、健身房、五金店、一切坚硬、金属、与金钱或武力相关的场所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</si>
  <si>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财星/将星”及其全部引申象征（刚毅、执行、金属、骨骼、金融系统等）出发，系统化推导并呈现了“人/事/物”三个层次的完整解析。武曲星为财帛主，亦为将星，主行动与财富。其核心在于“刚”与“财”，常在金融、军警、技术领域显现，其“孤克”与“义气”的性质使其成为可靠的执行者。最喜禄存化禄，主富格。然武曲忌煞星汇聚，遇之则孤克劳碌。在紫占中，武曲所在即个人“行动求财”与“专业价值”之所在，其吉凶关乎财富多寡与执行成败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</si>
  <si>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天魁星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</si>
  <si>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天乙贵人（阳贵）</t>
    </r>
    <r>
      <rPr>
        <sz val="12"/>
        <color theme="1"/>
        <rFont val="等线"/>
        <family val="3"/>
        <charset val="134"/>
        <scheme val="minor"/>
      </rPr>
      <t>、科甲贵人、昼贵人、</t>
    </r>
    <r>
      <rPr>
        <b/>
        <sz val="12"/>
        <color theme="1"/>
        <rFont val="等线"/>
        <family val="3"/>
        <charset val="134"/>
        <scheme val="minor"/>
      </rPr>
      <t>公开的助力、直接的帮助、考试功名、资格认证、上级赏识、长辈提携、男性贵人、光明正大的机遇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</si>
  <si>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整合自《金刚佛光-紫占课程手册》及相关权威资料，本次彻底构建以“阳贵”为核心，涵盖“科甲、公开、直接、赏识”等所有引申义的核心象征网络。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</si>
  <si>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代表能提供</t>
    </r>
    <r>
      <rPr>
        <b/>
        <sz val="12"/>
        <color theme="1"/>
        <rFont val="等线"/>
        <family val="3"/>
        <charset val="134"/>
        <scheme val="minor"/>
      </rPr>
      <t>公开、直接、正当帮助</t>
    </r>
    <r>
      <rPr>
        <sz val="12"/>
        <color theme="1"/>
        <rFont val="等线"/>
        <family val="3"/>
        <charset val="134"/>
        <scheme val="minor"/>
      </rPr>
      <t>的贵人。通常是</t>
    </r>
    <r>
      <rPr>
        <b/>
        <sz val="12"/>
        <color theme="1"/>
        <rFont val="等线"/>
        <family val="3"/>
        <charset val="134"/>
        <scheme val="minor"/>
      </rPr>
      <t>男性、长辈、上级、老师、考官、或通过正式渠道（如考试）结识的助力者</t>
    </r>
    <r>
      <rPr>
        <sz val="12"/>
        <color theme="1"/>
        <rFont val="等线"/>
        <family val="3"/>
        <charset val="134"/>
        <scheme val="minor"/>
      </rPr>
      <t>。本人也易有</t>
    </r>
    <r>
      <rPr>
        <b/>
        <sz val="12"/>
        <color theme="1"/>
        <rFont val="等线"/>
        <family val="3"/>
        <charset val="134"/>
        <scheme val="minor"/>
      </rPr>
      <t>正直、好学、易得赏识</t>
    </r>
    <r>
      <rPr>
        <sz val="12"/>
        <color theme="1"/>
        <rFont val="等线"/>
        <family val="3"/>
        <charset val="134"/>
        <scheme val="minor"/>
      </rPr>
      <t>的特质。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</si>
  <si>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事件发展过程中</t>
    </r>
    <r>
      <rPr>
        <b/>
        <sz val="12"/>
        <color theme="1"/>
        <rFont val="等线"/>
        <family val="3"/>
        <charset val="134"/>
        <scheme val="minor"/>
      </rPr>
      <t>易获得公开的助力、顺利通过考核、得到官方认可、遇到解决问题的关键人物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考试顺利、资格获取、职位晋升、诉讼得直、计划获批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过程光明正大、符合规范、得道多助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</si>
  <si>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与公开助力、科甲功名、正式认可</t>
    </r>
    <r>
      <rPr>
        <sz val="12"/>
        <color theme="1"/>
        <rFont val="等线"/>
        <family val="3"/>
        <charset val="134"/>
        <scheme val="minor"/>
      </rPr>
      <t>相关的事物与系统。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</si>
  <si>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录取通知书、奖状、证书、公章、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官方文件、学位服、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</si>
  <si>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学校、考场、政府机关、法院、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图书馆、颁奖礼堂、</t>
    </r>
    <r>
      <rPr>
        <sz val="12"/>
        <color theme="1"/>
        <rFont val="等线"/>
        <family val="3"/>
        <charset val="134"/>
        <scheme val="minor"/>
      </rPr>
      <t>&lt;/ins&gt;方正、明亮、庄严的形态。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</si>
  <si>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科举/考试制度、职称评定体系、司法系统、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公开选拔机制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</si>
  <si>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机会、认可、资格、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正气、名望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</si>
  <si>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本次解析从“阳贵”本质出发，系统推导出其作为“科甲贵人”、“直接助力者”及“正式机遇”的多重属性，并完整映射至三层结构。</t>
  </si>
  <si>
    <r>
      <t>天乙阳贵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</si>
  <si>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“阳贵”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公开、直接、光明正大的贵人助力</t>
    </r>
    <r>
      <rPr>
        <sz val="12"/>
        <color theme="1"/>
        <rFont val="等线"/>
        <family val="3"/>
        <charset val="134"/>
        <scheme val="minor"/>
      </rPr>
      <t>。与天钺（阴贵）相对，助力多来自</t>
    </r>
    <r>
      <rPr>
        <b/>
        <sz val="12"/>
        <color theme="1"/>
        <rFont val="等线"/>
        <family val="3"/>
        <charset val="134"/>
        <scheme val="minor"/>
      </rPr>
      <t>公开、正式渠道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</si>
  <si>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在命宫、官禄宫时，主一生易得男性长辈、上级公开提携，考试运佳。</t>
  </si>
  <si>
    <r>
      <t>科甲贵人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</si>
  <si>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“科甲之星”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考试、功名、资格认证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化解困难，带来机遇与认可</t>
    </r>
    <r>
      <rPr>
        <sz val="12"/>
        <color theme="1"/>
        <rFont val="等线"/>
        <family val="3"/>
        <charset val="134"/>
        <scheme val="minor"/>
      </rPr>
      <t>。</t>
    </r>
  </si>
  <si>
    <t>在流年或大限遇到，利于升学、考证、职称评定、法律诉讼。</t>
  </si>
  <si>
    <r>
      <t>昼贵与正气</t>
    </r>
    <r>
      <rPr>
        <sz val="12"/>
        <color theme="1"/>
        <rFont val="等线"/>
        <family val="3"/>
        <charset val="134"/>
        <scheme val="minor"/>
      </rPr>
      <t>​</t>
    </r>
  </si>
  <si>
    <r>
      <t>属</t>
    </r>
    <r>
      <rPr>
        <b/>
        <sz val="12"/>
        <color theme="1"/>
        <rFont val="等线"/>
        <family val="3"/>
        <charset val="134"/>
        <scheme val="minor"/>
      </rPr>
      <t>阳火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“昼贵人”</t>
    </r>
    <r>
      <rPr>
        <sz val="12"/>
        <color theme="1"/>
        <rFont val="等线"/>
        <family val="3"/>
        <charset val="134"/>
        <scheme val="minor"/>
      </rPr>
      <t>。助力性质</t>
    </r>
    <r>
      <rPr>
        <b/>
        <sz val="12"/>
        <color theme="1"/>
        <rFont val="等线"/>
        <family val="3"/>
        <charset val="134"/>
        <scheme val="minor"/>
      </rPr>
      <t>光明、积极、充满正气</t>
    </r>
    <r>
      <rPr>
        <sz val="12"/>
        <color theme="1"/>
        <rFont val="等线"/>
        <family val="3"/>
        <charset val="134"/>
        <scheme val="minor"/>
      </rPr>
      <t>。本人也常</t>
    </r>
    <r>
      <rPr>
        <b/>
        <sz val="12"/>
        <color theme="1"/>
        <rFont val="等线"/>
        <family val="3"/>
        <charset val="134"/>
        <scheme val="minor"/>
      </rPr>
      <t>品行端正，有君子之风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</si>
  <si>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在命宫、身宫时，主为人正直，易受信任。</t>
  </si>
  <si>
    <r>
      <t>相貌端正，气宇轩昂，有书卷气或正气，举止大方得体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</si>
  <si>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在命宫、身宫时显著，但不如主星明显。</t>
  </si>
  <si>
    <r>
      <t>优点</t>
    </r>
    <r>
      <rPr>
        <sz val="12"/>
        <color theme="1"/>
        <rFont val="等线"/>
        <family val="3"/>
        <charset val="134"/>
        <scheme val="minor"/>
      </rPr>
      <t>：正直善良，好学上进，有贵人缘，处事光明磊落。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</si>
  <si>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：有时过于理想化，依赖贵人，自身主动性稍弱。</t>
    </r>
  </si>
  <si>
    <r>
      <t>属阳火，一般主</t>
    </r>
    <r>
      <rPr>
        <b/>
        <sz val="12"/>
        <color theme="1"/>
        <rFont val="等线"/>
        <family val="3"/>
        <charset val="134"/>
        <scheme val="minor"/>
      </rPr>
      <t>吉</t>
    </r>
    <r>
      <rPr>
        <sz val="12"/>
        <color theme="1"/>
        <rFont val="等线"/>
        <family val="3"/>
        <charset val="134"/>
        <scheme val="minor"/>
      </rPr>
      <t>，无特定病象。有时可关联</t>
    </r>
    <r>
      <rPr>
        <b/>
        <sz val="12"/>
        <color theme="1"/>
        <rFont val="等线"/>
        <family val="3"/>
        <charset val="134"/>
        <scheme val="minor"/>
      </rPr>
      <t>心脏、小肠</t>
    </r>
    <r>
      <rPr>
        <sz val="12"/>
        <color theme="1"/>
        <rFont val="等线"/>
        <family val="3"/>
        <charset val="134"/>
        <scheme val="minor"/>
      </rPr>
      <t>（属火），但非主要。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</si>
  <si>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正直，有贵人运，易得长辈、上级赏识与帮助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多逢难成祥的机遇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</si>
  <si>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兄弟姐妹中</t>
    </r>
    <r>
      <rPr>
        <b/>
        <sz val="12"/>
        <color theme="1"/>
        <rFont val="等线"/>
        <family val="3"/>
        <charset val="134"/>
        <scheme val="minor"/>
      </rPr>
      <t>有能帮助自己的贵人</t>
    </r>
    <r>
      <rPr>
        <sz val="12"/>
        <color theme="1"/>
        <rFont val="等线"/>
        <family val="3"/>
        <charset val="134"/>
        <scheme val="minor"/>
      </rPr>
      <t>，或易通过同辈得到机会。</t>
    </r>
  </si>
  <si>
    <r>
      <t>配偶是</t>
    </r>
    <r>
      <rPr>
        <b/>
        <sz val="12"/>
        <color theme="1"/>
        <rFont val="等线"/>
        <family val="3"/>
        <charset val="134"/>
        <scheme val="minor"/>
      </rPr>
      <t>自己的贵人</t>
    </r>
    <r>
      <rPr>
        <sz val="12"/>
        <color theme="1"/>
        <rFont val="等线"/>
        <family val="3"/>
        <charset val="134"/>
        <scheme val="minor"/>
      </rPr>
      <t>，或能通过婚姻得到提升。配偶可能</t>
    </r>
    <r>
      <rPr>
        <b/>
        <sz val="12"/>
        <color theme="1"/>
        <rFont val="等线"/>
        <family val="3"/>
        <charset val="134"/>
        <scheme val="minor"/>
      </rPr>
      <t>正直、有社会地位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</si>
  <si>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有出息，能给自己带来荣誉</t>
    </r>
    <r>
      <rPr>
        <sz val="12"/>
        <color theme="1"/>
        <rFont val="等线"/>
        <family val="3"/>
        <charset val="134"/>
        <scheme val="minor"/>
      </rPr>
      <t>，或是自己的小贵人。</t>
    </r>
  </si>
  <si>
    <r>
      <t>求财过程</t>
    </r>
    <r>
      <rPr>
        <b/>
        <sz val="12"/>
        <color theme="1"/>
        <rFont val="等线"/>
        <family val="3"/>
        <charset val="134"/>
        <scheme val="minor"/>
      </rPr>
      <t>易得贵人指点或提供机会</t>
    </r>
    <r>
      <rPr>
        <sz val="12"/>
        <color theme="1"/>
        <rFont val="等线"/>
        <family val="3"/>
        <charset val="134"/>
        <scheme val="minor"/>
      </rPr>
      <t>，财运</t>
    </r>
    <r>
      <rPr>
        <b/>
        <sz val="12"/>
        <color theme="1"/>
        <rFont val="等线"/>
        <family val="3"/>
        <charset val="134"/>
        <scheme val="minor"/>
      </rPr>
      <t>通过正途、正规渠道获得</t>
    </r>
    <r>
      <rPr>
        <sz val="12"/>
        <color theme="1"/>
        <rFont val="等线"/>
        <family val="3"/>
        <charset val="134"/>
        <scheme val="minor"/>
      </rPr>
      <t>。</t>
    </r>
  </si>
  <si>
    <r>
      <t>身体健康，遇病易遇良医</t>
    </r>
    <r>
      <rPr>
        <sz val="12"/>
        <color theme="1"/>
        <rFont val="等线"/>
        <family val="3"/>
        <charset val="134"/>
        <scheme val="minor"/>
      </rPr>
      <t>，或疾病能得到及时、正确的治疗。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</si>
  <si>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发展顺利，易遇贵人相助</t>
    </r>
    <r>
      <rPr>
        <sz val="12"/>
        <color theme="1"/>
        <rFont val="等线"/>
        <family val="3"/>
        <charset val="134"/>
        <scheme val="minor"/>
      </rPr>
      <t>，适合外出寻求发展机遇。</t>
    </r>
  </si>
  <si>
    <r>
      <t>朋友、同事、下属中多贵人</t>
    </r>
    <r>
      <rPr>
        <sz val="12"/>
        <color theme="1"/>
        <rFont val="等线"/>
        <family val="3"/>
        <charset val="134"/>
        <scheme val="minor"/>
      </rPr>
      <t>，能在关键时刻提供帮助。</t>
    </r>
  </si>
  <si>
    <r>
      <t>事业上易得上级提拔，考试运佳，利于升职、考公、获取资格</t>
    </r>
    <r>
      <rPr>
        <sz val="12"/>
        <color theme="1"/>
        <rFont val="等线"/>
        <family val="3"/>
        <charset val="134"/>
        <scheme val="minor"/>
      </rPr>
      <t>。</t>
    </r>
  </si>
  <si>
    <r>
      <t>家宅安宁，易有祖荫</t>
    </r>
    <r>
      <rPr>
        <sz val="12"/>
        <color theme="1"/>
        <rFont val="等线"/>
        <family val="3"/>
        <charset val="134"/>
        <scheme val="minor"/>
      </rPr>
      <t>，或通过房产交易遇到好的中介、买家。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</si>
  <si>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追求正道，心态乐观</t>
    </r>
    <r>
      <rPr>
        <sz val="12"/>
        <color theme="1"/>
        <rFont val="等线"/>
        <family val="3"/>
        <charset val="134"/>
        <scheme val="minor"/>
      </rPr>
      <t>，常有“天助我也”的幸运感。</t>
    </r>
  </si>
  <si>
    <r>
      <t>父母是</t>
    </r>
    <r>
      <rPr>
        <b/>
        <sz val="12"/>
        <color theme="1"/>
        <rFont val="等线"/>
        <family val="3"/>
        <charset val="134"/>
        <scheme val="minor"/>
      </rPr>
      <t>自己的大贵人</t>
    </r>
    <r>
      <rPr>
        <sz val="12"/>
        <color theme="1"/>
        <rFont val="等线"/>
        <family val="3"/>
        <charset val="134"/>
        <scheme val="minor"/>
      </rPr>
      <t>，能得到父母的庇荫与良好教育。</t>
    </r>
  </si>
  <si>
    <t>四、与主星组合象义（关键增强效应）</t>
  </si>
  <si>
    <t>主星​</t>
  </si>
  <si>
    <r>
      <t>天魁+紫微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</si>
  <si>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权威得到公开、正式的认可与支持</t>
    </r>
    <r>
      <rPr>
        <sz val="12"/>
        <color theme="1"/>
        <rFont val="等线"/>
        <family val="3"/>
        <charset val="134"/>
        <scheme val="minor"/>
      </rPr>
      <t>，易居高位，得上级鼎力相助。</t>
    </r>
  </si>
  <si>
    <t>政府高官；企业CEO。</t>
  </si>
  <si>
    <r>
      <t>天魁+天府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</si>
  <si>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稳定的资源与管理得到贵人扶持</t>
    </r>
    <r>
      <rPr>
        <sz val="12"/>
        <color theme="1"/>
        <rFont val="等线"/>
        <family val="3"/>
        <charset val="134"/>
        <scheme val="minor"/>
      </rPr>
      <t>，易掌公家财库或大型机构。</t>
    </r>
  </si>
  <si>
    <t>银行行长；国企高管。</t>
  </si>
  <si>
    <r>
      <t>天魁+天相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</si>
  <si>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协调与辅佐能力得到官方认可</t>
    </r>
    <r>
      <rPr>
        <sz val="12"/>
        <color theme="1"/>
        <rFont val="等线"/>
        <family val="3"/>
        <charset val="134"/>
        <scheme val="minor"/>
      </rPr>
      <t>，易成为重要人物的得力助手或公务员。</t>
    </r>
  </si>
  <si>
    <t>高级秘书；政府官员。</t>
  </si>
  <si>
    <r>
      <t>天魁+太阳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</si>
  <si>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光明正大的事业得到贵人提携</t>
    </r>
    <r>
      <rPr>
        <sz val="12"/>
        <color theme="1"/>
        <rFont val="等线"/>
        <family val="3"/>
        <charset val="134"/>
        <scheme val="minor"/>
      </rPr>
      <t>，名利双收，声名远播。</t>
    </r>
  </si>
  <si>
    <t>公众人物；教育家。</t>
  </si>
  <si>
    <r>
      <t>天魁+武曲</t>
    </r>
    <r>
      <rPr>
        <sz val="12"/>
        <color theme="1"/>
        <rFont val="等线"/>
        <family val="3"/>
        <charset val="134"/>
        <scheme val="minor"/>
      </rPr>
      <t>​</t>
    </r>
  </si>
  <si>
    <r>
      <t>将星遇贵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执行力与专业能力得到赏识</t>
    </r>
    <r>
      <rPr>
        <sz val="12"/>
        <color theme="1"/>
        <rFont val="等线"/>
        <family val="3"/>
        <charset val="134"/>
        <scheme val="minor"/>
      </rPr>
      <t>，易在军警、金融界晋升。</t>
    </r>
  </si>
  <si>
    <t>将军；金融高管。</t>
  </si>
  <si>
    <r>
      <t>天魁+天同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</si>
  <si>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福气之上再加贵人运</t>
    </r>
    <r>
      <rPr>
        <sz val="12"/>
        <color theme="1"/>
        <rFont val="等线"/>
        <family val="3"/>
        <charset val="134"/>
        <scheme val="minor"/>
      </rPr>
      <t>，一生顺遂，常有意外之喜与帮助。</t>
    </r>
  </si>
  <si>
    <t>富贵闲人；受宠的后辈。</t>
  </si>
  <si>
    <r>
      <t>天魁+文昌/文曲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</si>
  <si>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科文星遇贵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极利考试、功名、文化事业</t>
    </r>
    <r>
      <rPr>
        <sz val="12"/>
        <color theme="1"/>
        <rFont val="等线"/>
        <family val="3"/>
        <charset val="134"/>
        <scheme val="minor"/>
      </rPr>
      <t>，才华易被权威机构认可。</t>
    </r>
  </si>
  <si>
    <t>状元；学者；作家。</t>
  </si>
  <si>
    <r>
      <t>天魁+左辅/右弼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</si>
  <si>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贵人星群聚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助力众多，左右逢源</t>
    </r>
    <r>
      <rPr>
        <sz val="12"/>
        <color theme="1"/>
        <rFont val="等线"/>
        <family val="3"/>
        <charset val="134"/>
        <scheme val="minor"/>
      </rPr>
      <t>，人际网络强大，事事易得帮助。</t>
    </r>
  </si>
  <si>
    <t>社团领袖；项目经理。</t>
  </si>
  <si>
    <t>五、关键逻辑</t>
  </si>
  <si>
    <r>
      <t>1. “阳贵”本质</t>
    </r>
    <r>
      <rPr>
        <sz val="11"/>
        <color theme="1"/>
        <rFont val="等线"/>
        <family val="2"/>
        <charset val="134"/>
        <scheme val="minor"/>
      </rPr>
      <t>：天魁为</t>
    </r>
    <r>
      <rPr>
        <b/>
        <sz val="11"/>
        <color theme="1"/>
        <rFont val="等线"/>
        <family val="3"/>
        <charset val="134"/>
        <scheme val="minor"/>
      </rPr>
      <t>天乙阳贵人</t>
    </r>
    <r>
      <rPr>
        <sz val="11"/>
        <color theme="1"/>
        <rFont val="等线"/>
        <family val="2"/>
        <charset val="134"/>
        <scheme val="minor"/>
      </rPr>
      <t>，其助力性质是</t>
    </r>
    <r>
      <rPr>
        <b/>
        <sz val="11"/>
        <color theme="1"/>
        <rFont val="等线"/>
        <family val="3"/>
        <charset val="134"/>
        <scheme val="minor"/>
      </rPr>
      <t>公开、直接、光明、正式</t>
    </r>
    <r>
      <rPr>
        <sz val="11"/>
        <color theme="1"/>
        <rFont val="等线"/>
        <family val="2"/>
        <charset val="134"/>
        <scheme val="minor"/>
      </rPr>
      <t>的。常通过</t>
    </r>
    <r>
      <rPr>
        <b/>
        <sz val="11"/>
        <color theme="1"/>
        <rFont val="等线"/>
        <family val="3"/>
        <charset val="134"/>
        <scheme val="minor"/>
      </rPr>
      <t>制度、考试、上级任命</t>
    </r>
    <r>
      <rPr>
        <sz val="11"/>
        <color theme="1"/>
        <rFont val="等线"/>
        <family val="2"/>
        <charset val="134"/>
        <scheme val="minor"/>
      </rPr>
      <t>等正规渠道获得。</t>
    </r>
  </si>
  <si>
    <r>
      <t>2. 与天钺（阴贵）的核心区别</t>
    </r>
    <r>
      <rPr>
        <sz val="11"/>
        <color theme="1"/>
        <rFont val="等线"/>
        <family val="2"/>
        <charset val="134"/>
        <scheme val="minor"/>
      </rPr>
      <t>：</t>
    </r>
  </si>
  <si>
    <r>
      <t>天魁（阳贵）</t>
    </r>
    <r>
      <rPr>
        <sz val="11"/>
        <color theme="1"/>
        <rFont val="等线"/>
        <family val="2"/>
        <charset val="134"/>
        <scheme val="minor"/>
      </rPr>
      <t>：助力来自</t>
    </r>
    <r>
      <rPr>
        <b/>
        <sz val="11"/>
        <color theme="1"/>
        <rFont val="等线"/>
        <family val="3"/>
        <charset val="134"/>
        <scheme val="minor"/>
      </rPr>
      <t>公开场合、男性、长辈、上级、正式程序</t>
    </r>
    <r>
      <rPr>
        <sz val="11"/>
        <color theme="1"/>
        <rFont val="等线"/>
        <family val="2"/>
        <charset val="134"/>
        <scheme val="minor"/>
      </rPr>
      <t>。如老师推荐、领导提拔、考试通过。</t>
    </r>
  </si>
  <si>
    <r>
      <t>天钺（阴贵）</t>
    </r>
    <r>
      <rPr>
        <sz val="11"/>
        <color theme="1"/>
        <rFont val="等线"/>
        <family val="2"/>
        <charset val="134"/>
        <scheme val="minor"/>
      </rPr>
      <t>：助力来自</t>
    </r>
    <r>
      <rPr>
        <b/>
        <sz val="11"/>
        <color theme="1"/>
        <rFont val="等线"/>
        <family val="3"/>
        <charset val="134"/>
        <scheme val="minor"/>
      </rPr>
      <t>私下、暗中的、女性、平辈或晚辈、非正式关系</t>
    </r>
    <r>
      <rPr>
        <sz val="11"/>
        <color theme="1"/>
        <rFont val="等线"/>
        <family val="2"/>
        <charset val="134"/>
        <scheme val="minor"/>
      </rPr>
      <t>。如私下引荐、异性帮助、朋友关照。</t>
    </r>
  </si>
  <si>
    <r>
      <t>3. “科甲”核心</t>
    </r>
    <r>
      <rPr>
        <sz val="11"/>
        <color theme="1"/>
        <rFont val="等线"/>
        <family val="2"/>
        <charset val="134"/>
        <scheme val="minor"/>
      </rPr>
      <t>：天魁首要象征</t>
    </r>
    <r>
      <rPr>
        <b/>
        <sz val="11"/>
        <color theme="1"/>
        <rFont val="等线"/>
        <family val="3"/>
        <charset val="134"/>
        <scheme val="minor"/>
      </rPr>
      <t>科甲功名</t>
    </r>
    <r>
      <rPr>
        <sz val="11"/>
        <color theme="1"/>
        <rFont val="等线"/>
        <family val="2"/>
        <charset val="134"/>
        <scheme val="minor"/>
      </rPr>
      <t>。在命盘中最直接的作用是</t>
    </r>
    <r>
      <rPr>
        <b/>
        <sz val="11"/>
        <color theme="1"/>
        <rFont val="等线"/>
        <family val="3"/>
        <charset val="134"/>
        <scheme val="minor"/>
      </rPr>
      <t>利于一切考试、资格认证、法律诉讼等需要官方认可的事情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</si>
  <si>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：天魁星所在宫位，指示在人生的哪个领域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最容易获得公开的贵人助力或通过正式渠道获得成功</t>
    </r>
    <r>
      <rPr>
        <sz val="11"/>
        <color theme="1"/>
        <rFont val="等线"/>
        <family val="2"/>
        <charset val="134"/>
        <scheme val="minor"/>
      </rPr>
      <t>。</t>
    </r>
  </si>
  <si>
    <r>
      <t>5. “解厄”功能</t>
    </r>
    <r>
      <rPr>
        <sz val="11"/>
        <color theme="1"/>
        <rFont val="等线"/>
        <family val="2"/>
        <charset val="134"/>
        <scheme val="minor"/>
      </rPr>
      <t>：天魁、天钺均有</t>
    </r>
    <r>
      <rPr>
        <b/>
        <sz val="11"/>
        <color theme="1"/>
        <rFont val="等线"/>
        <family val="3"/>
        <charset val="134"/>
        <scheme val="minor"/>
      </rPr>
      <t>化解困难</t>
    </r>
    <r>
      <rPr>
        <sz val="11"/>
        <color theme="1"/>
        <rFont val="等线"/>
        <family val="2"/>
        <charset val="134"/>
        <scheme val="minor"/>
      </rPr>
      <t>的作用，但天魁的解厄方式更偏向于</t>
    </r>
    <r>
      <rPr>
        <b/>
        <sz val="11"/>
        <color theme="1"/>
        <rFont val="等线"/>
        <family val="3"/>
        <charset val="134"/>
        <scheme val="minor"/>
      </rPr>
      <t>遇到关键人物提供明确方案或获得官方赦免/认可</t>
    </r>
    <r>
      <rPr>
        <sz val="11"/>
        <color theme="1"/>
        <rFont val="等线"/>
        <family val="2"/>
        <charset val="134"/>
        <scheme val="minor"/>
      </rPr>
      <t>。</t>
    </r>
  </si>
  <si>
    <r>
      <t>6. 不喜独守</t>
    </r>
    <r>
      <rPr>
        <sz val="11"/>
        <color theme="1"/>
        <rFont val="等线"/>
        <family val="2"/>
        <charset val="134"/>
        <scheme val="minor"/>
      </rPr>
      <t>：天魁作为辅星，需与主星或其它吉星同度，其“贵人”力量才能有效发挥。单独一颗力量较弱。</t>
    </r>
  </si>
  <si>
    <r>
      <t>7. 不惧煞星</t>
    </r>
    <r>
      <rPr>
        <sz val="11"/>
        <color theme="1"/>
        <rFont val="等线"/>
        <family val="2"/>
        <charset val="134"/>
        <scheme val="minor"/>
      </rPr>
      <t>：天魁的贵气可以</t>
    </r>
    <r>
      <rPr>
        <b/>
        <sz val="11"/>
        <color theme="1"/>
        <rFont val="等线"/>
        <family val="3"/>
        <charset val="134"/>
        <scheme val="minor"/>
      </rPr>
      <t>一定程度上化解煞星的凶性</t>
    </r>
    <r>
      <rPr>
        <sz val="11"/>
        <color theme="1"/>
        <rFont val="等线"/>
        <family val="2"/>
        <charset val="134"/>
        <scheme val="minor"/>
      </rPr>
      <t>，带来转机。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</si>
  <si>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学校、政府机关、法院、图书馆、一切庄严、正气、与教育、法律、官方事务相关的场所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</si>
  <si>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阳贵”及其全部引申象征（科甲、公开、直接、赏识等）出发，系统化推导并呈现了“人/事/物”三个层次的完整解析。天魁星为阳贵，主科甲与公开助力。其核心在于“阳”与“贵”，常在考试、晋升、诉讼等需要正式认可的领域显现作用。其助力光明正大，源自制度与上级。在紫占中，天魁所在即个人“正式机遇”与“光明助力”之所在，是判断科甲功名与贵人运势的关键指标。需与天钺（阴贵）明确区分，二者一明一暗，共同构成完整的“天乙贵人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</si>
  <si>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天钺星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</si>
  <si>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天乙贵人（阴贵）</t>
    </r>
    <r>
      <rPr>
        <sz val="12"/>
        <color theme="1"/>
        <rFont val="等线"/>
        <family val="3"/>
        <charset val="134"/>
        <scheme val="minor"/>
      </rPr>
      <t>、暗贵、夜贵人、</t>
    </r>
    <r>
      <rPr>
        <b/>
        <sz val="12"/>
        <color theme="1"/>
        <rFont val="等线"/>
        <family val="3"/>
        <charset val="134"/>
        <scheme val="minor"/>
      </rPr>
      <t>暗中的助力、间接的帮助、私下关照、异性贵人、平辈或晚辈提携、非正式的机遇、隐秘的扶持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</si>
  <si>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整合自《金刚佛光-紫占课程手册》及相关权威资料，本次彻底构建以“阴贵”为核心，涵盖“暗助、间接、私下、异性”等所有引申义的核心象征网络。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</si>
  <si>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代表能提供</t>
    </r>
    <r>
      <rPr>
        <b/>
        <sz val="12"/>
        <color theme="1"/>
        <rFont val="等线"/>
        <family val="3"/>
        <charset val="134"/>
        <scheme val="minor"/>
      </rPr>
      <t>私下、间接、非正式帮助</t>
    </r>
    <r>
      <rPr>
        <sz val="12"/>
        <color theme="1"/>
        <rFont val="等线"/>
        <family val="3"/>
        <charset val="134"/>
        <scheme val="minor"/>
      </rPr>
      <t>的贵人。通常是</t>
    </r>
    <r>
      <rPr>
        <b/>
        <sz val="12"/>
        <color theme="1"/>
        <rFont val="等线"/>
        <family val="3"/>
        <charset val="134"/>
        <scheme val="minor"/>
      </rPr>
      <t>女性、平辈、晚辈、异性、或通过私人关系、暗中介入的助力者</t>
    </r>
    <r>
      <rPr>
        <sz val="12"/>
        <color theme="1"/>
        <rFont val="等线"/>
        <family val="3"/>
        <charset val="134"/>
        <scheme val="minor"/>
      </rPr>
      <t>。本人也易有</t>
    </r>
    <r>
      <rPr>
        <b/>
        <sz val="12"/>
        <color theme="1"/>
        <rFont val="等线"/>
        <family val="3"/>
        <charset val="134"/>
        <scheme val="minor"/>
      </rPr>
      <t>亲和、细腻、易得异性青睐</t>
    </r>
    <r>
      <rPr>
        <sz val="12"/>
        <color theme="1"/>
        <rFont val="等线"/>
        <family val="3"/>
        <charset val="134"/>
        <scheme val="minor"/>
      </rPr>
      <t>的特质。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</si>
  <si>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事件发展过程中</t>
    </r>
    <r>
      <rPr>
        <b/>
        <sz val="12"/>
        <color theme="1"/>
        <rFont val="等线"/>
        <family val="3"/>
        <charset val="134"/>
        <scheme val="minor"/>
      </rPr>
      <t>易获得暗中的助力、私下协调成功、通过非正式渠道解决问题、得到异性关照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私下调解、暗中斡旋、幕后支持、感情上的帮助、意外的人情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过程不公开、通过关系运作、带有情感色彩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</si>
  <si>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与私下助力、隐秘关系、非正式渠道</t>
    </r>
    <r>
      <rPr>
        <sz val="12"/>
        <color theme="1"/>
        <rFont val="等线"/>
        <family val="3"/>
        <charset val="134"/>
        <scheme val="minor"/>
      </rPr>
      <t>相关的事物与系统。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</si>
  <si>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私章、密信、信物、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幕后通道、私人会所、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</si>
  <si>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卧室、私密会客室、后台、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艺术沙龙、非公开的社交场合、</t>
    </r>
    <r>
      <rPr>
        <sz val="12"/>
        <color theme="1"/>
        <rFont val="等线"/>
        <family val="3"/>
        <charset val="134"/>
        <scheme val="minor"/>
      </rPr>
      <t>&lt;/ins&gt;隐秘、柔和、非正式的形态。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</si>
  <si>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人情关系网络、幕后推荐机制、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非正式的互助社团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</si>
  <si>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人情、暗助、机缘、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暧昧、私下交易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</si>
  <si>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本次解析从“阴贵”本质出发，系统推导出其作为“暗贵”、“异性贵人”及“非正式机遇”的多重属性，并完整映射至三层结构。</t>
  </si>
  <si>
    <r>
      <t>天乙阴贵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</si>
  <si>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“阴贵”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私下、间接、非正式的贵人助力</t>
    </r>
    <r>
      <rPr>
        <sz val="12"/>
        <color theme="1"/>
        <rFont val="等线"/>
        <family val="3"/>
        <charset val="134"/>
        <scheme val="minor"/>
      </rPr>
      <t>。与天魁（阳贵）相对，助力多来自</t>
    </r>
    <r>
      <rPr>
        <b/>
        <sz val="12"/>
        <color theme="1"/>
        <rFont val="等线"/>
        <family val="3"/>
        <charset val="134"/>
        <scheme val="minor"/>
      </rPr>
      <t>私人关系、幕后渠道</t>
    </r>
    <r>
      <rPr>
        <sz val="12"/>
        <color theme="1"/>
        <rFont val="等线"/>
        <family val="3"/>
        <charset val="134"/>
        <scheme val="minor"/>
      </rPr>
      <t>。</t>
    </r>
  </si>
  <si>
    <t>在命宫、迁移宫时，主一生易得女性、异性、朋友私下帮助，遇事常有“柳暗花明”之机。</t>
  </si>
  <si>
    <r>
      <t>暗贵与机缘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</si>
  <si>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“暗贵之星”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暗中的机遇、非正式的提拔、人情关照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在关键时刻通过非公开渠道化解危机</t>
    </r>
    <r>
      <rPr>
        <sz val="12"/>
        <color theme="1"/>
        <rFont val="等线"/>
        <family val="3"/>
        <charset val="134"/>
        <scheme val="minor"/>
      </rPr>
      <t>。</t>
    </r>
  </si>
  <si>
    <t>在流年或大限遇到，利于私下谈判、幕后运作、通过人脉解决问题。</t>
  </si>
  <si>
    <r>
      <t>夜贵与阴柔</t>
    </r>
    <r>
      <rPr>
        <sz val="12"/>
        <color theme="1"/>
        <rFont val="等线"/>
        <family val="3"/>
        <charset val="134"/>
        <scheme val="minor"/>
      </rPr>
      <t>​</t>
    </r>
  </si>
  <si>
    <r>
      <t>属</t>
    </r>
    <r>
      <rPr>
        <b/>
        <sz val="12"/>
        <color theme="1"/>
        <rFont val="等线"/>
        <family val="3"/>
        <charset val="134"/>
        <scheme val="minor"/>
      </rPr>
      <t>阴火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“夜贵人”</t>
    </r>
    <r>
      <rPr>
        <sz val="12"/>
        <color theme="1"/>
        <rFont val="等线"/>
        <family val="3"/>
        <charset val="134"/>
        <scheme val="minor"/>
      </rPr>
      <t>。助力性质</t>
    </r>
    <r>
      <rPr>
        <b/>
        <sz val="12"/>
        <color theme="1"/>
        <rFont val="等线"/>
        <family val="3"/>
        <charset val="134"/>
        <scheme val="minor"/>
      </rPr>
      <t>隐秘、柔和、带情感色彩</t>
    </r>
    <r>
      <rPr>
        <sz val="12"/>
        <color theme="1"/>
        <rFont val="等线"/>
        <family val="3"/>
        <charset val="134"/>
        <scheme val="minor"/>
      </rPr>
      <t>。本人也常</t>
    </r>
    <r>
      <rPr>
        <b/>
        <sz val="12"/>
        <color theme="1"/>
        <rFont val="等线"/>
        <family val="3"/>
        <charset val="134"/>
        <scheme val="minor"/>
      </rPr>
      <t>有异性缘，处事圆融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</si>
  <si>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在命宫、身宫时，主为人亲切，易得异性好感与帮助。</t>
  </si>
  <si>
    <r>
      <t>相貌清秀，气质温和，有亲和力，眼神带情，举止优雅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</si>
  <si>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：心地善良，乐于助人，人缘佳（尤异性缘），处事灵活，懂得变通。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</si>
  <si>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：有时依赖人情，原则性不强，易有感情纠葛或桃色困扰。</t>
    </r>
  </si>
  <si>
    <r>
      <t>属阴火，一般主</t>
    </r>
    <r>
      <rPr>
        <b/>
        <sz val="12"/>
        <color theme="1"/>
        <rFont val="等线"/>
        <family val="3"/>
        <charset val="134"/>
        <scheme val="minor"/>
      </rPr>
      <t>吉</t>
    </r>
    <r>
      <rPr>
        <sz val="12"/>
        <color theme="1"/>
        <rFont val="等线"/>
        <family val="3"/>
        <charset val="134"/>
        <scheme val="minor"/>
      </rPr>
      <t>，无特定病象。有时可关联</t>
    </r>
    <r>
      <rPr>
        <b/>
        <sz val="12"/>
        <color theme="1"/>
        <rFont val="等线"/>
        <family val="3"/>
        <charset val="134"/>
        <scheme val="minor"/>
      </rPr>
      <t>心脏、小肠</t>
    </r>
    <r>
      <rPr>
        <sz val="12"/>
        <color theme="1"/>
        <rFont val="等线"/>
        <family val="3"/>
        <charset val="134"/>
        <scheme val="minor"/>
      </rPr>
      <t>（属火），但非主要。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</si>
  <si>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亲和，有异性缘与暗贵人运</t>
    </r>
    <r>
      <rPr>
        <sz val="12"/>
        <color theme="1"/>
        <rFont val="等线"/>
        <family val="3"/>
        <charset val="134"/>
        <scheme val="minor"/>
      </rPr>
      <t>。一生</t>
    </r>
    <r>
      <rPr>
        <b/>
        <sz val="12"/>
        <color theme="1"/>
        <rFont val="等线"/>
        <family val="3"/>
        <charset val="134"/>
        <scheme val="minor"/>
      </rPr>
      <t>常得他人私下关照，逢凶化吉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</si>
  <si>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兄弟姐妹中</t>
    </r>
    <r>
      <rPr>
        <b/>
        <sz val="12"/>
        <color theme="1"/>
        <rFont val="等线"/>
        <family val="3"/>
        <charset val="134"/>
        <scheme val="minor"/>
      </rPr>
      <t>有能私下帮助自己的贵人</t>
    </r>
    <r>
      <rPr>
        <sz val="12"/>
        <color theme="1"/>
        <rFont val="等线"/>
        <family val="3"/>
        <charset val="134"/>
        <scheme val="minor"/>
      </rPr>
      <t>，或与兄弟姐妹关系亲密，得其暗中支持。</t>
    </r>
  </si>
  <si>
    <r>
      <t>配偶是</t>
    </r>
    <r>
      <rPr>
        <b/>
        <sz val="12"/>
        <color theme="1"/>
        <rFont val="等线"/>
        <family val="3"/>
        <charset val="134"/>
        <scheme val="minor"/>
      </rPr>
      <t>自己的贵人</t>
    </r>
    <r>
      <rPr>
        <sz val="12"/>
        <color theme="1"/>
        <rFont val="等线"/>
        <family val="3"/>
        <charset val="134"/>
        <scheme val="minor"/>
      </rPr>
      <t>，或能通过婚姻得到暗中扶持。配偶可能</t>
    </r>
    <r>
      <rPr>
        <b/>
        <sz val="12"/>
        <color theme="1"/>
        <rFont val="等线"/>
        <family val="3"/>
        <charset val="134"/>
        <scheme val="minor"/>
      </rPr>
      <t>温柔、有异性魅力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婚外桃花助力或困扰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</si>
  <si>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是贴心的小贵人</t>
    </r>
    <r>
      <rPr>
        <sz val="12"/>
        <color theme="1"/>
        <rFont val="等线"/>
        <family val="3"/>
        <charset val="134"/>
        <scheme val="minor"/>
      </rPr>
      <t>，或通过子女得到意外的人际帮助。</t>
    </r>
  </si>
  <si>
    <r>
      <t>求财过程</t>
    </r>
    <r>
      <rPr>
        <b/>
        <sz val="12"/>
        <color theme="1"/>
        <rFont val="等线"/>
        <family val="3"/>
        <charset val="134"/>
        <scheme val="minor"/>
      </rPr>
      <t>易得异性、朋友私下介绍机会</t>
    </r>
    <r>
      <rPr>
        <sz val="12"/>
        <color theme="1"/>
        <rFont val="等线"/>
        <family val="3"/>
        <charset val="134"/>
        <scheme val="minor"/>
      </rPr>
      <t>，或通过人情关系获利。</t>
    </r>
  </si>
  <si>
    <r>
      <t>遇病易遇良医（尤其是异性医生）或得到偏方、特殊照顾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</si>
  <si>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发展易得异性、朋友暗中帮助</t>
    </r>
    <r>
      <rPr>
        <sz val="12"/>
        <color theme="1"/>
        <rFont val="等线"/>
        <family val="3"/>
        <charset val="134"/>
        <scheme val="minor"/>
      </rPr>
      <t>，适合通过人际网络在异地发展。</t>
    </r>
  </si>
  <si>
    <r>
      <t>朋友、同事、下属中多暗贵人</t>
    </r>
    <r>
      <rPr>
        <sz val="12"/>
        <color theme="1"/>
        <rFont val="等线"/>
        <family val="3"/>
        <charset val="134"/>
        <scheme val="minor"/>
      </rPr>
      <t>，能在私下提供关键信息或帮助。</t>
    </r>
  </si>
  <si>
    <r>
      <t>事业上易得私下提携、幕后支持</t>
    </r>
    <r>
      <rPr>
        <sz val="12"/>
        <color theme="1"/>
        <rFont val="等线"/>
        <family val="3"/>
        <charset val="134"/>
        <scheme val="minor"/>
      </rPr>
      <t>，适合从事需要人际、公关、协调类的工作。</t>
    </r>
  </si>
  <si>
    <r>
      <t>家宅和睦，易得家人私下资助</t>
    </r>
    <r>
      <rPr>
        <sz val="12"/>
        <color theme="1"/>
        <rFont val="等线"/>
        <family val="3"/>
        <charset val="134"/>
        <scheme val="minor"/>
      </rPr>
      <t>，或通过非公开渠道获得房产信息、优惠。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</si>
  <si>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重人情，相信缘分</t>
    </r>
    <r>
      <rPr>
        <sz val="12"/>
        <color theme="1"/>
        <rFont val="等线"/>
        <family val="3"/>
        <charset val="134"/>
        <scheme val="minor"/>
      </rPr>
      <t>，内心常有被暗中眷顾的感觉。</t>
    </r>
  </si>
  <si>
    <r>
      <t>父母（尤指母亲）是</t>
    </r>
    <r>
      <rPr>
        <b/>
        <sz val="12"/>
        <color theme="1"/>
        <rFont val="等线"/>
        <family val="3"/>
        <charset val="134"/>
        <scheme val="minor"/>
      </rPr>
      <t>自己的暗贵人</t>
    </r>
    <r>
      <rPr>
        <sz val="12"/>
        <color theme="1"/>
        <rFont val="等线"/>
        <family val="3"/>
        <charset val="134"/>
        <scheme val="minor"/>
      </rPr>
      <t>，能得到父母（尤其是母亲）的私下关爱与支持。</t>
    </r>
  </si>
  <si>
    <r>
      <t>天钺+紫微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</si>
  <si>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权威得到私下、幕后的支持与拥护</t>
    </r>
    <r>
      <rPr>
        <sz val="12"/>
        <color theme="1"/>
        <rFont val="等线"/>
        <family val="3"/>
        <charset val="134"/>
        <scheme val="minor"/>
      </rPr>
      <t>，易通过非公开渠道巩固权力。</t>
    </r>
  </si>
  <si>
    <t>幕后掌权者；有强大背景的领袖。</t>
  </si>
  <si>
    <r>
      <t>天钺+天府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</si>
  <si>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稳定的资源得到私下关照与输送</t>
    </r>
    <r>
      <rPr>
        <sz val="12"/>
        <color theme="1"/>
        <rFont val="等线"/>
        <family val="3"/>
        <charset val="134"/>
        <scheme val="minor"/>
      </rPr>
      <t>，易掌暗财或幕后金库。</t>
    </r>
  </si>
  <si>
    <t>财务总监；家族财富管理者。</t>
  </si>
  <si>
    <r>
      <t>天钺+天相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</si>
  <si>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协调与辅佐能力得到私下认可与推荐</t>
    </r>
    <r>
      <rPr>
        <sz val="12"/>
        <color theme="1"/>
        <rFont val="等线"/>
        <family val="3"/>
        <charset val="134"/>
        <scheme val="minor"/>
      </rPr>
      <t>，易成为领导心腹或幕后参谋。</t>
    </r>
  </si>
  <si>
    <t>机要秘书；公关总监。</t>
  </si>
  <si>
    <r>
      <t>天钺+太阴</t>
    </r>
    <r>
      <rPr>
        <sz val="12"/>
        <color theme="1"/>
        <rFont val="等线"/>
        <family val="3"/>
        <charset val="134"/>
        <scheme val="minor"/>
      </rPr>
      <t>​</t>
    </r>
  </si>
  <si>
    <r>
      <t>月星遇暗贵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阴柔特质与暗助力量叠加</t>
    </r>
    <r>
      <rPr>
        <sz val="12"/>
        <color theme="1"/>
        <rFont val="等线"/>
        <family val="3"/>
        <charset val="134"/>
        <scheme val="minor"/>
      </rPr>
      <t>，异性缘、暗财运极佳，利于艺术、幕后投资。</t>
    </r>
  </si>
  <si>
    <t>艺术家；幕后投资人。</t>
  </si>
  <si>
    <r>
      <t>天钺+天同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</si>
  <si>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福气之上再加暗助</t>
    </r>
    <r>
      <rPr>
        <sz val="12"/>
        <color theme="1"/>
        <rFont val="等线"/>
        <family val="3"/>
        <charset val="134"/>
        <scheme val="minor"/>
      </rPr>
      <t>，一生顺遂，常有意外人情与桃花相助。</t>
    </r>
  </si>
  <si>
    <t>社交名流；受宠的晚辈。</t>
  </si>
  <si>
    <r>
      <t>天钺+廉贞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</si>
  <si>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复杂局面得到私下调解</t>
    </r>
    <r>
      <rPr>
        <sz val="12"/>
        <color theme="1"/>
        <rFont val="等线"/>
        <family val="3"/>
        <charset val="134"/>
        <scheme val="minor"/>
      </rPr>
      <t>，但也易陷入隐秘的感情或利益纠葛。</t>
    </r>
  </si>
  <si>
    <t>危机公关（私下解决）；涉及人际的复杂行业。</t>
  </si>
  <si>
    <r>
      <t>天钺+贪狼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</si>
  <si>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欲望得到暗中满足或助推</t>
    </r>
    <r>
      <rPr>
        <sz val="12"/>
        <color theme="1"/>
        <rFont val="等线"/>
        <family val="3"/>
        <charset val="134"/>
        <scheme val="minor"/>
      </rPr>
      <t>，桃花运、偏财运强，但需防桃色纠纷。</t>
    </r>
  </si>
  <si>
    <t>娱乐业人士；投机者（有人脉消息）。</t>
  </si>
  <si>
    <r>
      <t>天钺+文昌/文曲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</si>
  <si>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科文星遇暗贵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才华易得私下赏识与推荐</t>
    </r>
    <r>
      <rPr>
        <sz val="12"/>
        <color theme="1"/>
        <rFont val="等线"/>
        <family val="3"/>
        <charset val="134"/>
        <scheme val="minor"/>
      </rPr>
      <t>，利于艺术、文学等需要人脉的领域。</t>
    </r>
  </si>
  <si>
    <t>幕后创作者；被引荐的学者。</t>
  </si>
  <si>
    <r>
      <t>天钺+左辅/右弼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</si>
  <si>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贵人星群聚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明暗助力交织，人脉网络四通八达</t>
    </r>
    <r>
      <rPr>
        <sz val="12"/>
        <color theme="1"/>
        <rFont val="等线"/>
        <family val="3"/>
        <charset val="134"/>
        <scheme val="minor"/>
      </rPr>
      <t>，处处得人相助。</t>
    </r>
  </si>
  <si>
    <t>社交中心人物；资源整合者。</t>
  </si>
  <si>
    <r>
      <t>1. “阴贵”本质</t>
    </r>
    <r>
      <rPr>
        <sz val="11"/>
        <color theme="1"/>
        <rFont val="等线"/>
        <family val="2"/>
        <charset val="134"/>
        <scheme val="minor"/>
      </rPr>
      <t>：天钺为</t>
    </r>
    <r>
      <rPr>
        <b/>
        <sz val="11"/>
        <color theme="1"/>
        <rFont val="等线"/>
        <family val="3"/>
        <charset val="134"/>
        <scheme val="minor"/>
      </rPr>
      <t>天乙阴贵人</t>
    </r>
    <r>
      <rPr>
        <sz val="11"/>
        <color theme="1"/>
        <rFont val="等线"/>
        <family val="2"/>
        <charset val="134"/>
        <scheme val="minor"/>
      </rPr>
      <t>，其助力性质是</t>
    </r>
    <r>
      <rPr>
        <b/>
        <sz val="11"/>
        <color theme="1"/>
        <rFont val="等线"/>
        <family val="3"/>
        <charset val="134"/>
        <scheme val="minor"/>
      </rPr>
      <t>私下、间接、隐秘、非正式</t>
    </r>
    <r>
      <rPr>
        <sz val="11"/>
        <color theme="1"/>
        <rFont val="等线"/>
        <family val="2"/>
        <charset val="134"/>
        <scheme val="minor"/>
      </rPr>
      <t>的。常通过</t>
    </r>
    <r>
      <rPr>
        <b/>
        <sz val="11"/>
        <color theme="1"/>
        <rFont val="等线"/>
        <family val="3"/>
        <charset val="134"/>
        <scheme val="minor"/>
      </rPr>
      <t>私人关系、幕后运作、异性关照、人情交换</t>
    </r>
    <r>
      <rPr>
        <sz val="11"/>
        <color theme="1"/>
        <rFont val="等线"/>
        <family val="2"/>
        <charset val="134"/>
        <scheme val="minor"/>
      </rPr>
      <t>等渠道获得。</t>
    </r>
  </si>
  <si>
    <r>
      <t>2. 与天魁（阳贵）的核心区别</t>
    </r>
    <r>
      <rPr>
        <sz val="11"/>
        <color theme="1"/>
        <rFont val="等线"/>
        <family val="2"/>
        <charset val="134"/>
        <scheme val="minor"/>
      </rPr>
      <t>：</t>
    </r>
  </si>
  <si>
    <r>
      <t>天魁（阳贵）</t>
    </r>
    <r>
      <rPr>
        <sz val="11"/>
        <color theme="1"/>
        <rFont val="等线"/>
        <family val="2"/>
        <charset val="134"/>
        <scheme val="minor"/>
      </rPr>
      <t>：助力来自</t>
    </r>
    <r>
      <rPr>
        <b/>
        <sz val="11"/>
        <color theme="1"/>
        <rFont val="等线"/>
        <family val="3"/>
        <charset val="134"/>
        <scheme val="minor"/>
      </rPr>
      <t>公开场合、男性、长辈、上级、正式程序</t>
    </r>
    <r>
      <rPr>
        <sz val="11"/>
        <color theme="1"/>
        <rFont val="等线"/>
        <family val="2"/>
        <charset val="134"/>
        <scheme val="minor"/>
      </rPr>
      <t>。如公开表彰、考试录取。</t>
    </r>
  </si>
  <si>
    <r>
      <t>天钺（阴贵）</t>
    </r>
    <r>
      <rPr>
        <sz val="11"/>
        <color theme="1"/>
        <rFont val="等线"/>
        <family val="2"/>
        <charset val="134"/>
        <scheme val="minor"/>
      </rPr>
      <t>：助力来自</t>
    </r>
    <r>
      <rPr>
        <b/>
        <sz val="11"/>
        <color theme="1"/>
        <rFont val="等线"/>
        <family val="3"/>
        <charset val="134"/>
        <scheme val="minor"/>
      </rPr>
      <t>私下场合、女性、平辈或晚辈、异性、非正式关系</t>
    </r>
    <r>
      <rPr>
        <sz val="11"/>
        <color theme="1"/>
        <rFont val="等线"/>
        <family val="2"/>
        <charset val="134"/>
        <scheme val="minor"/>
      </rPr>
      <t>。如私下推荐、异性帮忙、朋友牵线。</t>
    </r>
  </si>
  <si>
    <r>
      <t>3. “暗助”与“桃花”</t>
    </r>
    <r>
      <rPr>
        <sz val="11"/>
        <color theme="1"/>
        <rFont val="等线"/>
        <family val="2"/>
        <charset val="134"/>
        <scheme val="minor"/>
      </rPr>
      <t>：天钺的助力常带有</t>
    </r>
    <r>
      <rPr>
        <b/>
        <sz val="11"/>
        <color theme="1"/>
        <rFont val="等线"/>
        <family val="3"/>
        <charset val="134"/>
        <scheme val="minor"/>
      </rPr>
      <t>情感色彩或异性缘分</t>
    </r>
    <r>
      <rPr>
        <sz val="11"/>
        <color theme="1"/>
        <rFont val="等线"/>
        <family val="2"/>
        <charset val="134"/>
        <scheme val="minor"/>
      </rPr>
      <t>。因此，它既是贵人星，也带一定的</t>
    </r>
    <r>
      <rPr>
        <b/>
        <sz val="11"/>
        <color theme="1"/>
        <rFont val="等线"/>
        <family val="3"/>
        <charset val="134"/>
        <scheme val="minor"/>
      </rPr>
      <t>桃花性质</t>
    </r>
    <r>
      <rPr>
        <sz val="11"/>
        <color theme="1"/>
        <rFont val="等线"/>
        <family val="2"/>
        <charset val="134"/>
        <scheme val="minor"/>
      </rPr>
      <t>（非主要桃花星，但能增强异性缘及由此带来的帮助）。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</si>
  <si>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：天钺星所在宫位，指示在人生的哪个领域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最容易获得私下的贵人助力或通过非正式渠道、人际关系获得成功</t>
    </r>
    <r>
      <rPr>
        <sz val="11"/>
        <color theme="1"/>
        <rFont val="等线"/>
        <family val="2"/>
        <charset val="134"/>
        <scheme val="minor"/>
      </rPr>
      <t>。</t>
    </r>
  </si>
  <si>
    <r>
      <t>5. “解厄”功能</t>
    </r>
    <r>
      <rPr>
        <sz val="11"/>
        <color theme="1"/>
        <rFont val="等线"/>
        <family val="2"/>
        <charset val="134"/>
        <scheme val="minor"/>
      </rPr>
      <t>：天钺与天魁均有</t>
    </r>
    <r>
      <rPr>
        <b/>
        <sz val="11"/>
        <color theme="1"/>
        <rFont val="等线"/>
        <family val="3"/>
        <charset val="134"/>
        <scheme val="minor"/>
      </rPr>
      <t>化解困难</t>
    </r>
    <r>
      <rPr>
        <sz val="11"/>
        <color theme="1"/>
        <rFont val="等线"/>
        <family val="2"/>
        <charset val="134"/>
        <scheme val="minor"/>
      </rPr>
      <t>的作用，但天钺的解厄方式更偏向于</t>
    </r>
    <r>
      <rPr>
        <b/>
        <sz val="11"/>
        <color theme="1"/>
        <rFont val="等线"/>
        <family val="3"/>
        <charset val="134"/>
        <scheme val="minor"/>
      </rPr>
      <t>遇到关键人物私下调解、获得意外的人情帮助或幕后斡旋成功</t>
    </r>
    <r>
      <rPr>
        <sz val="11"/>
        <color theme="1"/>
        <rFont val="等线"/>
        <family val="2"/>
        <charset val="134"/>
        <scheme val="minor"/>
      </rPr>
      <t>。</t>
    </r>
  </si>
  <si>
    <r>
      <t>6. 不喜独守</t>
    </r>
    <r>
      <rPr>
        <sz val="11"/>
        <color theme="1"/>
        <rFont val="等线"/>
        <family val="2"/>
        <charset val="134"/>
        <scheme val="minor"/>
      </rPr>
      <t>：天钺作为辅星，需与主星或其它吉星同度，其“暗贵”力量才能有效发挥。单独一颗力量较弱。</t>
    </r>
  </si>
  <si>
    <r>
      <t>7. 不惧煞星</t>
    </r>
    <r>
      <rPr>
        <sz val="11"/>
        <color theme="1"/>
        <rFont val="等线"/>
        <family val="2"/>
        <charset val="134"/>
        <scheme val="minor"/>
      </rPr>
      <t>：天钺的贵气可以</t>
    </r>
    <r>
      <rPr>
        <b/>
        <sz val="11"/>
        <color theme="1"/>
        <rFont val="等线"/>
        <family val="3"/>
        <charset val="134"/>
        <scheme val="minor"/>
      </rPr>
      <t>一定程度上化解煞星的凶性</t>
    </r>
    <r>
      <rPr>
        <sz val="11"/>
        <color theme="1"/>
        <rFont val="等线"/>
        <family val="2"/>
        <charset val="134"/>
        <scheme val="minor"/>
      </rPr>
      <t>，带来意外的转机。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</si>
  <si>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卧室、私人会所、艺术场所、后台、一切私密、柔和、与私下交际相关的场所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</si>
  <si>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阴贵”及其全部引申象征（暗助、间接、私下、异性等）出发，系统化推导并呈现了“人/事/物”三个层次的完整解析。天钺星为阴贵，主暗助与异性缘。其核心在于“阴”与“贵”，常在需要私下协调、人情运作、异性帮助的领域显现作用。其助力隐秘而柔和，源自人情与缘分。在紫占中，天钺所在即个人“暗助机缘”与“人情网络”之所在，是判断幕后支持与异性贵人运势的关键指标。需与天魁（阳贵）明确对应，二者一明一暗，共同构成完整的“天乙贵人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</si>
  <si>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禄存星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</si>
  <si>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t>一、禄存定义</t>
  </si>
  <si>
    <r>
      <t>财星</t>
    </r>
    <r>
      <rPr>
        <sz val="12"/>
        <color theme="1"/>
        <rFont val="等线"/>
        <family val="3"/>
        <charset val="134"/>
        <scheme val="minor"/>
      </rPr>
      <t>、禄库、积富、稳定、储存、</t>
    </r>
    <r>
      <rPr>
        <b/>
        <sz val="12"/>
        <color theme="1"/>
        <rFont val="等线"/>
        <family val="3"/>
        <charset val="134"/>
        <scheme val="minor"/>
      </rPr>
      <t>财富、俸禄、储蓄、仓库、稳定、安全、孤星、消化系统、脂肪组织、金融系统、仓储系统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</si>
  <si>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整合自《金刚佛光-紫占课程手册》及相关权威资料，本次彻底构建以“财库”为核心，涵盖“稳定、储存、孤星、消化系统”等所有引申义的核心象征网络。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</si>
  <si>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稳重、保守、务实、善于积累财富、略显孤僻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守财者、储蓄家、仓库管理员、稳定的财富提供者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重视利益与安全，可能因过于保守或重财而显得疏离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</si>
  <si>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稳定、安全、可积累、有保障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财富积累、稳定收入、储蓄计划、资产保值、安全存储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需要规划、储存、避免风险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平稳、持续、可预测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</si>
  <si>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具有储存、稳定、财富、保障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</si>
  <si>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金钱、珠宝、仓库、保险箱、粮仓、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储蓄罐、不动产契约、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</si>
  <si>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银行、金库、仓库、储物间、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粮站、数据中心、</t>
    </r>
    <r>
      <rPr>
        <sz val="12"/>
        <color theme="1"/>
        <rFont val="等线"/>
        <family val="3"/>
        <charset val="134"/>
        <scheme val="minor"/>
      </rPr>
      <t>&lt;/ins&gt;稳固、封闭、安全的形态。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</si>
  <si>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消化系统（脾胃，运化与储存养分）、脂肪组织（能量储存）、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免疫储备系统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</si>
  <si>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金融储蓄体系、仓储物流系统、社会保障基金、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战略储备体系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</si>
  <si>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稳定、安全、积累、资本、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保障、冗余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</si>
  <si>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本次解析从“财库”本质出发，系统推导出其作为“财富储存者”、“稳定保障者”及“孤星”的多重属性，并完整映射至三层结构，特别明确了其与“消化系统”、“脂肪组织”及“金融仓储系统”的关联。</t>
  </si>
  <si>
    <r>
      <t>财库与积富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</si>
  <si>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“财库”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财富的储存与积累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稳定的财源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俸禄、储蓄、固定资产</t>
    </r>
    <r>
      <rPr>
        <sz val="12"/>
        <color theme="1"/>
        <rFont val="等线"/>
        <family val="3"/>
        <charset val="134"/>
        <scheme val="minor"/>
      </rPr>
      <t>。</t>
    </r>
  </si>
  <si>
    <t>在命宫、财帛宫、田宅宫时，主一生钱财稳定，善于储蓄，有固定资产。</t>
  </si>
  <si>
    <r>
      <t>稳定与安全</t>
    </r>
    <r>
      <rPr>
        <sz val="12"/>
        <color theme="1"/>
        <rFont val="等线"/>
        <family val="3"/>
        <charset val="134"/>
        <scheme val="minor"/>
      </rPr>
      <t>​</t>
    </r>
  </si>
  <si>
    <r>
      <t>星性</t>
    </r>
    <r>
      <rPr>
        <b/>
        <sz val="12"/>
        <color theme="1"/>
        <rFont val="等线"/>
        <family val="3"/>
        <charset val="134"/>
        <scheme val="minor"/>
      </rPr>
      <t>稳重、保守</t>
    </r>
    <r>
      <rPr>
        <sz val="12"/>
        <color theme="1"/>
        <rFont val="等线"/>
        <family val="3"/>
        <charset val="134"/>
        <scheme val="minor"/>
      </rPr>
      <t>，带来</t>
    </r>
    <r>
      <rPr>
        <b/>
        <sz val="12"/>
        <color theme="1"/>
        <rFont val="等线"/>
        <family val="3"/>
        <charset val="134"/>
        <scheme val="minor"/>
      </rPr>
      <t>稳定、安全、保障</t>
    </r>
    <r>
      <rPr>
        <sz val="12"/>
        <color theme="1"/>
        <rFont val="等线"/>
        <family val="3"/>
        <charset val="134"/>
        <scheme val="minor"/>
      </rPr>
      <t>的能量。能</t>
    </r>
    <r>
      <rPr>
        <b/>
        <sz val="12"/>
        <color theme="1"/>
        <rFont val="等线"/>
        <family val="3"/>
        <charset val="134"/>
        <scheme val="minor"/>
      </rPr>
      <t>化解风险，提供保护</t>
    </r>
    <r>
      <rPr>
        <sz val="12"/>
        <color theme="1"/>
        <rFont val="等线"/>
        <family val="3"/>
        <charset val="134"/>
        <scheme val="minor"/>
      </rPr>
      <t>。</t>
    </r>
  </si>
  <si>
    <t>在疾厄宫时，主身体健康状况稳定；在官禄宫，主工作稳定。</t>
  </si>
  <si>
    <r>
      <t>孤星特性</t>
    </r>
    <r>
      <rPr>
        <sz val="12"/>
        <color theme="1"/>
        <rFont val="等线"/>
        <family val="3"/>
        <charset val="134"/>
        <scheme val="minor"/>
      </rPr>
      <t>​</t>
    </r>
  </si>
  <si>
    <r>
      <t>禄存为</t>
    </r>
    <r>
      <rPr>
        <b/>
        <sz val="12"/>
        <color theme="1"/>
        <rFont val="等线"/>
        <family val="3"/>
        <charset val="134"/>
        <scheme val="minor"/>
      </rPr>
      <t>“孤星”</t>
    </r>
    <r>
      <rPr>
        <sz val="12"/>
        <color theme="1"/>
        <rFont val="等线"/>
        <family val="3"/>
        <charset val="134"/>
        <scheme val="minor"/>
      </rPr>
      <t>，因其前后必被擎羊、陀罗所夹，形成“羊陀夹禄”之局，故主</t>
    </r>
    <r>
      <rPr>
        <b/>
        <sz val="12"/>
        <color theme="1"/>
        <rFont val="等线"/>
        <family val="3"/>
        <charset val="134"/>
        <scheme val="minor"/>
      </rPr>
      <t>性格孤僻、行动保守、易受环境制约</t>
    </r>
    <r>
      <rPr>
        <sz val="12"/>
        <color theme="1"/>
        <rFont val="等线"/>
        <family val="3"/>
        <charset val="134"/>
        <scheme val="minor"/>
      </rPr>
      <t>。</t>
    </r>
  </si>
  <si>
    <t>在命宫、六亲宫位时，主人际关系较为疏离，或需独立奋斗。</t>
  </si>
  <si>
    <r>
      <t>体型敦实，面容稳重，眼神坚定，举止从容不迫，给人以可靠、安定的感觉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</si>
  <si>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：稳重务实，勤俭节约，善于理财，有责任感，行事稳妥。</t>
    </r>
  </si>
  <si>
    <r>
      <t>缺点</t>
    </r>
    <r>
      <rPr>
        <sz val="12"/>
        <color theme="1"/>
        <rFont val="等线"/>
        <family val="3"/>
        <charset val="134"/>
        <scheme val="minor"/>
      </rPr>
      <t>：保守固执，缺乏冒险精神，略显孤僻，有时过于看重钱财。</t>
    </r>
  </si>
  <si>
    <r>
      <t>属己土，主</t>
    </r>
    <r>
      <rPr>
        <b/>
        <sz val="12"/>
        <color theme="1"/>
        <rFont val="等线"/>
        <family val="3"/>
        <charset val="134"/>
        <scheme val="minor"/>
      </rPr>
      <t>脾胃、消化系统</t>
    </r>
    <r>
      <rPr>
        <sz val="12"/>
        <color theme="1"/>
        <rFont val="等线"/>
        <family val="3"/>
        <charset val="134"/>
        <scheme val="minor"/>
      </rPr>
      <t>。因其“储存”之性，也关联</t>
    </r>
    <r>
      <rPr>
        <b/>
        <sz val="12"/>
        <color theme="1"/>
        <rFont val="等线"/>
        <family val="3"/>
        <charset val="134"/>
        <scheme val="minor"/>
      </rPr>
      <t>脂肪代谢、营养吸收</t>
    </r>
    <r>
      <rPr>
        <sz val="12"/>
        <color theme="1"/>
        <rFont val="等线"/>
        <family val="3"/>
        <charset val="134"/>
        <scheme val="minor"/>
      </rPr>
      <t>。禄存为吉星，一般主</t>
    </r>
    <r>
      <rPr>
        <b/>
        <sz val="12"/>
        <color theme="1"/>
        <rFont val="等线"/>
        <family val="3"/>
        <charset val="134"/>
        <scheme val="minor"/>
      </rPr>
      <t>健康稳定</t>
    </r>
    <r>
      <rPr>
        <sz val="12"/>
        <color theme="1"/>
        <rFont val="等线"/>
        <family val="3"/>
        <charset val="134"/>
        <scheme val="minor"/>
      </rPr>
      <t>，但若受煞星冲破，则需注意</t>
    </r>
    <r>
      <rPr>
        <b/>
        <sz val="12"/>
        <color theme="1"/>
        <rFont val="等线"/>
        <family val="3"/>
        <charset val="134"/>
        <scheme val="minor"/>
      </rPr>
      <t>消化系统疾病、肥胖、肿瘤（异常堆积）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</si>
  <si>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稳重务实，勤俭善积，一生钱财稳定</t>
    </r>
    <r>
      <rPr>
        <sz val="12"/>
        <color theme="1"/>
        <rFont val="等线"/>
        <family val="3"/>
        <charset val="134"/>
        <scheme val="minor"/>
      </rPr>
      <t>。但</t>
    </r>
    <r>
      <rPr>
        <b/>
        <sz val="12"/>
        <color theme="1"/>
        <rFont val="等线"/>
        <family val="3"/>
        <charset val="134"/>
        <scheme val="minor"/>
      </rPr>
      <t>性格保守，易受环境（羊陀）制约，显得孤独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富格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忌独坐或与煞星同度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孤克、吝啬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</si>
  <si>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</t>
    </r>
    <r>
      <rPr>
        <b/>
        <sz val="12"/>
        <color theme="1"/>
        <rFont val="等线"/>
        <family val="3"/>
        <charset val="134"/>
        <scheme val="minor"/>
      </rPr>
      <t>经济条件稳定，能互相提供物质帮助</t>
    </r>
    <r>
      <rPr>
        <sz val="12"/>
        <color theme="1"/>
        <rFont val="等线"/>
        <family val="3"/>
        <charset val="134"/>
        <scheme val="minor"/>
      </rPr>
      <t>，但关系可能因钱财而略显疏远。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</si>
  <si>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经济条件好，稳重顾家</t>
    </r>
    <r>
      <rPr>
        <sz val="12"/>
        <color theme="1"/>
        <rFont val="等线"/>
        <family val="3"/>
        <charset val="134"/>
        <scheme val="minor"/>
      </rPr>
      <t>。婚姻关系</t>
    </r>
    <r>
      <rPr>
        <b/>
        <sz val="12"/>
        <color theme="1"/>
        <rFont val="等线"/>
        <family val="3"/>
        <charset val="134"/>
        <scheme val="minor"/>
      </rPr>
      <t>稳定，但可能缺乏激情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</si>
  <si>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将来经济独立，能给自己提供物质保障</t>
    </r>
    <r>
      <rPr>
        <sz val="12"/>
        <color theme="1"/>
        <rFont val="等线"/>
        <family val="3"/>
        <charset val="134"/>
        <scheme val="minor"/>
      </rPr>
      <t>。</t>
    </r>
  </si>
  <si>
    <r>
      <t>正财稳定，善于储蓄，钱财不易流失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稳定收入的职业，如公务员、会计</t>
    </r>
    <r>
      <rPr>
        <sz val="12"/>
        <color theme="1"/>
        <rFont val="等线"/>
        <family val="3"/>
        <charset val="134"/>
        <scheme val="minor"/>
      </rPr>
      <t>。最喜见禄存，为</t>
    </r>
    <r>
      <rPr>
        <b/>
        <sz val="12"/>
        <color theme="1"/>
        <rFont val="等线"/>
        <family val="3"/>
        <charset val="134"/>
        <scheme val="minor"/>
      </rPr>
      <t>“财帛有库”</t>
    </r>
    <r>
      <rPr>
        <sz val="12"/>
        <color theme="1"/>
        <rFont val="等线"/>
        <family val="3"/>
        <charset val="134"/>
        <scheme val="minor"/>
      </rPr>
      <t>，主富。</t>
    </r>
  </si>
  <si>
    <r>
      <t>身体健康，消化功能好</t>
    </r>
    <r>
      <rPr>
        <sz val="12"/>
        <color theme="1"/>
        <rFont val="等线"/>
        <family val="3"/>
        <charset val="134"/>
        <scheme val="minor"/>
      </rPr>
      <t>。但需注意因“储存”过度导致的</t>
    </r>
    <r>
      <rPr>
        <b/>
        <sz val="12"/>
        <color theme="1"/>
        <rFont val="等线"/>
        <family val="3"/>
        <charset val="134"/>
        <scheme val="minor"/>
      </rPr>
      <t>肥胖、消化不良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</si>
  <si>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发展平稳，财运稳定</t>
    </r>
    <r>
      <rPr>
        <sz val="12"/>
        <color theme="1"/>
        <rFont val="等线"/>
        <family val="3"/>
        <charset val="134"/>
        <scheme val="minor"/>
      </rPr>
      <t>，适合在稳定环境中求财。</t>
    </r>
  </si>
  <si>
    <r>
      <t>朋友、同事经济条件较好，能带来稳定的资源或机会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</si>
  <si>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稳定、有保障的职业</t>
    </r>
    <r>
      <rPr>
        <sz val="12"/>
        <color theme="1"/>
        <rFont val="等线"/>
        <family val="3"/>
        <charset val="134"/>
        <scheme val="minor"/>
      </rPr>
      <t>，如</t>
    </r>
    <r>
      <rPr>
        <b/>
        <sz val="12"/>
        <color theme="1"/>
        <rFont val="等线"/>
        <family val="3"/>
        <charset val="134"/>
        <scheme val="minor"/>
      </rPr>
      <t>金融、仓储、行政管理</t>
    </r>
    <r>
      <rPr>
        <sz val="12"/>
        <color theme="1"/>
        <rFont val="等线"/>
        <family val="3"/>
        <charset val="134"/>
        <scheme val="minor"/>
      </rPr>
      <t>。事业</t>
    </r>
    <r>
      <rPr>
        <b/>
        <sz val="12"/>
        <color theme="1"/>
        <rFont val="等线"/>
        <family val="3"/>
        <charset val="134"/>
        <scheme val="minor"/>
      </rPr>
      <t>平稳发展，不易大起大落</t>
    </r>
    <r>
      <rPr>
        <sz val="12"/>
        <color theme="1"/>
        <rFont val="等线"/>
        <family val="3"/>
        <charset val="134"/>
        <scheme val="minor"/>
      </rPr>
      <t>。</t>
    </r>
  </si>
  <si>
    <r>
      <t>家宅稳定，产业丰厚，利于购置不动产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“田宅有库”</t>
    </r>
    <r>
      <rPr>
        <sz val="12"/>
        <color theme="1"/>
        <rFont val="等线"/>
        <family val="3"/>
        <charset val="134"/>
        <scheme val="minor"/>
      </rPr>
      <t>的格局，主能守成祖业或自置产业。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</si>
  <si>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追求安稳与保障，内心有安全感，重视物质积累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</si>
  <si>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经济条件稳定，能提供良好的物质基础与保障</t>
    </r>
    <r>
      <rPr>
        <sz val="12"/>
        <color theme="1"/>
        <rFont val="等线"/>
        <family val="3"/>
        <charset val="134"/>
        <scheme val="minor"/>
      </rPr>
      <t>。</t>
    </r>
  </si>
  <si>
    <r>
      <t>禄存+紫微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</si>
  <si>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权威与财富结合，地位稳固，财富丰足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“紫微禄存，富不可言”</t>
    </r>
    <r>
      <rPr>
        <sz val="12"/>
        <color theme="1"/>
        <rFont val="等线"/>
        <family val="3"/>
        <charset val="134"/>
        <scheme val="minor"/>
      </rPr>
      <t>之格。</t>
    </r>
  </si>
  <si>
    <t>帝王；大型企业掌舵人。</t>
  </si>
  <si>
    <r>
      <t>禄存+天府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</si>
  <si>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双重财库，财富积累能力极强，稳定而丰厚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“天府禄存，堆金积玉”</t>
    </r>
    <r>
      <rPr>
        <sz val="12"/>
        <color theme="1"/>
        <rFont val="等线"/>
        <family val="3"/>
        <charset val="134"/>
        <scheme val="minor"/>
      </rPr>
      <t>之格。</t>
    </r>
  </si>
  <si>
    <t>银行家；巨富。</t>
  </si>
  <si>
    <r>
      <t>禄存+武曲</t>
    </r>
    <r>
      <rPr>
        <sz val="12"/>
        <color theme="1"/>
        <rFont val="等线"/>
        <family val="3"/>
        <charset val="134"/>
        <scheme val="minor"/>
      </rPr>
      <t>​</t>
    </r>
  </si>
  <si>
    <r>
      <t>财星带禄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行动力与财富结合，执行力生财，财富通过专业能力稳定获得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“武曲禄存，富甲一方”</t>
    </r>
    <r>
      <rPr>
        <sz val="12"/>
        <color theme="1"/>
        <rFont val="等线"/>
        <family val="3"/>
        <charset val="134"/>
        <scheme val="minor"/>
      </rPr>
      <t>之格。</t>
    </r>
  </si>
  <si>
    <t>金融家；技术专家。</t>
  </si>
  <si>
    <r>
      <t>禄存+太阴</t>
    </r>
    <r>
      <rPr>
        <sz val="12"/>
        <color theme="1"/>
        <rFont val="等线"/>
        <family val="3"/>
        <charset val="134"/>
        <scheme val="minor"/>
      </rPr>
      <t>​</t>
    </r>
  </si>
  <si>
    <r>
      <t>财星（田宅主）带禄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理财能力与稳定财富结合，利于房地产、储蓄投资</t>
    </r>
    <r>
      <rPr>
        <sz val="12"/>
        <color theme="1"/>
        <rFont val="等线"/>
        <family val="3"/>
        <charset val="134"/>
        <scheme val="minor"/>
      </rPr>
      <t>，财富细水长流。</t>
    </r>
  </si>
  <si>
    <t>地产商；投资理财专家。</t>
  </si>
  <si>
    <r>
      <t>禄存+天同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</si>
  <si>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福气与稳定财富结合，一生安逸富足，享受现成之福</t>
    </r>
    <r>
      <rPr>
        <sz val="12"/>
        <color theme="1"/>
        <rFont val="等线"/>
        <family val="3"/>
        <charset val="134"/>
        <scheme val="minor"/>
      </rPr>
      <t>。</t>
    </r>
  </si>
  <si>
    <r>
      <t>禄存+天相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</si>
  <si>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印星带禄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稳定收入与良好人际关系结合，适合公职、稳定机构，俸禄丰厚</t>
    </r>
    <r>
      <rPr>
        <sz val="12"/>
        <color theme="1"/>
        <rFont val="等线"/>
        <family val="3"/>
        <charset val="134"/>
        <scheme val="minor"/>
      </rPr>
      <t>。</t>
    </r>
  </si>
  <si>
    <t>高级公务员；企业高管。</t>
  </si>
  <si>
    <r>
      <t>禄存+化禄</t>
    </r>
    <r>
      <rPr>
        <sz val="12"/>
        <color theme="1"/>
        <rFont val="等线"/>
        <family val="3"/>
        <charset val="134"/>
        <scheme val="minor"/>
      </rPr>
      <t>​</t>
    </r>
  </si>
  <si>
    <r>
      <t>双禄交驰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财富倍增，财源广进，稳定且丰厚</t>
    </r>
    <r>
      <rPr>
        <sz val="12"/>
        <color theme="1"/>
        <rFont val="等线"/>
        <family val="3"/>
        <charset val="134"/>
        <scheme val="minor"/>
      </rPr>
      <t>，为极佳的财格。</t>
    </r>
  </si>
  <si>
    <t>大富之人。</t>
  </si>
  <si>
    <r>
      <t>禄存+左辅/右弼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</si>
  <si>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禄存得助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稳定财富得同辈、晚辈支持，财富积累更顺利，化解孤性</t>
    </r>
    <r>
      <rPr>
        <sz val="12"/>
        <color theme="1"/>
        <rFont val="等线"/>
        <family val="3"/>
        <charset val="134"/>
        <scheme val="minor"/>
      </rPr>
      <t>。</t>
    </r>
  </si>
  <si>
    <t>家族企业管理者；团队领袖。</t>
  </si>
  <si>
    <r>
      <t>禄存+文昌/文曲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</si>
  <si>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禄存遇文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稳定财富与文化、才华结合，利于文化、艺术、教育领域稳定获利</t>
    </r>
    <r>
      <rPr>
        <sz val="12"/>
        <color theme="1"/>
        <rFont val="等线"/>
        <family val="3"/>
        <charset val="134"/>
        <scheme val="minor"/>
      </rPr>
      <t>。</t>
    </r>
  </si>
  <si>
    <t>学者；艺术家；教育家。</t>
  </si>
  <si>
    <r>
      <t>1. “财库”与“孤星”本质</t>
    </r>
    <r>
      <rPr>
        <sz val="11"/>
        <color theme="1"/>
        <rFont val="等线"/>
        <family val="2"/>
        <charset val="134"/>
        <scheme val="minor"/>
      </rPr>
      <t>：禄存化气为</t>
    </r>
    <r>
      <rPr>
        <b/>
        <sz val="11"/>
        <color theme="1"/>
        <rFont val="等线"/>
        <family val="3"/>
        <charset val="134"/>
        <scheme val="minor"/>
      </rPr>
      <t>“富”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财富的储存与稳定</t>
    </r>
    <r>
      <rPr>
        <sz val="11"/>
        <color theme="1"/>
        <rFont val="等线"/>
        <family val="2"/>
        <charset val="134"/>
        <scheme val="minor"/>
      </rPr>
      <t>。但其前后必被擎羊、陀罗所夹，形成“羊陀夹禄”之局，故又具</t>
    </r>
    <r>
      <rPr>
        <b/>
        <sz val="11"/>
        <color theme="1"/>
        <rFont val="等线"/>
        <family val="3"/>
        <charset val="134"/>
        <scheme val="minor"/>
      </rPr>
      <t>“孤星”</t>
    </r>
    <r>
      <rPr>
        <sz val="11"/>
        <color theme="1"/>
        <rFont val="等线"/>
        <family val="2"/>
        <charset val="134"/>
        <scheme val="minor"/>
      </rPr>
      <t>特性，主</t>
    </r>
    <r>
      <rPr>
        <b/>
        <sz val="11"/>
        <color theme="1"/>
        <rFont val="等线"/>
        <family val="3"/>
        <charset val="134"/>
        <scheme val="minor"/>
      </rPr>
      <t>保守、受制约、人际关系疏离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在稳定与制约中积累财富</t>
    </r>
    <r>
      <rPr>
        <sz val="11"/>
        <color theme="1"/>
        <rFont val="等线"/>
        <family val="2"/>
        <charset val="134"/>
        <scheme val="minor"/>
      </rPr>
      <t>。</t>
    </r>
  </si>
  <si>
    <r>
      <t>2. “羊陀夹禄”的辩证</t>
    </r>
    <r>
      <rPr>
        <sz val="11"/>
        <color theme="1"/>
        <rFont val="等线"/>
        <family val="2"/>
        <charset val="134"/>
        <scheme val="minor"/>
      </rPr>
      <t>：擎羊、陀罗的夹制，一方面</t>
    </r>
    <r>
      <rPr>
        <b/>
        <sz val="11"/>
        <color theme="1"/>
        <rFont val="等线"/>
        <family val="3"/>
        <charset val="134"/>
        <scheme val="minor"/>
      </rPr>
      <t>限制了禄存的行动力与社交</t>
    </r>
    <r>
      <rPr>
        <sz val="11"/>
        <color theme="1"/>
        <rFont val="等线"/>
        <family val="2"/>
        <charset val="134"/>
        <scheme val="minor"/>
      </rPr>
      <t>，使其保守、孤独；另一方面也</t>
    </r>
    <r>
      <rPr>
        <b/>
        <sz val="11"/>
        <color theme="1"/>
        <rFont val="等线"/>
        <family val="3"/>
        <charset val="134"/>
        <scheme val="minor"/>
      </rPr>
      <t>形成了对财富的保护</t>
    </r>
    <r>
      <rPr>
        <sz val="11"/>
        <color theme="1"/>
        <rFont val="等线"/>
        <family val="2"/>
        <charset val="134"/>
        <scheme val="minor"/>
      </rPr>
      <t>，防止其轻易流失。</t>
    </r>
    <r>
      <rPr>
        <b/>
        <sz val="11"/>
        <color theme="1"/>
        <rFont val="等线"/>
        <family val="3"/>
        <charset val="134"/>
        <scheme val="minor"/>
      </rPr>
      <t>吉则守财，凶则困财</t>
    </r>
    <r>
      <rPr>
        <sz val="11"/>
        <color theme="1"/>
        <rFont val="等线"/>
        <family val="2"/>
        <charset val="134"/>
        <scheme val="minor"/>
      </rPr>
      <t>。</t>
    </r>
  </si>
  <si>
    <r>
      <t>3. “稳定”与“保障”</t>
    </r>
    <r>
      <rPr>
        <sz val="11"/>
        <color theme="1"/>
        <rFont val="等线"/>
        <family val="2"/>
        <charset val="134"/>
        <scheme val="minor"/>
      </rPr>
      <t>：禄存具有</t>
    </r>
    <r>
      <rPr>
        <b/>
        <sz val="11"/>
        <color theme="1"/>
        <rFont val="等线"/>
        <family val="3"/>
        <charset val="134"/>
        <scheme val="minor"/>
      </rPr>
      <t>极强的稳定与保障作用</t>
    </r>
    <r>
      <rPr>
        <sz val="11"/>
        <color theme="1"/>
        <rFont val="等线"/>
        <family val="2"/>
        <charset val="134"/>
        <scheme val="minor"/>
      </rPr>
      <t>。在命盘中，其所在宫位即是人生</t>
    </r>
    <r>
      <rPr>
        <b/>
        <sz val="11"/>
        <color theme="1"/>
        <rFont val="等线"/>
        <family val="3"/>
        <charset val="134"/>
        <scheme val="minor"/>
      </rPr>
      <t>最稳定、最有保障、最易积累资源的领域</t>
    </r>
    <r>
      <rPr>
        <sz val="11"/>
        <color theme="1"/>
        <rFont val="等线"/>
        <family val="2"/>
        <charset val="134"/>
        <scheme val="minor"/>
      </rPr>
      <t>，也是需要</t>
    </r>
    <r>
      <rPr>
        <b/>
        <sz val="11"/>
        <color theme="1"/>
        <rFont val="等线"/>
        <family val="3"/>
        <charset val="134"/>
        <scheme val="minor"/>
      </rPr>
      <t>小心守护、避免风险</t>
    </r>
    <r>
      <rPr>
        <sz val="11"/>
        <color theme="1"/>
        <rFont val="等线"/>
        <family val="2"/>
        <charset val="134"/>
        <scheme val="minor"/>
      </rPr>
      <t>的领域。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</si>
  <si>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：禄存星所在宫位，指示在人生的哪个领域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最容易获得稳定收入、积累财富、得到安全保障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保守性与物质安全感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</si>
  <si>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“土”性的延伸</t>
    </r>
    <r>
      <rPr>
        <sz val="11"/>
        <color theme="1"/>
        <rFont val="等线"/>
        <family val="2"/>
        <charset val="134"/>
        <scheme val="minor"/>
      </rPr>
      <t>：属己土，主</t>
    </r>
    <r>
      <rPr>
        <b/>
        <sz val="11"/>
        <color theme="1"/>
        <rFont val="等线"/>
        <family val="3"/>
        <charset val="134"/>
        <scheme val="minor"/>
      </rPr>
      <t>承载、化育、储存</t>
    </r>
    <r>
      <rPr>
        <sz val="11"/>
        <color theme="1"/>
        <rFont val="等线"/>
        <family val="2"/>
        <charset val="134"/>
        <scheme val="minor"/>
      </rPr>
      <t>。其“储存”性在物质层面对应</t>
    </r>
    <r>
      <rPr>
        <b/>
        <sz val="11"/>
        <color theme="1"/>
        <rFont val="等线"/>
        <family val="3"/>
        <charset val="134"/>
        <scheme val="minor"/>
      </rPr>
      <t>财富积累、资产保值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消化系统（储存养分）、脂肪组织（储存能量）</t>
    </r>
    <r>
      <rPr>
        <sz val="11"/>
        <color theme="1"/>
        <rFont val="等线"/>
        <family val="2"/>
        <charset val="134"/>
        <scheme val="minor"/>
      </rPr>
      <t>；在精神层面体现为</t>
    </r>
    <r>
      <rPr>
        <b/>
        <sz val="11"/>
        <color theme="1"/>
        <rFont val="等线"/>
        <family val="3"/>
        <charset val="134"/>
        <scheme val="minor"/>
      </rPr>
      <t>追求安全与稳定感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</si>
  <si>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四化与夹制</t>
    </r>
    <r>
      <rPr>
        <sz val="11"/>
        <color theme="1"/>
        <rFont val="等线"/>
        <family val="2"/>
        <charset val="134"/>
        <scheme val="minor"/>
      </rPr>
      <t>：禄存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（不化禄、权、科、忌）。其吉凶主要看</t>
    </r>
    <r>
      <rPr>
        <b/>
        <sz val="11"/>
        <color theme="1"/>
        <rFont val="等线"/>
        <family val="3"/>
        <charset val="134"/>
        <scheme val="minor"/>
      </rPr>
      <t>所同度的主星吉凶</t>
    </r>
    <r>
      <rPr>
        <sz val="11"/>
        <color theme="1"/>
        <rFont val="等线"/>
        <family val="2"/>
        <charset val="134"/>
        <scheme val="minor"/>
      </rPr>
      <t>以及</t>
    </r>
    <r>
      <rPr>
        <b/>
        <sz val="11"/>
        <color theme="1"/>
        <rFont val="等线"/>
        <family val="3"/>
        <charset val="134"/>
        <scheme val="minor"/>
      </rPr>
      <t>羊陀夹制的影响</t>
    </r>
    <r>
      <rPr>
        <sz val="11"/>
        <color theme="1"/>
        <rFont val="等线"/>
        <family val="2"/>
        <charset val="134"/>
        <scheme val="minor"/>
      </rPr>
      <t>。与吉星同度则吉力倍增；与煞星同度或受冲，则“库”被破，反主财务纠纷。</t>
    </r>
  </si>
  <si>
    <r>
      <t>7. “解厄”功能</t>
    </r>
    <r>
      <rPr>
        <sz val="11"/>
        <color theme="1"/>
        <rFont val="等线"/>
        <family val="2"/>
        <charset val="134"/>
        <scheme val="minor"/>
      </rPr>
      <t>：禄存为</t>
    </r>
    <r>
      <rPr>
        <b/>
        <sz val="11"/>
        <color theme="1"/>
        <rFont val="等线"/>
        <family val="3"/>
        <charset val="134"/>
        <scheme val="minor"/>
      </rPr>
      <t>八吉星之一</t>
    </r>
    <r>
      <rPr>
        <sz val="11"/>
        <color theme="1"/>
        <rFont val="等线"/>
        <family val="2"/>
        <charset val="134"/>
        <scheme val="minor"/>
      </rPr>
      <t>，具有</t>
    </r>
    <r>
      <rPr>
        <b/>
        <sz val="11"/>
        <color theme="1"/>
        <rFont val="等线"/>
        <family val="3"/>
        <charset val="134"/>
        <scheme val="minor"/>
      </rPr>
      <t>化解凶厄、提供保障</t>
    </r>
    <r>
      <rPr>
        <sz val="11"/>
        <color theme="1"/>
        <rFont val="等线"/>
        <family val="2"/>
        <charset val="134"/>
        <scheme val="minor"/>
      </rPr>
      <t>的作用，尤其能减轻同宫或对宫煞星的危害。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</si>
  <si>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银行、仓库、保险库、粮仓、一切坚固、封闭、用于储存财富与物资的场所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</si>
  <si>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财库/孤星”及其全部引申象征（稳定、储存、保障、消化系统等）出发，系统化推导并呈现了“人/事/物”三个层次的完整解析。禄存星为财库，主稳定与积累。其核心在于“储”与“稳”，常在财务、资产、健康保障领域显现作用。其“羊陀夹禄”的特性使其兼具财富与孤独。最喜与吉星、财星同度，主大富。然其性保守，不喜变动。在紫占中，禄存所在即个人“财富根基”与“安全底线”之所在，其稳固与否关乎人生保障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</si>
  <si>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天马星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</si>
  <si>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驿马</t>
    </r>
    <r>
      <rPr>
        <sz val="12"/>
        <color theme="1"/>
        <rFont val="等线"/>
        <family val="3"/>
        <charset val="134"/>
        <scheme val="minor"/>
      </rPr>
      <t>、动星、奔波、迁移、变动、机会、</t>
    </r>
    <r>
      <rPr>
        <b/>
        <sz val="12"/>
        <color theme="1"/>
        <rFont val="等线"/>
        <family val="3"/>
        <charset val="134"/>
        <scheme val="minor"/>
      </rPr>
      <t>旅行、出差、调动、升迁、贸易、交通、交通工具、神经系统、腿部、机会、变化、不稳定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</si>
  <si>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整合自《金刚佛光-紫占课程手册》及相关权威资料，本次彻底构建以“驿马”为核心，涵盖“奔波、变动、机会、交通”等所有引申义的核心象征网络。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</si>
  <si>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好动、喜变化、不耐静、适应力强、机会主义者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旅行者、司机、外交官、贸易商、经常出差者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喜交游，但关系可能因变动而不稳定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</si>
  <si>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充满变动、需要移动、机会闪现、结果不定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旅行、搬迁、工作调动、升迁、贸易往来、突发机遇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需要行动、适应变化、把握时机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动态、快速、不可预测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</si>
  <si>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具有移动、变化、交通、机会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</si>
  <si>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马、汽车、飞机、船只、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自行车、护照、机票、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</si>
  <si>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道路、车站、机场、码头、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高速公路、交通枢纽、</t>
    </r>
    <r>
      <rPr>
        <sz val="12"/>
        <color theme="1"/>
        <rFont val="等线"/>
        <family val="3"/>
        <charset val="134"/>
        <scheme val="minor"/>
      </rPr>
      <t>&lt;/ins&gt;流动、线性、快速的形态。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</si>
  <si>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神经系统（信息传递与反应）、腿部（运动）、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循环系统（流动类比）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</si>
  <si>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交通运输系统、物流系统、贸易网络、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信息传播系统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</si>
  <si>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速度、机遇、变迁、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不稳定、探索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</si>
  <si>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本次解析从“驿马”本质出发，系统推导出其作为“变动者”、“机会捕捉者”及“交通工具”的多重属性，并完整映射至三层结构，特别明确了其与“神经系统”、“腿部”及“交通贸易系统”的关联。</t>
  </si>
  <si>
    <r>
      <t>驿马与奔波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</si>
  <si>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“驿马”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变动、奔波、迁移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一生多动，喜外出，环境常变</t>
    </r>
    <r>
      <rPr>
        <sz val="12"/>
        <color theme="1"/>
        <rFont val="等线"/>
        <family val="3"/>
        <charset val="134"/>
        <scheme val="minor"/>
      </rPr>
      <t>。</t>
    </r>
  </si>
  <si>
    <t>在命宫、迁移宫时，主一生奔波劳碌，或经常出差、旅行，适合动中求财。</t>
  </si>
  <si>
    <r>
      <t>动星与机会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</si>
  <si>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“动星”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机会、变化、升迁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带来突发机遇，但也带来不稳定</t>
    </r>
    <r>
      <rPr>
        <sz val="12"/>
        <color theme="1"/>
        <rFont val="等线"/>
        <family val="3"/>
        <charset val="134"/>
        <scheme val="minor"/>
      </rPr>
      <t>。</t>
    </r>
  </si>
  <si>
    <t>在流年或大限遇到，主有旅行、调动、升迁、贸易等动态事件发生。</t>
  </si>
  <si>
    <r>
      <t>交通与贸易</t>
    </r>
    <r>
      <rPr>
        <sz val="12"/>
        <color theme="1"/>
        <rFont val="等线"/>
        <family val="3"/>
        <charset val="134"/>
        <scheme val="minor"/>
      </rPr>
      <t>​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</si>
  <si>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交通、运输、贸易、物流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一切与“动”相关行业</t>
    </r>
    <r>
      <rPr>
        <sz val="12"/>
        <color theme="1"/>
        <rFont val="等线"/>
        <family val="3"/>
        <charset val="134"/>
        <scheme val="minor"/>
      </rPr>
      <t>的象征。</t>
    </r>
  </si>
  <si>
    <t>在官禄宫、财帛宫时，适合从事交通、贸易、旅游、物流等行业。</t>
  </si>
  <si>
    <r>
      <t>身材修长或精干，行动敏捷，眼神灵活，给人以机敏、好动的印象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</si>
  <si>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：行动力强，适应变化，善于把握机会，喜交游，眼界开阔。</t>
    </r>
  </si>
  <si>
    <r>
      <t>缺点</t>
    </r>
    <r>
      <rPr>
        <sz val="12"/>
        <color theme="1"/>
        <rFont val="等线"/>
        <family val="3"/>
        <charset val="134"/>
        <scheme val="minor"/>
      </rPr>
      <t>：耐性不足，喜新厌旧，生活不稳定，心思不定，易劳累。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</si>
  <si>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神经系统、腿部、脚部</t>
    </r>
    <r>
      <rPr>
        <sz val="12"/>
        <color theme="1"/>
        <rFont val="等线"/>
        <family val="3"/>
        <charset val="134"/>
        <scheme val="minor"/>
      </rPr>
      <t>。因其“动”性，需注意</t>
    </r>
    <r>
      <rPr>
        <b/>
        <sz val="12"/>
        <color theme="1"/>
        <rFont val="等线"/>
        <family val="3"/>
        <charset val="134"/>
        <scheme val="minor"/>
      </rPr>
      <t>神经衰弱、腿脚受伤、运动损伤、旅途劳顿</t>
    </r>
    <r>
      <rPr>
        <sz val="12"/>
        <color theme="1"/>
        <rFont val="等线"/>
        <family val="3"/>
        <charset val="134"/>
        <scheme val="minor"/>
      </rPr>
      <t>。</t>
    </r>
  </si>
  <si>
    <r>
      <t>为人</t>
    </r>
    <r>
      <rPr>
        <b/>
        <sz val="12"/>
        <color theme="1"/>
        <rFont val="等线"/>
        <family val="3"/>
        <charset val="134"/>
        <scheme val="minor"/>
      </rPr>
      <t>好动不喜静，一生多奔波变动，适合外出发展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“动中得财得贵”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忌与煞星同度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“劳碌奔波，徒劳无功”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</si>
  <si>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</t>
    </r>
    <r>
      <rPr>
        <b/>
        <sz val="12"/>
        <color theme="1"/>
        <rFont val="等线"/>
        <family val="3"/>
        <charset val="134"/>
        <scheme val="minor"/>
      </rPr>
      <t>与自己聚少离多，或各自奔波在外</t>
    </r>
    <r>
      <rPr>
        <sz val="12"/>
        <color theme="1"/>
        <rFont val="等线"/>
        <family val="3"/>
        <charset val="134"/>
        <scheme val="minor"/>
      </rPr>
      <t>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</si>
  <si>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可能是外地人或经常出差</t>
    </r>
    <r>
      <rPr>
        <sz val="12"/>
        <color theme="1"/>
        <rFont val="等线"/>
        <family val="3"/>
        <charset val="134"/>
        <scheme val="minor"/>
      </rPr>
      <t>，夫妻</t>
    </r>
    <r>
      <rPr>
        <b/>
        <sz val="12"/>
        <color theme="1"/>
        <rFont val="等线"/>
        <family val="3"/>
        <charset val="134"/>
        <scheme val="minor"/>
      </rPr>
      <t>聚少离多，或感情关系不稳定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</si>
  <si>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好动，将来可能远行或在外地发展</t>
    </r>
    <r>
      <rPr>
        <sz val="12"/>
        <color theme="1"/>
        <rFont val="等线"/>
        <family val="3"/>
        <charset val="134"/>
        <scheme val="minor"/>
      </rPr>
      <t>。</t>
    </r>
  </si>
  <si>
    <r>
      <t>动中求财</t>
    </r>
    <r>
      <rPr>
        <sz val="12"/>
        <color theme="1"/>
        <rFont val="等线"/>
        <family val="3"/>
        <charset val="134"/>
        <scheme val="minor"/>
      </rPr>
      <t>，适合从事</t>
    </r>
    <r>
      <rPr>
        <b/>
        <sz val="12"/>
        <color theme="1"/>
        <rFont val="等线"/>
        <family val="3"/>
        <charset val="134"/>
        <scheme val="minor"/>
      </rPr>
      <t>贸易、交通、物流、旅游</t>
    </r>
    <r>
      <rPr>
        <sz val="12"/>
        <color theme="1"/>
        <rFont val="等线"/>
        <family val="3"/>
        <charset val="134"/>
        <scheme val="minor"/>
      </rPr>
      <t>等需要移动的行业。钱财</t>
    </r>
    <r>
      <rPr>
        <b/>
        <sz val="12"/>
        <color theme="1"/>
        <rFont val="等线"/>
        <family val="3"/>
        <charset val="134"/>
        <scheme val="minor"/>
      </rPr>
      <t>来得快，去得也快，不稳定</t>
    </r>
    <r>
      <rPr>
        <sz val="12"/>
        <color theme="1"/>
        <rFont val="等线"/>
        <family val="3"/>
        <charset val="134"/>
        <scheme val="minor"/>
      </rPr>
      <t>。</t>
    </r>
  </si>
  <si>
    <r>
      <t>需注意</t>
    </r>
    <r>
      <rPr>
        <b/>
        <sz val="12"/>
        <color theme="1"/>
        <rFont val="等线"/>
        <family val="3"/>
        <charset val="134"/>
        <scheme val="minor"/>
      </rPr>
      <t>神经系统疾病、腿脚伤病、旅途中的健康问题</t>
    </r>
    <r>
      <rPr>
        <sz val="12"/>
        <color theme="1"/>
        <rFont val="等线"/>
        <family val="3"/>
        <charset val="134"/>
        <scheme val="minor"/>
      </rPr>
      <t>。</t>
    </r>
  </si>
  <si>
    <r>
      <t>最适合天马的位置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一生多外出机遇，动中得利，适合异地发展</t>
    </r>
    <r>
      <rPr>
        <sz val="12"/>
        <color theme="1"/>
        <rFont val="等线"/>
        <family val="3"/>
        <charset val="134"/>
        <scheme val="minor"/>
      </rPr>
      <t>。</t>
    </r>
  </si>
  <si>
    <r>
      <t>朋友、同事多奔波在外或从事交通、贸易行业</t>
    </r>
    <r>
      <rPr>
        <sz val="12"/>
        <color theme="1"/>
        <rFont val="等线"/>
        <family val="3"/>
        <charset val="134"/>
        <scheme val="minor"/>
      </rPr>
      <t>，人际关系</t>
    </r>
    <r>
      <rPr>
        <b/>
        <sz val="12"/>
        <color theme="1"/>
        <rFont val="等线"/>
        <family val="3"/>
        <charset val="134"/>
        <scheme val="minor"/>
      </rPr>
      <t>变动大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</si>
  <si>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需要经常出差、调动、外派的工作</t>
    </r>
    <r>
      <rPr>
        <sz val="12"/>
        <color theme="1"/>
        <rFont val="等线"/>
        <family val="3"/>
        <charset val="134"/>
        <scheme val="minor"/>
      </rPr>
      <t>，或</t>
    </r>
    <r>
      <rPr>
        <b/>
        <sz val="12"/>
        <color theme="1"/>
        <rFont val="等线"/>
        <family val="3"/>
        <charset val="134"/>
        <scheme val="minor"/>
      </rPr>
      <t>交通、贸易、旅游、物流行业</t>
    </r>
    <r>
      <rPr>
        <sz val="12"/>
        <color theme="1"/>
        <rFont val="等线"/>
        <family val="3"/>
        <charset val="134"/>
        <scheme val="minor"/>
      </rPr>
      <t>。事业</t>
    </r>
    <r>
      <rPr>
        <b/>
        <sz val="12"/>
        <color theme="1"/>
        <rFont val="等线"/>
        <family val="3"/>
        <charset val="134"/>
        <scheme val="minor"/>
      </rPr>
      <t>变动多，升迁机会也多</t>
    </r>
    <r>
      <rPr>
        <sz val="12"/>
        <color theme="1"/>
        <rFont val="等线"/>
        <family val="3"/>
        <charset val="134"/>
        <scheme val="minor"/>
      </rPr>
      <t>。</t>
    </r>
  </si>
  <si>
    <r>
      <t>家宅不宁，经常搬家，或家近马路、车站等动处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</si>
  <si>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喜变化，爱自由，内心不安于室，喜欢旅行和探索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</si>
  <si>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可能经常外出或从事与交通、贸易相关的职业</t>
    </r>
    <r>
      <rPr>
        <sz val="12"/>
        <color theme="1"/>
        <rFont val="等线"/>
        <family val="3"/>
        <charset val="134"/>
        <scheme val="minor"/>
      </rPr>
      <t>，与父母</t>
    </r>
    <r>
      <rPr>
        <b/>
        <sz val="12"/>
        <color theme="1"/>
        <rFont val="等线"/>
        <family val="3"/>
        <charset val="134"/>
        <scheme val="minor"/>
      </rPr>
      <t>聚少离多</t>
    </r>
    <r>
      <rPr>
        <sz val="12"/>
        <color theme="1"/>
        <rFont val="等线"/>
        <family val="3"/>
        <charset val="134"/>
        <scheme val="minor"/>
      </rPr>
      <t>。</t>
    </r>
  </si>
  <si>
    <r>
      <t>天马+紫微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</si>
  <si>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权威在变动中建立或巩固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远行得权，异地掌权</t>
    </r>
    <r>
      <rPr>
        <sz val="12"/>
        <color theme="1"/>
        <rFont val="等线"/>
        <family val="3"/>
        <charset val="134"/>
        <scheme val="minor"/>
      </rPr>
      <t>。</t>
    </r>
  </si>
  <si>
    <t>驻外大使；跨国公司区域总裁。</t>
  </si>
  <si>
    <r>
      <t>天马+天府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</si>
  <si>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稳定的财富在流动中增长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动中得财，利国际贸易、物流</t>
    </r>
    <r>
      <rPr>
        <sz val="12"/>
        <color theme="1"/>
        <rFont val="等线"/>
        <family val="3"/>
        <charset val="134"/>
        <scheme val="minor"/>
      </rPr>
      <t>。</t>
    </r>
  </si>
  <si>
    <t>国际贸易商；物流公司老板。</t>
  </si>
  <si>
    <r>
      <t>天马+武曲</t>
    </r>
    <r>
      <rPr>
        <sz val="12"/>
        <color theme="1"/>
        <rFont val="等线"/>
        <family val="3"/>
        <charset val="134"/>
        <scheme val="minor"/>
      </rPr>
      <t>​</t>
    </r>
  </si>
  <si>
    <r>
      <t>将星奔驰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执行力在行动中展现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动中求财，利军旅调动、金融出差</t>
    </r>
    <r>
      <rPr>
        <sz val="12"/>
        <color theme="1"/>
        <rFont val="等线"/>
        <family val="3"/>
        <charset val="134"/>
        <scheme val="minor"/>
      </rPr>
      <t>。</t>
    </r>
  </si>
  <si>
    <t>军人（频繁调防）；金融业出差者。</t>
  </si>
  <si>
    <r>
      <t>天马+太阳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</si>
  <si>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名声在远方传播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异地扬名，利外交、跨国事业</t>
    </r>
    <r>
      <rPr>
        <sz val="12"/>
        <color theme="1"/>
        <rFont val="等线"/>
        <family val="3"/>
        <charset val="134"/>
        <scheme val="minor"/>
      </rPr>
      <t>。</t>
    </r>
  </si>
  <si>
    <t>外交官；国际记者。</t>
  </si>
  <si>
    <r>
      <t>天马+天同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</si>
  <si>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在旅行、变动中享受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旅游享福，动中得乐</t>
    </r>
    <r>
      <rPr>
        <sz val="12"/>
        <color theme="1"/>
        <rFont val="等线"/>
        <family val="3"/>
        <charset val="134"/>
        <scheme val="minor"/>
      </rPr>
      <t>。</t>
    </r>
  </si>
  <si>
    <t>旅行家；导游。</t>
  </si>
  <si>
    <r>
      <t>天马+廉贞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</si>
  <si>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在复杂变动中周旋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因公频繁出差（尤涉法律、外交），或变动中遇复杂人际</t>
    </r>
    <r>
      <rPr>
        <sz val="12"/>
        <color theme="1"/>
        <rFont val="等线"/>
        <family val="3"/>
        <charset val="134"/>
        <scheme val="minor"/>
      </rPr>
      <t>。</t>
    </r>
  </si>
  <si>
    <t>外交官（处理复杂事务）；法律顾问（经常出差）。</t>
  </si>
  <si>
    <r>
      <t>天马+太阴</t>
    </r>
    <r>
      <rPr>
        <sz val="12"/>
        <color theme="1"/>
        <rFont val="等线"/>
        <family val="3"/>
        <charset val="134"/>
        <scheme val="minor"/>
      </rPr>
      <t>​</t>
    </r>
  </si>
  <si>
    <r>
      <t>月星奔驰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财富或情感在流动中变化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异地置业、旅游理财，或异地情缘</t>
    </r>
    <r>
      <rPr>
        <sz val="12"/>
        <color theme="1"/>
        <rFont val="等线"/>
        <family val="3"/>
        <charset val="134"/>
        <scheme val="minor"/>
      </rPr>
      <t>。</t>
    </r>
  </si>
  <si>
    <t>海外房产投资者；旅行作家。</t>
  </si>
  <si>
    <r>
      <t>天马+贪狼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</si>
  <si>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欲望与机会在变动中交织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远行遇桃花、投机机会，但需防奔波劳碌一场空</t>
    </r>
    <r>
      <rPr>
        <sz val="12"/>
        <color theme="1"/>
        <rFont val="等线"/>
        <family val="3"/>
        <charset val="134"/>
        <scheme val="minor"/>
      </rPr>
      <t>。</t>
    </r>
  </si>
  <si>
    <t>国际商务人士；旅行中的投机者。</t>
  </si>
  <si>
    <r>
      <t>天马+天相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</si>
  <si>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在变动中协调、辅佐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因公出差（行政、公关类），动中得人缘</t>
    </r>
    <r>
      <rPr>
        <sz val="12"/>
        <color theme="1"/>
        <rFont val="等线"/>
        <family val="3"/>
        <charset val="134"/>
        <scheme val="minor"/>
      </rPr>
      <t>。</t>
    </r>
  </si>
  <si>
    <t>公关经理（经常出差）；行政外派人员。</t>
  </si>
  <si>
    <r>
      <t>天马+天梁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</si>
  <si>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在变动中得到荫庇或从事荫庇他人的移动性工作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异地遇贵人，或从事医疗、慈善外派</t>
    </r>
    <r>
      <rPr>
        <sz val="12"/>
        <color theme="1"/>
        <rFont val="等线"/>
        <family val="3"/>
        <charset val="134"/>
        <scheme val="minor"/>
      </rPr>
      <t>。</t>
    </r>
  </si>
  <si>
    <t>无国界医生；国际援助工作者。</t>
  </si>
  <si>
    <r>
      <t>天马+七杀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</si>
  <si>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在激烈变动中开拓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远行冒险、开拓性工作，变动大且突然</t>
    </r>
    <r>
      <rPr>
        <sz val="12"/>
        <color theme="1"/>
        <rFont val="等线"/>
        <family val="3"/>
        <charset val="134"/>
        <scheme val="minor"/>
      </rPr>
      <t>。</t>
    </r>
  </si>
  <si>
    <t>探险家；开拓市场的业务员。</t>
  </si>
  <si>
    <r>
      <t>天马+破军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</si>
  <si>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耗星奔驰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在破坏性变动中重建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频繁调动、搬迁，或从事拆迁、运输等变动性大的行业</t>
    </r>
    <r>
      <rPr>
        <sz val="12"/>
        <color theme="1"/>
        <rFont val="等线"/>
        <family val="3"/>
        <charset val="134"/>
        <scheme val="minor"/>
      </rPr>
      <t>。</t>
    </r>
  </si>
  <si>
    <t>搬家行业；建筑工程（频繁换工地）。</t>
  </si>
  <si>
    <r>
      <t>天马+禄存</t>
    </r>
    <r>
      <rPr>
        <sz val="12"/>
        <color theme="1"/>
        <rFont val="等线"/>
        <family val="3"/>
        <charset val="134"/>
        <scheme val="minor"/>
      </rPr>
      <t>​</t>
    </r>
  </si>
  <si>
    <r>
      <t>禄马交驰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“禄马交驰，发财远郡”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动中发财，大利国际贸易、外地求财</t>
    </r>
    <r>
      <rPr>
        <sz val="12"/>
        <color theme="1"/>
        <rFont val="等线"/>
        <family val="3"/>
        <charset val="134"/>
        <scheme val="minor"/>
      </rPr>
      <t>。</t>
    </r>
  </si>
  <si>
    <t>国际贸易商；外地投资的商人。</t>
  </si>
  <si>
    <r>
      <t>天马+化禄</t>
    </r>
    <r>
      <rPr>
        <sz val="12"/>
        <color theme="1"/>
        <rFont val="等线"/>
        <family val="3"/>
        <charset val="134"/>
        <scheme val="minor"/>
      </rPr>
      <t>​</t>
    </r>
  </si>
  <si>
    <r>
      <t>禄马同途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机会与财富在变动中结合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动中得大财，机遇连连</t>
    </r>
    <r>
      <rPr>
        <sz val="12"/>
        <color theme="1"/>
        <rFont val="等线"/>
        <family val="3"/>
        <charset val="134"/>
        <scheme val="minor"/>
      </rPr>
      <t>。</t>
    </r>
  </si>
  <si>
    <t>成功的跨国商人；风口行业的开拓者。</t>
  </si>
  <si>
    <r>
      <t>1. “驿马”本质</t>
    </r>
    <r>
      <rPr>
        <sz val="11"/>
        <color theme="1"/>
        <rFont val="等线"/>
        <family val="2"/>
        <charset val="134"/>
        <scheme val="minor"/>
      </rPr>
      <t>：天马化气为</t>
    </r>
    <r>
      <rPr>
        <b/>
        <sz val="11"/>
        <color theme="1"/>
        <rFont val="等线"/>
        <family val="3"/>
        <charset val="134"/>
        <scheme val="minor"/>
      </rPr>
      <t>“动”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变动、迁移、机会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在变动中寻找机遇，在移动中创造价值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最喜与禄存、化禄同度或会照</t>
    </r>
    <r>
      <rPr>
        <sz val="11"/>
        <color theme="1"/>
        <rFont val="等线"/>
        <family val="2"/>
        <charset val="134"/>
        <scheme val="minor"/>
      </rPr>
      <t>，形成</t>
    </r>
    <r>
      <rPr>
        <b/>
        <sz val="11"/>
        <color theme="1"/>
        <rFont val="等线"/>
        <family val="3"/>
        <charset val="134"/>
        <scheme val="minor"/>
      </rPr>
      <t>“禄马交驰”</t>
    </r>
    <r>
      <rPr>
        <sz val="11"/>
        <color theme="1"/>
        <rFont val="等线"/>
        <family val="2"/>
        <charset val="134"/>
        <scheme val="minor"/>
      </rPr>
      <t>或</t>
    </r>
    <r>
      <rPr>
        <b/>
        <sz val="11"/>
        <color theme="1"/>
        <rFont val="等线"/>
        <family val="3"/>
        <charset val="134"/>
        <scheme val="minor"/>
      </rPr>
      <t>“禄马同途”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动中发大财</t>
    </r>
    <r>
      <rPr>
        <sz val="11"/>
        <color theme="1"/>
        <rFont val="等线"/>
        <family val="2"/>
        <charset val="134"/>
        <scheme val="minor"/>
      </rPr>
      <t>。</t>
    </r>
  </si>
  <si>
    <r>
      <t>2. “动”的多重体现</t>
    </r>
    <r>
      <rPr>
        <sz val="11"/>
        <color theme="1"/>
        <rFont val="等线"/>
        <family val="2"/>
        <charset val="134"/>
        <scheme val="minor"/>
      </rPr>
      <t>：其“动”性体现为：</t>
    </r>
    <r>
      <rPr>
        <b/>
        <sz val="11"/>
        <color theme="1"/>
        <rFont val="等线"/>
        <family val="3"/>
        <charset val="134"/>
        <scheme val="minor"/>
      </rPr>
      <t>物理移动</t>
    </r>
    <r>
      <rPr>
        <sz val="11"/>
        <color theme="1"/>
        <rFont val="等线"/>
        <family val="2"/>
        <charset val="134"/>
        <scheme val="minor"/>
      </rPr>
      <t>（旅行、搬迁）、</t>
    </r>
    <r>
      <rPr>
        <b/>
        <sz val="11"/>
        <color theme="1"/>
        <rFont val="等线"/>
        <family val="3"/>
        <charset val="134"/>
        <scheme val="minor"/>
      </rPr>
      <t>职业变动</t>
    </r>
    <r>
      <rPr>
        <sz val="11"/>
        <color theme="1"/>
        <rFont val="等线"/>
        <family val="2"/>
        <charset val="134"/>
        <scheme val="minor"/>
      </rPr>
      <t>（调动、升迁）、</t>
    </r>
    <r>
      <rPr>
        <b/>
        <sz val="11"/>
        <color theme="1"/>
        <rFont val="等线"/>
        <family val="3"/>
        <charset val="134"/>
        <scheme val="minor"/>
      </rPr>
      <t>机会变动</t>
    </r>
    <r>
      <rPr>
        <sz val="11"/>
        <color theme="1"/>
        <rFont val="等线"/>
        <family val="2"/>
        <charset val="134"/>
        <scheme val="minor"/>
      </rPr>
      <t>（突发机遇）、</t>
    </r>
    <r>
      <rPr>
        <b/>
        <sz val="11"/>
        <color theme="1"/>
        <rFont val="等线"/>
        <family val="3"/>
        <charset val="134"/>
        <scheme val="minor"/>
      </rPr>
      <t>思想变动</t>
    </r>
    <r>
      <rPr>
        <sz val="11"/>
        <color theme="1"/>
        <rFont val="等线"/>
        <family val="2"/>
        <charset val="134"/>
        <scheme val="minor"/>
      </rPr>
      <t>（喜新厌旧）。</t>
    </r>
  </si>
  <si>
    <r>
      <t>3. “机会”与“不稳定”</t>
    </r>
    <r>
      <rPr>
        <sz val="11"/>
        <color theme="1"/>
        <rFont val="等线"/>
        <family val="2"/>
        <charset val="134"/>
        <scheme val="minor"/>
      </rPr>
      <t>：天马既是</t>
    </r>
    <r>
      <rPr>
        <b/>
        <sz val="11"/>
        <color theme="1"/>
        <rFont val="等线"/>
        <family val="3"/>
        <charset val="134"/>
        <scheme val="minor"/>
      </rPr>
      <t>机会之星</t>
    </r>
    <r>
      <rPr>
        <sz val="11"/>
        <color theme="1"/>
        <rFont val="等线"/>
        <family val="2"/>
        <charset val="134"/>
        <scheme val="minor"/>
      </rPr>
      <t>（带来突发机遇、升迁），也是</t>
    </r>
    <r>
      <rPr>
        <b/>
        <sz val="11"/>
        <color theme="1"/>
        <rFont val="等线"/>
        <family val="3"/>
        <charset val="134"/>
        <scheme val="minor"/>
      </rPr>
      <t>不稳定之星</t>
    </r>
    <r>
      <rPr>
        <sz val="11"/>
        <color theme="1"/>
        <rFont val="等线"/>
        <family val="2"/>
        <charset val="134"/>
        <scheme val="minor"/>
      </rPr>
      <t>（导致生活动荡、劳碌）。其吉凶取决于</t>
    </r>
    <r>
      <rPr>
        <b/>
        <sz val="11"/>
        <color theme="1"/>
        <rFont val="等线"/>
        <family val="3"/>
        <charset val="134"/>
        <scheme val="minor"/>
      </rPr>
      <t>所同度主星的吉凶</t>
    </r>
    <r>
      <rPr>
        <sz val="11"/>
        <color theme="1"/>
        <rFont val="等线"/>
        <family val="2"/>
        <charset val="134"/>
        <scheme val="minor"/>
      </rPr>
      <t>以及</t>
    </r>
    <r>
      <rPr>
        <b/>
        <sz val="11"/>
        <color theme="1"/>
        <rFont val="等线"/>
        <family val="3"/>
        <charset val="134"/>
        <scheme val="minor"/>
      </rPr>
      <t>是否与禄星配合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</si>
  <si>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：天马星所在宫位，指示在人生的哪个领域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最易发生变动、需要移动、或存在机遇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行动力与适应力</t>
    </r>
    <r>
      <rPr>
        <sz val="11"/>
        <color theme="1"/>
        <rFont val="等线"/>
        <family val="2"/>
        <charset val="134"/>
        <scheme val="minor"/>
      </rPr>
      <t>的核心投射领域。</t>
    </r>
  </si>
  <si>
    <r>
      <t>5. “火”性的延伸</t>
    </r>
    <r>
      <rPr>
        <sz val="11"/>
        <color theme="1"/>
        <rFont val="等线"/>
        <family val="2"/>
        <charset val="134"/>
        <scheme val="minor"/>
      </rPr>
      <t>：天马属</t>
    </r>
    <r>
      <rPr>
        <b/>
        <sz val="11"/>
        <color theme="1"/>
        <rFont val="等线"/>
        <family val="3"/>
        <charset val="134"/>
        <scheme val="minor"/>
      </rPr>
      <t>丙火</t>
    </r>
    <r>
      <rPr>
        <sz val="11"/>
        <color theme="1"/>
        <rFont val="等线"/>
        <family val="2"/>
        <charset val="134"/>
        <scheme val="minor"/>
      </rPr>
      <t>，火性主动、向上。其“动”性在物质层面对应</t>
    </r>
    <r>
      <rPr>
        <b/>
        <sz val="11"/>
        <color theme="1"/>
        <rFont val="等线"/>
        <family val="3"/>
        <charset val="134"/>
        <scheme val="minor"/>
      </rPr>
      <t>交通、运输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神经系统（信息传递快速）、腿部（运动器官）</t>
    </r>
    <r>
      <rPr>
        <sz val="11"/>
        <color theme="1"/>
        <rFont val="等线"/>
        <family val="2"/>
        <charset val="134"/>
        <scheme val="minor"/>
      </rPr>
      <t>；在精神层面体现为</t>
    </r>
    <r>
      <rPr>
        <b/>
        <sz val="11"/>
        <color theme="1"/>
        <rFont val="等线"/>
        <family val="3"/>
        <charset val="134"/>
        <scheme val="minor"/>
      </rPr>
      <t>追求变化与自由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</si>
  <si>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四化与动象</t>
    </r>
    <r>
      <rPr>
        <sz val="11"/>
        <color theme="1"/>
        <rFont val="等线"/>
        <family val="2"/>
        <charset val="134"/>
        <scheme val="minor"/>
      </rPr>
      <t>：天马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。但其动象会被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加强（动中得财），被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冲击（动中有损、旅途不顺）。</t>
    </r>
  </si>
  <si>
    <r>
      <t>7. “解厄”与“劳碌”</t>
    </r>
    <r>
      <rPr>
        <sz val="11"/>
        <color theme="1"/>
        <rFont val="等线"/>
        <family val="2"/>
        <charset val="134"/>
        <scheme val="minor"/>
      </rPr>
      <t>：天马本身非传统吉星或煞星，是</t>
    </r>
    <r>
      <rPr>
        <b/>
        <sz val="11"/>
        <color theme="1"/>
        <rFont val="等线"/>
        <family val="3"/>
        <charset val="134"/>
        <scheme val="minor"/>
      </rPr>
      <t>中性星</t>
    </r>
    <r>
      <rPr>
        <sz val="11"/>
        <color theme="1"/>
        <rFont val="等线"/>
        <family val="2"/>
        <charset val="134"/>
        <scheme val="minor"/>
      </rPr>
      <t>。其作用完全取决于组合。与吉星禄星配合则吉，与煞星配合则主</t>
    </r>
    <r>
      <rPr>
        <b/>
        <sz val="11"/>
        <color theme="1"/>
        <rFont val="等线"/>
        <family val="3"/>
        <charset val="134"/>
        <scheme val="minor"/>
      </rPr>
      <t>劳碌奔波、徒劳无功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</si>
  <si>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道路、车站、机场、码头、一切与交通、运输、移动相关的场所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</si>
  <si>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驿马”及其全部引申象征（变动、奔波、机会、交通等）出发，系统化推导并呈现了“人/事/物”三个层次的完整解析。天马星为动星，主变动与机遇。其核心在于“动”与“机”，常在旅行、调动、贸易等动态领域显现作用。其吉凶关键在于是否“禄马同途”。最喜见禄，主发财远郡；忌见煞，主劳碌风霜。在紫占中，天马所在即个人“变动轨迹”与“机遇窗口”之所在，其动向关乎事业财运的起伏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</si>
  <si>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擎羊星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</si>
  <si>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刑星</t>
    </r>
    <r>
      <rPr>
        <sz val="12"/>
        <color theme="1"/>
        <rFont val="等线"/>
        <family val="3"/>
        <charset val="134"/>
        <scheme val="minor"/>
      </rPr>
      <t>、阳刃、明争、伤害、竞争、冲动、</t>
    </r>
    <r>
      <rPr>
        <b/>
        <sz val="12"/>
        <color theme="1"/>
        <rFont val="等线"/>
        <family val="3"/>
        <charset val="134"/>
        <scheme val="minor"/>
      </rPr>
      <t>刀剑、手术、争斗、伤害、竞争、开拓、勇气、意外、金属利器、外科、军警、激烈冲突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</si>
  <si>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整合自《金刚佛光-紫占课程手册》及相关权威资料，本次彻底构建以“刑伤”为核心，涵盖“竞争、冲动、刀剑、手术”等所有引申义的核心象征网络。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</si>
  <si>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刚烈、急躁、好胜、冲动、具攻击性、有勇气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战士、外科医生、竞争者、开拓者、易惹是非者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易发生正面冲突、言辞尖锐、竞争意识强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</si>
  <si>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激烈、充满竞争、易有伤害、突发、需要决断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争斗、伤害、手术、竞争、意外、开拓性行动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需要勇气、面临对抗、结果直接且可能带伤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快速、激烈、具破坏性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</si>
  <si>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具有锋利、伤害、竞争、金属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</si>
  <si>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刀、剑、手术刀、针、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金属工具、武器、尖锐物、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</si>
  <si>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战场、手术室、竞技场、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警察局、钢铁厂、</t>
    </r>
    <r>
      <rPr>
        <sz val="12"/>
        <color theme="1"/>
        <rFont val="等线"/>
        <family val="3"/>
        <charset val="134"/>
        <scheme val="minor"/>
      </rPr>
      <t>&lt;/ins&gt;尖锐、棱角分明、充满对抗性的形态。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</si>
  <si>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骨骼、牙齿（坚硬部分）、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体表（易受外伤的部位）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</si>
  <si>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军事系统、司法系统（刑罚部分）、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竞技体育体系、外科医疗系统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</si>
  <si>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伤害、竞争、勇气、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决断、风险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</si>
  <si>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本次解析从“刑伤”本质出发，系统推导出其作为“伤害施加者”、“竞争者”及“开拓工具”的多重属性，并完整映射至三层结构，特别明确了其与“骨骼”、“金属利器”及“军事司法系统”的关联。</t>
  </si>
  <si>
    <r>
      <t>刑伤与阳刃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</si>
  <si>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“刑”与“刃”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伤害、争斗、手术、竞争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六煞星之首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明面的伤害与冲突</t>
    </r>
    <r>
      <rPr>
        <sz val="12"/>
        <color theme="1"/>
        <rFont val="等线"/>
        <family val="3"/>
        <charset val="134"/>
        <scheme val="minor"/>
      </rPr>
      <t>。</t>
    </r>
  </si>
  <si>
    <t>在命宫、疾厄宫时，主个性急躁易怒，一生多争斗、意外伤害或手术。</t>
  </si>
  <si>
    <r>
      <t>竞争与冲动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</si>
  <si>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“竞争之星”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强烈的竞争意识、开拓精神、行动力与冲动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激发斗志，但也带来风险</t>
    </r>
    <r>
      <rPr>
        <sz val="12"/>
        <color theme="1"/>
        <rFont val="等线"/>
        <family val="3"/>
        <charset val="134"/>
        <scheme val="minor"/>
      </rPr>
      <t>。</t>
    </r>
  </si>
  <si>
    <t>在官禄宫、财帛宫时，主事业上勇于竞争、开拓，但易与人发生冲突。</t>
  </si>
  <si>
    <r>
      <t>金属与锋利</t>
    </r>
    <r>
      <rPr>
        <sz val="12"/>
        <color theme="1"/>
        <rFont val="等线"/>
        <family val="3"/>
        <charset val="134"/>
        <scheme val="minor"/>
      </rPr>
      <t>​</t>
    </r>
  </si>
  <si>
    <r>
      <t>属</t>
    </r>
    <r>
      <rPr>
        <b/>
        <sz val="12"/>
        <color theme="1"/>
        <rFont val="等线"/>
        <family val="3"/>
        <charset val="134"/>
        <scheme val="minor"/>
      </rPr>
      <t>阳金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一切金属利器、尖锐之物</t>
    </r>
    <r>
      <rPr>
        <sz val="12"/>
        <color theme="1"/>
        <rFont val="等线"/>
        <family val="3"/>
        <charset val="134"/>
        <scheme val="minor"/>
      </rPr>
      <t>。引申为</t>
    </r>
    <r>
      <rPr>
        <b/>
        <sz val="12"/>
        <color theme="1"/>
        <rFont val="等线"/>
        <family val="3"/>
        <charset val="134"/>
        <scheme val="minor"/>
      </rPr>
      <t>外科手术、军警器械、工业切割</t>
    </r>
    <r>
      <rPr>
        <sz val="12"/>
        <color theme="1"/>
        <rFont val="等线"/>
        <family val="3"/>
        <charset val="134"/>
        <scheme val="minor"/>
      </rPr>
      <t>。</t>
    </r>
  </si>
  <si>
    <t>在田宅宫时，家中可能有利器；在官禄宫，可能从事外科、军警、金属加工行业。</t>
  </si>
  <si>
    <r>
      <t>相貌带威，眼神锐利，轮廓分明，可能带伤疤，举止果断有力，给人以不好惹的印象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</si>
  <si>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：勇敢果断，执行力强，不畏竞争，有开拓精神，反应快。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</si>
  <si>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：急躁冲动，好勇斗狠，言语尖锐，易得罪人，不计后果。</t>
    </r>
  </si>
  <si>
    <r>
      <t>属阳金，主</t>
    </r>
    <r>
      <rPr>
        <b/>
        <sz val="12"/>
        <color theme="1"/>
        <rFont val="等线"/>
        <family val="3"/>
        <charset val="134"/>
        <scheme val="minor"/>
      </rPr>
      <t>骨骼、牙齿、体表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外伤、骨折、手术、牙痛、皮肤割伤</t>
    </r>
    <r>
      <rPr>
        <sz val="12"/>
        <color theme="1"/>
        <rFont val="等线"/>
        <family val="3"/>
        <charset val="134"/>
        <scheme val="minor"/>
      </rPr>
      <t>等。</t>
    </r>
  </si>
  <si>
    <t>在疾厄宫时显现，尤其与火星、铃星同度时更验。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</si>
  <si>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刚烈急躁，好胜心强，一生多竞争与是非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喜与吉星或有力主星同度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“以煞为用”</t>
    </r>
    <r>
      <rPr>
        <sz val="12"/>
        <color theme="1"/>
        <rFont val="等线"/>
        <family val="3"/>
        <charset val="134"/>
        <scheme val="minor"/>
      </rPr>
      <t>，成</t>
    </r>
    <r>
      <rPr>
        <b/>
        <sz val="12"/>
        <color theme="1"/>
        <rFont val="等线"/>
        <family val="3"/>
        <charset val="134"/>
        <scheme val="minor"/>
      </rPr>
      <t>开拓型人才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忌独坐或与凶星同度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“刑伤孤克”</t>
    </r>
    <r>
      <rPr>
        <sz val="12"/>
        <color theme="1"/>
        <rFont val="等线"/>
        <family val="3"/>
        <charset val="134"/>
        <scheme val="minor"/>
      </rPr>
      <t>，一生多灾厄。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</si>
  <si>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易有争执、竞争关系</t>
    </r>
    <r>
      <rPr>
        <sz val="12"/>
        <color theme="1"/>
        <rFont val="等线"/>
        <family val="3"/>
        <charset val="134"/>
        <scheme val="minor"/>
      </rPr>
      <t>，或兄弟姐妹中有性格刚烈者。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</si>
  <si>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易有争吵、冲突</t>
    </r>
    <r>
      <rPr>
        <sz val="12"/>
        <color theme="1"/>
        <rFont val="等线"/>
        <family val="3"/>
        <charset val="134"/>
        <scheme val="minor"/>
      </rPr>
      <t>，配偶可能性格刚强。恋爱或婚姻中</t>
    </r>
    <r>
      <rPr>
        <b/>
        <sz val="12"/>
        <color theme="1"/>
        <rFont val="等线"/>
        <family val="3"/>
        <charset val="134"/>
        <scheme val="minor"/>
      </rPr>
      <t>易有竞争（如情敌）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</si>
  <si>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个性倔强好动，难管教</t>
    </r>
    <r>
      <rPr>
        <sz val="12"/>
        <color theme="1"/>
        <rFont val="等线"/>
        <family val="3"/>
        <charset val="134"/>
        <scheme val="minor"/>
      </rPr>
      <t>，或生产时</t>
    </r>
    <r>
      <rPr>
        <b/>
        <sz val="12"/>
        <color theme="1"/>
        <rFont val="等线"/>
        <family val="3"/>
        <charset val="134"/>
        <scheme val="minor"/>
      </rPr>
      <t>易有手术（如剖腹产）</t>
    </r>
    <r>
      <rPr>
        <sz val="12"/>
        <color theme="1"/>
        <rFont val="等线"/>
        <family val="3"/>
        <charset val="134"/>
        <scheme val="minor"/>
      </rPr>
      <t>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</si>
  <si>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积极但冒险</t>
    </r>
    <r>
      <rPr>
        <sz val="12"/>
        <color theme="1"/>
        <rFont val="等线"/>
        <family val="3"/>
        <charset val="134"/>
        <scheme val="minor"/>
      </rPr>
      <t>，易</t>
    </r>
    <r>
      <rPr>
        <b/>
        <sz val="12"/>
        <color theme="1"/>
        <rFont val="等线"/>
        <family val="3"/>
        <charset val="134"/>
        <scheme val="minor"/>
      </rPr>
      <t>因财与人争斗</t>
    </r>
    <r>
      <rPr>
        <sz val="12"/>
        <color theme="1"/>
        <rFont val="等线"/>
        <family val="3"/>
        <charset val="134"/>
        <scheme val="minor"/>
      </rPr>
      <t>，或钱财</t>
    </r>
    <r>
      <rPr>
        <b/>
        <sz val="12"/>
        <color theme="1"/>
        <rFont val="等线"/>
        <family val="3"/>
        <charset val="134"/>
        <scheme val="minor"/>
      </rPr>
      <t>来得快但去得也快，易有破耗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竞争性行业或外科医生等以“刀”求财的职业</t>
    </r>
    <r>
      <rPr>
        <sz val="12"/>
        <color theme="1"/>
        <rFont val="等线"/>
        <family val="3"/>
        <charset val="134"/>
        <scheme val="minor"/>
      </rPr>
      <t>。</t>
    </r>
  </si>
  <si>
    <r>
      <t>易有外伤、手术、骨折、牙病</t>
    </r>
    <r>
      <rPr>
        <sz val="12"/>
        <color theme="1"/>
        <rFont val="等线"/>
        <family val="3"/>
        <charset val="134"/>
        <scheme val="minor"/>
      </rPr>
      <t>。需特别注意</t>
    </r>
    <r>
      <rPr>
        <b/>
        <sz val="12"/>
        <color theme="1"/>
        <rFont val="等线"/>
        <family val="3"/>
        <charset val="134"/>
        <scheme val="minor"/>
      </rPr>
      <t>金属利器所伤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</si>
  <si>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易惹是非、发生冲突或意外</t>
    </r>
    <r>
      <rPr>
        <sz val="12"/>
        <color theme="1"/>
        <rFont val="等线"/>
        <family val="3"/>
        <charset val="134"/>
        <scheme val="minor"/>
      </rPr>
      <t>，出门需谨慎。但也可能</t>
    </r>
    <r>
      <rPr>
        <b/>
        <sz val="12"/>
        <color theme="1"/>
        <rFont val="等线"/>
        <family val="3"/>
        <charset val="134"/>
        <scheme val="minor"/>
      </rPr>
      <t>在竞争激烈的环境中开拓事业</t>
    </r>
    <r>
      <rPr>
        <sz val="12"/>
        <color theme="1"/>
        <rFont val="等线"/>
        <family val="3"/>
        <charset val="134"/>
        <scheme val="minor"/>
      </rPr>
      <t>。</t>
    </r>
  </si>
  <si>
    <r>
      <t>朋友、同事、下属中多竞争性强或脾气暴躁之人</t>
    </r>
    <r>
      <rPr>
        <sz val="12"/>
        <color theme="1"/>
        <rFont val="等线"/>
        <family val="3"/>
        <charset val="134"/>
        <scheme val="minor"/>
      </rPr>
      <t>，易与朋友发生冲突。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</si>
  <si>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军警、外科医生、律师、竞技体育、机械、五金等需要勇气、竞争或使用利器的行业</t>
    </r>
    <r>
      <rPr>
        <sz val="12"/>
        <color theme="1"/>
        <rFont val="等线"/>
        <family val="3"/>
        <charset val="134"/>
        <scheme val="minor"/>
      </rPr>
      <t>。事业</t>
    </r>
    <r>
      <rPr>
        <b/>
        <sz val="12"/>
        <color theme="1"/>
        <rFont val="等线"/>
        <family val="3"/>
        <charset val="134"/>
        <scheme val="minor"/>
      </rPr>
      <t>充满竞争与挑战</t>
    </r>
    <r>
      <rPr>
        <sz val="12"/>
        <color theme="1"/>
        <rFont val="等线"/>
        <family val="3"/>
        <charset val="134"/>
        <scheme val="minor"/>
      </rPr>
      <t>。</t>
    </r>
  </si>
  <si>
    <r>
      <t>家宅不宁，易有争吵</t>
    </r>
    <r>
      <rPr>
        <sz val="12"/>
        <color theme="1"/>
        <rFont val="等线"/>
        <family val="3"/>
        <charset val="134"/>
        <scheme val="minor"/>
      </rPr>
      <t>；家中</t>
    </r>
    <r>
      <rPr>
        <b/>
        <sz val="12"/>
        <color theme="1"/>
        <rFont val="等线"/>
        <family val="3"/>
        <charset val="134"/>
        <scheme val="minor"/>
      </rPr>
      <t>易有金属利器或尖锐物品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房产易有产权纠纷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</si>
  <si>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紧张、好斗，内心常有竞争与冲突感</t>
    </r>
    <r>
      <rPr>
        <sz val="12"/>
        <color theme="1"/>
        <rFont val="等线"/>
        <family val="3"/>
        <charset val="134"/>
        <scheme val="minor"/>
      </rPr>
      <t>，思虑过多。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</si>
  <si>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管教严厉，可能性格刚强</t>
    </r>
    <r>
      <rPr>
        <sz val="12"/>
        <color theme="1"/>
        <rFont val="等线"/>
        <family val="3"/>
        <charset val="134"/>
        <scheme val="minor"/>
      </rPr>
      <t>，与父母</t>
    </r>
    <r>
      <rPr>
        <b/>
        <sz val="12"/>
        <color theme="1"/>
        <rFont val="等线"/>
        <family val="3"/>
        <charset val="134"/>
        <scheme val="minor"/>
      </rPr>
      <t>易有冲突</t>
    </r>
    <r>
      <rPr>
        <sz val="12"/>
        <color theme="1"/>
        <rFont val="等线"/>
        <family val="3"/>
        <charset val="134"/>
        <scheme val="minor"/>
      </rPr>
      <t>。</t>
    </r>
  </si>
  <si>
    <r>
      <t>擎羊+紫微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</si>
  <si>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权威与锋芒结合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权力欲强，行事果决，但易专权霸道，树敌</t>
    </r>
    <r>
      <rPr>
        <sz val="12"/>
        <color theme="1"/>
        <rFont val="等线"/>
        <family val="3"/>
        <charset val="134"/>
        <scheme val="minor"/>
      </rPr>
      <t>。</t>
    </r>
  </si>
  <si>
    <t>强势的领导者；铁腕人物。</t>
  </si>
  <si>
    <r>
      <t>擎羊+七杀</t>
    </r>
    <r>
      <rPr>
        <sz val="12"/>
        <color theme="1"/>
        <rFont val="等线"/>
        <family val="3"/>
        <charset val="134"/>
        <scheme val="minor"/>
      </rPr>
      <t>​</t>
    </r>
  </si>
  <si>
    <r>
      <t>双将星带刃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杀气与伤害力叠加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勇猛过人，好斗，一生多险阻与血光</t>
    </r>
    <r>
      <rPr>
        <sz val="12"/>
        <color theme="1"/>
        <rFont val="等线"/>
        <family val="3"/>
        <charset val="134"/>
        <scheme val="minor"/>
      </rPr>
      <t>。</t>
    </r>
  </si>
  <si>
    <t>军人；特警；高风险行业从业者。</t>
  </si>
  <si>
    <r>
      <t>擎羊+破军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</si>
  <si>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破坏力与伤害力结合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变动剧烈且带伤害，破旧立新过程中易有损伤</t>
    </r>
    <r>
      <rPr>
        <sz val="12"/>
        <color theme="1"/>
        <rFont val="等线"/>
        <family val="3"/>
        <charset val="134"/>
        <scheme val="minor"/>
      </rPr>
      <t>。</t>
    </r>
  </si>
  <si>
    <t>改革者；拆迁业；冒险家。</t>
  </si>
  <si>
    <r>
      <t>擎羊+贪狼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</si>
  <si>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欲望与冲动结合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为达目的不择手段，易因酒色财气惹祸</t>
    </r>
    <r>
      <rPr>
        <sz val="12"/>
        <color theme="1"/>
        <rFont val="等线"/>
        <family val="3"/>
        <charset val="134"/>
        <scheme val="minor"/>
      </rPr>
      <t>。</t>
    </r>
  </si>
  <si>
    <t>投机者；冒险的商人；易有桃色纠纷。</t>
  </si>
  <si>
    <r>
      <t>擎羊+武曲</t>
    </r>
    <r>
      <rPr>
        <sz val="12"/>
        <color theme="1"/>
        <rFont val="等线"/>
        <family val="3"/>
        <charset val="134"/>
        <scheme val="minor"/>
      </rPr>
      <t>​</t>
    </r>
  </si>
  <si>
    <r>
      <t>财星带刃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行动力与竞争性在求财中展现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以专业能力激烈竞争求财，但也易因财动武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外科、军警、金融风控</t>
    </r>
    <r>
      <rPr>
        <sz val="12"/>
        <color theme="1"/>
        <rFont val="等线"/>
        <family val="3"/>
        <charset val="134"/>
        <scheme val="minor"/>
      </rPr>
      <t>。</t>
    </r>
  </si>
  <si>
    <t>外科医生；金融操盘手（风格激进）。</t>
  </si>
  <si>
    <r>
      <t>擎羊+太阳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</si>
  <si>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光明与伤害结合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事业竞争激烈，易出名但也易招是非诽谤</t>
    </r>
    <r>
      <rPr>
        <sz val="12"/>
        <color theme="1"/>
        <rFont val="等线"/>
        <family val="3"/>
        <charset val="134"/>
        <scheme val="minor"/>
      </rPr>
      <t>。</t>
    </r>
  </si>
  <si>
    <t>公众人物（易有争议）；竞争激烈的行业领袖。</t>
  </si>
  <si>
    <r>
      <t>擎羊+天梁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</si>
  <si>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庇护与伤害的矛盾结合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易通过竞争、手术等方式获得帮助或解决问题</t>
    </r>
    <r>
      <rPr>
        <sz val="12"/>
        <color theme="1"/>
        <rFont val="等线"/>
        <family val="3"/>
        <charset val="134"/>
        <scheme val="minor"/>
      </rPr>
      <t>，如</t>
    </r>
    <r>
      <rPr>
        <b/>
        <sz val="12"/>
        <color theme="1"/>
        <rFont val="等线"/>
        <family val="3"/>
        <charset val="134"/>
        <scheme val="minor"/>
      </rPr>
      <t>医生（手术刀即是刃）</t>
    </r>
    <r>
      <rPr>
        <sz val="12"/>
        <color theme="1"/>
        <rFont val="等线"/>
        <family val="3"/>
        <charset val="134"/>
        <scheme val="minor"/>
      </rPr>
      <t>。</t>
    </r>
  </si>
  <si>
    <t>外科医生；纪律检查人员。</t>
  </si>
  <si>
    <r>
      <t>擎羊+禄存</t>
    </r>
    <r>
      <rPr>
        <sz val="12"/>
        <color theme="1"/>
        <rFont val="等线"/>
        <family val="3"/>
        <charset val="134"/>
        <scheme val="minor"/>
      </rPr>
      <t>​</t>
    </r>
  </si>
  <si>
    <r>
      <t>羊陀夹禄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伤害星夹财库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财富受制约与保护并存</t>
    </r>
    <r>
      <rPr>
        <sz val="12"/>
        <color theme="1"/>
        <rFont val="等线"/>
        <family val="3"/>
        <charset val="134"/>
        <scheme val="minor"/>
      </rPr>
      <t>。擎羊在此</t>
    </r>
    <r>
      <rPr>
        <b/>
        <sz val="12"/>
        <color theme="1"/>
        <rFont val="等线"/>
        <family val="3"/>
        <charset val="134"/>
        <scheme val="minor"/>
      </rPr>
      <t>激发求财的竞争性，但也带来财务风险</t>
    </r>
    <r>
      <rPr>
        <sz val="12"/>
        <color theme="1"/>
        <rFont val="等线"/>
        <family val="3"/>
        <charset val="134"/>
        <scheme val="minor"/>
      </rPr>
      <t>。</t>
    </r>
  </si>
  <si>
    <t>在竞争激烈的行业中积累财富；财富得来不易。</t>
  </si>
  <si>
    <r>
      <t>擎羊+火星/铃星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</si>
  <si>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火羊/铃羊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暴烈与伤害叠加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突发性的严重伤害、冲突、灾祸</t>
    </r>
    <r>
      <rPr>
        <sz val="12"/>
        <color theme="1"/>
        <rFont val="等线"/>
        <family val="3"/>
        <charset val="134"/>
        <scheme val="minor"/>
      </rPr>
      <t>，煞气极重。</t>
    </r>
  </si>
  <si>
    <t>意外事故；暴力冲突；急性病手术。</t>
  </si>
  <si>
    <r>
      <t>擎羊+左辅/右弼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</si>
  <si>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贵人带刃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助力与竞争并存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在竞争中得到帮助，或帮助者本身带竞争性</t>
    </r>
    <r>
      <rPr>
        <sz val="12"/>
        <color theme="1"/>
        <rFont val="等线"/>
        <family val="3"/>
        <charset val="134"/>
        <scheme val="minor"/>
      </rPr>
      <t>。</t>
    </r>
  </si>
  <si>
    <t>团队中的竞争者；有能力的副手。</t>
  </si>
  <si>
    <r>
      <t>1. “刑伤”与“竞争”本质</t>
    </r>
    <r>
      <rPr>
        <sz val="11"/>
        <color theme="1"/>
        <rFont val="等线"/>
        <family val="2"/>
        <charset val="134"/>
        <scheme val="minor"/>
      </rPr>
      <t>：擎羊化气为</t>
    </r>
    <r>
      <rPr>
        <b/>
        <sz val="11"/>
        <color theme="1"/>
        <rFont val="等线"/>
        <family val="3"/>
        <charset val="134"/>
        <scheme val="minor"/>
      </rPr>
      <t>“刑”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伤害、竞争、冲动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在竞争与伤害中开拓前进</t>
    </r>
    <r>
      <rPr>
        <sz val="11"/>
        <color theme="1"/>
        <rFont val="等线"/>
        <family val="2"/>
        <charset val="134"/>
        <scheme val="minor"/>
      </rPr>
      <t>。它既是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（带来伤害），也是</t>
    </r>
    <r>
      <rPr>
        <b/>
        <sz val="11"/>
        <color theme="1"/>
        <rFont val="等线"/>
        <family val="3"/>
        <charset val="134"/>
        <scheme val="minor"/>
      </rPr>
      <t>激发力</t>
    </r>
    <r>
      <rPr>
        <sz val="11"/>
        <color theme="1"/>
        <rFont val="等线"/>
        <family val="2"/>
        <charset val="134"/>
        <scheme val="minor"/>
      </rPr>
      <t>（激发勇气与行动）。</t>
    </r>
  </si>
  <si>
    <r>
      <t>2. “阳金”与“明争”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阳金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刚烈、锋利</t>
    </r>
    <r>
      <rPr>
        <sz val="11"/>
        <color theme="1"/>
        <rFont val="等线"/>
        <family val="2"/>
        <charset val="134"/>
        <scheme val="minor"/>
      </rPr>
      <t>。其伤害与竞争是</t>
    </r>
    <r>
      <rPr>
        <b/>
        <sz val="11"/>
        <color theme="1"/>
        <rFont val="等线"/>
        <family val="3"/>
        <charset val="134"/>
        <scheme val="minor"/>
      </rPr>
      <t>公开的、正面的、快速的、激烈的</t>
    </r>
    <r>
      <rPr>
        <sz val="11"/>
        <color theme="1"/>
        <rFont val="等线"/>
        <family val="2"/>
        <charset val="134"/>
        <scheme val="minor"/>
      </rPr>
      <t>，与陀罗的</t>
    </r>
    <r>
      <rPr>
        <b/>
        <sz val="11"/>
        <color theme="1"/>
        <rFont val="等线"/>
        <family val="3"/>
        <charset val="134"/>
        <scheme val="minor"/>
      </rPr>
      <t>“暗斗”、“拖延”</t>
    </r>
    <r>
      <rPr>
        <sz val="11"/>
        <color theme="1"/>
        <rFont val="等线"/>
        <family val="2"/>
        <charset val="134"/>
        <scheme val="minor"/>
      </rPr>
      <t>形成鲜明对比。</t>
    </r>
  </si>
  <si>
    <r>
      <t>3. “以煞为用”的辩证</t>
    </r>
    <r>
      <rPr>
        <sz val="11"/>
        <color theme="1"/>
        <rFont val="等线"/>
        <family val="2"/>
        <charset val="134"/>
        <scheme val="minor"/>
      </rPr>
      <t>：擎羊虽为煞星，但与</t>
    </r>
    <r>
      <rPr>
        <b/>
        <sz val="11"/>
        <color theme="1"/>
        <rFont val="等线"/>
        <family val="3"/>
        <charset val="134"/>
        <scheme val="minor"/>
      </rPr>
      <t>强有力的主星（如紫微、七杀、武曲）或吉星</t>
    </r>
    <r>
      <rPr>
        <sz val="11"/>
        <color theme="1"/>
        <rFont val="等线"/>
        <family val="2"/>
        <charset val="134"/>
        <scheme val="minor"/>
      </rPr>
      <t>同度时，能</t>
    </r>
    <r>
      <rPr>
        <b/>
        <sz val="11"/>
        <color theme="1"/>
        <rFont val="等线"/>
        <family val="3"/>
        <charset val="134"/>
        <scheme val="minor"/>
      </rPr>
      <t>激发斗志，化为开拓的勇气和执行力</t>
    </r>
    <r>
      <rPr>
        <sz val="11"/>
        <color theme="1"/>
        <rFont val="等线"/>
        <family val="2"/>
        <charset val="134"/>
        <scheme val="minor"/>
      </rPr>
      <t>，成就事业。此为</t>
    </r>
    <r>
      <rPr>
        <b/>
        <sz val="11"/>
        <color theme="1"/>
        <rFont val="等线"/>
        <family val="3"/>
        <charset val="134"/>
        <scheme val="minor"/>
      </rPr>
      <t>“以煞为用”</t>
    </r>
    <r>
      <rPr>
        <sz val="11"/>
        <color theme="1"/>
        <rFont val="等线"/>
        <family val="2"/>
        <charset val="134"/>
        <scheme val="minor"/>
      </rPr>
      <t>。若独守或与凶星同度，则凶性毕露。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</si>
  <si>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：擎羊星所在宫位，指示在人生的哪个领域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最易发生竞争、冲突、伤害，或需要运用勇气、决断力去开拓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攻击性与冒险精神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</si>
  <si>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“金”性的延伸</t>
    </r>
    <r>
      <rPr>
        <sz val="11"/>
        <color theme="1"/>
        <rFont val="等线"/>
        <family val="2"/>
        <charset val="134"/>
        <scheme val="minor"/>
      </rPr>
      <t>：属阳金，主</t>
    </r>
    <r>
      <rPr>
        <b/>
        <sz val="11"/>
        <color theme="1"/>
        <rFont val="等线"/>
        <family val="3"/>
        <charset val="134"/>
        <scheme val="minor"/>
      </rPr>
      <t>坚硬、锋利、肃杀</t>
    </r>
    <r>
      <rPr>
        <sz val="11"/>
        <color theme="1"/>
        <rFont val="等线"/>
        <family val="2"/>
        <charset val="134"/>
        <scheme val="minor"/>
      </rPr>
      <t>。其“刑伤”性在物质层面对应</t>
    </r>
    <r>
      <rPr>
        <b/>
        <sz val="11"/>
        <color theme="1"/>
        <rFont val="等线"/>
        <family val="3"/>
        <charset val="134"/>
        <scheme val="minor"/>
      </rPr>
      <t>金属利器、手术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骨骼、牙齿（身体最坚硬的部分）、外科手术</t>
    </r>
    <r>
      <rPr>
        <sz val="11"/>
        <color theme="1"/>
        <rFont val="等线"/>
        <family val="2"/>
        <charset val="134"/>
        <scheme val="minor"/>
      </rPr>
      <t>；在社会层面体现为</t>
    </r>
    <r>
      <rPr>
        <b/>
        <sz val="11"/>
        <color theme="1"/>
        <rFont val="等线"/>
        <family val="3"/>
        <charset val="134"/>
        <scheme val="minor"/>
      </rPr>
      <t>竞争、司法、军事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</si>
  <si>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四化与煞性</t>
    </r>
    <r>
      <rPr>
        <sz val="11"/>
        <color theme="1"/>
        <rFont val="等线"/>
        <family val="2"/>
        <charset val="134"/>
        <scheme val="minor"/>
      </rPr>
      <t>：擎羊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。但其煞性会被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引动而加剧伤害，被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缓和（竞争求财）。</t>
    </r>
  </si>
  <si>
    <r>
      <t>7. “夹制”与“对冲”</t>
    </r>
    <r>
      <rPr>
        <sz val="11"/>
        <color theme="1"/>
        <rFont val="等线"/>
        <family val="2"/>
        <charset val="134"/>
        <scheme val="minor"/>
      </rPr>
      <t>：擎羊与陀罗永远</t>
    </r>
    <r>
      <rPr>
        <b/>
        <sz val="11"/>
        <color theme="1"/>
        <rFont val="等线"/>
        <family val="3"/>
        <charset val="134"/>
        <scheme val="minor"/>
      </rPr>
      <t>夹制禄存</t>
    </r>
    <r>
      <rPr>
        <sz val="11"/>
        <color theme="1"/>
        <rFont val="等线"/>
        <family val="2"/>
        <charset val="134"/>
        <scheme val="minor"/>
      </rPr>
      <t>，形成“羊陀夹禄”之局，此为禄存的孤性来源。擎羊在</t>
    </r>
    <r>
      <rPr>
        <b/>
        <sz val="11"/>
        <color theme="1"/>
        <rFont val="等线"/>
        <family val="3"/>
        <charset val="134"/>
        <scheme val="minor"/>
      </rPr>
      <t>子、午、卯、酉</t>
    </r>
    <r>
      <rPr>
        <sz val="11"/>
        <color theme="1"/>
        <rFont val="等线"/>
        <family val="2"/>
        <charset val="134"/>
        <scheme val="minor"/>
      </rPr>
      <t>四败之地为“入庙”，凶性减弱；在</t>
    </r>
    <r>
      <rPr>
        <b/>
        <sz val="11"/>
        <color theme="1"/>
        <rFont val="等线"/>
        <family val="3"/>
        <charset val="134"/>
        <scheme val="minor"/>
      </rPr>
      <t>辰、戌、丑、未</t>
    </r>
    <r>
      <rPr>
        <sz val="11"/>
        <color theme="1"/>
        <rFont val="等线"/>
        <family val="2"/>
        <charset val="134"/>
        <scheme val="minor"/>
      </rPr>
      <t>四墓之地为“落陷”，凶性增强。其对宫若为巨门等暗星，易引发</t>
    </r>
    <r>
      <rPr>
        <b/>
        <sz val="11"/>
        <color theme="1"/>
        <rFont val="等线"/>
        <family val="3"/>
        <charset val="134"/>
        <scheme val="minor"/>
      </rPr>
      <t>明暗交织的是非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</si>
  <si>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军营、法院、手术室、五金店、一切充满竞争、对抗或使用利器的场所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</si>
  <si>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刑伤/竞争”及其全部引申象征（刀剑、手术、争斗、开拓等）出发，系统化推导并呈现了“人/事/物”三个层次的完整解析。擎羊星为刑星，主伤害与竞争。其核心在于“刚”与“烈”，常在需要决断、面临对抗、或易生伤害的领域显现作用。其吉凶关键在于能否“以煞为用”。最喜与吉星、强主星配合，化煞为权；忌独坐或与凶星同度，则刑伤孤克。在紫占中，擎羊所在即个人“竞争前线”与“风险源头”之所在，其动向关乎成败与安危。需与陀罗（暗斗）明确区分，二者一明一暗，共同构成完整的“刑伤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</si>
  <si>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陀罗星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</si>
  <si>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忌星</t>
    </r>
    <r>
      <rPr>
        <sz val="12"/>
        <color theme="1"/>
        <rFont val="等线"/>
        <family val="3"/>
        <charset val="134"/>
        <scheme val="minor"/>
      </rPr>
      <t>、暗刃、拖延、反复、纠缠、暗害、</t>
    </r>
    <r>
      <rPr>
        <b/>
        <sz val="12"/>
        <color theme="1"/>
        <rFont val="等线"/>
        <family val="3"/>
        <charset val="134"/>
        <scheme val="minor"/>
      </rPr>
      <t>慢性、循环、螺丝、轮子、暗斗、阴谋、慢性病、旧疾、官僚、拖延症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</si>
  <si>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整合自《金刚佛光-紫占课程手册》及相关权威资料，本次彻底构建以“忌”为核心，涵盖“拖延、反复、纠缠、暗害、慢性、循环”等所有引申义的核心象征网络。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</si>
  <si>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固执、反复、拖延、记仇、暗中较劲、有耐力、慢性子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拖延者、暗中使绊者、陷入循环者、慢性病患者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易有暗中纠葛、旧怨难解、关系拖延反复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</si>
  <si>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拖延、反复、纠缠不清、暗中受阻、慢性发作、循环出现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拖延、反复、旧事重提、暗中阻碍、慢性问题、循环事件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需要耐心、过程漫长、易有隐藏问题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缓慢、迂回、难以了结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</si>
  <si>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具有圆形、循环、拖延、纠缠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</si>
  <si>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轮子、螺丝、陀螺、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慢性毒药、纠缠的线、旧物、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</si>
  <si>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迷宫、环形路、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官僚机构、办事大厅（排队拖延）、</t>
    </r>
    <r>
      <rPr>
        <sz val="12"/>
        <color theme="1"/>
        <rFont val="等线"/>
        <family val="3"/>
        <charset val="134"/>
        <scheme val="minor"/>
      </rPr>
      <t>&lt;/ins&gt;圆形、循环、迂回的形态。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</si>
  <si>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循环系统、慢性疾病、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旧伤、潜伏的病毒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</si>
  <si>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官僚系统、拖延的流程、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反复的诉讼、历史遗留问题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</si>
  <si>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拖延、反复、纠缠、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阴谋、循环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</si>
  <si>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本次解析从“忌”本质出发，系统推导出其作为“拖延者”、“暗中阻碍者”及“循环象征”的多重属性，并完整映射至三层结构，特别明确了其与“循环系统”、“慢性病”及“官僚系统”的关联。</t>
  </si>
  <si>
    <r>
      <t>忌星与拖延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</si>
  <si>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“忌”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拖延、反复、纠缠、暗害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六煞星之一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暗中的阻碍与拖延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</si>
  <si>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在命宫、官禄宫时，主个性拖延，做事反复，一生多暗中小人是非，事情进展缓慢。</t>
  </si>
  <si>
    <r>
      <t>暗刃与暗斗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</si>
  <si>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“暗刃”</t>
    </r>
    <r>
      <rPr>
        <sz val="12"/>
        <color theme="1"/>
        <rFont val="等线"/>
        <family val="3"/>
        <charset val="134"/>
        <scheme val="minor"/>
      </rPr>
      <t>，与擎羊（明争）相对，代表</t>
    </r>
    <r>
      <rPr>
        <b/>
        <sz val="12"/>
        <color theme="1"/>
        <rFont val="等线"/>
        <family val="3"/>
        <charset val="134"/>
        <scheme val="minor"/>
      </rPr>
      <t>暗中的竞争、阴谋、纠缠、慢性伤害</t>
    </r>
    <r>
      <rPr>
        <sz val="12"/>
        <color theme="1"/>
        <rFont val="等线"/>
        <family val="3"/>
        <charset val="134"/>
        <scheme val="minor"/>
      </rPr>
      <t>。</t>
    </r>
  </si>
  <si>
    <t>在交友宫、夫妻宫时，主人际关系中有暗中较劲、旧怨纠缠或慢性伤害。</t>
  </si>
  <si>
    <r>
      <t>循环与反复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</si>
  <si>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循环、反复</t>
    </r>
    <r>
      <rPr>
        <sz val="12"/>
        <color theme="1"/>
        <rFont val="等线"/>
        <family val="3"/>
        <charset val="134"/>
        <scheme val="minor"/>
      </rPr>
      <t>，如陀螺般打转。主</t>
    </r>
    <r>
      <rPr>
        <b/>
        <sz val="12"/>
        <color theme="1"/>
        <rFont val="等线"/>
        <family val="3"/>
        <charset val="134"/>
        <scheme val="minor"/>
      </rPr>
      <t>事情反复不定，旧事重提，陷入循环</t>
    </r>
    <r>
      <rPr>
        <sz val="12"/>
        <color theme="1"/>
        <rFont val="等线"/>
        <family val="3"/>
        <charset val="134"/>
        <scheme val="minor"/>
      </rPr>
      <t>。</t>
    </r>
  </si>
  <si>
    <t>在财帛宫时，主财务问题反复；在疾厄宫，主慢性病反复发作。</t>
  </si>
  <si>
    <r>
      <t>相貌敦厚或阴沉，眼神迟疑，动作缓慢，给人以固执、难以捉摸的印象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</si>
  <si>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：有耐心，有毅力，能坚持，善于暗中观察，记性好。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</si>
  <si>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：固执己见，拖延成性，反复无常，记仇，暗中计较，行动迟缓。</t>
    </r>
  </si>
  <si>
    <r>
      <t>属阴金，主</t>
    </r>
    <r>
      <rPr>
        <b/>
        <sz val="12"/>
        <color theme="1"/>
        <rFont val="等线"/>
        <family val="3"/>
        <charset val="134"/>
        <scheme val="minor"/>
      </rPr>
      <t>骨骼、牙齿（但偏向慢性问题）、循环系统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慢性疾病、旧疾复发、牙周病、关节慢性劳损、血液循环不畅</t>
    </r>
    <r>
      <rPr>
        <sz val="12"/>
        <color theme="1"/>
        <rFont val="等线"/>
        <family val="3"/>
        <charset val="134"/>
        <scheme val="minor"/>
      </rPr>
      <t>等。</t>
    </r>
  </si>
  <si>
    <t>在疾厄宫时显现，尤其与阴煞、病符同度时更验。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</si>
  <si>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固执拖延，心思细密但行动迟缓，一生多暗中小人是非，事情反复拖延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喜与吉星或有力主星同度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“以耐性取胜”</t>
    </r>
    <r>
      <rPr>
        <sz val="12"/>
        <color theme="1"/>
        <rFont val="等线"/>
        <family val="3"/>
        <charset val="134"/>
        <scheme val="minor"/>
      </rPr>
      <t>，成</t>
    </r>
    <r>
      <rPr>
        <b/>
        <sz val="12"/>
        <color theme="1"/>
        <rFont val="等线"/>
        <family val="3"/>
        <charset val="134"/>
        <scheme val="minor"/>
      </rPr>
      <t>长期坚持型人才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忌独坐或与凶星同度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“拖延困顿”</t>
    </r>
    <r>
      <rPr>
        <sz val="12"/>
        <color theme="1"/>
        <rFont val="等线"/>
        <family val="3"/>
        <charset val="134"/>
        <scheme val="minor"/>
      </rPr>
      <t>，一生多阻滞。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</si>
  <si>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关系疏远或有暗中心结，往来拖延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</si>
  <si>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冷淡拖延，沟通不畅，或有旧情纠缠</t>
    </r>
    <r>
      <rPr>
        <sz val="12"/>
        <color theme="1"/>
        <rFont val="等线"/>
        <family val="3"/>
        <charset val="134"/>
        <scheme val="minor"/>
      </rPr>
      <t>。恋爱或婚姻</t>
    </r>
    <r>
      <rPr>
        <b/>
        <sz val="12"/>
        <color theme="1"/>
        <rFont val="等线"/>
        <family val="3"/>
        <charset val="134"/>
        <scheme val="minor"/>
      </rPr>
      <t>过程漫长反复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</si>
  <si>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个性固执，难管教，或子女来得晚</t>
    </r>
    <r>
      <rPr>
        <sz val="12"/>
        <color theme="1"/>
        <rFont val="等线"/>
        <family val="3"/>
        <charset val="134"/>
        <scheme val="minor"/>
      </rPr>
      <t>。</t>
    </r>
  </si>
  <si>
    <r>
      <t>求财过程</t>
    </r>
    <r>
      <rPr>
        <b/>
        <sz val="12"/>
        <color theme="1"/>
        <rFont val="等线"/>
        <family val="3"/>
        <charset val="134"/>
        <scheme val="minor"/>
      </rPr>
      <t>缓慢拖延，财务问题反复，易有旧账难收</t>
    </r>
    <r>
      <rPr>
        <sz val="12"/>
        <color theme="1"/>
        <rFont val="等线"/>
        <family val="3"/>
        <charset val="134"/>
        <scheme val="minor"/>
      </rPr>
      <t>。钱财</t>
    </r>
    <r>
      <rPr>
        <b/>
        <sz val="12"/>
        <color theme="1"/>
        <rFont val="等线"/>
        <family val="3"/>
        <charset val="134"/>
        <scheme val="minor"/>
      </rPr>
      <t>来得慢，但去得也慢（守财）</t>
    </r>
    <r>
      <rPr>
        <sz val="12"/>
        <color theme="1"/>
        <rFont val="等线"/>
        <family val="3"/>
        <charset val="134"/>
        <scheme val="minor"/>
      </rPr>
      <t>。</t>
    </r>
  </si>
  <si>
    <r>
      <t>易患慢性疾病、旧疾难愈、循环系统疾病</t>
    </r>
    <r>
      <rPr>
        <sz val="12"/>
        <color theme="1"/>
        <rFont val="等线"/>
        <family val="3"/>
        <charset val="134"/>
        <scheme val="minor"/>
      </rPr>
      <t>。病情</t>
    </r>
    <r>
      <rPr>
        <b/>
        <sz val="12"/>
        <color theme="1"/>
        <rFont val="等线"/>
        <family val="3"/>
        <charset val="134"/>
        <scheme val="minor"/>
      </rPr>
      <t>反复，疗程长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</si>
  <si>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发展缓慢，易遇暗中阻碍，出行易拖延、迷路</t>
    </r>
    <r>
      <rPr>
        <sz val="12"/>
        <color theme="1"/>
        <rFont val="等线"/>
        <family val="3"/>
        <charset val="134"/>
        <scheme val="minor"/>
      </rPr>
      <t>。</t>
    </r>
  </si>
  <si>
    <r>
      <t>朋友、同事、下属中多拖延或暗中计较之人</t>
    </r>
    <r>
      <rPr>
        <sz val="12"/>
        <color theme="1"/>
        <rFont val="等线"/>
        <family val="3"/>
        <charset val="134"/>
        <scheme val="minor"/>
      </rPr>
      <t>，易有</t>
    </r>
    <r>
      <rPr>
        <b/>
        <sz val="12"/>
        <color theme="1"/>
        <rFont val="等线"/>
        <family val="3"/>
        <charset val="134"/>
        <scheme val="minor"/>
      </rPr>
      <t>旧怨或暗中纠葛</t>
    </r>
    <r>
      <rPr>
        <sz val="12"/>
        <color theme="1"/>
        <rFont val="等线"/>
        <family val="3"/>
        <charset val="134"/>
        <scheme val="minor"/>
      </rPr>
      <t>。</t>
    </r>
  </si>
  <si>
    <r>
      <t>事业</t>
    </r>
    <r>
      <rPr>
        <b/>
        <sz val="12"/>
        <color theme="1"/>
        <rFont val="等线"/>
        <family val="3"/>
        <charset val="134"/>
        <scheme val="minor"/>
      </rPr>
      <t>进展缓慢，易遇暗中阻力，流程拖延</t>
    </r>
    <r>
      <rPr>
        <sz val="12"/>
        <color theme="1"/>
        <rFont val="等线"/>
        <family val="3"/>
        <charset val="134"/>
        <scheme val="minor"/>
      </rPr>
      <t>。适合需要</t>
    </r>
    <r>
      <rPr>
        <b/>
        <sz val="12"/>
        <color theme="1"/>
        <rFont val="等线"/>
        <family val="3"/>
        <charset val="134"/>
        <scheme val="minor"/>
      </rPr>
      <t>耐心、重复性高</t>
    </r>
    <r>
      <rPr>
        <sz val="12"/>
        <color theme="1"/>
        <rFont val="等线"/>
        <family val="3"/>
        <charset val="134"/>
        <scheme val="minor"/>
      </rPr>
      <t>的工作，如</t>
    </r>
    <r>
      <rPr>
        <b/>
        <sz val="12"/>
        <color theme="1"/>
        <rFont val="等线"/>
        <family val="3"/>
        <charset val="134"/>
        <scheme val="minor"/>
      </rPr>
      <t>研究、审计、历史档案</t>
    </r>
    <r>
      <rPr>
        <sz val="12"/>
        <color theme="1"/>
        <rFont val="等线"/>
        <family val="3"/>
        <charset val="134"/>
        <scheme val="minor"/>
      </rPr>
      <t>。</t>
    </r>
  </si>
  <si>
    <r>
      <t>家宅老旧，修缮拖延，产权问题反复，或住在圆形建筑附近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</si>
  <si>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思虑过多，纠结反复，内心常有未解之结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</si>
  <si>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管教方式固执或疏于管教，与父母关系冷淡拖延</t>
    </r>
    <r>
      <rPr>
        <sz val="12"/>
        <color theme="1"/>
        <rFont val="等线"/>
        <family val="3"/>
        <charset val="134"/>
        <scheme val="minor"/>
      </rPr>
      <t>。</t>
    </r>
  </si>
  <si>
    <r>
      <t>陀罗+紫微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</si>
  <si>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权威受暗中拖延或掣肘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大业难成，或成功过程漫长反复</t>
    </r>
    <r>
      <rPr>
        <sz val="12"/>
        <color theme="1"/>
        <rFont val="等线"/>
        <family val="3"/>
        <charset val="134"/>
        <scheme val="minor"/>
      </rPr>
      <t>。</t>
    </r>
  </si>
  <si>
    <t>受制于官僚体系的领导者；改革推进缓慢。</t>
  </si>
  <si>
    <r>
      <t>陀罗+天府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</si>
  <si>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稳定的资源被暗中消耗或拖延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财务流程繁琐，积蓄增长缓慢</t>
    </r>
    <r>
      <rPr>
        <sz val="12"/>
        <color theme="1"/>
        <rFont val="等线"/>
        <family val="3"/>
        <charset val="134"/>
        <scheme val="minor"/>
      </rPr>
      <t>。</t>
    </r>
  </si>
  <si>
    <t>财务审批缓慢的机构；守财但增值慢。</t>
  </si>
  <si>
    <r>
      <t>陀罗+天相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</si>
  <si>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协调与辅佐过程遇暗中阻碍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文书拖延、合同反复、人际关系暗中纠结</t>
    </r>
    <r>
      <rPr>
        <sz val="12"/>
        <color theme="1"/>
        <rFont val="等线"/>
        <family val="3"/>
        <charset val="134"/>
        <scheme val="minor"/>
      </rPr>
      <t>。</t>
    </r>
  </si>
  <si>
    <t>法务人员（案件拖延）；行政人员（流程繁琐）。</t>
  </si>
  <si>
    <r>
      <t>陀罗+巨门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</si>
  <si>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是非与拖延叠加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口舌是非反复纠缠，暗中诽谤难解</t>
    </r>
    <r>
      <rPr>
        <sz val="12"/>
        <color theme="1"/>
        <rFont val="等线"/>
        <family val="3"/>
        <charset val="134"/>
        <scheme val="minor"/>
      </rPr>
      <t>。</t>
    </r>
  </si>
  <si>
    <t>陷入长期诉讼者；被谣言困扰的人。</t>
  </si>
  <si>
    <r>
      <t>陀罗+天梁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</si>
  <si>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庇护过程遇暗中拖延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求助过程漫长，解决问题反复</t>
    </r>
    <r>
      <rPr>
        <sz val="12"/>
        <color theme="1"/>
        <rFont val="等线"/>
        <family val="3"/>
        <charset val="134"/>
        <scheme val="minor"/>
      </rPr>
      <t>。</t>
    </r>
  </si>
  <si>
    <t>申请援助流程长；慢性病求医过程反复。</t>
  </si>
  <si>
    <r>
      <t>陀罗+七杀</t>
    </r>
    <r>
      <rPr>
        <sz val="12"/>
        <color theme="1"/>
        <rFont val="等线"/>
        <family val="3"/>
        <charset val="134"/>
        <scheme val="minor"/>
      </rPr>
      <t>​</t>
    </r>
  </si>
  <si>
    <r>
      <t>将星遇暗忌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行动力被暗中拖延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计划屡受阻碍，行动反复，壮志难酬</t>
    </r>
    <r>
      <rPr>
        <sz val="12"/>
        <color theme="1"/>
        <rFont val="等线"/>
        <family val="3"/>
        <charset val="134"/>
        <scheme val="minor"/>
      </rPr>
      <t>。</t>
    </r>
  </si>
  <si>
    <t>怀才不遇的猛将；项目屡次受阻的开拓者。</t>
  </si>
  <si>
    <r>
      <t>陀罗+破军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</si>
  <si>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破坏与拖延结合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变动过程漫长反复，旧问题难以彻底解决</t>
    </r>
    <r>
      <rPr>
        <sz val="12"/>
        <color theme="1"/>
        <rFont val="等线"/>
        <family val="3"/>
        <charset val="134"/>
        <scheme val="minor"/>
      </rPr>
      <t>。</t>
    </r>
  </si>
  <si>
    <t>拆迁拖延；改革反复。</t>
  </si>
  <si>
    <r>
      <t>陀罗+贪狼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</si>
  <si>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欲望被暗中拖延或纠缠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桃花拖延难成，投机反复失利</t>
    </r>
    <r>
      <rPr>
        <sz val="12"/>
        <color theme="1"/>
        <rFont val="等线"/>
        <family val="3"/>
        <charset val="134"/>
        <scheme val="minor"/>
      </rPr>
      <t>。</t>
    </r>
  </si>
  <si>
    <t>苦恋无果；投资被套牢。</t>
  </si>
  <si>
    <r>
      <t>陀罗+太阴</t>
    </r>
    <r>
      <rPr>
        <sz val="12"/>
        <color theme="1"/>
        <rFont val="等线"/>
        <family val="3"/>
        <charset val="134"/>
        <scheme val="minor"/>
      </rPr>
      <t>​</t>
    </r>
  </si>
  <si>
    <r>
      <t>财星（田宅主）遇暗忌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财富积累或情感发展遇暗中拖延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置业过程繁琐，感情进展缓慢</t>
    </r>
    <r>
      <rPr>
        <sz val="12"/>
        <color theme="1"/>
        <rFont val="等线"/>
        <family val="3"/>
        <charset val="134"/>
        <scheme val="minor"/>
      </rPr>
      <t>。</t>
    </r>
  </si>
  <si>
    <t>买房流程漫长；暗恋持久无果。</t>
  </si>
  <si>
    <r>
      <t>陀罗+禄存</t>
    </r>
    <r>
      <rPr>
        <sz val="12"/>
        <color theme="1"/>
        <rFont val="等线"/>
        <family val="3"/>
        <charset val="134"/>
        <scheme val="minor"/>
      </rPr>
      <t>​</t>
    </r>
  </si>
  <si>
    <r>
      <t>羊陀夹禄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拖延星夹财库</t>
    </r>
    <r>
      <rPr>
        <sz val="12"/>
        <color theme="1"/>
        <rFont val="等线"/>
        <family val="3"/>
        <charset val="134"/>
        <scheme val="minor"/>
      </rPr>
      <t>，陀罗在此</t>
    </r>
    <r>
      <rPr>
        <b/>
        <sz val="12"/>
        <color theme="1"/>
        <rFont val="等线"/>
        <family val="3"/>
        <charset val="134"/>
        <scheme val="minor"/>
      </rPr>
      <t>使财富积累过程异常缓慢，但也能守住财富</t>
    </r>
    <r>
      <rPr>
        <sz val="12"/>
        <color theme="1"/>
        <rFont val="等线"/>
        <family val="3"/>
        <charset val="134"/>
        <scheme val="minor"/>
      </rPr>
      <t>。</t>
    </r>
  </si>
  <si>
    <t>缓慢但稳健的投资者；守财奴。</t>
  </si>
  <si>
    <r>
      <t>陀罗+火星/铃星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</si>
  <si>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火陀/铃陀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暴烈与拖延矛盾结合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问题突然爆发后又陷入长期拖延，或内心焦灼但行动迟缓</t>
    </r>
    <r>
      <rPr>
        <sz val="12"/>
        <color theme="1"/>
        <rFont val="等线"/>
        <family val="3"/>
        <charset val="134"/>
        <scheme val="minor"/>
      </rPr>
      <t>。</t>
    </r>
  </si>
  <si>
    <t>急性病转慢性；怒火压抑持久。</t>
  </si>
  <si>
    <r>
      <t>陀罗+地空/地劫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</si>
  <si>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空陀/劫陀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空亡与拖延结合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想法反复落空，行动拖延且无果，陷入虚无循环</t>
    </r>
    <r>
      <rPr>
        <sz val="12"/>
        <color theme="1"/>
        <rFont val="等线"/>
        <family val="3"/>
        <charset val="134"/>
        <scheme val="minor"/>
      </rPr>
      <t>。</t>
    </r>
  </si>
  <si>
    <t>理想主义者（难以实现）；拖延症重度患者。</t>
  </si>
  <si>
    <r>
      <t>1. “忌”与“拖延”本质</t>
    </r>
    <r>
      <rPr>
        <sz val="11"/>
        <color theme="1"/>
        <rFont val="等线"/>
        <family val="2"/>
        <charset val="134"/>
        <scheme val="minor"/>
      </rPr>
      <t>：陀罗化气为</t>
    </r>
    <r>
      <rPr>
        <b/>
        <sz val="11"/>
        <color theme="1"/>
        <rFont val="等线"/>
        <family val="3"/>
        <charset val="134"/>
        <scheme val="minor"/>
      </rPr>
      <t>“忌”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拖延、反复、纠缠、暗害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在拖延与反复中缓慢前行，常受旧事困扰</t>
    </r>
    <r>
      <rPr>
        <sz val="11"/>
        <color theme="1"/>
        <rFont val="等线"/>
        <family val="2"/>
        <charset val="134"/>
        <scheme val="minor"/>
      </rPr>
      <t>。它既是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（带来阻碍），也是</t>
    </r>
    <r>
      <rPr>
        <b/>
        <sz val="11"/>
        <color theme="1"/>
        <rFont val="等线"/>
        <family val="3"/>
        <charset val="134"/>
        <scheme val="minor"/>
      </rPr>
      <t>磨砺星</t>
    </r>
    <r>
      <rPr>
        <sz val="11"/>
        <color theme="1"/>
        <rFont val="等线"/>
        <family val="2"/>
        <charset val="134"/>
        <scheme val="minor"/>
      </rPr>
      <t>（磨练耐心与毅力）。</t>
    </r>
  </si>
  <si>
    <r>
      <t>2. “阴金”与“暗斗”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阴金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迟滞、迂回</t>
    </r>
    <r>
      <rPr>
        <sz val="11"/>
        <color theme="1"/>
        <rFont val="等线"/>
        <family val="2"/>
        <charset val="134"/>
        <scheme val="minor"/>
      </rPr>
      <t>。其伤害与竞争是</t>
    </r>
    <r>
      <rPr>
        <b/>
        <sz val="11"/>
        <color theme="1"/>
        <rFont val="等线"/>
        <family val="3"/>
        <charset val="134"/>
        <scheme val="minor"/>
      </rPr>
      <t>暗中的、持久的、反复的、纠缠的</t>
    </r>
    <r>
      <rPr>
        <sz val="11"/>
        <color theme="1"/>
        <rFont val="等线"/>
        <family val="2"/>
        <charset val="134"/>
        <scheme val="minor"/>
      </rPr>
      <t>，与擎羊的</t>
    </r>
    <r>
      <rPr>
        <b/>
        <sz val="11"/>
        <color theme="1"/>
        <rFont val="等线"/>
        <family val="3"/>
        <charset val="134"/>
        <scheme val="minor"/>
      </rPr>
      <t>“明争”、“快速”</t>
    </r>
    <r>
      <rPr>
        <sz val="11"/>
        <color theme="1"/>
        <rFont val="等线"/>
        <family val="2"/>
        <charset val="134"/>
        <scheme val="minor"/>
      </rPr>
      <t>形成鲜明对比。</t>
    </r>
    <r>
      <rPr>
        <b/>
        <sz val="11"/>
        <color theme="1"/>
        <rFont val="等线"/>
        <family val="3"/>
        <charset val="134"/>
        <scheme val="minor"/>
      </rPr>
      <t>擎羊是明刀，陀罗是暗箭；擎羊是急性病，陀罗是慢性病</t>
    </r>
    <r>
      <rPr>
        <sz val="11"/>
        <color theme="1"/>
        <rFont val="等线"/>
        <family val="2"/>
        <charset val="134"/>
        <scheme val="minor"/>
      </rPr>
      <t>。</t>
    </r>
  </si>
  <si>
    <r>
      <t>3. “以耐为用”的辩证</t>
    </r>
    <r>
      <rPr>
        <sz val="11"/>
        <color theme="1"/>
        <rFont val="等线"/>
        <family val="2"/>
        <charset val="134"/>
        <scheme val="minor"/>
      </rPr>
      <t>：陀罗虽为煞星，但与</t>
    </r>
    <r>
      <rPr>
        <b/>
        <sz val="11"/>
        <color theme="1"/>
        <rFont val="等线"/>
        <family val="3"/>
        <charset val="134"/>
        <scheme val="minor"/>
      </rPr>
      <t>需要耐心、毅力的主星（如天梁、天相）或吉星</t>
    </r>
    <r>
      <rPr>
        <sz val="11"/>
        <color theme="1"/>
        <rFont val="等线"/>
        <family val="2"/>
        <charset val="134"/>
        <scheme val="minor"/>
      </rPr>
      <t>同度时，能</t>
    </r>
    <r>
      <rPr>
        <b/>
        <sz val="11"/>
        <color theme="1"/>
        <rFont val="等线"/>
        <family val="3"/>
        <charset val="134"/>
        <scheme val="minor"/>
      </rPr>
      <t>磨练心性，化为持久的耐力与细致的观察力</t>
    </r>
    <r>
      <rPr>
        <sz val="11"/>
        <color theme="1"/>
        <rFont val="等线"/>
        <family val="2"/>
        <charset val="134"/>
        <scheme val="minor"/>
      </rPr>
      <t>，适合从事研究、审计等需要反复打磨的工作。此为</t>
    </r>
    <r>
      <rPr>
        <b/>
        <sz val="11"/>
        <color theme="1"/>
        <rFont val="等线"/>
        <family val="3"/>
        <charset val="134"/>
        <scheme val="minor"/>
      </rPr>
      <t>“以耐为用”</t>
    </r>
    <r>
      <rPr>
        <sz val="11"/>
        <color theme="1"/>
        <rFont val="等线"/>
        <family val="2"/>
        <charset val="134"/>
        <scheme val="minor"/>
      </rPr>
      <t>。若独守或与凶星同度，则拖延困顿。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</si>
  <si>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：陀罗星所在宫位，指示在人生的哪个领域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最易出现拖延、反复、暗中阻碍，或需要极大耐心去应对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固执性与持久力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</si>
  <si>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“金”性的延伸</t>
    </r>
    <r>
      <rPr>
        <sz val="11"/>
        <color theme="1"/>
        <rFont val="等线"/>
        <family val="2"/>
        <charset val="134"/>
        <scheme val="minor"/>
      </rPr>
      <t>：属阴金，主</t>
    </r>
    <r>
      <rPr>
        <b/>
        <sz val="11"/>
        <color theme="1"/>
        <rFont val="等线"/>
        <family val="3"/>
        <charset val="134"/>
        <scheme val="minor"/>
      </rPr>
      <t>坚硬、持久、循环</t>
    </r>
    <r>
      <rPr>
        <sz val="11"/>
        <color theme="1"/>
        <rFont val="等线"/>
        <family val="2"/>
        <charset val="134"/>
        <scheme val="minor"/>
      </rPr>
      <t>。其“拖延”性在物质层面对应</t>
    </r>
    <r>
      <rPr>
        <b/>
        <sz val="11"/>
        <color theme="1"/>
        <rFont val="等线"/>
        <family val="3"/>
        <charset val="134"/>
        <scheme val="minor"/>
      </rPr>
      <t>轮子、螺丝（循环运动）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循环系统、慢性疾病（持久性问题）</t>
    </r>
    <r>
      <rPr>
        <sz val="11"/>
        <color theme="1"/>
        <rFont val="等线"/>
        <family val="2"/>
        <charset val="134"/>
        <scheme val="minor"/>
      </rPr>
      <t>；在社会层面体现为</t>
    </r>
    <r>
      <rPr>
        <b/>
        <sz val="11"/>
        <color theme="1"/>
        <rFont val="等线"/>
        <family val="3"/>
        <charset val="134"/>
        <scheme val="minor"/>
      </rPr>
      <t>官僚作风、历史遗留问题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</si>
  <si>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四化与煞性</t>
    </r>
    <r>
      <rPr>
        <sz val="11"/>
        <color theme="1"/>
        <rFont val="等线"/>
        <family val="2"/>
        <charset val="134"/>
        <scheme val="minor"/>
      </rPr>
      <t>：陀罗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。但其拖延性会被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引动而加剧反复，被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缓和（拖延但最终有利）。</t>
    </r>
  </si>
  <si>
    <r>
      <t>7. “夹制”与“循环”</t>
    </r>
    <r>
      <rPr>
        <sz val="11"/>
        <color theme="1"/>
        <rFont val="等线"/>
        <family val="2"/>
        <charset val="134"/>
        <scheme val="minor"/>
      </rPr>
      <t>：陀罗与擎羊永远</t>
    </r>
    <r>
      <rPr>
        <b/>
        <sz val="11"/>
        <color theme="1"/>
        <rFont val="等线"/>
        <family val="3"/>
        <charset val="134"/>
        <scheme val="minor"/>
      </rPr>
      <t>夹制禄存</t>
    </r>
    <r>
      <rPr>
        <sz val="11"/>
        <color theme="1"/>
        <rFont val="等线"/>
        <family val="2"/>
        <charset val="134"/>
        <scheme val="minor"/>
      </rPr>
      <t>，形成“羊陀夹禄”之局，此为禄存受制约的来源之一。陀罗在</t>
    </r>
    <r>
      <rPr>
        <b/>
        <sz val="11"/>
        <color theme="1"/>
        <rFont val="等线"/>
        <family val="3"/>
        <charset val="134"/>
        <scheme val="minor"/>
      </rPr>
      <t>辰、戌、丑、未</t>
    </r>
    <r>
      <rPr>
        <sz val="11"/>
        <color theme="1"/>
        <rFont val="等线"/>
        <family val="2"/>
        <charset val="134"/>
        <scheme val="minor"/>
      </rPr>
      <t>四墓之地为“入庙”，拖延性减弱（转为耐力）；在</t>
    </r>
    <r>
      <rPr>
        <b/>
        <sz val="11"/>
        <color theme="1"/>
        <rFont val="等线"/>
        <family val="3"/>
        <charset val="134"/>
        <scheme val="minor"/>
      </rPr>
      <t>子、午、卯、酉</t>
    </r>
    <r>
      <rPr>
        <sz val="11"/>
        <color theme="1"/>
        <rFont val="等线"/>
        <family val="2"/>
        <charset val="134"/>
        <scheme val="minor"/>
      </rPr>
      <t>四败之地为“落陷”，拖延性增强。其</t>
    </r>
    <r>
      <rPr>
        <b/>
        <sz val="11"/>
        <color theme="1"/>
        <rFont val="等线"/>
        <family val="3"/>
        <charset val="134"/>
        <scheme val="minor"/>
      </rPr>
      <t>循环、反复</t>
    </r>
    <r>
      <rPr>
        <sz val="11"/>
        <color theme="1"/>
        <rFont val="等线"/>
        <family val="2"/>
        <charset val="134"/>
        <scheme val="minor"/>
      </rPr>
      <t>的特性，常使问题</t>
    </r>
    <r>
      <rPr>
        <b/>
        <sz val="11"/>
        <color theme="1"/>
        <rFont val="等线"/>
        <family val="3"/>
        <charset val="134"/>
        <scheme val="minor"/>
      </rPr>
      <t>去了又来，难以根除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</si>
  <si>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迷宫、环形路、官僚机构、老旧的仓库、一切循环、迂回、拖延的场所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</si>
  <si>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忌/拖延”及其全部引申象征（反复、纠缠、暗害、慢性、循环等）出发，系统化推导并呈现了“人/事/物”三个层次的完整解析。陀罗星为忌星，主拖延与暗斗。其核心在于“暗”与“滞”，常在流程、关系、健康等需要时间沉淀的领域显现其阻碍或磨砺作用。其吉凶关键在于能否“以耐为用”。最喜与吉星、需要耐心的主星配合，化拖延为耐力；忌独坐或与凶星同度，则困顿难行。在紫占中，陀罗所在即个人“历史包袱”与“耐力考场”之所在，其循环往复关乎问题的解决与心性的成长。需与擎羊（明争）明确区分，二者一明一暗，一急一缓，共同构成完整的“刑伤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</si>
  <si>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天空星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</si>
  <si>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空亡</t>
    </r>
    <r>
      <rPr>
        <sz val="12"/>
        <color theme="1"/>
        <rFont val="等线"/>
        <family val="3"/>
        <charset val="134"/>
        <scheme val="minor"/>
      </rPr>
      <t>、空幻、精神、灵感、虚无、失去、</t>
    </r>
    <r>
      <rPr>
        <b/>
        <sz val="12"/>
        <color theme="1"/>
        <rFont val="等线"/>
        <family val="3"/>
        <charset val="134"/>
        <scheme val="minor"/>
      </rPr>
      <t>空想、灵感、精神世界、虚无缥缈、突然失去、不着边际、宗教哲学、创造性思维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</si>
  <si>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整合自《金刚佛光-紫占课程手册》及相关权威资料，本次彻底构建以“空亡”为核心，涵盖“空幻、精神、灵感、虚无、失去”等所有引申义的核心象征网络。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</si>
  <si>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空灵、孤高、喜幻想、有灵感、不切实际、淡泊名利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思想家、艺术家、修行者、空想家、灵感迸发者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疏离、喜独处、不重实际利益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</si>
  <si>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空幻、难以捉摸、突然落空、凭灵感而成、结果虚无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空想、灵感创造、突然失去、计划落空、精神升华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需要想象力、脱离实际、结果成空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不可预测、精神性、非实体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</si>
  <si>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具有空无、精神、灵感、虚无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</si>
  <si>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天空、虚空、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灵感笔记、抽象画、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</si>
  <si>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高空、太空、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寺庙、修道院、艺术工作室、</t>
    </r>
    <r>
      <rPr>
        <sz val="12"/>
        <color theme="1"/>
        <rFont val="等线"/>
        <family val="3"/>
        <charset val="134"/>
        <scheme val="minor"/>
      </rPr>
      <t>&lt;/ins&gt;空旷、虚无、无形的形态。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</si>
  <si>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神经系统（高级思维）、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精神活动、潜意识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</si>
  <si>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宗教哲学体系、艺术创作领域、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虚拟网络空间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</si>
  <si>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空性、灵感、虚无、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失去、超脱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</si>
  <si>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空亡”本质出发，系统推导出其作为“精神空灵者”、“灵感创造者”及“虚无象征”的多重属性，并完整映射至三层结构，特别明确了其与“神经系统”、“精神世界”及“宗教艺术系统”的关联。</t>
  </si>
  <si>
    <r>
      <t>空亡与空幻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</si>
  <si>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“空”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空亡、空幻、虚无、失去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六煞星之一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精神空灵，也主实际事物的落空</t>
    </r>
    <r>
      <rPr>
        <sz val="12"/>
        <color theme="1"/>
        <rFont val="等线"/>
        <family val="3"/>
        <charset val="134"/>
        <scheme val="minor"/>
      </rPr>
      <t>。</t>
    </r>
  </si>
  <si>
    <t>在命宫、财帛宫时，主思想空灵超脱，但也易不切实际，钱财易虚耗或计划落空。</t>
  </si>
  <si>
    <r>
      <t>精神与灵感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</si>
  <si>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“精神之星”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灵感、创造力、精神追求、宗教哲学缘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激发超凡的想象力和领悟力</t>
    </r>
    <r>
      <rPr>
        <sz val="12"/>
        <color theme="1"/>
        <rFont val="等线"/>
        <family val="3"/>
        <charset val="134"/>
        <scheme val="minor"/>
      </rPr>
      <t>。</t>
    </r>
  </si>
  <si>
    <t>在福德宫、官禄宫时，主精神世界丰富，有艺术或哲学天赋，适合创造性工作。</t>
  </si>
  <si>
    <r>
      <t>虚无与失去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</si>
  <si>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虚无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突然的失去、落空、不着边际</t>
    </r>
    <r>
      <rPr>
        <sz val="12"/>
        <color theme="1"/>
        <rFont val="等线"/>
        <family val="3"/>
        <charset val="134"/>
        <scheme val="minor"/>
      </rPr>
      <t>。与地劫的“破耗”不同，天空是</t>
    </r>
    <r>
      <rPr>
        <b/>
        <sz val="12"/>
        <color theme="1"/>
        <rFont val="等线"/>
        <family val="3"/>
        <charset val="134"/>
        <scheme val="minor"/>
      </rPr>
      <t>“空亡”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化为乌有</t>
    </r>
    <r>
      <rPr>
        <sz val="12"/>
        <color theme="1"/>
        <rFont val="等线"/>
        <family val="3"/>
        <charset val="134"/>
        <scheme val="minor"/>
      </rPr>
      <t>。</t>
    </r>
  </si>
  <si>
    <t>在田宅宫时，主家宅空旷或易失去房产；在六亲宫，主缘薄或失去。</t>
  </si>
  <si>
    <r>
      <t>相貌清秀或骨感，眼神空灵，气质脱俗，给人以不食人间烟火、难以捉摸的印象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</si>
  <si>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：悟性高，有灵感，淡泊名利，精神超脱，有创造性。</t>
    </r>
  </si>
  <si>
    <r>
      <t>缺点</t>
    </r>
    <r>
      <rPr>
        <sz val="12"/>
        <color theme="1"/>
        <rFont val="等线"/>
        <family val="3"/>
        <charset val="134"/>
        <scheme val="minor"/>
      </rPr>
      <t>：不切实际，想法空泛，孤僻，不善理财，易有失落感。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</si>
  <si>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精神、神经系统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神经衰弱、失眠、臆想症</t>
    </r>
    <r>
      <rPr>
        <sz val="12"/>
        <color theme="1"/>
        <rFont val="等线"/>
        <family val="3"/>
        <charset val="134"/>
        <scheme val="minor"/>
      </rPr>
      <t>等精神层面问题。</t>
    </r>
  </si>
  <si>
    <t>在疾厄宫时显现，尤其与阴煞、天巫同度时更验。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</si>
  <si>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聪慧空灵，喜精神追求，但易不切实际，一生多成空之事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喜与吉星或精神性主星同度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“空灵为慧”</t>
    </r>
    <r>
      <rPr>
        <sz val="12"/>
        <color theme="1"/>
        <rFont val="等线"/>
        <family val="3"/>
        <charset val="134"/>
        <scheme val="minor"/>
      </rPr>
      <t>，成</t>
    </r>
    <r>
      <rPr>
        <b/>
        <sz val="12"/>
        <color theme="1"/>
        <rFont val="等线"/>
        <family val="3"/>
        <charset val="134"/>
        <scheme val="minor"/>
      </rPr>
      <t>思想家、艺术家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忌独坐或与凶星同度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“空亡孤克”</t>
    </r>
    <r>
      <rPr>
        <sz val="12"/>
        <color theme="1"/>
        <rFont val="等线"/>
        <family val="3"/>
        <charset val="134"/>
        <scheme val="minor"/>
      </rPr>
      <t>，一生孤寂多失。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</si>
  <si>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缘薄，感情疏离，或实际往来少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</si>
  <si>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淡泊，精神交流多于物质，或配偶有精神追求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柏拉图式恋爱或晚婚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</si>
  <si>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数量少，或子女有精神天赋，但缘分较淡</t>
    </r>
    <r>
      <rPr>
        <sz val="12"/>
        <color theme="1"/>
        <rFont val="等线"/>
        <family val="3"/>
        <charset val="134"/>
        <scheme val="minor"/>
      </rPr>
      <t>。</t>
    </r>
  </si>
  <si>
    <r>
      <t>对钱财</t>
    </r>
    <r>
      <rPr>
        <b/>
        <sz val="12"/>
        <color theme="1"/>
        <rFont val="等线"/>
        <family val="3"/>
        <charset val="134"/>
        <scheme val="minor"/>
      </rPr>
      <t>观念淡泊，不善理财，钱财易虚耗、计划落空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靠灵感、创意赚钱</t>
    </r>
    <r>
      <rPr>
        <sz val="12"/>
        <color theme="1"/>
        <rFont val="等线"/>
        <family val="3"/>
        <charset val="134"/>
        <scheme val="minor"/>
      </rPr>
      <t>。</t>
    </r>
  </si>
  <si>
    <r>
      <t>易有精神、神经系统方面的疾病</t>
    </r>
    <r>
      <rPr>
        <sz val="12"/>
        <color theme="1"/>
        <rFont val="等线"/>
        <family val="3"/>
        <charset val="134"/>
        <scheme val="minor"/>
      </rPr>
      <t>，如失眠、神经衰弱。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</si>
  <si>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喜静，适合精神修行或独处，外出易有空虚感</t>
    </r>
    <r>
      <rPr>
        <sz val="12"/>
        <color theme="1"/>
        <rFont val="等线"/>
        <family val="3"/>
        <charset val="134"/>
        <scheme val="minor"/>
      </rPr>
      <t>。</t>
    </r>
  </si>
  <si>
    <r>
      <t>朋友多为精神之交，淡泊实际利益，朋友少但精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</si>
  <si>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艺术、哲学、宗教、研究、创意等需要灵感的行业</t>
    </r>
    <r>
      <rPr>
        <sz val="12"/>
        <color theme="1"/>
        <rFont val="等线"/>
        <family val="3"/>
        <charset val="134"/>
        <scheme val="minor"/>
      </rPr>
      <t>。事业</t>
    </r>
    <r>
      <rPr>
        <b/>
        <sz val="12"/>
        <color theme="1"/>
        <rFont val="等线"/>
        <family val="3"/>
        <charset val="134"/>
        <scheme val="minor"/>
      </rPr>
      <t>成败常与灵感相关，不稳定</t>
    </r>
    <r>
      <rPr>
        <sz val="12"/>
        <color theme="1"/>
        <rFont val="等线"/>
        <family val="3"/>
        <charset val="134"/>
        <scheme val="minor"/>
      </rPr>
      <t>。</t>
    </r>
  </si>
  <si>
    <r>
      <t>家宅空旷、宁静，或房产易有变动、失去</t>
    </r>
    <r>
      <rPr>
        <sz val="12"/>
        <color theme="1"/>
        <rFont val="等线"/>
        <family val="3"/>
        <charset val="134"/>
        <scheme val="minor"/>
      </rPr>
      <t>。喜居住于</t>
    </r>
    <r>
      <rPr>
        <b/>
        <sz val="12"/>
        <color theme="1"/>
        <rFont val="等线"/>
        <family val="3"/>
        <charset val="134"/>
        <scheme val="minor"/>
      </rPr>
      <t>高处或安静之处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</si>
  <si>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丰富、空灵，追求精神解脱，有宗教哲学缘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</si>
  <si>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有精神追求，或与自己缘分较淡，管教宽松</t>
    </r>
    <r>
      <rPr>
        <sz val="12"/>
        <color theme="1"/>
        <rFont val="等线"/>
        <family val="3"/>
        <charset val="134"/>
        <scheme val="minor"/>
      </rPr>
      <t>。</t>
    </r>
  </si>
  <si>
    <r>
      <t>天空+紫微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</si>
  <si>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权威与空灵结合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思想超脱，有哲学王气质，但权力基础可能虚空</t>
    </r>
    <r>
      <rPr>
        <sz val="12"/>
        <color theme="1"/>
        <rFont val="等线"/>
        <family val="3"/>
        <charset val="134"/>
        <scheme val="minor"/>
      </rPr>
      <t>。</t>
    </r>
  </si>
  <si>
    <t>哲学家国王；有远见但脱离实际的领袖。</t>
  </si>
  <si>
    <r>
      <t>天空+天机</t>
    </r>
    <r>
      <rPr>
        <sz val="12"/>
        <color theme="1"/>
        <rFont val="等线"/>
        <family val="3"/>
        <charset val="134"/>
        <scheme val="minor"/>
      </rPr>
      <t>​</t>
    </r>
  </si>
  <si>
    <r>
      <t>善星遇空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智谋与空灵结合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思维天马行空，有惊人的灵感与创意，但计划易落空</t>
    </r>
    <r>
      <rPr>
        <sz val="12"/>
        <color theme="1"/>
        <rFont val="等线"/>
        <family val="3"/>
        <charset val="134"/>
        <scheme val="minor"/>
      </rPr>
      <t>。</t>
    </r>
  </si>
  <si>
    <t>发明家；科幻作家。</t>
  </si>
  <si>
    <r>
      <t>天空+太阳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</si>
  <si>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光明与空灵结合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名声来自精神领域或虚名，华而不实</t>
    </r>
    <r>
      <rPr>
        <sz val="12"/>
        <color theme="1"/>
        <rFont val="等线"/>
        <family val="3"/>
        <charset val="134"/>
        <scheme val="minor"/>
      </rPr>
      <t>。</t>
    </r>
  </si>
  <si>
    <t>虚名远播的学者；名气大于实力的艺术家。</t>
  </si>
  <si>
    <r>
      <t>天空+武曲</t>
    </r>
    <r>
      <rPr>
        <sz val="12"/>
        <color theme="1"/>
        <rFont val="等线"/>
        <family val="3"/>
        <charset val="134"/>
        <scheme val="minor"/>
      </rPr>
      <t>​</t>
    </r>
  </si>
  <si>
    <r>
      <t>财星遇空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行动力与空亡矛盾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求财计划易落空，或通过非常规（虚拟、创意）手段得财</t>
    </r>
    <r>
      <rPr>
        <sz val="12"/>
        <color theme="1"/>
        <rFont val="等线"/>
        <family val="3"/>
        <charset val="134"/>
        <scheme val="minor"/>
      </rPr>
      <t>。</t>
    </r>
  </si>
  <si>
    <t>加密货币投资者；创意工作者。</t>
  </si>
  <si>
    <r>
      <t>天空+天同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</si>
  <si>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享受与空灵结合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精神享受高于物质，乐于清闲无为</t>
    </r>
    <r>
      <rPr>
        <sz val="12"/>
        <color theme="1"/>
        <rFont val="等线"/>
        <family val="3"/>
        <charset val="134"/>
        <scheme val="minor"/>
      </rPr>
      <t>。</t>
    </r>
  </si>
  <si>
    <t>隐士；修行者。</t>
  </si>
  <si>
    <r>
      <t>天空+廉贞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</si>
  <si>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复杂与空灵结合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思想复杂深邃，可能看破红尘，或陷入精神困境</t>
    </r>
    <r>
      <rPr>
        <sz val="12"/>
        <color theme="1"/>
        <rFont val="等线"/>
        <family val="3"/>
        <charset val="134"/>
        <scheme val="minor"/>
      </rPr>
      <t>。</t>
    </r>
  </si>
  <si>
    <t>哲学家；深度心理研究者。</t>
  </si>
  <si>
    <r>
      <t>天空+太阴</t>
    </r>
    <r>
      <rPr>
        <sz val="12"/>
        <color theme="1"/>
        <rFont val="等线"/>
        <family val="3"/>
        <charset val="134"/>
        <scheme val="minor"/>
      </rPr>
      <t>​</t>
    </r>
  </si>
  <si>
    <r>
      <t>财星（田宅主）遇空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财富情感与空灵结合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对物质财富淡泊，情感追求精神化，或房产虚空</t>
    </r>
    <r>
      <rPr>
        <sz val="12"/>
        <color theme="1"/>
        <rFont val="等线"/>
        <family val="3"/>
        <charset val="134"/>
        <scheme val="minor"/>
      </rPr>
      <t>。</t>
    </r>
  </si>
  <si>
    <t>诗人；房产投资失策者。</t>
  </si>
  <si>
    <r>
      <t>天空+贪狼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</si>
  <si>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欲望与空亡矛盾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欲望难以满足而转向精神追求，或追求空幻的欲望</t>
    </r>
    <r>
      <rPr>
        <sz val="12"/>
        <color theme="1"/>
        <rFont val="等线"/>
        <family val="3"/>
        <charset val="134"/>
        <scheme val="minor"/>
      </rPr>
      <t>。</t>
    </r>
  </si>
  <si>
    <t>修行者（由欲入道）；追逐虚妄目标者。</t>
  </si>
  <si>
    <r>
      <t>天空+巨门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</si>
  <si>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是非与空灵结合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思想深邃但易钻牛角尖，或通过空性化解是非</t>
    </r>
    <r>
      <rPr>
        <sz val="12"/>
        <color theme="1"/>
        <rFont val="等线"/>
        <family val="3"/>
        <charset val="134"/>
        <scheme val="minor"/>
      </rPr>
      <t>。</t>
    </r>
  </si>
  <si>
    <t>玄学研究者；陷入虚无辩论者。</t>
  </si>
  <si>
    <r>
      <t>天空+天相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</si>
  <si>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协调与空亡矛盾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文书契约易出纰漏成空，或人际关系淡泊</t>
    </r>
    <r>
      <rPr>
        <sz val="12"/>
        <color theme="1"/>
        <rFont val="等线"/>
        <family val="3"/>
        <charset val="134"/>
        <scheme val="minor"/>
      </rPr>
      <t>。</t>
    </r>
  </si>
  <si>
    <t>粗心的文书；淡泊的协调者。</t>
  </si>
  <si>
    <r>
      <t>天空+七杀</t>
    </r>
    <r>
      <rPr>
        <sz val="12"/>
        <color theme="1"/>
        <rFont val="等线"/>
        <family val="3"/>
        <charset val="134"/>
        <scheme val="minor"/>
      </rPr>
      <t>​</t>
    </r>
  </si>
  <si>
    <r>
      <t>将星遇空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行动与空亡矛盾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雄心壮志易落空，或行动出人意料，难以捉摸</t>
    </r>
    <r>
      <rPr>
        <sz val="12"/>
        <color theme="1"/>
        <rFont val="等线"/>
        <family val="3"/>
        <charset val="134"/>
        <scheme val="minor"/>
      </rPr>
      <t>。</t>
    </r>
  </si>
  <si>
    <t>怀有无法实现理想的人；奇袭战术家。</t>
  </si>
  <si>
    <r>
      <t>天空+破军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</si>
  <si>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破坏与空亡结合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破坏后成空，或改革追求虚无的目标</t>
    </r>
    <r>
      <rPr>
        <sz val="12"/>
        <color theme="1"/>
        <rFont val="等线"/>
        <family val="3"/>
        <charset val="134"/>
        <scheme val="minor"/>
      </rPr>
      <t>。</t>
    </r>
  </si>
  <si>
    <t>理想主义的革命者；推倒重来却无建树。</t>
  </si>
  <si>
    <r>
      <t>天空+地空/地劫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</si>
  <si>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空劫重逢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空亡之力倍增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空幻至极，万事成空，精神超脱但现实困顿</t>
    </r>
    <r>
      <rPr>
        <sz val="12"/>
        <color theme="1"/>
        <rFont val="等线"/>
        <family val="3"/>
        <charset val="134"/>
        <scheme val="minor"/>
      </rPr>
      <t>。</t>
    </r>
  </si>
  <si>
    <t>彻底的出世者；与现实严重脱节者。</t>
  </si>
  <si>
    <r>
      <t>天空+文昌/文曲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</si>
  <si>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空文相会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空灵与才华结合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有非凡的艺术或哲学灵感，创造力强</t>
    </r>
    <r>
      <rPr>
        <sz val="12"/>
        <color theme="1"/>
        <rFont val="等线"/>
        <family val="3"/>
        <charset val="134"/>
        <scheme val="minor"/>
      </rPr>
      <t>。</t>
    </r>
  </si>
  <si>
    <t>天才艺术家；灵性作家。</t>
  </si>
  <si>
    <r>
      <t>1. “空亡”与“精神”本质</t>
    </r>
    <r>
      <rPr>
        <sz val="11"/>
        <color theme="1"/>
        <rFont val="等线"/>
        <family val="2"/>
        <charset val="134"/>
        <scheme val="minor"/>
      </rPr>
      <t>：天空化气为</t>
    </r>
    <r>
      <rPr>
        <b/>
        <sz val="11"/>
        <color theme="1"/>
        <rFont val="等线"/>
        <family val="3"/>
        <charset val="134"/>
        <scheme val="minor"/>
      </rPr>
      <t>“空”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空亡、空幻、精神、灵感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在现实与虚无之间徘徊，追求精神超越</t>
    </r>
    <r>
      <rPr>
        <sz val="11"/>
        <color theme="1"/>
        <rFont val="等线"/>
        <family val="2"/>
        <charset val="134"/>
        <scheme val="minor"/>
      </rPr>
      <t>。它既是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（主失去、落空），也是</t>
    </r>
    <r>
      <rPr>
        <b/>
        <sz val="11"/>
        <color theme="1"/>
        <rFont val="等线"/>
        <family val="3"/>
        <charset val="134"/>
        <scheme val="minor"/>
      </rPr>
      <t>灵感星</t>
    </r>
    <r>
      <rPr>
        <sz val="11"/>
        <color theme="1"/>
        <rFont val="等线"/>
        <family val="2"/>
        <charset val="134"/>
        <scheme val="minor"/>
      </rPr>
      <t>（主创造力、精神领悟）。</t>
    </r>
  </si>
  <si>
    <r>
      <t>2. “空”与“劫”的区分</t>
    </r>
    <r>
      <rPr>
        <sz val="11"/>
        <color theme="1"/>
        <rFont val="等线"/>
        <family val="2"/>
        <charset val="134"/>
        <scheme val="minor"/>
      </rPr>
      <t>：天空是</t>
    </r>
    <r>
      <rPr>
        <b/>
        <sz val="11"/>
        <color theme="1"/>
        <rFont val="等线"/>
        <family val="3"/>
        <charset val="134"/>
        <scheme val="minor"/>
      </rPr>
      <t>“空亡”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精神空灵、实际成空、化为乌有</t>
    </r>
    <r>
      <rPr>
        <sz val="11"/>
        <color theme="1"/>
        <rFont val="等线"/>
        <family val="2"/>
        <charset val="134"/>
        <scheme val="minor"/>
      </rPr>
      <t>；地劫是</t>
    </r>
    <r>
      <rPr>
        <b/>
        <sz val="11"/>
        <color theme="1"/>
        <rFont val="等线"/>
        <family val="3"/>
        <charset val="134"/>
        <scheme val="minor"/>
      </rPr>
      <t>“劫煞”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物质破耗、波折、得而复失</t>
    </r>
    <r>
      <rPr>
        <sz val="11"/>
        <color theme="1"/>
        <rFont val="等线"/>
        <family val="2"/>
        <charset val="134"/>
        <scheme val="minor"/>
      </rPr>
      <t>。</t>
    </r>
    <r>
      <rPr>
        <b/>
        <sz val="11"/>
        <color theme="1"/>
        <rFont val="等线"/>
        <family val="3"/>
        <charset val="134"/>
        <scheme val="minor"/>
      </rPr>
      <t>天空是虚的消失，地劫是实的破损</t>
    </r>
    <r>
      <rPr>
        <sz val="11"/>
        <color theme="1"/>
        <rFont val="等线"/>
        <family val="2"/>
        <charset val="134"/>
        <scheme val="minor"/>
      </rPr>
      <t>。</t>
    </r>
  </si>
  <si>
    <r>
      <t>3. “以空为慧”的辩证</t>
    </r>
    <r>
      <rPr>
        <sz val="11"/>
        <color theme="1"/>
        <rFont val="等线"/>
        <family val="2"/>
        <charset val="134"/>
        <scheme val="minor"/>
      </rPr>
      <t>：天空虽为煞星，但与</t>
    </r>
    <r>
      <rPr>
        <b/>
        <sz val="11"/>
        <color theme="1"/>
        <rFont val="等线"/>
        <family val="3"/>
        <charset val="134"/>
        <scheme val="minor"/>
      </rPr>
      <t>精神性、创造性主星（如天机、文昌文曲）或吉星</t>
    </r>
    <r>
      <rPr>
        <sz val="11"/>
        <color theme="1"/>
        <rFont val="等线"/>
        <family val="2"/>
        <charset val="134"/>
        <scheme val="minor"/>
      </rPr>
      <t>同度时，能</t>
    </r>
    <r>
      <rPr>
        <b/>
        <sz val="11"/>
        <color theme="1"/>
        <rFont val="等线"/>
        <family val="3"/>
        <charset val="134"/>
        <scheme val="minor"/>
      </rPr>
      <t>激发超凡的灵感与悟性，化为艺术、哲学、宗教上的成就</t>
    </r>
    <r>
      <rPr>
        <sz val="11"/>
        <color theme="1"/>
        <rFont val="等线"/>
        <family val="2"/>
        <charset val="134"/>
        <scheme val="minor"/>
      </rPr>
      <t>。此为</t>
    </r>
    <r>
      <rPr>
        <b/>
        <sz val="11"/>
        <color theme="1"/>
        <rFont val="等线"/>
        <family val="3"/>
        <charset val="134"/>
        <scheme val="minor"/>
      </rPr>
      <t>“以空为慧”</t>
    </r>
    <r>
      <rPr>
        <sz val="11"/>
        <color theme="1"/>
        <rFont val="等线"/>
        <family val="2"/>
        <charset val="134"/>
        <scheme val="minor"/>
      </rPr>
      <t>。若与物质性主星（如武曲、太阴）或凶星同度，则主</t>
    </r>
    <r>
      <rPr>
        <b/>
        <sz val="11"/>
        <color theme="1"/>
        <rFont val="等线"/>
        <family val="3"/>
        <charset val="134"/>
        <scheme val="minor"/>
      </rPr>
      <t>计划落空、财物虚耗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</si>
  <si>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：天空星所在宫位，指示在人生的哪个领域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最易感到空虚、产生灵感、或遭遇落空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精神追求与超脱性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</si>
  <si>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“火”性的延伸</t>
    </r>
    <r>
      <rPr>
        <sz val="11"/>
        <color theme="1"/>
        <rFont val="等线"/>
        <family val="2"/>
        <charset val="134"/>
        <scheme val="minor"/>
      </rPr>
      <t>：天空属</t>
    </r>
    <r>
      <rPr>
        <b/>
        <sz val="11"/>
        <color theme="1"/>
        <rFont val="等线"/>
        <family val="3"/>
        <charset val="134"/>
        <scheme val="minor"/>
      </rPr>
      <t>丙火</t>
    </r>
    <r>
      <rPr>
        <sz val="11"/>
        <color theme="1"/>
        <rFont val="等线"/>
        <family val="2"/>
        <charset val="134"/>
        <scheme val="minor"/>
      </rPr>
      <t>，火性向上、虚空。其“空”性在物质层面对应</t>
    </r>
    <r>
      <rPr>
        <b/>
        <sz val="11"/>
        <color theme="1"/>
        <rFont val="等线"/>
        <family val="3"/>
        <charset val="134"/>
        <scheme val="minor"/>
      </rPr>
      <t>天空、虚空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神经系统、精神活动（思维之火）</t>
    </r>
    <r>
      <rPr>
        <sz val="11"/>
        <color theme="1"/>
        <rFont val="等线"/>
        <family val="2"/>
        <charset val="134"/>
        <scheme val="minor"/>
      </rPr>
      <t>；在精神层面体现为</t>
    </r>
    <r>
      <rPr>
        <b/>
        <sz val="11"/>
        <color theme="1"/>
        <rFont val="等线"/>
        <family val="3"/>
        <charset val="134"/>
        <scheme val="minor"/>
      </rPr>
      <t>空性、灵感、超脱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</si>
  <si>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四化与空性</t>
    </r>
    <r>
      <rPr>
        <sz val="11"/>
        <color theme="1"/>
        <rFont val="等线"/>
        <family val="2"/>
        <charset val="134"/>
        <scheme val="minor"/>
      </rPr>
      <t>：天空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。但其空性会被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引动而加剧落空，被</t>
    </r>
    <r>
      <rPr>
        <b/>
        <sz val="11"/>
        <color theme="1"/>
        <rFont val="等线"/>
        <family val="3"/>
        <charset val="134"/>
        <scheme val="minor"/>
      </rPr>
      <t>化科</t>
    </r>
    <r>
      <rPr>
        <sz val="11"/>
        <color theme="1"/>
        <rFont val="等线"/>
        <family val="2"/>
        <charset val="134"/>
        <scheme val="minor"/>
      </rPr>
      <t>缓和（空灵转化为名誉）。</t>
    </r>
  </si>
  <si>
    <r>
      <t>7. “空亡”的极端性</t>
    </r>
    <r>
      <rPr>
        <sz val="11"/>
        <color theme="1"/>
        <rFont val="等线"/>
        <family val="2"/>
        <charset val="134"/>
        <scheme val="minor"/>
      </rPr>
      <t>：天空代表</t>
    </r>
    <r>
      <rPr>
        <b/>
        <sz val="11"/>
        <color theme="1"/>
        <rFont val="等线"/>
        <family val="3"/>
        <charset val="134"/>
        <scheme val="minor"/>
      </rPr>
      <t>极端</t>
    </r>
    <r>
      <rPr>
        <sz val="11"/>
        <color theme="1"/>
        <rFont val="等线"/>
        <family val="2"/>
        <charset val="134"/>
        <scheme val="minor"/>
      </rPr>
      <t>，要么</t>
    </r>
    <r>
      <rPr>
        <b/>
        <sz val="11"/>
        <color theme="1"/>
        <rFont val="等线"/>
        <family val="3"/>
        <charset val="134"/>
        <scheme val="minor"/>
      </rPr>
      <t>大彻大悟</t>
    </r>
    <r>
      <rPr>
        <sz val="11"/>
        <color theme="1"/>
        <rFont val="等线"/>
        <family val="2"/>
        <charset val="134"/>
        <scheme val="minor"/>
      </rPr>
      <t>，要么</t>
    </r>
    <r>
      <rPr>
        <b/>
        <sz val="11"/>
        <color theme="1"/>
        <rFont val="等线"/>
        <family val="3"/>
        <charset val="134"/>
        <scheme val="minor"/>
      </rPr>
      <t>一事无成</t>
    </r>
    <r>
      <rPr>
        <sz val="11"/>
        <color theme="1"/>
        <rFont val="等线"/>
        <family val="2"/>
        <charset val="134"/>
        <scheme val="minor"/>
      </rPr>
      <t>。其吉凶完全取决于是否将“空”的能量导向</t>
    </r>
    <r>
      <rPr>
        <b/>
        <sz val="11"/>
        <color theme="1"/>
        <rFont val="等线"/>
        <family val="3"/>
        <charset val="134"/>
        <scheme val="minor"/>
      </rPr>
      <t>精神创造</t>
    </r>
    <r>
      <rPr>
        <sz val="11"/>
        <color theme="1"/>
        <rFont val="等线"/>
        <family val="2"/>
        <charset val="134"/>
        <scheme val="minor"/>
      </rPr>
      <t>而非</t>
    </r>
    <r>
      <rPr>
        <b/>
        <sz val="11"/>
        <color theme="1"/>
        <rFont val="等线"/>
        <family val="3"/>
        <charset val="134"/>
        <scheme val="minor"/>
      </rPr>
      <t>现实逃避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</si>
  <si>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高空、太空、寺庙、道观、艺术馆、一切空旷、虚无、用于精神活动的场所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</si>
  <si>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空亡/精神”及其全部引申象征（空幻、灵感、虚无、失去等）出发，系统化推导并呈现了“人/事/物”三个层次的完整解析。天空星为空星，主空灵与落空。其核心在于“虚”与“灵”，常在精神创造、灵感迸发或现实成空的领域显现作用。其吉凶关键在于能否“以空为慧”。最喜与精神性、创造性主星配合，化空灵为智慧；忌与物质性主星同度而无制，则万事成空。在紫占中，天空所在即个人“精神高度”与“现实虚空”之所在，其虚实转化关乎成就的境界。需与地劫（破耗）明确区分，二者一虚一实，共同构成完整的“空劫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</si>
  <si>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地劫星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</si>
  <si>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劫煞</t>
    </r>
    <r>
      <rPr>
        <sz val="12"/>
        <color theme="1"/>
        <rFont val="等线"/>
        <family val="3"/>
        <charset val="134"/>
        <scheme val="minor"/>
      </rPr>
      <t>、破耗、波动、缺陷、冒险、突发、</t>
    </r>
    <r>
      <rPr>
        <b/>
        <sz val="12"/>
        <color theme="1"/>
        <rFont val="等线"/>
        <family val="3"/>
        <charset val="134"/>
        <scheme val="minor"/>
      </rPr>
      <t>损失、投机、漏洞、坑洞、起伏、波动、机会与风险并存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</si>
  <si>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整合自《金刚佛光-紫占课程手册》及相关权威资料，本次彻底构建以“劫煞”为核心，涵盖“破耗、波动、缺陷、冒险、突发”等所有引申义的核心象征网络。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</si>
  <si>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波动、喜冒险、不守常规、有缺陷美、独树一帜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冒险家、投机者、开拓者、破财者、特立独行者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疏离、不喜羁绊、关系起伏大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</si>
  <si>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起伏波动、突发破耗、有缺陷、需冒险、结果难料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破财、损失、投机、突发变故、波折起伏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充满风险、非传统、结果有缺憾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不稳定、跳跃性、非常规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</si>
  <si>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具有缺陷、波动、破耗、冒险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</si>
  <si>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坑洞、陷阱、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有瑕疵的珠宝、破损之物、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</si>
  <si>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悬崖、沟壑、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投机市场、冒险乐园、</t>
    </r>
    <r>
      <rPr>
        <sz val="12"/>
        <color theme="1"/>
        <rFont val="等线"/>
        <family val="3"/>
        <charset val="134"/>
        <scheme val="minor"/>
      </rPr>
      <t>&lt;/ins&gt;残缺、起伏、不规则的形态。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</si>
  <si>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循环系统缺陷、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心律不齐、气血波动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</si>
  <si>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投机市场、风险投资领域、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存在漏洞的体系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</si>
  <si>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破耗、波动、缺陷、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冒险、非常规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</si>
  <si>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本次解析从“劫煞”本质出发，系统推导出其作为“破耗者”、“冒险者”及“缺陷象征”的多重属性，并完整映射至三层结构，特别明确了其与“循环系统”、“投机市场”的关联。</t>
  </si>
  <si>
    <r>
      <t>劫煞与破耗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</si>
  <si>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“劫”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破耗、损失、缺陷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六煞星之一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物质、事业、感情等方面的损耗与缺失</t>
    </r>
    <r>
      <rPr>
        <sz val="12"/>
        <color theme="1"/>
        <rFont val="等线"/>
        <family val="3"/>
        <charset val="134"/>
        <scheme val="minor"/>
      </rPr>
      <t>。</t>
    </r>
  </si>
  <si>
    <t>在命宫、财帛宫时，主钱财破耗，事业起伏，人生多有缺憾。</t>
  </si>
  <si>
    <r>
      <t>波动与冒险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</si>
  <si>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“波动之星”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起伏、冒险、投机、不守成规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带来非常规机会，但也伴随巨大风险</t>
    </r>
    <r>
      <rPr>
        <sz val="12"/>
        <color theme="1"/>
        <rFont val="等线"/>
        <family val="3"/>
        <charset val="134"/>
        <scheme val="minor"/>
      </rPr>
      <t>。</t>
    </r>
  </si>
  <si>
    <t>在迁移宫、官禄宫时，主人生变动大，喜冒险投机，事业大起大落。</t>
  </si>
  <si>
    <r>
      <t>缺陷与独特性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</si>
  <si>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缺陷、独特性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事物不完美、有瑕疵，但也因此独特</t>
    </r>
    <r>
      <rPr>
        <sz val="12"/>
        <color theme="1"/>
        <rFont val="等线"/>
        <family val="3"/>
        <charset val="134"/>
        <scheme val="minor"/>
      </rPr>
      <t>。</t>
    </r>
  </si>
  <si>
    <t>在夫妻宫时，感情易有缺憾；在官禄宫，可能从事冷门或带缺陷美的行业。</t>
  </si>
  <si>
    <r>
      <t>相貌有独特之处，可能带有瑕疵（如胎记、疤痕），或气质孤高、叛逆，给人以与众不同、难以捉摸的印象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</si>
  <si>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：敢于冒险，不墨守成规，有独特想法，创造力强。</t>
    </r>
  </si>
  <si>
    <r>
      <t>缺点</t>
    </r>
    <r>
      <rPr>
        <sz val="12"/>
        <color theme="1"/>
        <rFont val="等线"/>
        <family val="3"/>
        <charset val="134"/>
        <scheme val="minor"/>
      </rPr>
      <t>：粗心大意，破耗多，人生起伏大，不合群，有破坏性。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</si>
  <si>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循环系统、气血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气血不调、心律不齐、先天性缺陷</t>
    </r>
    <r>
      <rPr>
        <sz val="12"/>
        <color theme="1"/>
        <rFont val="等线"/>
        <family val="3"/>
        <charset val="134"/>
        <scheme val="minor"/>
      </rPr>
      <t>等。</t>
    </r>
  </si>
  <si>
    <t>在疾厄宫时显现，尤其与火星、擎羊同度时更验。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</si>
  <si>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聪明但波动，喜冒险投机，一生多成多败，钱财破耗大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喜与吉星或特殊主星同度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“以劫为变”</t>
    </r>
    <r>
      <rPr>
        <sz val="12"/>
        <color theme="1"/>
        <rFont val="等线"/>
        <family val="3"/>
        <charset val="134"/>
        <scheme val="minor"/>
      </rPr>
      <t>，成</t>
    </r>
    <r>
      <rPr>
        <b/>
        <sz val="12"/>
        <color theme="1"/>
        <rFont val="等线"/>
        <family val="3"/>
        <charset val="134"/>
        <scheme val="minor"/>
      </rPr>
      <t>冒险家、发明家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忌独坐或与凶星同度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“劫耗一生”</t>
    </r>
    <r>
      <rPr>
        <sz val="12"/>
        <color theme="1"/>
        <rFont val="等线"/>
        <family val="3"/>
        <charset val="134"/>
        <scheme val="minor"/>
      </rPr>
      <t>，多破败。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</si>
  <si>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缘薄，或关系疏远有隔阂，易有物质上的损耗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</si>
  <si>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不稳定，易有波折或分离，感情有缺憾</t>
    </r>
    <r>
      <rPr>
        <sz val="12"/>
        <color theme="1"/>
        <rFont val="等线"/>
        <family val="3"/>
        <charset val="134"/>
        <scheme val="minor"/>
      </rPr>
      <t>。配偶可能</t>
    </r>
    <r>
      <rPr>
        <b/>
        <sz val="12"/>
        <color theme="1"/>
        <rFont val="等线"/>
        <family val="3"/>
        <charset val="134"/>
        <scheme val="minor"/>
      </rPr>
      <t>有独特个性或从事特殊行业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</si>
  <si>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数量少或有损，子女个性独特叛逆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</si>
  <si>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大进大出，破耗严重，易因投机、冒险损财</t>
    </r>
    <r>
      <rPr>
        <sz val="12"/>
        <color theme="1"/>
        <rFont val="等线"/>
        <family val="3"/>
        <charset val="134"/>
        <scheme val="minor"/>
      </rPr>
      <t>。适合</t>
    </r>
    <r>
      <rPr>
        <b/>
        <sz val="12"/>
        <color theme="1"/>
        <rFont val="等线"/>
        <family val="3"/>
        <charset val="134"/>
        <scheme val="minor"/>
      </rPr>
      <t>风险投资、冷门行业求财</t>
    </r>
    <r>
      <rPr>
        <sz val="12"/>
        <color theme="1"/>
        <rFont val="等线"/>
        <family val="3"/>
        <charset val="134"/>
        <scheme val="minor"/>
      </rPr>
      <t>，但波动极大。</t>
    </r>
  </si>
  <si>
    <r>
      <t>易有先天性缺陷、循环系统疾病、突发性病症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</si>
  <si>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发展起伏大，易遇突发变故、损失，适合冒险性、流动性强的工作</t>
    </r>
    <r>
      <rPr>
        <sz val="12"/>
        <color theme="1"/>
        <rFont val="等线"/>
        <family val="3"/>
        <charset val="134"/>
        <scheme val="minor"/>
      </rPr>
      <t>。</t>
    </r>
  </si>
  <si>
    <r>
      <t>朋友多为冒险投机之辈，关系不稳定，易因朋友破财</t>
    </r>
    <r>
      <rPr>
        <sz val="12"/>
        <color theme="1"/>
        <rFont val="等线"/>
        <family val="3"/>
        <charset val="134"/>
        <scheme val="minor"/>
      </rPr>
      <t>。</t>
    </r>
  </si>
  <si>
    <r>
      <t>事业</t>
    </r>
    <r>
      <rPr>
        <b/>
        <sz val="12"/>
        <color theme="1"/>
        <rFont val="等线"/>
        <family val="3"/>
        <charset val="134"/>
        <scheme val="minor"/>
      </rPr>
      <t>起伏大，适合投机、冒险、冷门、创新行业</t>
    </r>
    <r>
      <rPr>
        <sz val="12"/>
        <color theme="1"/>
        <rFont val="等线"/>
        <family val="3"/>
        <charset val="134"/>
        <scheme val="minor"/>
      </rPr>
      <t>。职业可能</t>
    </r>
    <r>
      <rPr>
        <b/>
        <sz val="12"/>
        <color theme="1"/>
        <rFont val="等线"/>
        <family val="3"/>
        <charset val="134"/>
        <scheme val="minor"/>
      </rPr>
      <t>非传统、有风险</t>
    </r>
    <r>
      <rPr>
        <sz val="12"/>
        <color theme="1"/>
        <rFont val="等线"/>
        <family val="3"/>
        <charset val="134"/>
        <scheme val="minor"/>
      </rPr>
      <t>。</t>
    </r>
  </si>
  <si>
    <r>
      <t>家宅有缺陷（如靠近坑洼），房产易有损失、破耗，不易积存产业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</si>
  <si>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喜冒险刺激，想法独特叛逆，内心波动大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</si>
  <si>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可能从事特殊行业，或与自己缘分较薄，易有物质上的损耗</t>
    </r>
    <r>
      <rPr>
        <sz val="12"/>
        <color theme="1"/>
        <rFont val="等线"/>
        <family val="3"/>
        <charset val="134"/>
        <scheme val="minor"/>
      </rPr>
      <t>。</t>
    </r>
  </si>
  <si>
    <r>
      <t>地劫+紫微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</si>
  <si>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事业大起大落，权力基础不稳，或通过非常规手段上位</t>
    </r>
    <r>
      <rPr>
        <sz val="12"/>
        <color theme="1"/>
        <rFont val="等线"/>
        <family val="3"/>
        <charset val="134"/>
        <scheme val="minor"/>
      </rPr>
      <t>。</t>
    </r>
  </si>
  <si>
    <t>乱世英雄；高风险行业的巨头。</t>
  </si>
  <si>
    <r>
      <t>地劫+七杀</t>
    </r>
    <r>
      <rPr>
        <sz val="12"/>
        <color theme="1"/>
        <rFont val="等线"/>
        <family val="3"/>
        <charset val="134"/>
        <scheme val="minor"/>
      </rPr>
      <t>​</t>
    </r>
  </si>
  <si>
    <r>
      <t>将星遇劫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开拓与破耗叠加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冒险开拓，成败极端，人生剧烈波动</t>
    </r>
    <r>
      <rPr>
        <sz val="12"/>
        <color theme="1"/>
        <rFont val="等线"/>
        <family val="3"/>
        <charset val="134"/>
        <scheme val="minor"/>
      </rPr>
      <t>。</t>
    </r>
  </si>
  <si>
    <t>探险家；高风险投机者。</t>
  </si>
  <si>
    <r>
      <t>地劫+破军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</si>
  <si>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变动中损失巨大，破旧立新过程代价高昂</t>
    </r>
    <r>
      <rPr>
        <sz val="12"/>
        <color theme="1"/>
        <rFont val="等线"/>
        <family val="3"/>
        <charset val="134"/>
        <scheme val="minor"/>
      </rPr>
      <t>。</t>
    </r>
  </si>
  <si>
    <t>破产重组者；激进改革家。</t>
  </si>
  <si>
    <r>
      <t>地劫+贪狼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</si>
  <si>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投机色彩极浓，易因酒色财气一夜暴富或倾家荡产</t>
    </r>
    <r>
      <rPr>
        <sz val="12"/>
        <color theme="1"/>
        <rFont val="等线"/>
        <family val="3"/>
        <charset val="134"/>
        <scheme val="minor"/>
      </rPr>
      <t>。</t>
    </r>
  </si>
  <si>
    <t>赌徒；高风险投资者。</t>
  </si>
  <si>
    <r>
      <t>地劫+武曲</t>
    </r>
    <r>
      <rPr>
        <sz val="12"/>
        <color theme="1"/>
        <rFont val="等线"/>
        <family val="3"/>
        <charset val="134"/>
        <scheme val="minor"/>
      </rPr>
      <t>​</t>
    </r>
  </si>
  <si>
    <r>
      <t>财星遇劫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行动力与破耗矛盾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钱财破耗极大，求财过程波折，适合高风险金融操作</t>
    </r>
    <r>
      <rPr>
        <sz val="12"/>
        <color theme="1"/>
        <rFont val="等线"/>
        <family val="3"/>
        <charset val="134"/>
        <scheme val="minor"/>
      </rPr>
      <t>。</t>
    </r>
  </si>
  <si>
    <t>期货操盘手；资金波动大的商人。</t>
  </si>
  <si>
    <r>
      <t>地劫+太阳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</si>
  <si>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名声有损，或名声来自高风险、有争议的领域</t>
    </r>
    <r>
      <rPr>
        <sz val="12"/>
        <color theme="1"/>
        <rFont val="等线"/>
        <family val="3"/>
        <charset val="134"/>
        <scheme val="minor"/>
      </rPr>
      <t>。</t>
    </r>
  </si>
  <si>
    <t>争议性公众人物；冒险行业的名人。</t>
  </si>
  <si>
    <r>
      <t>地劫+天梁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</si>
  <si>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庇护与破耗矛盾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破财消灾，或通过冒险、非常规方式获得帮助</t>
    </r>
    <r>
      <rPr>
        <sz val="12"/>
        <color theme="1"/>
        <rFont val="等线"/>
        <family val="3"/>
        <charset val="134"/>
        <scheme val="minor"/>
      </rPr>
      <t>。</t>
    </r>
  </si>
  <si>
    <t>从事风险行业的医生；破财挡灾。</t>
  </si>
  <si>
    <r>
      <t>地劫+天机</t>
    </r>
    <r>
      <rPr>
        <sz val="12"/>
        <color theme="1"/>
        <rFont val="等线"/>
        <family val="3"/>
        <charset val="134"/>
        <scheme val="minor"/>
      </rPr>
      <t>​</t>
    </r>
  </si>
  <si>
    <r>
      <t>善星遇劫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智谋与波动结合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思维跳跃，计谋风险高，计划常因意外变故</t>
    </r>
    <r>
      <rPr>
        <sz val="12"/>
        <color theme="1"/>
        <rFont val="等线"/>
        <family val="3"/>
        <charset val="134"/>
        <scheme val="minor"/>
      </rPr>
      <t>。</t>
    </r>
  </si>
  <si>
    <t>冒险的策略家；想法多但难落实。</t>
  </si>
  <si>
    <r>
      <t>地劫+太阴</t>
    </r>
    <r>
      <rPr>
        <sz val="12"/>
        <color theme="1"/>
        <rFont val="等线"/>
        <family val="3"/>
        <charset val="134"/>
        <scheme val="minor"/>
      </rPr>
      <t>​</t>
    </r>
  </si>
  <si>
    <r>
      <t>财星（田宅主）遇劫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财富情感与破耗结合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钱财、房产或情感上突发损失、波动</t>
    </r>
    <r>
      <rPr>
        <sz val="12"/>
        <color theme="1"/>
        <rFont val="等线"/>
        <family val="3"/>
        <charset val="134"/>
        <scheme val="minor"/>
      </rPr>
      <t>。</t>
    </r>
  </si>
  <si>
    <t>房产投机者；感情突发变故。</t>
  </si>
  <si>
    <r>
      <t>地劫+廉贞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</si>
  <si>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复杂与破耗结合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陷入复杂的财务或法律风险，损失难以预料</t>
    </r>
    <r>
      <rPr>
        <sz val="12"/>
        <color theme="1"/>
        <rFont val="等线"/>
        <family val="3"/>
        <charset val="134"/>
        <scheme val="minor"/>
      </rPr>
      <t>。</t>
    </r>
  </si>
  <si>
    <t>涉足灰色地带的商人；法律风险高的职业。</t>
  </si>
  <si>
    <r>
      <t>地劫+天府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</si>
  <si>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库藏与破耗矛盾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财库有漏洞，积蓄难守，或通过非传统方式守财</t>
    </r>
    <r>
      <rPr>
        <sz val="12"/>
        <color theme="1"/>
        <rFont val="等线"/>
        <family val="3"/>
        <charset val="134"/>
        <scheme val="minor"/>
      </rPr>
      <t>。</t>
    </r>
  </si>
  <si>
    <t>财务管理者（有漏洞）；另类资产收藏家。</t>
  </si>
  <si>
    <r>
      <t>地劫+禄存</t>
    </r>
    <r>
      <rPr>
        <sz val="12"/>
        <color theme="1"/>
        <rFont val="等线"/>
        <family val="3"/>
        <charset val="134"/>
        <scheme val="minor"/>
      </rPr>
      <t>​</t>
    </r>
  </si>
  <si>
    <r>
      <t>劫禄相逢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破耗与财库直接冲突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钱财上大起大落，暴富暴败，财来财去</t>
    </r>
    <r>
      <rPr>
        <sz val="12"/>
        <color theme="1"/>
        <rFont val="等线"/>
        <family val="3"/>
        <charset val="134"/>
        <scheme val="minor"/>
      </rPr>
      <t>。</t>
    </r>
  </si>
  <si>
    <t>投机客；财运极不稳定者。</t>
  </si>
  <si>
    <r>
      <t>地劫+火星/铃星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</si>
  <si>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火劫/铃劫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暴烈与破耗叠加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突发性的巨大破耗、损失、灾祸</t>
    </r>
    <r>
      <rPr>
        <sz val="12"/>
        <color theme="1"/>
        <rFont val="等线"/>
        <family val="3"/>
        <charset val="134"/>
        <scheme val="minor"/>
      </rPr>
      <t>。</t>
    </r>
  </si>
  <si>
    <t>突发破产；意外事故导致重大损失。</t>
  </si>
  <si>
    <r>
      <t>地劫+天空</t>
    </r>
    <r>
      <rPr>
        <sz val="12"/>
        <color theme="1"/>
        <rFont val="等线"/>
        <family val="3"/>
        <charset val="134"/>
        <scheme val="minor"/>
      </rPr>
      <t>​</t>
    </r>
  </si>
  <si>
    <r>
      <t>空劫重逢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空亡与劫煞结合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物质与精神双重破耗，万事成空，波动极大</t>
    </r>
    <r>
      <rPr>
        <sz val="12"/>
        <color theme="1"/>
        <rFont val="等线"/>
        <family val="3"/>
        <charset val="134"/>
        <scheme val="minor"/>
      </rPr>
      <t>。</t>
    </r>
  </si>
  <si>
    <t>理想主义的冒险家（易失败）；修行者（看破物质）。</t>
  </si>
  <si>
    <r>
      <t>1. “劫煞”与“波动”本质</t>
    </r>
    <r>
      <rPr>
        <sz val="11"/>
        <color theme="1"/>
        <rFont val="等线"/>
        <family val="2"/>
        <charset val="134"/>
        <scheme val="minor"/>
      </rPr>
      <t>：地劫化气为</t>
    </r>
    <r>
      <rPr>
        <b/>
        <sz val="11"/>
        <color theme="1"/>
        <rFont val="等线"/>
        <family val="3"/>
        <charset val="134"/>
        <scheme val="minor"/>
      </rPr>
      <t>“劫”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破耗、波动、缺陷、冒险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在波动与冒险中经历得失，常有意外破耗与独特机遇</t>
    </r>
    <r>
      <rPr>
        <sz val="11"/>
        <color theme="1"/>
        <rFont val="等线"/>
        <family val="2"/>
        <charset val="134"/>
        <scheme val="minor"/>
      </rPr>
      <t>。它既是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（主破耗），也是</t>
    </r>
    <r>
      <rPr>
        <b/>
        <sz val="11"/>
        <color theme="1"/>
        <rFont val="等线"/>
        <family val="3"/>
        <charset val="134"/>
        <scheme val="minor"/>
      </rPr>
      <t>变数星</t>
    </r>
    <r>
      <rPr>
        <sz val="11"/>
        <color theme="1"/>
        <rFont val="等线"/>
        <family val="2"/>
        <charset val="134"/>
        <scheme val="minor"/>
      </rPr>
      <t>（主非常规机会）。</t>
    </r>
  </si>
  <si>
    <r>
      <t>2. “火”性与“缺陷”</t>
    </r>
    <r>
      <rPr>
        <sz val="11"/>
        <color theme="1"/>
        <rFont val="等线"/>
        <family val="2"/>
        <charset val="134"/>
        <scheme val="minor"/>
      </rPr>
      <t>：地劫属</t>
    </r>
    <r>
      <rPr>
        <b/>
        <sz val="11"/>
        <color theme="1"/>
        <rFont val="等线"/>
        <family val="3"/>
        <charset val="134"/>
        <scheme val="minor"/>
      </rPr>
      <t>丙火</t>
    </r>
    <r>
      <rPr>
        <sz val="11"/>
        <color theme="1"/>
        <rFont val="等线"/>
        <family val="2"/>
        <charset val="134"/>
        <scheme val="minor"/>
      </rPr>
      <t>，火性波动、跳跃。其破耗是</t>
    </r>
    <r>
      <rPr>
        <b/>
        <sz val="11"/>
        <color theme="1"/>
        <rFont val="等线"/>
        <family val="3"/>
        <charset val="134"/>
        <scheme val="minor"/>
      </rPr>
      <t>实质性的损失、缺陷、起伏</t>
    </r>
    <r>
      <rPr>
        <sz val="11"/>
        <color theme="1"/>
        <rFont val="等线"/>
        <family val="2"/>
        <charset val="134"/>
        <scheme val="minor"/>
      </rPr>
      <t>，与天空的</t>
    </r>
    <r>
      <rPr>
        <b/>
        <sz val="11"/>
        <color theme="1"/>
        <rFont val="等线"/>
        <family val="3"/>
        <charset val="134"/>
        <scheme val="minor"/>
      </rPr>
      <t>“空亡”、“精神虚耗”</t>
    </r>
    <r>
      <rPr>
        <sz val="11"/>
        <color theme="1"/>
        <rFont val="等线"/>
        <family val="2"/>
        <charset val="134"/>
        <scheme val="minor"/>
      </rPr>
      <t>形成虚实对比。</t>
    </r>
    <r>
      <rPr>
        <b/>
        <sz val="11"/>
        <color theme="1"/>
        <rFont val="等线"/>
        <family val="3"/>
        <charset val="134"/>
        <scheme val="minor"/>
      </rPr>
      <t>天空是虚的消失，地劫是实的破损与波动</t>
    </r>
    <r>
      <rPr>
        <sz val="11"/>
        <color theme="1"/>
        <rFont val="等线"/>
        <family val="2"/>
        <charset val="134"/>
        <scheme val="minor"/>
      </rPr>
      <t>。</t>
    </r>
  </si>
  <si>
    <r>
      <t>3. “以劫为变”的辩证</t>
    </r>
    <r>
      <rPr>
        <sz val="11"/>
        <color theme="1"/>
        <rFont val="等线"/>
        <family val="2"/>
        <charset val="134"/>
        <scheme val="minor"/>
      </rPr>
      <t>：地劫虽为煞星，但与</t>
    </r>
    <r>
      <rPr>
        <b/>
        <sz val="11"/>
        <color theme="1"/>
        <rFont val="等线"/>
        <family val="3"/>
        <charset val="134"/>
        <scheme val="minor"/>
      </rPr>
      <t>具有开创性、冒险精神的主星（如七杀、破军、贪狼）或吉星</t>
    </r>
    <r>
      <rPr>
        <sz val="11"/>
        <color theme="1"/>
        <rFont val="等线"/>
        <family val="2"/>
        <charset val="134"/>
        <scheme val="minor"/>
      </rPr>
      <t>同度时，能</t>
    </r>
    <r>
      <rPr>
        <b/>
        <sz val="11"/>
        <color theme="1"/>
        <rFont val="等线"/>
        <family val="3"/>
        <charset val="134"/>
        <scheme val="minor"/>
      </rPr>
      <t>激发非凡的勇气与创造力，敢于走常人不敢走的路，从而在波动中抓住巨大机遇</t>
    </r>
    <r>
      <rPr>
        <sz val="11"/>
        <color theme="1"/>
        <rFont val="等线"/>
        <family val="2"/>
        <charset val="134"/>
        <scheme val="minor"/>
      </rPr>
      <t>。此为</t>
    </r>
    <r>
      <rPr>
        <b/>
        <sz val="11"/>
        <color theme="1"/>
        <rFont val="等线"/>
        <family val="3"/>
        <charset val="134"/>
        <scheme val="minor"/>
      </rPr>
      <t>“以劫为变”</t>
    </r>
    <r>
      <rPr>
        <sz val="11"/>
        <color theme="1"/>
        <rFont val="等线"/>
        <family val="2"/>
        <charset val="134"/>
        <scheme val="minor"/>
      </rPr>
      <t>。若独守或与凶星同度，则主</t>
    </r>
    <r>
      <rPr>
        <b/>
        <sz val="11"/>
        <color theme="1"/>
        <rFont val="等线"/>
        <family val="3"/>
        <charset val="134"/>
        <scheme val="minor"/>
      </rPr>
      <t>一生破耗起伏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</si>
  <si>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：地劫星所在宫位，指示在人生的哪个领域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最易出现破耗、波动、缺陷，或需要冒险、非常规操作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冒险精神与独特性的投射领域</t>
    </r>
    <r>
      <rPr>
        <sz val="11"/>
        <color theme="1"/>
        <rFont val="等线"/>
        <family val="2"/>
        <charset val="134"/>
        <scheme val="minor"/>
      </rPr>
      <t>。</t>
    </r>
  </si>
  <si>
    <r>
      <t>5. “火”性的延伸</t>
    </r>
    <r>
      <rPr>
        <sz val="11"/>
        <color theme="1"/>
        <rFont val="等线"/>
        <family val="2"/>
        <charset val="134"/>
        <scheme val="minor"/>
      </rPr>
      <t>：属丙火，主</t>
    </r>
    <r>
      <rPr>
        <b/>
        <sz val="11"/>
        <color theme="1"/>
        <rFont val="等线"/>
        <family val="3"/>
        <charset val="134"/>
        <scheme val="minor"/>
      </rPr>
      <t>波动、缺陷、冒险</t>
    </r>
    <r>
      <rPr>
        <sz val="11"/>
        <color theme="1"/>
        <rFont val="等线"/>
        <family val="2"/>
        <charset val="134"/>
        <scheme val="minor"/>
      </rPr>
      <t>。其“劫”性在物质层面对应</t>
    </r>
    <r>
      <rPr>
        <b/>
        <sz val="11"/>
        <color theme="1"/>
        <rFont val="等线"/>
        <family val="3"/>
        <charset val="134"/>
        <scheme val="minor"/>
      </rPr>
      <t>坑洞、陷阱（有缺陷的地形）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循环系统、气血（波动、不畅）</t>
    </r>
    <r>
      <rPr>
        <sz val="11"/>
        <color theme="1"/>
        <rFont val="等线"/>
        <family val="2"/>
        <charset val="134"/>
        <scheme val="minor"/>
      </rPr>
      <t>；在社会层面体现为</t>
    </r>
    <r>
      <rPr>
        <b/>
        <sz val="11"/>
        <color theme="1"/>
        <rFont val="等线"/>
        <family val="3"/>
        <charset val="134"/>
        <scheme val="minor"/>
      </rPr>
      <t>投机市场、风险行业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</si>
  <si>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四化与劫性</t>
    </r>
    <r>
      <rPr>
        <sz val="11"/>
        <color theme="1"/>
        <rFont val="等线"/>
        <family val="2"/>
        <charset val="134"/>
        <scheme val="minor"/>
      </rPr>
      <t>：地劫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。但其劫性会被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引动而加剧破耗，被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缓和（波动中得财，但依然不稳定）。</t>
    </r>
  </si>
  <si>
    <r>
      <t>7. “劫煞”的突发性与起伏性</t>
    </r>
    <r>
      <rPr>
        <sz val="11"/>
        <color theme="1"/>
        <rFont val="等线"/>
        <family val="2"/>
        <charset val="134"/>
        <scheme val="minor"/>
      </rPr>
      <t>：地劫代表</t>
    </r>
    <r>
      <rPr>
        <b/>
        <sz val="11"/>
        <color theme="1"/>
        <rFont val="等线"/>
        <family val="3"/>
        <charset val="134"/>
        <scheme val="minor"/>
      </rPr>
      <t>突发性的破耗与剧烈的起伏</t>
    </r>
    <r>
      <rPr>
        <sz val="11"/>
        <color theme="1"/>
        <rFont val="等线"/>
        <family val="2"/>
        <charset val="134"/>
        <scheme val="minor"/>
      </rPr>
      <t>。它不像陀罗那样拖延，而是</t>
    </r>
    <r>
      <rPr>
        <b/>
        <sz val="11"/>
        <color theme="1"/>
        <rFont val="等线"/>
        <family val="3"/>
        <charset val="134"/>
        <scheme val="minor"/>
      </rPr>
      <t>突然发生、大起大落</t>
    </r>
    <r>
      <rPr>
        <sz val="11"/>
        <color theme="1"/>
        <rFont val="等线"/>
        <family val="2"/>
        <charset val="134"/>
        <scheme val="minor"/>
      </rPr>
      <t>。其所在领域，</t>
    </r>
    <r>
      <rPr>
        <b/>
        <sz val="11"/>
        <color theme="1"/>
        <rFont val="等线"/>
        <family val="3"/>
        <charset val="134"/>
        <scheme val="minor"/>
      </rPr>
      <t>得与失都来得突然且极端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</si>
  <si>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坑洞、悬崖、沟壑、投机市场、赌场、一切有缺陷、有风险、起伏波动的场所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</si>
  <si>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劫煞/破耗”及其全部引申象征（波动、缺陷、冒险、突发等）出发，系统化推导并呈现了“人/事/物”三个层次的完整解析。地劫星为劫煞，主破耗与波动。其核心在于“实”与“变”，常在物质财富、事业机遇等需要承担风险的领域显现其破坏或激发作用。其吉凶关键在于能否“以劫为变”。最喜与开创性主星配合，化波动为机遇；忌独坐或与凶星同度，则破耗起伏。在紫占中，地劫所在即个人“风险敞口”与“非常规机遇”之所在，其起伏波动关乎财富的聚散与人生的转折。需与天空（空亡）明确区分，二者一实一虚，共同构成完整的“空劫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</si>
  <si>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火星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</si>
  <si>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杀星</t>
    </r>
    <r>
      <rPr>
        <sz val="12"/>
        <color theme="1"/>
        <rFont val="等线"/>
        <family val="3"/>
        <charset val="134"/>
        <scheme val="minor"/>
      </rPr>
      <t>、阳火、急速、暴躁、破坏、火灾、意外、</t>
    </r>
    <r>
      <rPr>
        <b/>
        <sz val="12"/>
        <color theme="1"/>
        <rFont val="等线"/>
        <family val="3"/>
        <charset val="134"/>
        <scheme val="minor"/>
      </rPr>
      <t>竞争、活力、手术、血光、爆炸、冲突、急性、发动机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</si>
  <si>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整合自《金刚佛光-紫占课程手册》及相关权威资料，本次彻底构建以“杀”为核心，涵盖“急速、暴躁、破坏、火灾、意外”等所有引申义的核心象征网络。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</si>
  <si>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急躁、易怒、冲动、活力充沛、竞争性强、有爆发力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急性子、竞争者、破坏者、急救人员、运动员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易发生激烈冲突、言辞火爆、关系紧张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</si>
  <si>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急速、突发、激烈、有破坏性、结果迅速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火灾、爆炸、冲突、意外、手术、竞争、急性事件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需要快速反应、充满激情、结果立现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爆发性、不可预测、破坏性强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</si>
  <si>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具有火、急速、破坏、竞争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</si>
  <si>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火、爆炸物、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发动机、尖锐工具、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</si>
  <si>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火灾现场、战场、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急诊室、竞技场、</t>
    </r>
    <r>
      <rPr>
        <sz val="12"/>
        <color theme="1"/>
        <rFont val="等线"/>
        <family val="3"/>
        <charset val="134"/>
        <scheme val="minor"/>
      </rPr>
      <t>&lt;/ins&gt;高温、尖锐、充满能量的形态。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</si>
  <si>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血液循环系统、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急性炎症、发烧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</si>
  <si>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急救系统、消防系统、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竞技体育体系、冲突解决机制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</si>
  <si>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急速、破坏、竞争、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激情、爆发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</si>
  <si>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本次解析从“杀”本质出发，系统推导出其作为“破坏者”、“竞争者”及“急速象征”的多重属性，并完整映射至三层结构，特别明确了其与“血液循环”、“火灾”及“急救系统”的关联。</t>
  </si>
  <si>
    <r>
      <t>杀星与急速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</si>
  <si>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“杀”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急速、暴躁、破坏、意外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六煞星之一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突发性的伤害与冲突</t>
    </r>
    <r>
      <rPr>
        <sz val="12"/>
        <color theme="1"/>
        <rFont val="等线"/>
        <family val="3"/>
        <charset val="134"/>
        <scheme val="minor"/>
      </rPr>
      <t>。</t>
    </r>
  </si>
  <si>
    <t>在命宫、疾厄宫时，主个性急躁易怒，一生多突发灾祸、意外伤害或急性病。</t>
  </si>
  <si>
    <r>
      <t>火性与破坏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</si>
  <si>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“火性之星”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火、爆炸、火灾、急性发炎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带来激情与活力，但也带来破坏</t>
    </r>
    <r>
      <rPr>
        <sz val="12"/>
        <color theme="1"/>
        <rFont val="等线"/>
        <family val="3"/>
        <charset val="134"/>
        <scheme val="minor"/>
      </rPr>
      <t>。</t>
    </r>
  </si>
  <si>
    <t>在田宅宫时，需注意火灾；在疾厄宫，主发烧、急性炎症。</t>
  </si>
  <si>
    <r>
      <t>竞争与活力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</si>
  <si>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竞争、活力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好胜心强，精力旺盛，行动迅速</t>
    </r>
    <r>
      <rPr>
        <sz val="12"/>
        <color theme="1"/>
        <rFont val="等线"/>
        <family val="3"/>
        <charset val="134"/>
        <scheme val="minor"/>
      </rPr>
      <t>。</t>
    </r>
  </si>
  <si>
    <t>在官禄宫、财帛宫时，主事业上勇于竞争，但易因急躁出错。</t>
  </si>
  <si>
    <r>
      <t>相貌带威，面色红润，眼神锐利，动作迅速，给人以急躁、有冲劲的印象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</si>
  <si>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：行动力强，有冲劲，反应快，竞争意识强，有激情。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</si>
  <si>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：急躁易怒，缺乏耐心，好争斗，不计后果，破坏性强。</t>
    </r>
  </si>
  <si>
    <r>
      <t>属阳火，主</t>
    </r>
    <r>
      <rPr>
        <b/>
        <sz val="12"/>
        <color theme="1"/>
        <rFont val="等线"/>
        <family val="3"/>
        <charset val="134"/>
        <scheme val="minor"/>
      </rPr>
      <t>血液循环、心脏、发烧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高血压、心脏病、急性炎症、发烧、意外烧伤</t>
    </r>
    <r>
      <rPr>
        <sz val="12"/>
        <color theme="1"/>
        <rFont val="等线"/>
        <family val="3"/>
        <charset val="134"/>
        <scheme val="minor"/>
      </rPr>
      <t>等。</t>
    </r>
  </si>
  <si>
    <t>在疾厄宫时显现，尤其与擎羊、铃星同度时更验。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</si>
  <si>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急躁冲动，精力旺盛，一生多突发变故与竞争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喜与吉星或有力主星同度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“以杀为用”</t>
    </r>
    <r>
      <rPr>
        <sz val="12"/>
        <color theme="1"/>
        <rFont val="等线"/>
        <family val="3"/>
        <charset val="134"/>
        <scheme val="minor"/>
      </rPr>
      <t>，成</t>
    </r>
    <r>
      <rPr>
        <b/>
        <sz val="12"/>
        <color theme="1"/>
        <rFont val="等线"/>
        <family val="3"/>
        <charset val="134"/>
        <scheme val="minor"/>
      </rPr>
      <t>开拓型猛将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忌独坐或与凶星同度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“暴戾孤克”</t>
    </r>
    <r>
      <rPr>
        <sz val="12"/>
        <color theme="1"/>
        <rFont val="等线"/>
        <family val="3"/>
        <charset val="134"/>
        <scheme val="minor"/>
      </rPr>
      <t>，多灾厄。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</si>
  <si>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易有激烈争执，关系紧张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</si>
  <si>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易有争吵冲突，恋爱或结婚过程迅速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</si>
  <si>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个性急躁好动，生产过程可能迅速或需急产手术</t>
    </r>
    <r>
      <rPr>
        <sz val="12"/>
        <color theme="1"/>
        <rFont val="等线"/>
        <family val="3"/>
        <charset val="134"/>
        <scheme val="minor"/>
      </rPr>
      <t>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</si>
  <si>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积极但冒险，钱财来得快去得也快，易因冲动破财</t>
    </r>
    <r>
      <rPr>
        <sz val="12"/>
        <color theme="1"/>
        <rFont val="等线"/>
        <family val="3"/>
        <charset val="134"/>
        <scheme val="minor"/>
      </rPr>
      <t>。</t>
    </r>
  </si>
  <si>
    <r>
      <t>易有急性病、发烧、炎症、意外伤害（尤其火烧、电击）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</si>
  <si>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易遇突发事故、冲突，出行需注意安全</t>
    </r>
    <r>
      <rPr>
        <sz val="12"/>
        <color theme="1"/>
        <rFont val="等线"/>
        <family val="3"/>
        <charset val="134"/>
        <scheme val="minor"/>
      </rPr>
      <t>。</t>
    </r>
  </si>
  <si>
    <r>
      <t>朋友、同事中多急躁或好斗之人，易与朋友发生冲突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</si>
  <si>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军警、消防、急救、竞技体育、机械、电力等需要快速反应或竞争激烈的行业</t>
    </r>
    <r>
      <rPr>
        <sz val="12"/>
        <color theme="1"/>
        <rFont val="等线"/>
        <family val="3"/>
        <charset val="134"/>
        <scheme val="minor"/>
      </rPr>
      <t>。</t>
    </r>
  </si>
  <si>
    <r>
      <t>需注意火灾、电路问题，家宅不宁，易有争吵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</si>
  <si>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急躁，思虑过多，内心常有冲突感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</si>
  <si>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管教严厉或性格急躁，与父母易有冲突</t>
    </r>
    <r>
      <rPr>
        <sz val="12"/>
        <color theme="1"/>
        <rFont val="等线"/>
        <family val="3"/>
        <charset val="134"/>
        <scheme val="minor"/>
      </rPr>
      <t>。</t>
    </r>
  </si>
  <si>
    <r>
      <t>火星+紫微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</si>
  <si>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权威与暴躁结合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行事霸道急躁，易因冲动决策树敌</t>
    </r>
    <r>
      <rPr>
        <sz val="12"/>
        <color theme="1"/>
        <rFont val="等线"/>
        <family val="3"/>
        <charset val="134"/>
        <scheme val="minor"/>
      </rPr>
      <t>。</t>
    </r>
  </si>
  <si>
    <t>铁腕领袖；暴君。</t>
  </si>
  <si>
    <r>
      <t>火星+七杀</t>
    </r>
    <r>
      <rPr>
        <sz val="12"/>
        <color theme="1"/>
        <rFont val="等线"/>
        <family val="3"/>
        <charset val="134"/>
        <scheme val="minor"/>
      </rPr>
      <t>​</t>
    </r>
  </si>
  <si>
    <r>
      <t>双杀星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杀气与破坏力叠加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勇猛过人，好斗，一生多血光与剧烈变动</t>
    </r>
    <r>
      <rPr>
        <sz val="12"/>
        <color theme="1"/>
        <rFont val="等线"/>
        <family val="3"/>
        <charset val="134"/>
        <scheme val="minor"/>
      </rPr>
      <t>。</t>
    </r>
  </si>
  <si>
    <t>特种兵；高风险运动员。</t>
  </si>
  <si>
    <r>
      <t>火星+破军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</si>
  <si>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破坏力与急速结合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变动剧烈且迅速，破坏力极强</t>
    </r>
    <r>
      <rPr>
        <sz val="12"/>
        <color theme="1"/>
        <rFont val="等线"/>
        <family val="3"/>
        <charset val="134"/>
        <scheme val="minor"/>
      </rPr>
      <t>。</t>
    </r>
  </si>
  <si>
    <t>爆破专家；激进改革者。</t>
  </si>
  <si>
    <r>
      <t>火星+贪狼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</si>
  <si>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欲望与冲动结合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为达目的不择手段，易因酒色财气惹祸</t>
    </r>
    <r>
      <rPr>
        <sz val="12"/>
        <color theme="1"/>
        <rFont val="等线"/>
        <family val="3"/>
        <charset val="134"/>
        <scheme val="minor"/>
      </rPr>
      <t>。</t>
    </r>
  </si>
  <si>
    <t>投机客；冒险的商人。</t>
  </si>
  <si>
    <r>
      <t>火星+武曲</t>
    </r>
    <r>
      <rPr>
        <sz val="12"/>
        <color theme="1"/>
        <rFont val="等线"/>
        <family val="3"/>
        <charset val="134"/>
        <scheme val="minor"/>
      </rPr>
      <t>​</t>
    </r>
  </si>
  <si>
    <r>
      <t>财星遇杀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行动力与急躁在求财中展现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求财急切，适合高风险、快节奏的金融操作</t>
    </r>
    <r>
      <rPr>
        <sz val="12"/>
        <color theme="1"/>
        <rFont val="等线"/>
        <family val="3"/>
        <charset val="134"/>
        <scheme val="minor"/>
      </rPr>
      <t>。</t>
    </r>
  </si>
  <si>
    <t>短线交易员；急功近利的商人。</t>
  </si>
  <si>
    <r>
      <t>火星+太阳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</si>
  <si>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光明与暴躁结合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事业竞争激烈，易因急躁出名或招是非</t>
    </r>
    <r>
      <rPr>
        <sz val="12"/>
        <color theme="1"/>
        <rFont val="等线"/>
        <family val="3"/>
        <charset val="134"/>
        <scheme val="minor"/>
      </rPr>
      <t>。</t>
    </r>
  </si>
  <si>
    <t>急先锋；有争议的公众人物。</t>
  </si>
  <si>
    <r>
      <t>火星+天梁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</si>
  <si>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庇护与急躁矛盾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急中生智，通过快速行动解决问题，但也可能因急出错</t>
    </r>
    <r>
      <rPr>
        <sz val="12"/>
        <color theme="1"/>
        <rFont val="等线"/>
        <family val="3"/>
        <charset val="134"/>
        <scheme val="minor"/>
      </rPr>
      <t>。</t>
    </r>
  </si>
  <si>
    <t>急诊医生；快速决策的救援者。</t>
  </si>
  <si>
    <r>
      <t>火星+廉贞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</si>
  <si>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复杂与暴躁结合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易陷入激烈的法律纠纷或情感冲突</t>
    </r>
    <r>
      <rPr>
        <sz val="12"/>
        <color theme="1"/>
        <rFont val="等线"/>
        <family val="3"/>
        <charset val="134"/>
        <scheme val="minor"/>
      </rPr>
      <t>。</t>
    </r>
  </si>
  <si>
    <t>暴躁的律师；情感纠葛激烈者。</t>
  </si>
  <si>
    <r>
      <t>火星+巨门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</si>
  <si>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是非与暴躁结合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口舌是非激烈，易有公开争吵、诉讼</t>
    </r>
    <r>
      <rPr>
        <sz val="12"/>
        <color theme="1"/>
        <rFont val="等线"/>
        <family val="3"/>
        <charset val="134"/>
        <scheme val="minor"/>
      </rPr>
      <t>。</t>
    </r>
  </si>
  <si>
    <t>激烈的辩论者；诉讼当事人。</t>
  </si>
  <si>
    <r>
      <t>火星+天相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</si>
  <si>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协调与急躁矛盾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文书、合同易出急错，人际关系易突发冲突</t>
    </r>
    <r>
      <rPr>
        <sz val="12"/>
        <color theme="1"/>
        <rFont val="等线"/>
        <family val="3"/>
        <charset val="134"/>
        <scheme val="minor"/>
      </rPr>
      <t>。</t>
    </r>
  </si>
  <si>
    <t>粗心的文书；易怒的协调者。</t>
  </si>
  <si>
    <r>
      <t>火星+禄存</t>
    </r>
    <r>
      <rPr>
        <sz val="12"/>
        <color theme="1"/>
        <rFont val="等线"/>
        <family val="3"/>
        <charset val="134"/>
        <scheme val="minor"/>
      </rPr>
      <t>​</t>
    </r>
  </si>
  <si>
    <r>
      <t>火禄相逢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急躁与财库冲突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钱财来得急去得也急，暴富暴败</t>
    </r>
    <r>
      <rPr>
        <sz val="12"/>
        <color theme="1"/>
        <rFont val="等线"/>
        <family val="3"/>
        <charset val="134"/>
        <scheme val="minor"/>
      </rPr>
      <t>。</t>
    </r>
  </si>
  <si>
    <t>投机者；财运大起大落者。</t>
  </si>
  <si>
    <r>
      <t>火星+擎羊</t>
    </r>
    <r>
      <rPr>
        <sz val="12"/>
        <color theme="1"/>
        <rFont val="等线"/>
        <family val="3"/>
        <charset val="134"/>
        <scheme val="minor"/>
      </rPr>
      <t>​</t>
    </r>
  </si>
  <si>
    <r>
      <t>火羊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暴烈与刑伤叠加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突发性的严重伤害、冲突、灾祸</t>
    </r>
    <r>
      <rPr>
        <sz val="12"/>
        <color theme="1"/>
        <rFont val="等线"/>
        <family val="3"/>
        <charset val="134"/>
        <scheme val="minor"/>
      </rPr>
      <t>，煞气极重。</t>
    </r>
  </si>
  <si>
    <r>
      <t>火星+铃星</t>
    </r>
    <r>
      <rPr>
        <sz val="12"/>
        <color theme="1"/>
        <rFont val="等线"/>
        <family val="3"/>
        <charset val="134"/>
        <scheme val="minor"/>
      </rPr>
      <t>​</t>
    </r>
  </si>
  <si>
    <r>
      <t>火铃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双火煞星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火灾、爆炸、极度暴躁、突发性灾难</t>
    </r>
    <r>
      <rPr>
        <sz val="12"/>
        <color theme="1"/>
        <rFont val="等线"/>
        <family val="3"/>
        <charset val="134"/>
        <scheme val="minor"/>
      </rPr>
      <t>。</t>
    </r>
  </si>
  <si>
    <t>消防员（职业对应）；爆炸事故。</t>
  </si>
  <si>
    <r>
      <t>火星+地空/地劫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</si>
  <si>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火空/火劫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暴烈与空亡/破耗结合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突发性的破耗成空，或激情来得快去得也快</t>
    </r>
    <r>
      <rPr>
        <sz val="12"/>
        <color theme="1"/>
        <rFont val="等线"/>
        <family val="3"/>
        <charset val="134"/>
        <scheme val="minor"/>
      </rPr>
      <t>。</t>
    </r>
  </si>
  <si>
    <t>冲动投资血本无归；突发灵感但无法持续。</t>
  </si>
  <si>
    <r>
      <t>1. “杀”与“急速”本质</t>
    </r>
    <r>
      <rPr>
        <sz val="11"/>
        <color theme="1"/>
        <rFont val="等线"/>
        <family val="2"/>
        <charset val="134"/>
        <scheme val="minor"/>
      </rPr>
      <t>：火星化气为</t>
    </r>
    <r>
      <rPr>
        <b/>
        <sz val="11"/>
        <color theme="1"/>
        <rFont val="等线"/>
        <family val="3"/>
        <charset val="134"/>
        <scheme val="minor"/>
      </rPr>
      <t>“杀”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急速、暴躁、破坏、意外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在爆发与冲突中快速推进</t>
    </r>
    <r>
      <rPr>
        <sz val="11"/>
        <color theme="1"/>
        <rFont val="等线"/>
        <family val="2"/>
        <charset val="134"/>
        <scheme val="minor"/>
      </rPr>
      <t>。它既是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（带来突发伤害），也是</t>
    </r>
    <r>
      <rPr>
        <b/>
        <sz val="11"/>
        <color theme="1"/>
        <rFont val="等线"/>
        <family val="3"/>
        <charset val="134"/>
        <scheme val="minor"/>
      </rPr>
      <t>活力星</t>
    </r>
    <r>
      <rPr>
        <sz val="11"/>
        <color theme="1"/>
        <rFont val="等线"/>
        <family val="2"/>
        <charset val="134"/>
        <scheme val="minor"/>
      </rPr>
      <t>（激发行动力与竞争力）。</t>
    </r>
  </si>
  <si>
    <r>
      <t>2. “阳火”与“明爆”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阳火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猛烈、急速</t>
    </r>
    <r>
      <rPr>
        <sz val="11"/>
        <color theme="1"/>
        <rFont val="等线"/>
        <family val="2"/>
        <charset val="134"/>
        <scheme val="minor"/>
      </rPr>
      <t>。其伤害与冲突是</t>
    </r>
    <r>
      <rPr>
        <b/>
        <sz val="11"/>
        <color theme="1"/>
        <rFont val="等线"/>
        <family val="3"/>
        <charset val="134"/>
        <scheme val="minor"/>
      </rPr>
      <t>公开的、迅速的、爆发性的</t>
    </r>
    <r>
      <rPr>
        <sz val="11"/>
        <color theme="1"/>
        <rFont val="等线"/>
        <family val="2"/>
        <charset val="134"/>
        <scheme val="minor"/>
      </rPr>
      <t>，与铃星的</t>
    </r>
    <r>
      <rPr>
        <b/>
        <sz val="11"/>
        <color theme="1"/>
        <rFont val="等线"/>
        <family val="3"/>
        <charset val="134"/>
        <scheme val="minor"/>
      </rPr>
      <t>“阴火”、“暗爆”</t>
    </r>
    <r>
      <rPr>
        <sz val="11"/>
        <color theme="1"/>
        <rFont val="等线"/>
        <family val="2"/>
        <charset val="134"/>
        <scheme val="minor"/>
      </rPr>
      <t>形成对比。</t>
    </r>
    <r>
      <rPr>
        <b/>
        <sz val="11"/>
        <color theme="1"/>
        <rFont val="等线"/>
        <family val="3"/>
        <charset val="134"/>
        <scheme val="minor"/>
      </rPr>
      <t>火星是明火，铃星是暗火；火星是急性发作，铃星是慢性煎熬</t>
    </r>
    <r>
      <rPr>
        <sz val="11"/>
        <color theme="1"/>
        <rFont val="等线"/>
        <family val="2"/>
        <charset val="134"/>
        <scheme val="minor"/>
      </rPr>
      <t>。</t>
    </r>
  </si>
  <si>
    <r>
      <t>3. “以杀为用”的辩证</t>
    </r>
    <r>
      <rPr>
        <sz val="11"/>
        <color theme="1"/>
        <rFont val="等线"/>
        <family val="2"/>
        <charset val="134"/>
        <scheme val="minor"/>
      </rPr>
      <t>：火星虽为煞星，但与</t>
    </r>
    <r>
      <rPr>
        <b/>
        <sz val="11"/>
        <color theme="1"/>
        <rFont val="等线"/>
        <family val="3"/>
        <charset val="134"/>
        <scheme val="minor"/>
      </rPr>
      <t>强有力的主星（如七杀、破军）或吉星</t>
    </r>
    <r>
      <rPr>
        <sz val="11"/>
        <color theme="1"/>
        <rFont val="等线"/>
        <family val="2"/>
        <charset val="134"/>
        <scheme val="minor"/>
      </rPr>
      <t>同度时，能</t>
    </r>
    <r>
      <rPr>
        <b/>
        <sz val="11"/>
        <color theme="1"/>
        <rFont val="等线"/>
        <family val="3"/>
        <charset val="134"/>
        <scheme val="minor"/>
      </rPr>
      <t>激发无比的行动力与竞争力，化为开拓的勇气和执行力</t>
    </r>
    <r>
      <rPr>
        <sz val="11"/>
        <color theme="1"/>
        <rFont val="等线"/>
        <family val="2"/>
        <charset val="134"/>
        <scheme val="minor"/>
      </rPr>
      <t>，适合需要快速反应、激烈竞争的领域。此为</t>
    </r>
    <r>
      <rPr>
        <b/>
        <sz val="11"/>
        <color theme="1"/>
        <rFont val="等线"/>
        <family val="3"/>
        <charset val="134"/>
        <scheme val="minor"/>
      </rPr>
      <t>“以杀为用”</t>
    </r>
    <r>
      <rPr>
        <sz val="11"/>
        <color theme="1"/>
        <rFont val="等线"/>
        <family val="2"/>
        <charset val="134"/>
        <scheme val="minor"/>
      </rPr>
      <t>。若独守或与凶星同度，则凶性毕露。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</si>
  <si>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：火星所在宫位，指示在人生的哪个领域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最易发生突发冲突、意外，或需要运用爆发力、快速行动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急躁性与行动力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</si>
  <si>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“火”性的延伸</t>
    </r>
    <r>
      <rPr>
        <sz val="11"/>
        <color theme="1"/>
        <rFont val="等线"/>
        <family val="2"/>
        <charset val="134"/>
        <scheme val="minor"/>
      </rPr>
      <t>：属阳火，主</t>
    </r>
    <r>
      <rPr>
        <b/>
        <sz val="11"/>
        <color theme="1"/>
        <rFont val="等线"/>
        <family val="3"/>
        <charset val="134"/>
        <scheme val="minor"/>
      </rPr>
      <t>热、急、爆</t>
    </r>
    <r>
      <rPr>
        <sz val="11"/>
        <color theme="1"/>
        <rFont val="等线"/>
        <family val="2"/>
        <charset val="134"/>
        <scheme val="minor"/>
      </rPr>
      <t>。其“杀”性在物质层面对应</t>
    </r>
    <r>
      <rPr>
        <b/>
        <sz val="11"/>
        <color theme="1"/>
        <rFont val="等线"/>
        <family val="3"/>
        <charset val="134"/>
        <scheme val="minor"/>
      </rPr>
      <t>火、爆炸物、发动机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血液循环、心脏、急性炎症</t>
    </r>
    <r>
      <rPr>
        <sz val="11"/>
        <color theme="1"/>
        <rFont val="等线"/>
        <family val="2"/>
        <charset val="134"/>
        <scheme val="minor"/>
      </rPr>
      <t>；在社会层面体现为</t>
    </r>
    <r>
      <rPr>
        <b/>
        <sz val="11"/>
        <color theme="1"/>
        <rFont val="等线"/>
        <family val="3"/>
        <charset val="134"/>
        <scheme val="minor"/>
      </rPr>
      <t>竞争、急救、消防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</si>
  <si>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四化与煞性</t>
    </r>
    <r>
      <rPr>
        <sz val="11"/>
        <color theme="1"/>
        <rFont val="等线"/>
        <family val="2"/>
        <charset val="134"/>
        <scheme val="minor"/>
      </rPr>
      <t>：火星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。但其煞性会被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引动而加剧伤害，被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缓和（快速得财，但不稳定）。</t>
    </r>
  </si>
  <si>
    <r>
      <t>7. “火”的突发性与短暂性</t>
    </r>
    <r>
      <rPr>
        <sz val="11"/>
        <color theme="1"/>
        <rFont val="等线"/>
        <family val="2"/>
        <charset val="134"/>
        <scheme val="minor"/>
      </rPr>
      <t>：火星代表</t>
    </r>
    <r>
      <rPr>
        <b/>
        <sz val="11"/>
        <color theme="1"/>
        <rFont val="等线"/>
        <family val="3"/>
        <charset val="134"/>
        <scheme val="minor"/>
      </rPr>
      <t>突发、短暂、激烈</t>
    </r>
    <r>
      <rPr>
        <sz val="11"/>
        <color theme="1"/>
        <rFont val="等线"/>
        <family val="2"/>
        <charset val="134"/>
        <scheme val="minor"/>
      </rPr>
      <t>的事件。其影响</t>
    </r>
    <r>
      <rPr>
        <b/>
        <sz val="11"/>
        <color theme="1"/>
        <rFont val="等线"/>
        <family val="3"/>
        <charset val="134"/>
        <scheme val="minor"/>
      </rPr>
      <t>来得快，去得也快</t>
    </r>
    <r>
      <rPr>
        <sz val="11"/>
        <color theme="1"/>
        <rFont val="等线"/>
        <family val="2"/>
        <charset val="134"/>
        <scheme val="minor"/>
      </rPr>
      <t>，不像陀罗那样拖延。其所在领域，</t>
    </r>
    <r>
      <rPr>
        <b/>
        <sz val="11"/>
        <color theme="1"/>
        <rFont val="等线"/>
        <family val="3"/>
        <charset val="134"/>
        <scheme val="minor"/>
      </rPr>
      <t>冲突与机遇都是爆发性的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</si>
  <si>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火灾现场、战场、急诊室、竞技场、一切高温、急速、充满竞争与危险的场所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</si>
  <si>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杀/急速”及其全部引申象征（暴躁、破坏、火灾、意外、竞争等）出发，系统化推导并呈现了“人/事/物”三个层次的完整解析。火星为杀星，主急速与破坏。其核心在于“急”与“爆”，常在需要快速反应、面临突发危机或易生激烈冲突的领域显现作用。其吉凶关键在于能否“以杀为用”。最喜与吉星、强主星配合，化暴躁为冲劲；忌独坐或与凶星同度，则灾厄突发。在紫占中，火星所在即个人“爆发点”与“风险源”之所在，其动向关乎安危与成败。需与铃星（暗火）明确区分，二者一明一暗，共同构成完整的“火铃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</si>
  <si>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铃星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</si>
  <si>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杀星</t>
    </r>
    <r>
      <rPr>
        <sz val="12"/>
        <color theme="1"/>
        <rFont val="等线"/>
        <family val="3"/>
        <charset val="134"/>
        <scheme val="minor"/>
      </rPr>
      <t>、阴火、闷火、深沉、固执、嫉妒、号令、声名、名誉、</t>
    </r>
    <r>
      <rPr>
        <b/>
        <sz val="12"/>
        <color theme="1"/>
        <rFont val="等线"/>
        <family val="3"/>
        <charset val="134"/>
        <scheme val="minor"/>
      </rPr>
      <t>暗中伤害、持久性、音乐才华、野性美、记仇、酝酿、缓慢燃烧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</si>
  <si>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整合自《金刚佛光-紫占课程手册》及相关权威资料，本次彻底构建以“杀”为核心，涵盖“阴火、闷火、深沉、固执、嫉妒、号令、声名”等所有引申义的核心象征网络。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</si>
  <si>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深沉冷静、固执强硬、性烈嫉妒、记仇、主动积极、追求完美、喜欢刺激与挑战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谋略家、记仇者、暗中行动者、音乐才艺者、有野性美之人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寡言多疑，善记仇，会先在心中酝酿再报复，性格阴沉嫉妒，胆大出众，内向沉默，刚强顽固，不讲情面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</si>
  <si>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暗中酝酿、缓慢爆发、持久影响、与声名名誉相关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暗中伤害、持久的是非、名誉纠纷、音乐艺术相关事务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需要深谋远虑、持久坚持、关乎声誉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隐蔽、持久、爆发力惊人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</si>
  <si>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具有阴火、闷烧、声音、号令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</si>
  <si>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铃铛、乐器、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闷烧的炭火、暗器、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</si>
  <si>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音乐厅、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暗中较量的场所、</t>
    </r>
    <r>
      <rPr>
        <sz val="12"/>
        <color theme="1"/>
        <rFont val="等线"/>
        <family val="3"/>
        <charset val="134"/>
        <scheme val="minor"/>
      </rPr>
      <t>&lt;/ins&gt;隐蔽、深沉、有声音传播特性的形态。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</si>
  <si>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虚火、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慢性炎症、皮肤病、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</si>
  <si>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号令系统、声誉管理机制、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暗中竞争的领域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</si>
  <si>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声名、名誉、嫉妒、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暗中酝酿、持久伤害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</si>
  <si>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本次解析从“杀”本质出发，系统推导出其作为“暗中谋略者”、“声誉追求者”及“闷火象征”的多重属性，并完整映射至三层结构，特别明确了其与“声音”、“名誉”及“暗中伤害”的关联。</t>
  </si>
  <si>
    <r>
      <t>杀星与闷火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</si>
  <si>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“杀”</t>
    </r>
    <r>
      <rPr>
        <sz val="12"/>
        <color theme="1"/>
        <rFont val="等线"/>
        <family val="3"/>
        <charset val="134"/>
        <scheme val="minor"/>
      </rPr>
      <t>，但属</t>
    </r>
    <r>
      <rPr>
        <b/>
        <sz val="12"/>
        <color theme="1"/>
        <rFont val="等线"/>
        <family val="3"/>
        <charset val="134"/>
        <scheme val="minor"/>
      </rPr>
      <t>阴火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深沉、固执、嫉妒、暗中伤害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六煞星之一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持久的、来自暗处的伤害与是非</t>
    </r>
    <r>
      <rPr>
        <sz val="12"/>
        <color theme="1"/>
        <rFont val="等线"/>
        <family val="3"/>
        <charset val="134"/>
        <scheme val="minor"/>
      </rPr>
      <t>。</t>
    </r>
  </si>
  <si>
    <t>在命宫、疾厄宫时，主个性阴沉固执，一生多暗中是非，伤害持久难愈。</t>
  </si>
  <si>
    <r>
      <t>号令与声名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</si>
  <si>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“号令之星”</t>
    </r>
    <r>
      <rPr>
        <sz val="12"/>
        <color theme="1"/>
        <rFont val="等线"/>
        <family val="3"/>
        <charset val="134"/>
        <scheme val="minor"/>
      </rPr>
      <t>，与</t>
    </r>
    <r>
      <rPr>
        <b/>
        <sz val="12"/>
        <color theme="1"/>
        <rFont val="等线"/>
        <family val="3"/>
        <charset val="134"/>
        <scheme val="minor"/>
      </rPr>
      <t>声名、名誉</t>
    </r>
    <r>
      <rPr>
        <sz val="12"/>
        <color theme="1"/>
        <rFont val="等线"/>
        <family val="3"/>
        <charset val="134"/>
        <scheme val="minor"/>
      </rPr>
      <t>有关。能</t>
    </r>
    <r>
      <rPr>
        <b/>
        <sz val="12"/>
        <color theme="1"/>
        <rFont val="等线"/>
        <family val="3"/>
        <charset val="134"/>
        <scheme val="minor"/>
      </rPr>
      <t>带来权威与名声，但也易引发名誉纠纷</t>
    </r>
    <r>
      <rPr>
        <sz val="12"/>
        <color theme="1"/>
        <rFont val="等线"/>
        <family val="3"/>
        <charset val="134"/>
        <scheme val="minor"/>
      </rPr>
      <t>。</t>
    </r>
  </si>
  <si>
    <t>在官禄宫、迁移宫时，主事业上有号召力，易成名，但也易有毁誉。</t>
  </si>
  <si>
    <r>
      <t>音乐才华与野性美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</si>
  <si>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阴火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音乐才华、外表艳丽、明亮耀眼、野性美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</si>
  <si>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在命宫、身宫时，可能有艺术天赋，尤其音乐方面，外形有独特魅力。</t>
  </si>
  <si>
    <r>
      <t>面色青黄，形貌奇异不雅，或外表艳丽耀眼，有野性美，给人以阴沉、固执、难以捉摸的印象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</si>
  <si>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：主动积极，追求完美，喜欢刺激与挑战，有音乐才华，有谋略，能忍耐。</t>
    </r>
  </si>
  <si>
    <r>
      <t>缺点</t>
    </r>
    <r>
      <rPr>
        <sz val="12"/>
        <color theme="1"/>
        <rFont val="等线"/>
        <family val="3"/>
        <charset val="134"/>
        <scheme val="minor"/>
      </rPr>
      <t>：阴沉嫉妒，记仇，寡言多疑，固执强硬，不讲情面，报复心强。</t>
    </r>
  </si>
  <si>
    <r>
      <t>属阴火，主</t>
    </r>
    <r>
      <rPr>
        <b/>
        <sz val="12"/>
        <color theme="1"/>
        <rFont val="等线"/>
        <family val="3"/>
        <charset val="134"/>
        <scheme val="minor"/>
      </rPr>
      <t>虚火、慢性炎症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眼疾、皮肤病、暗疮、痔疮、破相留疤、神经过敏、肝脏问题引发的皮肤病</t>
    </r>
    <r>
      <rPr>
        <sz val="12"/>
        <color theme="1"/>
        <rFont val="等线"/>
        <family val="3"/>
        <charset val="134"/>
        <scheme val="minor"/>
      </rPr>
      <t>等。</t>
    </r>
  </si>
  <si>
    <t>在疾厄宫时显现，尤其与巨门同度时主哑，与龙池同度主耳炎、耳聋。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</si>
  <si>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阴沉性烈，胆大出众，刚强顽固，记仇，有音乐才华，一生多暗中是非，名誉起伏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喜与吉星或特殊主星同度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“以杀为权”</t>
    </r>
    <r>
      <rPr>
        <sz val="12"/>
        <color theme="1"/>
        <rFont val="等线"/>
        <family val="3"/>
        <charset val="134"/>
        <scheme val="minor"/>
      </rPr>
      <t>，成</t>
    </r>
    <r>
      <rPr>
        <b/>
        <sz val="12"/>
        <color theme="1"/>
        <rFont val="等线"/>
        <family val="3"/>
        <charset val="134"/>
        <scheme val="minor"/>
      </rPr>
      <t>有谋略的领导者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忌独坐或与凶星同度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“阴狠孤克”</t>
    </r>
    <r>
      <rPr>
        <sz val="12"/>
        <color theme="1"/>
        <rFont val="等线"/>
        <family val="3"/>
        <charset val="134"/>
        <scheme val="minor"/>
      </rPr>
      <t>，多暗害。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</si>
  <si>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关系紧张，易有暗中争执，逢吉星争执易解；逢煞星则常起争端，刑克相争</t>
    </r>
    <r>
      <rPr>
        <sz val="12"/>
        <color theme="1"/>
        <rFont val="等线"/>
        <family val="3"/>
        <charset val="134"/>
        <scheme val="minor"/>
      </rPr>
      <t>。</t>
    </r>
  </si>
  <si>
    <r>
      <t>男命配偶</t>
    </r>
    <r>
      <rPr>
        <b/>
        <sz val="12"/>
        <color theme="1"/>
        <rFont val="等线"/>
        <family val="3"/>
        <charset val="134"/>
        <scheme val="minor"/>
      </rPr>
      <t>泼辣，不善家务</t>
    </r>
    <r>
      <rPr>
        <sz val="12"/>
        <color theme="1"/>
        <rFont val="等线"/>
        <family val="3"/>
        <charset val="134"/>
        <scheme val="minor"/>
      </rPr>
      <t>；女命配偶</t>
    </r>
    <r>
      <rPr>
        <b/>
        <sz val="12"/>
        <color theme="1"/>
        <rFont val="等线"/>
        <family val="3"/>
        <charset val="134"/>
        <scheme val="minor"/>
      </rPr>
      <t>大方但暴躁无理</t>
    </r>
    <r>
      <rPr>
        <sz val="12"/>
        <color theme="1"/>
        <rFont val="等线"/>
        <family val="3"/>
        <charset val="134"/>
        <scheme val="minor"/>
      </rPr>
      <t>。夫妻关系</t>
    </r>
    <r>
      <rPr>
        <b/>
        <sz val="12"/>
        <color theme="1"/>
        <rFont val="等线"/>
        <family val="3"/>
        <charset val="134"/>
        <scheme val="minor"/>
      </rPr>
      <t>易有暗中不满与持久冷战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</si>
  <si>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不多</t>
    </r>
    <r>
      <rPr>
        <sz val="12"/>
        <color theme="1"/>
        <rFont val="等线"/>
        <family val="3"/>
        <charset val="134"/>
        <scheme val="minor"/>
      </rPr>
      <t>。若会桃花星，主</t>
    </r>
    <r>
      <rPr>
        <b/>
        <sz val="12"/>
        <color theme="1"/>
        <rFont val="等线"/>
        <family val="3"/>
        <charset val="134"/>
        <scheme val="minor"/>
      </rPr>
      <t>有突来之桃花</t>
    </r>
    <r>
      <rPr>
        <sz val="12"/>
        <color theme="1"/>
        <rFont val="等线"/>
        <family val="3"/>
        <charset val="134"/>
        <scheme val="minor"/>
      </rPr>
      <t>。</t>
    </r>
  </si>
  <si>
    <r>
      <t>有</t>
    </r>
    <r>
      <rPr>
        <b/>
        <sz val="12"/>
        <color theme="1"/>
        <rFont val="等线"/>
        <family val="3"/>
        <charset val="134"/>
        <scheme val="minor"/>
      </rPr>
      <t>偏财运</t>
    </r>
    <r>
      <rPr>
        <sz val="12"/>
        <color theme="1"/>
        <rFont val="等线"/>
        <family val="3"/>
        <charset val="134"/>
        <scheme val="minor"/>
      </rPr>
      <t>，会赚钱，但</t>
    </r>
    <r>
      <rPr>
        <b/>
        <sz val="12"/>
        <color theme="1"/>
        <rFont val="等线"/>
        <family val="3"/>
        <charset val="134"/>
        <scheme val="minor"/>
      </rPr>
      <t>喜欢炫耀，易横成横破</t>
    </r>
    <r>
      <rPr>
        <sz val="12"/>
        <color theme="1"/>
        <rFont val="等线"/>
        <family val="3"/>
        <charset val="134"/>
        <scheme val="minor"/>
      </rPr>
      <t>。入庙独守可</t>
    </r>
    <r>
      <rPr>
        <b/>
        <sz val="12"/>
        <color theme="1"/>
        <rFont val="等线"/>
        <family val="3"/>
        <charset val="134"/>
        <scheme val="minor"/>
      </rPr>
      <t>横发</t>
    </r>
    <r>
      <rPr>
        <sz val="12"/>
        <color theme="1"/>
        <rFont val="等线"/>
        <family val="3"/>
        <charset val="134"/>
        <scheme val="minor"/>
      </rPr>
      <t>；陷地则</t>
    </r>
    <r>
      <rPr>
        <b/>
        <sz val="12"/>
        <color theme="1"/>
        <rFont val="等线"/>
        <family val="3"/>
        <charset val="134"/>
        <scheme val="minor"/>
      </rPr>
      <t>孤寒度日</t>
    </r>
    <r>
      <rPr>
        <sz val="12"/>
        <color theme="1"/>
        <rFont val="等线"/>
        <family val="3"/>
        <charset val="134"/>
        <scheme val="minor"/>
      </rPr>
      <t>。</t>
    </r>
  </si>
  <si>
    <r>
      <t>易有虚火、头部之疾、神经过敏、烫伤、眼疾、暗疮、痔疮、破相留疤</t>
    </r>
    <r>
      <rPr>
        <sz val="12"/>
        <color theme="1"/>
        <rFont val="等线"/>
        <family val="3"/>
        <charset val="134"/>
        <scheme val="minor"/>
      </rPr>
      <t>等。</t>
    </r>
  </si>
  <si>
    <r>
      <t>单守出外</t>
    </r>
    <r>
      <rPr>
        <b/>
        <sz val="12"/>
        <color theme="1"/>
        <rFont val="等线"/>
        <family val="3"/>
        <charset val="134"/>
        <scheme val="minor"/>
      </rPr>
      <t>不安，防外伤、惊恐</t>
    </r>
    <r>
      <rPr>
        <sz val="12"/>
        <color theme="1"/>
        <rFont val="等线"/>
        <family val="3"/>
        <charset val="134"/>
        <scheme val="minor"/>
      </rPr>
      <t>。出外</t>
    </r>
    <r>
      <rPr>
        <b/>
        <sz val="12"/>
        <color theme="1"/>
        <rFont val="等线"/>
        <family val="3"/>
        <charset val="134"/>
        <scheme val="minor"/>
      </rPr>
      <t>爱表现，多显耀易成名</t>
    </r>
    <r>
      <rPr>
        <sz val="12"/>
        <color theme="1"/>
        <rFont val="等线"/>
        <family val="3"/>
        <charset val="134"/>
        <scheme val="minor"/>
      </rPr>
      <t>。喜欢</t>
    </r>
    <r>
      <rPr>
        <b/>
        <sz val="12"/>
        <color theme="1"/>
        <rFont val="等线"/>
        <family val="3"/>
        <charset val="134"/>
        <scheme val="minor"/>
      </rPr>
      <t>近声光场所</t>
    </r>
    <r>
      <rPr>
        <sz val="12"/>
        <color theme="1"/>
        <rFont val="等线"/>
        <family val="3"/>
        <charset val="134"/>
        <scheme val="minor"/>
      </rPr>
      <t>。</t>
    </r>
  </si>
  <si>
    <r>
      <t>逢左辅右弼，得积极良友；逢空劫则损失不得其力</t>
    </r>
    <r>
      <rPr>
        <sz val="12"/>
        <color theme="1"/>
        <rFont val="等线"/>
        <family val="3"/>
        <charset val="134"/>
        <scheme val="minor"/>
      </rPr>
      <t>。</t>
    </r>
  </si>
  <si>
    <r>
      <t>工作</t>
    </r>
    <r>
      <rPr>
        <b/>
        <sz val="12"/>
        <color theme="1"/>
        <rFont val="等线"/>
        <family val="3"/>
        <charset val="134"/>
        <scheme val="minor"/>
      </rPr>
      <t>有权威，能带头，掌握重点，但易泄漏机密</t>
    </r>
    <r>
      <rPr>
        <sz val="12"/>
        <color theme="1"/>
        <rFont val="等线"/>
        <family val="3"/>
        <charset val="134"/>
        <scheme val="minor"/>
      </rPr>
      <t>。加吉星主</t>
    </r>
    <r>
      <rPr>
        <b/>
        <sz val="12"/>
        <color theme="1"/>
        <rFont val="等线"/>
        <family val="3"/>
        <charset val="134"/>
        <scheme val="minor"/>
      </rPr>
      <t>权贵</t>
    </r>
    <r>
      <rPr>
        <sz val="12"/>
        <color theme="1"/>
        <rFont val="等线"/>
        <family val="3"/>
        <charset val="134"/>
        <scheme val="minor"/>
      </rPr>
      <t>。</t>
    </r>
  </si>
  <si>
    <r>
      <t>败祖业</t>
    </r>
    <r>
      <rPr>
        <sz val="12"/>
        <color theme="1"/>
        <rFont val="等线"/>
        <family val="3"/>
        <charset val="134"/>
        <scheme val="minor"/>
      </rPr>
      <t>，但逢魁钺可</t>
    </r>
    <r>
      <rPr>
        <b/>
        <sz val="12"/>
        <color theme="1"/>
        <rFont val="等线"/>
        <family val="3"/>
        <charset val="134"/>
        <scheme val="minor"/>
      </rPr>
      <t>自买房产，破祖而自兴，白手起家</t>
    </r>
    <r>
      <rPr>
        <sz val="12"/>
        <color theme="1"/>
        <rFont val="等线"/>
        <family val="3"/>
        <charset val="134"/>
        <scheme val="minor"/>
      </rPr>
      <t>。居住附近易有</t>
    </r>
    <r>
      <rPr>
        <b/>
        <sz val="12"/>
        <color theme="1"/>
        <rFont val="等线"/>
        <family val="3"/>
        <charset val="134"/>
        <scheme val="minor"/>
      </rPr>
      <t>老房子、古建筑、寺塔、庙宇</t>
    </r>
    <r>
      <rPr>
        <sz val="12"/>
        <color theme="1"/>
        <rFont val="等线"/>
        <family val="3"/>
        <charset val="134"/>
        <scheme val="minor"/>
      </rPr>
      <t>。</t>
    </r>
  </si>
  <si>
    <r>
      <t>行运、命身、迁移不佳且忌煞星多时，</t>
    </r>
    <r>
      <rPr>
        <b/>
        <sz val="12"/>
        <color theme="1"/>
        <rFont val="等线"/>
        <family val="3"/>
        <charset val="134"/>
        <scheme val="minor"/>
      </rPr>
      <t>易想不开自杀</t>
    </r>
    <r>
      <rPr>
        <sz val="12"/>
        <color theme="1"/>
        <rFont val="等线"/>
        <family val="3"/>
        <charset val="134"/>
        <scheme val="minor"/>
      </rPr>
      <t>。铃星独守主</t>
    </r>
    <r>
      <rPr>
        <b/>
        <sz val="12"/>
        <color theme="1"/>
        <rFont val="等线"/>
        <family val="3"/>
        <charset val="134"/>
        <scheme val="minor"/>
      </rPr>
      <t>辛劳不安</t>
    </r>
    <r>
      <rPr>
        <sz val="12"/>
        <color theme="1"/>
        <rFont val="等线"/>
        <family val="3"/>
        <charset val="134"/>
        <scheme val="minor"/>
      </rPr>
      <t>。</t>
    </r>
  </si>
  <si>
    <r>
      <t>刑克孤单</t>
    </r>
    <r>
      <rPr>
        <sz val="12"/>
        <color theme="1"/>
        <rFont val="等线"/>
        <family val="3"/>
        <charset val="134"/>
        <scheme val="minor"/>
      </rPr>
      <t>，可能</t>
    </r>
    <r>
      <rPr>
        <b/>
        <sz val="12"/>
        <color theme="1"/>
        <rFont val="等线"/>
        <family val="3"/>
        <charset val="134"/>
        <scheme val="minor"/>
      </rPr>
      <t>二姓安居，重拜父母，入赘过房</t>
    </r>
    <r>
      <rPr>
        <sz val="12"/>
        <color theme="1"/>
        <rFont val="等线"/>
        <family val="3"/>
        <charset val="134"/>
        <scheme val="minor"/>
      </rPr>
      <t>。空劫同宫，</t>
    </r>
    <r>
      <rPr>
        <b/>
        <sz val="12"/>
        <color theme="1"/>
        <rFont val="等线"/>
        <family val="3"/>
        <charset val="134"/>
        <scheme val="minor"/>
      </rPr>
      <t>必克双亲</t>
    </r>
    <r>
      <rPr>
        <sz val="12"/>
        <color theme="1"/>
        <rFont val="等线"/>
        <family val="3"/>
        <charset val="134"/>
        <scheme val="minor"/>
      </rPr>
      <t>。</t>
    </r>
  </si>
  <si>
    <r>
      <t>铃星+紫微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</si>
  <si>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权威与阴沉结合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善于权谋，有领导力但手段隐蔽，易有暗中权威</t>
    </r>
    <r>
      <rPr>
        <sz val="12"/>
        <color theme="1"/>
        <rFont val="等线"/>
        <family val="3"/>
        <charset val="134"/>
        <scheme val="minor"/>
      </rPr>
      <t>。</t>
    </r>
  </si>
  <si>
    <t>善于谋略的领导者；幕后掌权者。</t>
  </si>
  <si>
    <r>
      <t>铃星+七杀</t>
    </r>
    <r>
      <rPr>
        <sz val="12"/>
        <color theme="1"/>
        <rFont val="等线"/>
        <family val="3"/>
        <charset val="134"/>
        <scheme val="minor"/>
      </rPr>
      <t>​</t>
    </r>
  </si>
  <si>
    <r>
      <t>双杀星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杀气与阴沉叠加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勇猛且善谋，但三方无吉主凶亡</t>
    </r>
    <r>
      <rPr>
        <sz val="12"/>
        <color theme="1"/>
        <rFont val="等线"/>
        <family val="3"/>
        <charset val="134"/>
        <scheme val="minor"/>
      </rPr>
      <t>，一生多险。</t>
    </r>
  </si>
  <si>
    <t>特种部队指挥官；高风险行业的谋略家。</t>
  </si>
  <si>
    <r>
      <t>铃星+破军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</si>
  <si>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破坏与暗中酝酿结合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变动伴随暗中破坏，财、屋必倾</t>
    </r>
    <r>
      <rPr>
        <sz val="12"/>
        <color theme="1"/>
        <rFont val="等线"/>
        <family val="3"/>
        <charset val="134"/>
        <scheme val="minor"/>
      </rPr>
      <t>。</t>
    </r>
  </si>
  <si>
    <t>暗中进行的破坏者；颠覆性改革者。</t>
  </si>
  <si>
    <r>
      <t>铃星+贪狼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</si>
  <si>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欲望与谋略结合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“贪铃同位格”</t>
    </r>
    <r>
      <rPr>
        <sz val="12"/>
        <color theme="1"/>
        <rFont val="等线"/>
        <family val="3"/>
        <charset val="134"/>
        <scheme val="minor"/>
      </rPr>
      <t>，若在四墓守命且三方吉拱，可</t>
    </r>
    <r>
      <rPr>
        <b/>
        <sz val="12"/>
        <color theme="1"/>
        <rFont val="等线"/>
        <family val="3"/>
        <charset val="134"/>
        <scheme val="minor"/>
      </rPr>
      <t>建功边疆</t>
    </r>
    <r>
      <rPr>
        <sz val="12"/>
        <color theme="1"/>
        <rFont val="等线"/>
        <family val="3"/>
        <charset val="134"/>
        <scheme val="minor"/>
      </rPr>
      <t>。逢贪狼化禄，主</t>
    </r>
    <r>
      <rPr>
        <b/>
        <sz val="12"/>
        <color theme="1"/>
        <rFont val="等线"/>
        <family val="3"/>
        <charset val="134"/>
        <scheme val="minor"/>
      </rPr>
      <t>意想不到的、突发的大富大贵</t>
    </r>
    <r>
      <rPr>
        <sz val="12"/>
        <color theme="1"/>
        <rFont val="等线"/>
        <family val="3"/>
        <charset val="134"/>
        <scheme val="minor"/>
      </rPr>
      <t>。</t>
    </r>
  </si>
  <si>
    <t>有谋略的投机者；善于运作的商人。</t>
  </si>
  <si>
    <r>
      <t>铃星+武曲</t>
    </r>
    <r>
      <rPr>
        <sz val="12"/>
        <color theme="1"/>
        <rFont val="等线"/>
        <family val="3"/>
        <charset val="134"/>
        <scheme val="minor"/>
      </rPr>
      <t>​</t>
    </r>
  </si>
  <si>
    <r>
      <t>财星遇阴杀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行动力与暗中谋划在求财中展现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求财手段隐蔽，适合需要谋略的金融操作</t>
    </r>
    <r>
      <rPr>
        <sz val="12"/>
        <color theme="1"/>
        <rFont val="等线"/>
        <family val="3"/>
        <charset val="134"/>
        <scheme val="minor"/>
      </rPr>
      <t>。</t>
    </r>
  </si>
  <si>
    <t>幕后操盘手；隐秘的投资者。</t>
  </si>
  <si>
    <r>
      <t>铃星+廉贞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</si>
  <si>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复杂与阴沉结合</t>
    </r>
    <r>
      <rPr>
        <sz val="12"/>
        <color theme="1"/>
        <rFont val="等线"/>
        <family val="3"/>
        <charset val="134"/>
        <scheme val="minor"/>
      </rPr>
      <t>，若与擎羊交会，主</t>
    </r>
    <r>
      <rPr>
        <b/>
        <sz val="12"/>
        <color theme="1"/>
        <rFont val="等线"/>
        <family val="3"/>
        <charset val="134"/>
        <scheme val="minor"/>
      </rPr>
      <t>好勇斗狠，入军旅可得升迁</t>
    </r>
    <r>
      <rPr>
        <sz val="12"/>
        <color theme="1"/>
        <rFont val="等线"/>
        <family val="3"/>
        <charset val="134"/>
        <scheme val="minor"/>
      </rPr>
      <t>。</t>
    </r>
  </si>
  <si>
    <t>军警、纪检部门人员；复杂的法律谋略家。</t>
  </si>
  <si>
    <r>
      <t>铃星+巨门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</si>
  <si>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是非与阴沉叠加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口舌是非暗中酝酿，持久难解，易有哑症</t>
    </r>
    <r>
      <rPr>
        <sz val="12"/>
        <color theme="1"/>
        <rFont val="等线"/>
        <family val="3"/>
        <charset val="134"/>
        <scheme val="minor"/>
      </rPr>
      <t>。</t>
    </r>
  </si>
  <si>
    <t>暗中散播谣言者；持久的口舌官司。</t>
  </si>
  <si>
    <r>
      <t>铃星+天相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</si>
  <si>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协调与暗中阻碍矛盾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文书、契约易有隐藏问题，人际关系表面和谐，暗藏嫉妒</t>
    </r>
    <r>
      <rPr>
        <sz val="12"/>
        <color theme="1"/>
        <rFont val="等线"/>
        <family val="3"/>
        <charset val="134"/>
        <scheme val="minor"/>
      </rPr>
      <t>。</t>
    </r>
  </si>
  <si>
    <t>表面和善内心计较的协调者；合同中的隐藏条款。</t>
  </si>
  <si>
    <r>
      <t>铃星+天梁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</si>
  <si>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庇护与暗中伤害矛盾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得到的帮助可能伴随暗中代价，或通过隐蔽手段获得庇护</t>
    </r>
    <r>
      <rPr>
        <sz val="12"/>
        <color theme="1"/>
        <rFont val="等线"/>
        <family val="3"/>
        <charset val="134"/>
        <scheme val="minor"/>
      </rPr>
      <t>。</t>
    </r>
  </si>
  <si>
    <t>暗中受庇护者；有代价的贵人。</t>
  </si>
  <si>
    <r>
      <t>铃星+太阳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</si>
  <si>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日星遇阴杀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光明与阴沉矛盾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名声有暗中瑕疵，或通过隐蔽手段获得名声</t>
    </r>
    <r>
      <rPr>
        <sz val="12"/>
        <color theme="1"/>
        <rFont val="等线"/>
        <family val="3"/>
        <charset val="134"/>
        <scheme val="minor"/>
      </rPr>
      <t>。</t>
    </r>
  </si>
  <si>
    <t>有争议的公众人物；幕后推手。</t>
  </si>
  <si>
    <r>
      <t>铃星+火星</t>
    </r>
    <r>
      <rPr>
        <sz val="12"/>
        <color theme="1"/>
        <rFont val="等线"/>
        <family val="3"/>
        <charset val="134"/>
        <scheme val="minor"/>
      </rPr>
      <t>​</t>
    </r>
  </si>
  <si>
    <r>
      <t>火铃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阳火与阴火结合</t>
    </r>
    <r>
      <rPr>
        <sz val="12"/>
        <color theme="1"/>
        <rFont val="等线"/>
        <family val="3"/>
        <charset val="134"/>
        <scheme val="minor"/>
      </rPr>
      <t>，若同守庙旺命地且得吉星拱照，为</t>
    </r>
    <r>
      <rPr>
        <b/>
        <sz val="12"/>
        <color theme="1"/>
        <rFont val="等线"/>
        <family val="3"/>
        <charset val="134"/>
        <scheme val="minor"/>
      </rPr>
      <t>“火铃旺宫，亦为福论”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威名四播，将帅之材</t>
    </r>
    <r>
      <rPr>
        <sz val="12"/>
        <color theme="1"/>
        <rFont val="等线"/>
        <family val="3"/>
        <charset val="134"/>
        <scheme val="minor"/>
      </rPr>
      <t>。若三方吉少复见廉杀羊陀，则主</t>
    </r>
    <r>
      <rPr>
        <b/>
        <sz val="12"/>
        <color theme="1"/>
        <rFont val="等线"/>
        <family val="3"/>
        <charset val="134"/>
        <scheme val="minor"/>
      </rPr>
      <t>横祸凶亡</t>
    </r>
    <r>
      <rPr>
        <sz val="12"/>
        <color theme="1"/>
        <rFont val="等线"/>
        <family val="3"/>
        <charset val="134"/>
        <scheme val="minor"/>
      </rPr>
      <t>。</t>
    </r>
  </si>
  <si>
    <t>消防、爆破专家；声势浩大的行动者。</t>
  </si>
  <si>
    <r>
      <t>铃星+擎羊/陀罗</t>
    </r>
    <r>
      <rPr>
        <sz val="12"/>
        <color theme="1"/>
        <rFont val="等线"/>
        <family val="3"/>
        <charset val="134"/>
        <scheme val="minor"/>
      </rPr>
      <t>​</t>
    </r>
  </si>
  <si>
    <r>
      <t>铃羊/铃陀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阴杀与刑伤结合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暗中持久的伤害与刑伤</t>
    </r>
    <r>
      <rPr>
        <sz val="12"/>
        <color theme="1"/>
        <rFont val="等线"/>
        <family val="3"/>
        <charset val="134"/>
        <scheme val="minor"/>
      </rPr>
      <t>。若铃星守命三合羊陀，主</t>
    </r>
    <r>
      <rPr>
        <b/>
        <sz val="12"/>
        <color theme="1"/>
        <rFont val="等线"/>
        <family val="3"/>
        <charset val="134"/>
        <scheme val="minor"/>
      </rPr>
      <t>孤贫飘荡，伤残带疾</t>
    </r>
    <r>
      <rPr>
        <sz val="12"/>
        <color theme="1"/>
        <rFont val="等线"/>
        <family val="3"/>
        <charset val="134"/>
        <scheme val="minor"/>
      </rPr>
      <t>。</t>
    </r>
  </si>
  <si>
    <t>慢性伤害；持久的法律纠纷。</t>
  </si>
  <si>
    <r>
      <t>铃星+文昌/文曲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</si>
  <si>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铃昌/铃曲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阴杀与才华结合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有音乐、艺术方面的阴郁才华，或利用才华进行暗中谋划</t>
    </r>
    <r>
      <rPr>
        <sz val="12"/>
        <color theme="1"/>
        <rFont val="等线"/>
        <family val="3"/>
        <charset val="134"/>
        <scheme val="minor"/>
      </rPr>
      <t>。</t>
    </r>
  </si>
  <si>
    <t>阴郁风格的艺术家；有谋略的文人。</t>
  </si>
  <si>
    <r>
      <t>铃星+地空/地劫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</si>
  <si>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铃空/铃劫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阴杀与空亡/破耗结合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暗中谋划落空，或声誉受损导致破耗</t>
    </r>
    <r>
      <rPr>
        <sz val="12"/>
        <color theme="1"/>
        <rFont val="等线"/>
        <family val="3"/>
        <charset val="134"/>
        <scheme val="minor"/>
      </rPr>
      <t>。</t>
    </r>
  </si>
  <si>
    <t>计划暗中失败；因丑闻破财。</t>
  </si>
  <si>
    <r>
      <t>1. “杀”与“阴火”本质</t>
    </r>
    <r>
      <rPr>
        <sz val="11"/>
        <color theme="1"/>
        <rFont val="等线"/>
        <family val="2"/>
        <charset val="134"/>
        <scheme val="minor"/>
      </rPr>
      <t>：铃星化气为</t>
    </r>
    <r>
      <rPr>
        <b/>
        <sz val="11"/>
        <color theme="1"/>
        <rFont val="等线"/>
        <family val="3"/>
        <charset val="134"/>
        <scheme val="minor"/>
      </rPr>
      <t>“杀”</t>
    </r>
    <r>
      <rPr>
        <sz val="11"/>
        <color theme="1"/>
        <rFont val="等线"/>
        <family val="2"/>
        <charset val="134"/>
        <scheme val="minor"/>
      </rPr>
      <t>，但五行属</t>
    </r>
    <r>
      <rPr>
        <b/>
        <sz val="11"/>
        <color theme="1"/>
        <rFont val="等线"/>
        <family val="3"/>
        <charset val="134"/>
        <scheme val="minor"/>
      </rPr>
      <t>阴火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深沉、固执、嫉妒、暗中伤害、持久性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在暗中酝酿与持久对抗中积累声名或仇恨</t>
    </r>
    <r>
      <rPr>
        <sz val="11"/>
        <color theme="1"/>
        <rFont val="等线"/>
        <family val="2"/>
        <charset val="134"/>
        <scheme val="minor"/>
      </rPr>
      <t>。它既是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（带来暗中持久的伤害），也是</t>
    </r>
    <r>
      <rPr>
        <b/>
        <sz val="11"/>
        <color theme="1"/>
        <rFont val="等线"/>
        <family val="3"/>
        <charset val="134"/>
        <scheme val="minor"/>
      </rPr>
      <t>谋略星</t>
    </r>
    <r>
      <rPr>
        <sz val="11"/>
        <color theme="1"/>
        <rFont val="等线"/>
        <family val="2"/>
        <charset val="134"/>
        <scheme val="minor"/>
      </rPr>
      <t>（善于谋划与忍耐）。</t>
    </r>
  </si>
  <si>
    <r>
      <t>2. “闷火”与“暗中爆发”</t>
    </r>
    <r>
      <rPr>
        <sz val="11"/>
        <color theme="1"/>
        <rFont val="等线"/>
        <family val="2"/>
        <charset val="134"/>
        <scheme val="minor"/>
      </rPr>
      <t>：其火性如</t>
    </r>
    <r>
      <rPr>
        <b/>
        <sz val="11"/>
        <color theme="1"/>
        <rFont val="等线"/>
        <family val="3"/>
        <charset val="134"/>
        <scheme val="minor"/>
      </rPr>
      <t>闷火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缓慢燃烧，不易发觉，爆发时威力惊人</t>
    </r>
    <r>
      <rPr>
        <sz val="11"/>
        <color theme="1"/>
        <rFont val="等线"/>
        <family val="2"/>
        <charset val="134"/>
        <scheme val="minor"/>
      </rPr>
      <t>。与火星的</t>
    </r>
    <r>
      <rPr>
        <b/>
        <sz val="11"/>
        <color theme="1"/>
        <rFont val="等线"/>
        <family val="3"/>
        <charset val="134"/>
        <scheme val="minor"/>
      </rPr>
      <t>“明火”、“快速爆发”</t>
    </r>
    <r>
      <rPr>
        <sz val="11"/>
        <color theme="1"/>
        <rFont val="等线"/>
        <family val="2"/>
        <charset val="134"/>
        <scheme val="minor"/>
      </rPr>
      <t>形成鲜明对比。</t>
    </r>
    <r>
      <rPr>
        <b/>
        <sz val="11"/>
        <color theme="1"/>
        <rFont val="等线"/>
        <family val="3"/>
        <charset val="134"/>
        <scheme val="minor"/>
      </rPr>
      <t>火星是明争，铃星是暗斗；火星是急性伤害，铃星是慢性煎熬</t>
    </r>
    <r>
      <rPr>
        <sz val="11"/>
        <color theme="1"/>
        <rFont val="等线"/>
        <family val="2"/>
        <charset val="134"/>
        <scheme val="minor"/>
      </rPr>
      <t>。</t>
    </r>
  </si>
  <si>
    <r>
      <t>3. “以杀为权”的辩证</t>
    </r>
    <r>
      <rPr>
        <sz val="11"/>
        <color theme="1"/>
        <rFont val="等线"/>
        <family val="2"/>
        <charset val="134"/>
        <scheme val="minor"/>
      </rPr>
      <t>：铃星虽为煞星，但与</t>
    </r>
    <r>
      <rPr>
        <b/>
        <sz val="11"/>
        <color theme="1"/>
        <rFont val="等线"/>
        <family val="3"/>
        <charset val="134"/>
        <scheme val="minor"/>
      </rPr>
      <t>强有力的主星（如紫微、贪狼）或吉星</t>
    </r>
    <r>
      <rPr>
        <sz val="11"/>
        <color theme="1"/>
        <rFont val="等线"/>
        <family val="2"/>
        <charset val="134"/>
        <scheme val="minor"/>
      </rPr>
      <t>同度时，能</t>
    </r>
    <r>
      <rPr>
        <b/>
        <sz val="11"/>
        <color theme="1"/>
        <rFont val="等线"/>
        <family val="3"/>
        <charset val="134"/>
        <scheme val="minor"/>
      </rPr>
      <t>化为深沉的谋略、持久的耐力与号召力</t>
    </r>
    <r>
      <rPr>
        <sz val="11"/>
        <color theme="1"/>
        <rFont val="等线"/>
        <family val="2"/>
        <charset val="134"/>
        <scheme val="minor"/>
      </rPr>
      <t>，适合需要暗中运作、持久坚持或关乎声誉的领域。此为</t>
    </r>
    <r>
      <rPr>
        <b/>
        <sz val="11"/>
        <color theme="1"/>
        <rFont val="等线"/>
        <family val="3"/>
        <charset val="134"/>
        <scheme val="minor"/>
      </rPr>
      <t>“以杀为权”</t>
    </r>
    <r>
      <rPr>
        <sz val="11"/>
        <color theme="1"/>
        <rFont val="等线"/>
        <family val="2"/>
        <charset val="134"/>
        <scheme val="minor"/>
      </rPr>
      <t>。若独守或与凶星同度，则凶性毕露，主</t>
    </r>
    <r>
      <rPr>
        <b/>
        <sz val="11"/>
        <color theme="1"/>
        <rFont val="等线"/>
        <family val="3"/>
        <charset val="134"/>
        <scheme val="minor"/>
      </rPr>
      <t>阴狠孤克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</si>
  <si>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：铃星所在宫位，指示在人生的哪个领域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最易发生暗中是非、持久伤害，或需要运用谋略、关乎个人声誉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阴沉性与忍耐力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</si>
  <si>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“阴火”性的延伸</t>
    </r>
    <r>
      <rPr>
        <sz val="11"/>
        <color theme="1"/>
        <rFont val="等线"/>
        <family val="2"/>
        <charset val="134"/>
        <scheme val="minor"/>
      </rPr>
      <t>：属阴火，主</t>
    </r>
    <r>
      <rPr>
        <b/>
        <sz val="11"/>
        <color theme="1"/>
        <rFont val="等线"/>
        <family val="3"/>
        <charset val="134"/>
        <scheme val="minor"/>
      </rPr>
      <t>闷烧、声音、号令</t>
    </r>
    <r>
      <rPr>
        <sz val="11"/>
        <color theme="1"/>
        <rFont val="等线"/>
        <family val="2"/>
        <charset val="134"/>
        <scheme val="minor"/>
      </rPr>
      <t>。其“杀”性在物质层面对应</t>
    </r>
    <r>
      <rPr>
        <b/>
        <sz val="11"/>
        <color theme="1"/>
        <rFont val="等线"/>
        <family val="3"/>
        <charset val="134"/>
        <scheme val="minor"/>
      </rPr>
      <t>铃铛、乐器（发声之物）、闷烧的炭火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虚火、慢性炎症、皮肤病</t>
    </r>
    <r>
      <rPr>
        <sz val="11"/>
        <color theme="1"/>
        <rFont val="等线"/>
        <family val="2"/>
        <charset val="134"/>
        <scheme val="minor"/>
      </rPr>
      <t>；在社会层面体现为</t>
    </r>
    <r>
      <rPr>
        <b/>
        <sz val="11"/>
        <color theme="1"/>
        <rFont val="等线"/>
        <family val="3"/>
        <charset val="134"/>
        <scheme val="minor"/>
      </rPr>
      <t>声誉、号令、暗中竞争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</si>
  <si>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四化与煞性</t>
    </r>
    <r>
      <rPr>
        <sz val="11"/>
        <color theme="1"/>
        <rFont val="等线"/>
        <family val="2"/>
        <charset val="134"/>
        <scheme val="minor"/>
      </rPr>
      <t>：铃星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。但其煞性会被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引动而加剧暗中伤害，被</t>
    </r>
    <r>
      <rPr>
        <b/>
        <sz val="11"/>
        <color theme="1"/>
        <rFont val="等线"/>
        <family val="3"/>
        <charset val="134"/>
        <scheme val="minor"/>
      </rPr>
      <t>化禄</t>
    </r>
    <r>
      <rPr>
        <sz val="11"/>
        <color theme="1"/>
        <rFont val="等线"/>
        <family val="2"/>
        <charset val="134"/>
        <scheme val="minor"/>
      </rPr>
      <t>缓和（如逢贪狼化禄主突发富贵）。</t>
    </r>
    <r>
      <rPr>
        <b/>
        <sz val="11"/>
        <color theme="1"/>
        <rFont val="等线"/>
        <family val="3"/>
        <charset val="134"/>
        <scheme val="minor"/>
      </rPr>
      <t>铃星怕见化忌星</t>
    </r>
    <r>
      <rPr>
        <sz val="11"/>
        <color theme="1"/>
        <rFont val="等线"/>
        <family val="2"/>
        <charset val="134"/>
        <scheme val="minor"/>
      </rPr>
      <t>，化忌会使其凶性急剧变化。</t>
    </r>
  </si>
  <si>
    <r>
      <t>7. “号令”与“声名”</t>
    </r>
    <r>
      <rPr>
        <sz val="11"/>
        <color theme="1"/>
        <rFont val="等线"/>
        <family val="2"/>
        <charset val="134"/>
        <scheme val="minor"/>
      </rPr>
      <t>：铃星为</t>
    </r>
    <r>
      <rPr>
        <b/>
        <sz val="11"/>
        <color theme="1"/>
        <rFont val="等线"/>
        <family val="3"/>
        <charset val="134"/>
        <scheme val="minor"/>
      </rPr>
      <t>号令之星</t>
    </r>
    <r>
      <rPr>
        <sz val="11"/>
        <color theme="1"/>
        <rFont val="等线"/>
        <family val="2"/>
        <charset val="134"/>
        <scheme val="minor"/>
      </rPr>
      <t>，与</t>
    </r>
    <r>
      <rPr>
        <b/>
        <sz val="11"/>
        <color theme="1"/>
        <rFont val="等线"/>
        <family val="3"/>
        <charset val="134"/>
        <scheme val="minor"/>
      </rPr>
      <t>声名、名誉</t>
    </r>
    <r>
      <rPr>
        <sz val="11"/>
        <color theme="1"/>
        <rFont val="等线"/>
        <family val="2"/>
        <charset val="134"/>
        <scheme val="minor"/>
      </rPr>
      <t>密切相关。其吉时主</t>
    </r>
    <r>
      <rPr>
        <b/>
        <sz val="11"/>
        <color theme="1"/>
        <rFont val="等线"/>
        <family val="3"/>
        <charset val="134"/>
        <scheme val="minor"/>
      </rPr>
      <t>威势有名声</t>
    </r>
    <r>
      <rPr>
        <sz val="11"/>
        <color theme="1"/>
        <rFont val="等线"/>
        <family val="2"/>
        <charset val="134"/>
        <scheme val="minor"/>
      </rPr>
      <t>，凶时则</t>
    </r>
    <r>
      <rPr>
        <b/>
        <sz val="11"/>
        <color theme="1"/>
        <rFont val="等线"/>
        <family val="3"/>
        <charset val="134"/>
        <scheme val="minor"/>
      </rPr>
      <t>名誉受损、暗中毁谤</t>
    </r>
    <r>
      <rPr>
        <sz val="11"/>
        <color theme="1"/>
        <rFont val="等线"/>
        <family val="2"/>
        <charset val="134"/>
        <scheme val="minor"/>
      </rPr>
      <t>。其所在领域，常与</t>
    </r>
    <r>
      <rPr>
        <b/>
        <sz val="11"/>
        <color theme="1"/>
        <rFont val="等线"/>
        <family val="3"/>
        <charset val="134"/>
        <scheme val="minor"/>
      </rPr>
      <t>个人声誉、社会评价、号召力</t>
    </r>
    <r>
      <rPr>
        <sz val="11"/>
        <color theme="1"/>
        <rFont val="等线"/>
        <family val="2"/>
        <charset val="134"/>
        <scheme val="minor"/>
      </rPr>
      <t>相关。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</si>
  <si>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音乐厅、剧院、暗中较量的场所、一切能发出声音、关乎声誉或隐藏火源的地方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</si>
  <si>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杀/阴火”及其全部引申象征（闷火、深沉、固执、嫉妒、号令、声名、暗中伤害、持久性等）出发，系统化推导并呈现了“人/事/物”三个层次的完整解析。铃星为阴杀星，主暗中酝酿与持久伤害。其核心在于“暗”与“久”，常在声誉、谋略、暗中竞争及慢性问题领域显现作用。其吉凶关键在于能否“以杀为权”。最喜与吉星、强主星配合，化阴沉为谋略；忌独坐或与凶星同度，则阴狠孤克。在紫占中，铃星所在即个人“暗面”与“声誉场”之所在，其闷火燃烧关乎名誉的得失与仇恨的积累。需与火星（明火）明确区分，二者一明一暗，一急一久，共同构成完整的“火铃”系统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</si>
  <si>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天刑星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</si>
  <si>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刑星</t>
    </r>
    <r>
      <rPr>
        <sz val="12"/>
        <color theme="1"/>
        <rFont val="等线"/>
        <family val="3"/>
        <charset val="134"/>
        <scheme val="minor"/>
      </rPr>
      <t>、阳火、孤克、法律、纪律、医药、权威、</t>
    </r>
    <r>
      <rPr>
        <b/>
        <sz val="12"/>
        <color theme="1"/>
        <rFont val="等线"/>
        <family val="3"/>
        <charset val="134"/>
        <scheme val="minor"/>
      </rPr>
      <t>伤害、手术、刀具、规则、惩罚、业力、专业技艺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</si>
  <si>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整合自《金刚佛光-紫占课程手册》及相关权威资料，本次彻底构建以“刑”为核心，涵盖“孤克、法律、纪律、医药、权威”等所有引申义的核心象征网络。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</si>
  <si>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刚直、严肃、自律、有原则、喜孤独、带权威感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法官、医生、军人、警察、工匠、修行者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易有刑克、疏离、重规则、不徇私情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</si>
  <si>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受规则约束、有纪律性、涉及法律或医疗、带有惩罚或伤害性质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官司、手术、纪律处分、专业考核、业力显现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需要专业权威、遵守严格程序、结果带有强制性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严肃、规范、不可违背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</si>
  <si>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具有刑克、规则、权威、医疗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</si>
  <si>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刀具、手术器械、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法律文书、戒尺、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</si>
  <si>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法院、医院、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军营、寺庙（戒律）、</t>
    </r>
    <r>
      <rPr>
        <sz val="12"/>
        <color theme="1"/>
        <rFont val="等线"/>
        <family val="3"/>
        <charset val="134"/>
        <scheme val="minor"/>
      </rPr>
      <t>&lt;/ins&gt;规整、严肃、带有约束性的形态。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</si>
  <si>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骨骼系统、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需要手术治疗的部位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</si>
  <si>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法律体系、医疗系统、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军队、专业行业协会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</si>
  <si>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法律、纪律、业力、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专业权威、惩罚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</si>
  <si>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本次解析从“刑”本质出发，系统推导出其作为“执法者”、“医者”及“规则象征”的多重属性，并完整映射至三层结构，特别明确了其与“骨骼系统”、“法律医疗系统”的关联。</t>
  </si>
  <si>
    <r>
      <t>刑星与孤克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</si>
  <si>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“刑”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刑克、伤害、孤独、权威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杂曜中的刑星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孤独、刑伤、法律事务、医药</t>
    </r>
    <r>
      <rPr>
        <sz val="12"/>
        <color theme="1"/>
        <rFont val="等线"/>
        <family val="3"/>
        <charset val="134"/>
        <scheme val="minor"/>
      </rPr>
      <t>。</t>
    </r>
  </si>
  <si>
    <t>在命宫、夫妻宫时，主性格孤克，易有刑伤，或从事法律、医疗职业。</t>
  </si>
  <si>
    <r>
      <t>法律与纪律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</si>
  <si>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“法律之星”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规则、纪律、秩序、惩罚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带来权威与专业能力，但也带来约束与是非</t>
    </r>
    <r>
      <rPr>
        <sz val="12"/>
        <color theme="1"/>
        <rFont val="等线"/>
        <family val="3"/>
        <charset val="134"/>
        <scheme val="minor"/>
      </rPr>
      <t>。</t>
    </r>
  </si>
  <si>
    <t>在官禄宫、迁移宫时，主事业与法律、纪律相关，或易惹官非。</t>
  </si>
  <si>
    <r>
      <t>医药与技艺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</si>
  <si>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医药、专业技艺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与医药有缘，或有专业技能，动手能力强</t>
    </r>
    <r>
      <rPr>
        <sz val="12"/>
        <color theme="1"/>
        <rFont val="等线"/>
        <family val="3"/>
        <charset val="134"/>
        <scheme val="minor"/>
      </rPr>
      <t>。</t>
    </r>
  </si>
  <si>
    <t>在疾厄宫时，易生病需动手术；在官禄宫，适合外科医生、工匠等专业技艺。</t>
  </si>
  <si>
    <r>
      <t>相貌端正严肃，有威仪，眼神锐利，给人以正直、不易亲近、有原则的印象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</si>
  <si>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：正直守法，原则性强，自律，有专业精神，动手能力强。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</si>
  <si>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：孤僻严肃，不近人情，易有刑伤，人际关系疏离。</t>
    </r>
  </si>
  <si>
    <r>
      <t>属阳火，主</t>
    </r>
    <r>
      <rPr>
        <b/>
        <sz val="12"/>
        <color theme="1"/>
        <rFont val="等线"/>
        <family val="3"/>
        <charset val="134"/>
        <scheme val="minor"/>
      </rPr>
      <t>骨骼、牙齿、手术</t>
    </r>
    <r>
      <rPr>
        <sz val="12"/>
        <color theme="1"/>
        <rFont val="等线"/>
        <family val="3"/>
        <charset val="134"/>
        <scheme val="minor"/>
      </rPr>
      <t>。易有</t>
    </r>
    <r>
      <rPr>
        <b/>
        <sz val="12"/>
        <color theme="1"/>
        <rFont val="等线"/>
        <family val="3"/>
        <charset val="134"/>
        <scheme val="minor"/>
      </rPr>
      <t>筋骨疼痛、骨折、牙病、需手术治疗之疾</t>
    </r>
    <r>
      <rPr>
        <sz val="12"/>
        <color theme="1"/>
        <rFont val="等线"/>
        <family val="3"/>
        <charset val="134"/>
        <scheme val="minor"/>
      </rPr>
      <t>。</t>
    </r>
  </si>
  <si>
    <t>在疾厄宫时显现，尤其与擎羊、七杀同度时更验。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</si>
  <si>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刚直孤克，重原则，有专业技能，一生易有刑伤或法律纠纷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喜与吉星或专业主星同度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“以刑为清”</t>
    </r>
    <r>
      <rPr>
        <sz val="12"/>
        <color theme="1"/>
        <rFont val="等线"/>
        <family val="3"/>
        <charset val="134"/>
        <scheme val="minor"/>
      </rPr>
      <t>，成</t>
    </r>
    <r>
      <rPr>
        <b/>
        <sz val="12"/>
        <color theme="1"/>
        <rFont val="等线"/>
        <family val="3"/>
        <charset val="134"/>
        <scheme val="minor"/>
      </rPr>
      <t>法官、医生、工匠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忌独坐或与凶星同度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“刑克孤伤”</t>
    </r>
    <r>
      <rPr>
        <sz val="12"/>
        <color theme="1"/>
        <rFont val="等线"/>
        <family val="3"/>
        <charset val="134"/>
        <scheme val="minor"/>
      </rPr>
      <t>，多是非灾病。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</si>
  <si>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缘薄，易有争执或刑克，关系疏离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</si>
  <si>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严肃，重原则，易有隔阂，或配偶为法律、医疗从业者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</si>
  <si>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数量少，管教严格，或子女有专业技能</t>
    </r>
    <r>
      <rPr>
        <sz val="12"/>
        <color theme="1"/>
        <rFont val="等线"/>
        <family val="3"/>
        <charset val="134"/>
        <scheme val="minor"/>
      </rPr>
      <t>。</t>
    </r>
  </si>
  <si>
    <r>
      <t>求财方式</t>
    </r>
    <r>
      <rPr>
        <b/>
        <sz val="12"/>
        <color theme="1"/>
        <rFont val="等线"/>
        <family val="3"/>
        <charset val="134"/>
        <scheme val="minor"/>
      </rPr>
      <t>正规，靠专业技能赚钱，但钱财易因官司、医疗等事损耗</t>
    </r>
    <r>
      <rPr>
        <sz val="12"/>
        <color theme="1"/>
        <rFont val="等线"/>
        <family val="3"/>
        <charset val="134"/>
        <scheme val="minor"/>
      </rPr>
      <t>。</t>
    </r>
  </si>
  <si>
    <r>
      <t>易有筋骨伤病、牙病，或需手术治疗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</si>
  <si>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易遇官非、纠纷，或从事需要权威、纪律的职业</t>
    </r>
    <r>
      <rPr>
        <sz val="12"/>
        <color theme="1"/>
        <rFont val="等线"/>
        <family val="3"/>
        <charset val="134"/>
        <scheme val="minor"/>
      </rPr>
      <t>。</t>
    </r>
  </si>
  <si>
    <r>
      <t>朋友多为严肃、有专业背景之人，或易与朋友发生法律纠纷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</si>
  <si>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法律、医疗、军警、司法、工匠等需要专业权威和严格纪律的行业</t>
    </r>
    <r>
      <rPr>
        <sz val="12"/>
        <color theme="1"/>
        <rFont val="等线"/>
        <family val="3"/>
        <charset val="134"/>
        <scheme val="minor"/>
      </rPr>
      <t>。</t>
    </r>
  </si>
  <si>
    <r>
      <t>家宅附近可能有法院、医院等机构，家中规矩多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</si>
  <si>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重原则，有业力观念，内心常有自律与约束感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</si>
  <si>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管教严厉，重视纪律，或父母从事法律、医疗职业</t>
    </r>
    <r>
      <rPr>
        <sz val="12"/>
        <color theme="1"/>
        <rFont val="等线"/>
        <family val="3"/>
        <charset val="134"/>
        <scheme val="minor"/>
      </rPr>
      <t>。</t>
    </r>
  </si>
  <si>
    <r>
      <t>天刑+紫微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</si>
  <si>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权威与法律结合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掌司法大权，行事刚正不阿，但易显孤高</t>
    </r>
    <r>
      <rPr>
        <sz val="12"/>
        <color theme="1"/>
        <rFont val="等线"/>
        <family val="3"/>
        <charset val="134"/>
        <scheme val="minor"/>
      </rPr>
      <t>。</t>
    </r>
  </si>
  <si>
    <t>大法官；纪律严明的领导者。</t>
  </si>
  <si>
    <r>
      <t>天刑+天梁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</si>
  <si>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庇护与刑律结合</t>
    </r>
    <r>
      <rPr>
        <sz val="12"/>
        <color theme="1"/>
        <rFont val="等线"/>
        <family val="3"/>
        <charset val="134"/>
        <scheme val="minor"/>
      </rPr>
      <t>，为</t>
    </r>
    <r>
      <rPr>
        <b/>
        <sz val="12"/>
        <color theme="1"/>
        <rFont val="等线"/>
        <family val="3"/>
        <charset val="134"/>
        <scheme val="minor"/>
      </rPr>
      <t>“刑荫夹印”</t>
    </r>
    <r>
      <rPr>
        <sz val="12"/>
        <color theme="1"/>
        <rFont val="等线"/>
        <family val="3"/>
        <charset val="134"/>
        <scheme val="minor"/>
      </rPr>
      <t>格局（需天相在中夹），主</t>
    </r>
    <r>
      <rPr>
        <b/>
        <sz val="12"/>
        <color theme="1"/>
        <rFont val="等线"/>
        <family val="3"/>
        <charset val="134"/>
        <scheme val="minor"/>
      </rPr>
      <t>法律、医疗权威，清贵显达</t>
    </r>
    <r>
      <rPr>
        <sz val="12"/>
        <color theme="1"/>
        <rFont val="等线"/>
        <family val="3"/>
        <charset val="134"/>
        <scheme val="minor"/>
      </rPr>
      <t>。</t>
    </r>
  </si>
  <si>
    <t>著名医生；司法高官。</t>
  </si>
  <si>
    <r>
      <t>天刑+七杀</t>
    </r>
    <r>
      <rPr>
        <sz val="12"/>
        <color theme="1"/>
        <rFont val="等线"/>
        <family val="3"/>
        <charset val="134"/>
        <scheme val="minor"/>
      </rPr>
      <t>​</t>
    </r>
  </si>
  <si>
    <r>
      <t>将星遇刑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开拓与刑伤叠加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武职显贵，但一生多刑伤，从事军警、外科医生尤验</t>
    </r>
    <r>
      <rPr>
        <sz val="12"/>
        <color theme="1"/>
        <rFont val="等线"/>
        <family val="3"/>
        <charset val="134"/>
        <scheme val="minor"/>
      </rPr>
      <t>。</t>
    </r>
  </si>
  <si>
    <t>军人；外科手术医生。</t>
  </si>
  <si>
    <r>
      <t>天刑+擎羊</t>
    </r>
    <r>
      <rPr>
        <sz val="12"/>
        <color theme="1"/>
        <rFont val="等线"/>
        <family val="3"/>
        <charset val="134"/>
        <scheme val="minor"/>
      </rPr>
      <t>​</t>
    </r>
  </si>
  <si>
    <r>
      <t>刑刃相逢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刑伤之力倍增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易有手术、外伤、法律严惩</t>
    </r>
    <r>
      <rPr>
        <sz val="12"/>
        <color theme="1"/>
        <rFont val="等线"/>
        <family val="3"/>
        <charset val="134"/>
        <scheme val="minor"/>
      </rPr>
      <t>，煞气重。</t>
    </r>
  </si>
  <si>
    <t>受法律制裁者；多次手术者。</t>
  </si>
  <si>
    <r>
      <t>天刑+太阳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</si>
  <si>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光明与律法结合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名声来自法律、纪律领域，或易有公开的是非官司</t>
    </r>
    <r>
      <rPr>
        <sz val="12"/>
        <color theme="1"/>
        <rFont val="等线"/>
        <family val="3"/>
        <charset val="134"/>
        <scheme val="minor"/>
      </rPr>
      <t>。</t>
    </r>
  </si>
  <si>
    <t>检察官；纪律监察官员。</t>
  </si>
  <si>
    <r>
      <t>天刑+巨门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</si>
  <si>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是非与刑律结合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易有法律诉讼、官非口舌，或从事法律辩论工作</t>
    </r>
    <r>
      <rPr>
        <sz val="12"/>
        <color theme="1"/>
        <rFont val="等线"/>
        <family val="3"/>
        <charset val="134"/>
        <scheme val="minor"/>
      </rPr>
      <t>。</t>
    </r>
  </si>
  <si>
    <t>律师；纠纷调解员。</t>
  </si>
  <si>
    <r>
      <t>天刑+武曲</t>
    </r>
    <r>
      <rPr>
        <sz val="12"/>
        <color theme="1"/>
        <rFont val="等线"/>
        <family val="3"/>
        <charset val="134"/>
        <scheme val="minor"/>
      </rPr>
      <t>​</t>
    </r>
  </si>
  <si>
    <r>
      <t>财星遇刑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行动力与规则在求财中展现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通过专业技能、严格管理求财，但钱财易因官司损耗</t>
    </r>
    <r>
      <rPr>
        <sz val="12"/>
        <color theme="1"/>
        <rFont val="等线"/>
        <family val="3"/>
        <charset val="134"/>
        <scheme val="minor"/>
      </rPr>
      <t>。</t>
    </r>
  </si>
  <si>
    <t>金融律师；精算师。</t>
  </si>
  <si>
    <r>
      <t>天刑+廉贞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</si>
  <si>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复杂与刑律结合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易涉复杂法律案件，或从事纪检、审计工作</t>
    </r>
    <r>
      <rPr>
        <sz val="12"/>
        <color theme="1"/>
        <rFont val="等线"/>
        <family val="3"/>
        <charset val="134"/>
        <scheme val="minor"/>
      </rPr>
      <t>。</t>
    </r>
  </si>
  <si>
    <t>纪检干部；审计师。</t>
  </si>
  <si>
    <r>
      <t>天刑+天相</t>
    </r>
    <r>
      <rPr>
        <sz val="12"/>
        <color theme="1"/>
        <rFont val="等线"/>
        <family val="3"/>
        <charset val="134"/>
        <scheme val="minor"/>
      </rPr>
      <t>​</t>
    </r>
  </si>
  <si>
    <r>
      <t>印星遇刑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协调与规则矛盾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文书、契约易涉法律问题，需严格按程序办事</t>
    </r>
    <r>
      <rPr>
        <sz val="12"/>
        <color theme="1"/>
        <rFont val="等线"/>
        <family val="3"/>
        <charset val="134"/>
        <scheme val="minor"/>
      </rPr>
      <t>。</t>
    </r>
  </si>
  <si>
    <t>合同法律顾问；公证员。</t>
  </si>
  <si>
    <r>
      <t>天刑+文昌/文曲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</si>
  <si>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刑文相会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律法与才华结合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有法律、文书方面的才华，或从事法律文书工作</t>
    </r>
    <r>
      <rPr>
        <sz val="12"/>
        <color theme="1"/>
        <rFont val="等线"/>
        <family val="3"/>
        <charset val="134"/>
        <scheme val="minor"/>
      </rPr>
      <t>。</t>
    </r>
  </si>
  <si>
    <t>法官；法律文书起草者。</t>
  </si>
  <si>
    <r>
      <t>天刑+火星</t>
    </r>
    <r>
      <rPr>
        <sz val="12"/>
        <color theme="1"/>
        <rFont val="等线"/>
        <family val="3"/>
        <charset val="134"/>
        <scheme val="minor"/>
      </rPr>
      <t>​</t>
    </r>
  </si>
  <si>
    <r>
      <t>火刑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暴烈与刑伤结合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突发性的伤害、手术或法律惩罚</t>
    </r>
    <r>
      <rPr>
        <sz val="12"/>
        <color theme="1"/>
        <rFont val="等线"/>
        <family val="3"/>
        <charset val="134"/>
        <scheme val="minor"/>
      </rPr>
      <t>。</t>
    </r>
  </si>
  <si>
    <t>急诊外科医生；突发事故导致的刑罚。</t>
  </si>
  <si>
    <r>
      <t>天刑+铃星</t>
    </r>
    <r>
      <rPr>
        <sz val="12"/>
        <color theme="1"/>
        <rFont val="等线"/>
        <family val="3"/>
        <charset val="134"/>
        <scheme val="minor"/>
      </rPr>
      <t>​</t>
    </r>
  </si>
  <si>
    <r>
      <t>铃刑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阴火与刑律结合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持久的、暗中的法律纠纷或慢性病需手术</t>
    </r>
    <r>
      <rPr>
        <sz val="12"/>
        <color theme="1"/>
        <rFont val="等线"/>
        <family val="3"/>
        <charset val="134"/>
        <scheme val="minor"/>
      </rPr>
      <t>。</t>
    </r>
  </si>
  <si>
    <t>长期诉讼；慢性病手术。</t>
  </si>
  <si>
    <r>
      <t>天刑+天马</t>
    </r>
    <r>
      <rPr>
        <sz val="12"/>
        <color theme="1"/>
        <rFont val="等线"/>
        <family val="3"/>
        <charset val="134"/>
        <scheme val="minor"/>
      </rPr>
      <t>​</t>
    </r>
  </si>
  <si>
    <r>
      <t>刑马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刑律与奔波结合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为法律事务奔波，或从事流动性的执法、医疗工作</t>
    </r>
    <r>
      <rPr>
        <sz val="12"/>
        <color theme="1"/>
        <rFont val="等线"/>
        <family val="3"/>
        <charset val="134"/>
        <scheme val="minor"/>
      </rPr>
      <t>。</t>
    </r>
  </si>
  <si>
    <t>巡回法官；战地医生。</t>
  </si>
  <si>
    <r>
      <t>天刑+地空/地劫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</si>
  <si>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刑空/刑劫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刑律与空亡/破耗结合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法律事务落空，或手术失败、专业失误导致损失</t>
    </r>
    <r>
      <rPr>
        <sz val="12"/>
        <color theme="1"/>
        <rFont val="等线"/>
        <family val="3"/>
        <charset val="134"/>
        <scheme val="minor"/>
      </rPr>
      <t>。</t>
    </r>
  </si>
  <si>
    <t>败诉；医疗事故。</t>
  </si>
  <si>
    <r>
      <t>1. “刑”与“孤克”本质</t>
    </r>
    <r>
      <rPr>
        <sz val="11"/>
        <color theme="1"/>
        <rFont val="等线"/>
        <family val="2"/>
        <charset val="134"/>
        <scheme val="minor"/>
      </rPr>
      <t>：天刑化气为</t>
    </r>
    <r>
      <rPr>
        <b/>
        <sz val="11"/>
        <color theme="1"/>
        <rFont val="等线"/>
        <family val="3"/>
        <charset val="134"/>
        <scheme val="minor"/>
      </rPr>
      <t>“孤”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刑克、法律、纪律、医药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在规则与约束中展现专业权威，同时伴随孤独与刑伤</t>
    </r>
    <r>
      <rPr>
        <sz val="11"/>
        <color theme="1"/>
        <rFont val="等线"/>
        <family val="2"/>
        <charset val="134"/>
        <scheme val="minor"/>
      </rPr>
      <t>。它既是</t>
    </r>
    <r>
      <rPr>
        <b/>
        <sz val="11"/>
        <color theme="1"/>
        <rFont val="等线"/>
        <family val="3"/>
        <charset val="134"/>
        <scheme val="minor"/>
      </rPr>
      <t>刑星</t>
    </r>
    <r>
      <rPr>
        <sz val="11"/>
        <color theme="1"/>
        <rFont val="等线"/>
        <family val="2"/>
        <charset val="134"/>
        <scheme val="minor"/>
      </rPr>
      <t>（带来约束与伤害），也是</t>
    </r>
    <r>
      <rPr>
        <b/>
        <sz val="11"/>
        <color theme="1"/>
        <rFont val="等线"/>
        <family val="3"/>
        <charset val="134"/>
        <scheme val="minor"/>
      </rPr>
      <t>专业星</t>
    </r>
    <r>
      <rPr>
        <sz val="11"/>
        <color theme="1"/>
        <rFont val="等线"/>
        <family val="2"/>
        <charset val="134"/>
        <scheme val="minor"/>
      </rPr>
      <t>（代表法律、医疗等专业权威）。</t>
    </r>
  </si>
  <si>
    <r>
      <t>2. “阳火”与“权威”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阳火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刚烈、严肃</t>
    </r>
    <r>
      <rPr>
        <sz val="11"/>
        <color theme="1"/>
        <rFont val="等线"/>
        <family val="2"/>
        <charset val="134"/>
        <scheme val="minor"/>
      </rPr>
      <t>。其“刑”性体现为</t>
    </r>
    <r>
      <rPr>
        <b/>
        <sz val="11"/>
        <color theme="1"/>
        <rFont val="等线"/>
        <family val="3"/>
        <charset val="134"/>
        <scheme val="minor"/>
      </rPr>
      <t>公开的、规则的、权威性的约束与制裁</t>
    </r>
    <r>
      <rPr>
        <sz val="11"/>
        <color theme="1"/>
        <rFont val="等线"/>
        <family val="2"/>
        <charset val="134"/>
        <scheme val="minor"/>
      </rPr>
      <t>，与陀罗的</t>
    </r>
    <r>
      <rPr>
        <b/>
        <sz val="11"/>
        <color theme="1"/>
        <rFont val="等线"/>
        <family val="3"/>
        <charset val="134"/>
        <scheme val="minor"/>
      </rPr>
      <t>“阴金”、“拖延纠缠”</t>
    </r>
    <r>
      <rPr>
        <sz val="11"/>
        <color theme="1"/>
        <rFont val="等线"/>
        <family val="2"/>
        <charset val="134"/>
        <scheme val="minor"/>
      </rPr>
      <t>之刑不同。</t>
    </r>
    <r>
      <rPr>
        <b/>
        <sz val="11"/>
        <color theme="1"/>
        <rFont val="等线"/>
        <family val="3"/>
        <charset val="134"/>
        <scheme val="minor"/>
      </rPr>
      <t>天刑是明刑，陀罗是暗纠；天刑是规则制裁，陀罗是业力纠缠</t>
    </r>
    <r>
      <rPr>
        <sz val="11"/>
        <color theme="1"/>
        <rFont val="等线"/>
        <family val="2"/>
        <charset val="134"/>
        <scheme val="minor"/>
      </rPr>
      <t>。</t>
    </r>
  </si>
  <si>
    <r>
      <t>3. “以刑为清”的辩证</t>
    </r>
    <r>
      <rPr>
        <sz val="11"/>
        <color theme="1"/>
        <rFont val="等线"/>
        <family val="2"/>
        <charset val="134"/>
        <scheme val="minor"/>
      </rPr>
      <t>：天刑虽为刑星，但与</t>
    </r>
    <r>
      <rPr>
        <b/>
        <sz val="11"/>
        <color theme="1"/>
        <rFont val="等线"/>
        <family val="3"/>
        <charset val="134"/>
        <scheme val="minor"/>
      </rPr>
      <t>吉星或专业主星（如天梁、太阳）</t>
    </r>
    <r>
      <rPr>
        <sz val="11"/>
        <color theme="1"/>
        <rFont val="等线"/>
        <family val="2"/>
        <charset val="134"/>
        <scheme val="minor"/>
      </rPr>
      <t>同度时，能</t>
    </r>
    <r>
      <rPr>
        <b/>
        <sz val="11"/>
        <color theme="1"/>
        <rFont val="等线"/>
        <family val="3"/>
        <charset val="134"/>
        <scheme val="minor"/>
      </rPr>
      <t>化为法律、医疗、纪律方面的专业权威与清贵名声</t>
    </r>
    <r>
      <rPr>
        <sz val="11"/>
        <color theme="1"/>
        <rFont val="等线"/>
        <family val="2"/>
        <charset val="134"/>
        <scheme val="minor"/>
      </rPr>
      <t>。此为</t>
    </r>
    <r>
      <rPr>
        <b/>
        <sz val="11"/>
        <color theme="1"/>
        <rFont val="等线"/>
        <family val="3"/>
        <charset val="134"/>
        <scheme val="minor"/>
      </rPr>
      <t>“以刑为清”</t>
    </r>
    <r>
      <rPr>
        <sz val="11"/>
        <color theme="1"/>
        <rFont val="等线"/>
        <family val="2"/>
        <charset val="134"/>
        <scheme val="minor"/>
      </rPr>
      <t>。若独守或与凶星同度，则主</t>
    </r>
    <r>
      <rPr>
        <b/>
        <sz val="11"/>
        <color theme="1"/>
        <rFont val="等线"/>
        <family val="3"/>
        <charset val="134"/>
        <scheme val="minor"/>
      </rPr>
      <t>刑伤、孤独、官非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</si>
  <si>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：天刑所在宫位，指示在人生的哪个领域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最易受到规则约束、涉及法律医药事务，或需要运用专业权威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原则性与孤独感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</si>
  <si>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“火”性的延伸</t>
    </r>
    <r>
      <rPr>
        <sz val="11"/>
        <color theme="1"/>
        <rFont val="等线"/>
        <family val="2"/>
        <charset val="134"/>
        <scheme val="minor"/>
      </rPr>
      <t>：属阳火，主</t>
    </r>
    <r>
      <rPr>
        <b/>
        <sz val="11"/>
        <color theme="1"/>
        <rFont val="等线"/>
        <family val="3"/>
        <charset val="134"/>
        <scheme val="minor"/>
      </rPr>
      <t>刚直、权威、手术</t>
    </r>
    <r>
      <rPr>
        <sz val="11"/>
        <color theme="1"/>
        <rFont val="等线"/>
        <family val="2"/>
        <charset val="134"/>
        <scheme val="minor"/>
      </rPr>
      <t>。其“刑”性在物质层面对应</t>
    </r>
    <r>
      <rPr>
        <b/>
        <sz val="11"/>
        <color theme="1"/>
        <rFont val="等线"/>
        <family val="3"/>
        <charset val="134"/>
        <scheme val="minor"/>
      </rPr>
      <t>刀具、手术器械、法律文书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骨骼、牙齿、手术部位</t>
    </r>
    <r>
      <rPr>
        <sz val="11"/>
        <color theme="1"/>
        <rFont val="等线"/>
        <family val="2"/>
        <charset val="134"/>
        <scheme val="minor"/>
      </rPr>
      <t>；在社会层面体现为</t>
    </r>
    <r>
      <rPr>
        <b/>
        <sz val="11"/>
        <color theme="1"/>
        <rFont val="等线"/>
        <family val="3"/>
        <charset val="134"/>
        <scheme val="minor"/>
      </rPr>
      <t>法律、医疗、军队等权威系统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</si>
  <si>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四化与刑性</t>
    </r>
    <r>
      <rPr>
        <sz val="11"/>
        <color theme="1"/>
        <rFont val="等线"/>
        <family val="2"/>
        <charset val="134"/>
        <scheme val="minor"/>
      </rPr>
      <t>：天刑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。但其刑性会被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引动而加剧官非刑伤，被</t>
    </r>
    <r>
      <rPr>
        <b/>
        <sz val="11"/>
        <color theme="1"/>
        <rFont val="等线"/>
        <family val="3"/>
        <charset val="134"/>
        <scheme val="minor"/>
      </rPr>
      <t>化权</t>
    </r>
    <r>
      <rPr>
        <sz val="11"/>
        <color theme="1"/>
        <rFont val="等线"/>
        <family val="2"/>
        <charset val="134"/>
        <scheme val="minor"/>
      </rPr>
      <t>增强（权威更盛）。</t>
    </r>
  </si>
  <si>
    <r>
      <t>7. “业力”与“因果”</t>
    </r>
    <r>
      <rPr>
        <sz val="11"/>
        <color theme="1"/>
        <rFont val="等线"/>
        <family val="2"/>
        <charset val="134"/>
        <scheme val="minor"/>
      </rPr>
      <t>：天刑也带有</t>
    </r>
    <r>
      <rPr>
        <b/>
        <sz val="11"/>
        <color theme="1"/>
        <rFont val="等线"/>
        <family val="3"/>
        <charset val="134"/>
        <scheme val="minor"/>
      </rPr>
      <t>业力、因果</t>
    </r>
    <r>
      <rPr>
        <sz val="11"/>
        <color theme="1"/>
        <rFont val="等线"/>
        <family val="2"/>
        <charset val="134"/>
        <scheme val="minor"/>
      </rPr>
      <t>的色彩，主</t>
    </r>
    <r>
      <rPr>
        <b/>
        <sz val="11"/>
        <color theme="1"/>
        <rFont val="等线"/>
        <family val="3"/>
        <charset val="134"/>
        <scheme val="minor"/>
      </rPr>
      <t>受前世或过往行为带来的规则性惩罚或专业使命</t>
    </r>
    <r>
      <rPr>
        <sz val="11"/>
        <color theme="1"/>
        <rFont val="等线"/>
        <family val="2"/>
        <charset val="134"/>
        <scheme val="minor"/>
      </rPr>
      <t>。其所在领域，常与</t>
    </r>
    <r>
      <rPr>
        <b/>
        <sz val="11"/>
        <color theme="1"/>
        <rFont val="等线"/>
        <family val="3"/>
        <charset val="134"/>
        <scheme val="minor"/>
      </rPr>
      <t>个人需要承担的业力或专业天职</t>
    </r>
    <r>
      <rPr>
        <sz val="11"/>
        <color theme="1"/>
        <rFont val="等线"/>
        <family val="2"/>
        <charset val="134"/>
        <scheme val="minor"/>
      </rPr>
      <t>相关。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</si>
  <si>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法院、医院、军营、寺庙（持戒之地）、一切具有规则、权威、医疗性质的场所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</si>
  <si>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刑/孤克”及其全部引申象征（法律、纪律、医药、权威、伤害、手术等）出发，系统化推导并呈现了“人/事/物”三个层次的完整解析。天刑为刑星，主规则与伤害。其核心在于“法”与“伤”，常在法律、医疗、纪律等需要专业权威和严格程序的领域显现作用。其吉凶关键在于能否“以刑为清”。最喜与吉星、专业主星配合，化刑克为权威；忌独坐或与凶星同度，则刑伤孤克。在紫占中，天刑所在即个人“规则场”与“业力点”之所在，其刑律关乎专业的成就与因果的显现。需与擎羊（明刃）、陀罗（暗刃）在“刑伤”属性上明确区分，天刑更侧重规则性与专业性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</si>
  <si>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天寿星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</si>
  <si>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寿星</t>
    </r>
    <r>
      <rPr>
        <sz val="12"/>
        <color theme="1"/>
        <rFont val="等线"/>
        <family val="3"/>
        <charset val="134"/>
        <scheme val="minor"/>
      </rPr>
      <t>、戊土、长寿、延年、福寿、</t>
    </r>
    <r>
      <rPr>
        <b/>
        <sz val="12"/>
        <color theme="1"/>
        <rFont val="等线"/>
        <family val="3"/>
        <charset val="134"/>
        <scheme val="minor"/>
      </rPr>
      <t>稳健、慢性、持久、滋养、根基、晚年运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</si>
  <si>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整合自《金刚佛光-紫占课程手册》及相关权威资料，本次彻底构建以“寿”为核心，涵盖“延年、福寿、稳健、慢性、持久”等所有引申义的核心象征网络。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</si>
  <si>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稳健、有耐心、慢性子、注重养生、有长远眼光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长寿者、养生家、慢性子、根基深厚者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持久稳定，晚运佳，得长辈缘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</si>
  <si>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持久、缓慢、稳定、结果良好、福寿绵长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长寿、慢性事件、持久性事务、晚年福泽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需要耐心、持久投入、结果稳定且长远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平稳、缓慢、根基扎实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</si>
  <si>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具有土性、稳定、持久、滋养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</si>
  <si>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长寿食物（如人参）、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慢性药物、滋补品、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</si>
  <si>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养老院、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山区、土地庙、</t>
    </r>
    <r>
      <rPr>
        <sz val="12"/>
        <color theme="1"/>
        <rFont val="等线"/>
        <family val="3"/>
        <charset val="134"/>
        <scheme val="minor"/>
      </rPr>
      <t>&lt;/ins&gt;稳定、厚重、滋养的形态。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</si>
  <si>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消化系统、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新陈代谢系统、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</si>
  <si>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养老保障体系、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慢性病疗养机构、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</si>
  <si>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长寿、稳健、持久、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滋养、根基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</si>
  <si>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本次解析从“寿”本质出发，系统推导出其作为“长寿者”、“滋养者”及“稳定象征”的多重属性，并完整映射至三层结构，特别明确了其与“消化系统”、“养老体系”的关联。</t>
  </si>
  <si>
    <r>
      <t>寿星与长寿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</si>
  <si>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“寿”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长寿、延年、福寿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吉利的辅星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健康长寿，晚年运佳</t>
    </r>
    <r>
      <rPr>
        <sz val="12"/>
        <color theme="1"/>
        <rFont val="等线"/>
        <family val="3"/>
        <charset val="134"/>
        <scheme val="minor"/>
      </rPr>
      <t>。</t>
    </r>
  </si>
  <si>
    <t>在命宫、疾厄宫、福德宫时，主身体健康，寿命较长，晚年生活安稳。</t>
  </si>
  <si>
    <r>
      <t>稳健与慢性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</si>
  <si>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“稳健之星”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慢性、持久、有耐心</t>
    </r>
    <r>
      <rPr>
        <sz val="12"/>
        <color theme="1"/>
        <rFont val="等线"/>
        <family val="3"/>
        <charset val="134"/>
        <scheme val="minor"/>
      </rPr>
      <t>。能</t>
    </r>
    <r>
      <rPr>
        <b/>
        <sz val="12"/>
        <color theme="1"/>
        <rFont val="等线"/>
        <family val="3"/>
        <charset val="134"/>
        <scheme val="minor"/>
      </rPr>
      <t>化解急燥，使事态发展平稳持久</t>
    </r>
    <r>
      <rPr>
        <sz val="12"/>
        <color theme="1"/>
        <rFont val="等线"/>
        <family val="3"/>
        <charset val="134"/>
        <scheme val="minor"/>
      </rPr>
      <t>。</t>
    </r>
  </si>
  <si>
    <t>与火星、擎羊等急星同度，可减缓其暴烈之气；在官禄宫，主事业稳定发展。</t>
  </si>
  <si>
    <r>
      <t>滋养与根基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</si>
  <si>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戊土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滋养、根基、厚重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得到滋养，根基稳固，有后福</t>
    </r>
    <r>
      <rPr>
        <sz val="12"/>
        <color theme="1"/>
        <rFont val="等线"/>
        <family val="3"/>
        <charset val="134"/>
        <scheme val="minor"/>
      </rPr>
      <t>。</t>
    </r>
  </si>
  <si>
    <t>在田宅宫，主家宅安稳，祖业可守；在六亲宫，主缘分深厚持久。</t>
  </si>
  <si>
    <r>
      <t>相貌敦厚，行动沉稳，面色黄润，给人以稳重、可靠、有福气的印象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</si>
  <si>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：性格温和，有耐心，行事稳健，注重养生，长寿。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</si>
  <si>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：可能过于慢性子，缺乏冲劲，喜安逸。</t>
    </r>
  </si>
  <si>
    <r>
      <t>属戊土，主</t>
    </r>
    <r>
      <rPr>
        <b/>
        <sz val="12"/>
        <color theme="1"/>
        <rFont val="等线"/>
        <family val="3"/>
        <charset val="134"/>
        <scheme val="minor"/>
      </rPr>
      <t>消化系统、新陈代谢</t>
    </r>
    <r>
      <rPr>
        <sz val="12"/>
        <color theme="1"/>
        <rFont val="等线"/>
        <family val="3"/>
        <charset val="134"/>
        <scheme val="minor"/>
      </rPr>
      <t>。身体</t>
    </r>
    <r>
      <rPr>
        <b/>
        <sz val="12"/>
        <color theme="1"/>
        <rFont val="等线"/>
        <family val="3"/>
        <charset val="134"/>
        <scheme val="minor"/>
      </rPr>
      <t>底子好，抗病力强，慢性病易调养</t>
    </r>
    <r>
      <rPr>
        <sz val="12"/>
        <color theme="1"/>
        <rFont val="等线"/>
        <family val="3"/>
        <charset val="134"/>
        <scheme val="minor"/>
      </rPr>
      <t>。</t>
    </r>
  </si>
  <si>
    <t>在疾厄宫时显现，尤其与天同、天梁等星同度更验。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</si>
  <si>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温和稳健，有耐心，寿命较长，晚年福厚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喜与吉星或福寿星同度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“福寿双全”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即使与凶星同度，亦能减凶增吉，延长福泽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</si>
  <si>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缘分持久，关系稳定，能互相扶持到老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</si>
  <si>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稳定和谐，婚姻持久，配偶可能是慢性子或长寿之人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</si>
  <si>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身体健康，好养育，与子女缘分长久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</si>
  <si>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来得稳，去得慢，善于积累，晚年钱财丰足</t>
    </r>
    <r>
      <rPr>
        <sz val="12"/>
        <color theme="1"/>
        <rFont val="等线"/>
        <family val="3"/>
        <charset val="134"/>
        <scheme val="minor"/>
      </rPr>
      <t>。</t>
    </r>
  </si>
  <si>
    <r>
      <t>身体健康，抵抗力强，易得慢性病但易调养，长寿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</si>
  <si>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发展平稳，少波折，晚年宜外出养老或旅游</t>
    </r>
    <r>
      <rPr>
        <sz val="12"/>
        <color theme="1"/>
        <rFont val="等线"/>
        <family val="3"/>
        <charset val="134"/>
        <scheme val="minor"/>
      </rPr>
      <t>。</t>
    </r>
  </si>
  <si>
    <r>
      <t>朋友多为稳重长寿之人，友情持久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</si>
  <si>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需要耐心和持久力的行业，如养生、护理、农业、长期研究等</t>
    </r>
    <r>
      <rPr>
        <sz val="12"/>
        <color theme="1"/>
        <rFont val="等线"/>
        <family val="3"/>
        <charset val="134"/>
        <scheme val="minor"/>
      </rPr>
      <t>，事业稳定。</t>
    </r>
  </si>
  <si>
    <r>
      <t>家宅安稳，祖业可守，适合居住于环境稳定的地方，晚年房产运佳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</si>
  <si>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安逸，有耐心，注重养生，晚年心绪平和，福泽深厚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</si>
  <si>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长寿，身体健康，与父母缘分深厚</t>
    </r>
    <r>
      <rPr>
        <sz val="12"/>
        <color theme="1"/>
        <rFont val="等线"/>
        <family val="3"/>
        <charset val="134"/>
        <scheme val="minor"/>
      </rPr>
      <t>。</t>
    </r>
  </si>
  <si>
    <r>
      <t>天寿+天同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</si>
  <si>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福气与长寿结合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安逸长寿，福寿双全，一生少忧</t>
    </r>
    <r>
      <rPr>
        <sz val="12"/>
        <color theme="1"/>
        <rFont val="等线"/>
        <family val="3"/>
        <charset val="134"/>
        <scheme val="minor"/>
      </rPr>
      <t>。</t>
    </r>
  </si>
  <si>
    <t>有福气的长寿者；退休生活安逸。</t>
  </si>
  <si>
    <r>
      <t>天寿+天梁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</si>
  <si>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庇护与长寿结合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健康长寿，且常得长辈荫庇，逢凶化吉</t>
    </r>
    <r>
      <rPr>
        <sz val="12"/>
        <color theme="1"/>
        <rFont val="等线"/>
        <family val="3"/>
        <charset val="134"/>
        <scheme val="minor"/>
      </rPr>
      <t>。</t>
    </r>
  </si>
  <si>
    <t>受家族福泽的长寿者；医疗、养老行业从业者。</t>
  </si>
  <si>
    <r>
      <t>天寿+巨门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</si>
  <si>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是非与持久结合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是非持久但最终能化解，暗疾得调养</t>
    </r>
    <r>
      <rPr>
        <sz val="12"/>
        <color theme="1"/>
        <rFont val="等线"/>
        <family val="3"/>
        <charset val="134"/>
        <scheme val="minor"/>
      </rPr>
      <t>。</t>
    </r>
  </si>
  <si>
    <t>长期纠纷最终和解；慢性病得到良好控制。</t>
  </si>
  <si>
    <r>
      <t>天寿+太阳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</si>
  <si>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光明与长寿结合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名声持久，晚年名望高，健康开朗</t>
    </r>
    <r>
      <rPr>
        <sz val="12"/>
        <color theme="1"/>
        <rFont val="等线"/>
        <family val="3"/>
        <charset val="134"/>
        <scheme val="minor"/>
      </rPr>
      <t>。</t>
    </r>
  </si>
  <si>
    <t>德高望重的长者；晚年成名的艺术家。</t>
  </si>
  <si>
    <r>
      <t>天寿+太阴</t>
    </r>
    <r>
      <rPr>
        <sz val="12"/>
        <color theme="1"/>
        <rFont val="等线"/>
        <family val="3"/>
        <charset val="134"/>
        <scheme val="minor"/>
      </rPr>
      <t>​</t>
    </r>
  </si>
  <si>
    <r>
      <t>富星遇寿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财富与长寿结合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财富积累持久，晚年富足，生活恬静</t>
    </r>
    <r>
      <rPr>
        <sz val="12"/>
        <color theme="1"/>
        <rFont val="等线"/>
        <family val="3"/>
        <charset val="134"/>
        <scheme val="minor"/>
      </rPr>
      <t>。</t>
    </r>
  </si>
  <si>
    <t>稳健的投资者；晚年生活富裕安宁。</t>
  </si>
  <si>
    <r>
      <t>天寿+紫微</t>
    </r>
    <r>
      <rPr>
        <sz val="12"/>
        <color theme="1"/>
        <rFont val="等线"/>
        <family val="3"/>
        <charset val="134"/>
        <scheme val="minor"/>
      </rPr>
      <t>​</t>
    </r>
  </si>
  <si>
    <r>
      <t>帝星遇寿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权威与稳健结合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地位稳固，权力持久，晚年尊荣</t>
    </r>
    <r>
      <rPr>
        <sz val="12"/>
        <color theme="1"/>
        <rFont val="等线"/>
        <family val="3"/>
        <charset val="134"/>
        <scheme val="minor"/>
      </rPr>
      <t>。</t>
    </r>
  </si>
  <si>
    <t>长期在位的领导者；家族企业的长寿掌门人。</t>
  </si>
  <si>
    <r>
      <t>天寿+天府</t>
    </r>
    <r>
      <rPr>
        <sz val="12"/>
        <color theme="1"/>
        <rFont val="等线"/>
        <family val="3"/>
        <charset val="134"/>
        <scheme val="minor"/>
      </rPr>
      <t>​</t>
    </r>
  </si>
  <si>
    <r>
      <t>库星遇寿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库藏与持久结合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财库稳固，积蓄丰厚，晚年享用不尽</t>
    </r>
    <r>
      <rPr>
        <sz val="12"/>
        <color theme="1"/>
        <rFont val="等线"/>
        <family val="3"/>
        <charset val="134"/>
        <scheme val="minor"/>
      </rPr>
      <t>。</t>
    </r>
  </si>
  <si>
    <t>守业成功的家族长者；稳健的财富管理者。</t>
  </si>
  <si>
    <r>
      <t>天寿+火星/铃星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</si>
  <si>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火寿/铃寿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急暴与慢性调和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减缓火星/铃星的急躁与破坏力，使灾祸减轻或延迟爆发</t>
    </r>
    <r>
      <rPr>
        <sz val="12"/>
        <color theme="1"/>
        <rFont val="等线"/>
        <family val="3"/>
        <charset val="134"/>
        <scheme val="minor"/>
      </rPr>
      <t>。</t>
    </r>
  </si>
  <si>
    <t>急性子变得有耐心；突发疾病转为慢性可控。</t>
  </si>
  <si>
    <r>
      <t>天寿+擎羊/陀罗</t>
    </r>
    <r>
      <rPr>
        <sz val="12"/>
        <color theme="1"/>
        <rFont val="等线"/>
        <family val="3"/>
        <charset val="134"/>
        <scheme val="minor"/>
      </rPr>
      <t>​</t>
    </r>
  </si>
  <si>
    <r>
      <t>刃寿/陀寿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刑伤与持久调和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减轻刑伤程度，或使伤痛恢复期变长但最终能愈</t>
    </r>
    <r>
      <rPr>
        <sz val="12"/>
        <color theme="1"/>
        <rFont val="等线"/>
        <family val="3"/>
        <charset val="134"/>
        <scheme val="minor"/>
      </rPr>
      <t>。</t>
    </r>
  </si>
  <si>
    <t>手术成功且恢复良好；长期纠纷得以缓慢解决。</t>
  </si>
  <si>
    <r>
      <t>天寿+地空/地劫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</si>
  <si>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空寿/劫寿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空亡破耗与持久调和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使空劫的破耗性减弱或延迟，损失后仍有根基</t>
    </r>
    <r>
      <rPr>
        <sz val="12"/>
        <color theme="1"/>
        <rFont val="等线"/>
        <family val="3"/>
        <charset val="134"/>
        <scheme val="minor"/>
      </rPr>
      <t>。</t>
    </r>
  </si>
  <si>
    <t>破财后仍有老本；理想受挫但信念持久。</t>
  </si>
  <si>
    <r>
      <t>天寿+天马</t>
    </r>
    <r>
      <rPr>
        <sz val="12"/>
        <color theme="1"/>
        <rFont val="等线"/>
        <family val="3"/>
        <charset val="134"/>
        <scheme val="minor"/>
      </rPr>
      <t>​</t>
    </r>
  </si>
  <si>
    <r>
      <t>寿马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持久与奔波结合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长寿且好动，晚年仍奔波，或为健康而经常活动</t>
    </r>
    <r>
      <rPr>
        <sz val="12"/>
        <color theme="1"/>
        <rFont val="等线"/>
        <family val="3"/>
        <charset val="134"/>
        <scheme val="minor"/>
      </rPr>
      <t>。</t>
    </r>
  </si>
  <si>
    <t>热爱旅行的长寿老人；为事业长期奔波者。</t>
  </si>
  <si>
    <r>
      <t>天寿+文昌/文曲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</si>
  <si>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寿文相会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长寿与才华结合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长寿且有文采，晚年仍可从事文艺创作</t>
    </r>
    <r>
      <rPr>
        <sz val="12"/>
        <color theme="1"/>
        <rFont val="等线"/>
        <family val="3"/>
        <charset val="134"/>
        <scheme val="minor"/>
      </rPr>
      <t>。</t>
    </r>
  </si>
  <si>
    <t>老学者；晚年成名的作家。</t>
  </si>
  <si>
    <r>
      <t>天寿+禄存</t>
    </r>
    <r>
      <rPr>
        <sz val="12"/>
        <color theme="1"/>
        <rFont val="等线"/>
        <family val="3"/>
        <charset val="134"/>
        <scheme val="minor"/>
      </rPr>
      <t>​</t>
    </r>
  </si>
  <si>
    <r>
      <t>寿禄相逢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长寿与财禄结合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福寿绵长，财禄丰足，晚年尤其享福</t>
    </r>
    <r>
      <rPr>
        <sz val="12"/>
        <color theme="1"/>
        <rFont val="等线"/>
        <family val="3"/>
        <charset val="134"/>
        <scheme val="minor"/>
      </rPr>
      <t>。</t>
    </r>
  </si>
  <si>
    <t>富贵长寿的老人。</t>
  </si>
  <si>
    <r>
      <t>天寿+化禄/化科</t>
    </r>
    <r>
      <rPr>
        <sz val="12"/>
        <color theme="1"/>
        <rFont val="等线"/>
        <family val="3"/>
        <charset val="134"/>
        <scheme val="minor"/>
      </rPr>
      <t>​</t>
    </r>
  </si>
  <si>
    <r>
      <t>寿得禄科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长寿得福禄科名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长寿且多福，有名望，晚年生活优裕</t>
    </r>
    <r>
      <rPr>
        <sz val="12"/>
        <color theme="1"/>
        <rFont val="等线"/>
        <family val="3"/>
        <charset val="134"/>
        <scheme val="minor"/>
      </rPr>
      <t>。</t>
    </r>
  </si>
  <si>
    <t>社会名流安享晚年。</t>
  </si>
  <si>
    <r>
      <t>1. “寿”与“稳健”本质</t>
    </r>
    <r>
      <rPr>
        <sz val="11"/>
        <color theme="1"/>
        <rFont val="等线"/>
        <family val="2"/>
        <charset val="134"/>
        <scheme val="minor"/>
      </rPr>
      <t>：天寿化气为</t>
    </r>
    <r>
      <rPr>
        <b/>
        <sz val="11"/>
        <color theme="1"/>
        <rFont val="等线"/>
        <family val="3"/>
        <charset val="134"/>
        <scheme val="minor"/>
      </rPr>
      <t>“寿”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长寿、稳健、持久、滋养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在平稳与持久中积累福泽，晚年运佳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吉利的辅星</t>
    </r>
    <r>
      <rPr>
        <sz val="11"/>
        <color theme="1"/>
        <rFont val="等线"/>
        <family val="2"/>
        <charset val="134"/>
        <scheme val="minor"/>
      </rPr>
      <t>，能</t>
    </r>
    <r>
      <rPr>
        <b/>
        <sz val="11"/>
        <color theme="1"/>
        <rFont val="等线"/>
        <family val="3"/>
        <charset val="134"/>
        <scheme val="minor"/>
      </rPr>
      <t>增福添寿，化解急煞</t>
    </r>
    <r>
      <rPr>
        <sz val="11"/>
        <color theme="1"/>
        <rFont val="等线"/>
        <family val="2"/>
        <charset val="134"/>
        <scheme val="minor"/>
      </rPr>
      <t>。</t>
    </r>
  </si>
  <si>
    <r>
      <t>2. “戊土”与“滋养”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戊土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厚重、滋养、稳固</t>
    </r>
    <r>
      <rPr>
        <sz val="11"/>
        <color theme="1"/>
        <rFont val="等线"/>
        <family val="2"/>
        <charset val="134"/>
        <scheme val="minor"/>
      </rPr>
      <t>。其“寿”性体现为</t>
    </r>
    <r>
      <rPr>
        <b/>
        <sz val="11"/>
        <color theme="1"/>
        <rFont val="等线"/>
        <family val="3"/>
        <charset val="134"/>
        <scheme val="minor"/>
      </rPr>
      <t>根基的稳固、生命的滋养与持久的耐力</t>
    </r>
    <r>
      <rPr>
        <sz val="11"/>
        <color theme="1"/>
        <rFont val="等线"/>
        <family val="2"/>
        <charset val="134"/>
        <scheme val="minor"/>
      </rPr>
      <t>。与天梁的</t>
    </r>
    <r>
      <rPr>
        <b/>
        <sz val="11"/>
        <color theme="1"/>
        <rFont val="等线"/>
        <family val="3"/>
        <charset val="134"/>
        <scheme val="minor"/>
      </rPr>
      <t>“荫”</t>
    </r>
    <r>
      <rPr>
        <sz val="11"/>
        <color theme="1"/>
        <rFont val="等线"/>
        <family val="2"/>
        <charset val="134"/>
        <scheme val="minor"/>
      </rPr>
      <t>（庇护）不同，天寿更侧重</t>
    </r>
    <r>
      <rPr>
        <b/>
        <sz val="11"/>
        <color theme="1"/>
        <rFont val="等线"/>
        <family val="3"/>
        <charset val="134"/>
        <scheme val="minor"/>
      </rPr>
      <t>生命本身的长度与稳定性</t>
    </r>
    <r>
      <rPr>
        <sz val="11"/>
        <color theme="1"/>
        <rFont val="等线"/>
        <family val="2"/>
        <charset val="134"/>
        <scheme val="minor"/>
      </rPr>
      <t>。</t>
    </r>
  </si>
  <si>
    <r>
      <t>3. “以寿为福”的辩证</t>
    </r>
    <r>
      <rPr>
        <sz val="11"/>
        <color theme="1"/>
        <rFont val="等线"/>
        <family val="2"/>
        <charset val="134"/>
        <scheme val="minor"/>
      </rPr>
      <t>：天寿是纯粹的吉星，主</t>
    </r>
    <r>
      <rPr>
        <b/>
        <sz val="11"/>
        <color theme="1"/>
        <rFont val="等线"/>
        <family val="3"/>
        <charset val="134"/>
        <scheme val="minor"/>
      </rPr>
      <t>增吉减凶</t>
    </r>
    <r>
      <rPr>
        <sz val="11"/>
        <color theme="1"/>
        <rFont val="等线"/>
        <family val="2"/>
        <charset val="134"/>
        <scheme val="minor"/>
      </rPr>
      <t>。与任何星曜同度，都能</t>
    </r>
    <r>
      <rPr>
        <b/>
        <sz val="11"/>
        <color theme="1"/>
        <rFont val="等线"/>
        <family val="3"/>
        <charset val="134"/>
        <scheme val="minor"/>
      </rPr>
      <t>增加其稳定性、持久性，缓和煞星的急躁与破坏力</t>
    </r>
    <r>
      <rPr>
        <sz val="11"/>
        <color theme="1"/>
        <rFont val="等线"/>
        <family val="2"/>
        <charset val="134"/>
        <scheme val="minor"/>
      </rPr>
      <t>。此为</t>
    </r>
    <r>
      <rPr>
        <b/>
        <sz val="11"/>
        <color theme="1"/>
        <rFont val="等线"/>
        <family val="3"/>
        <charset val="134"/>
        <scheme val="minor"/>
      </rPr>
      <t>“以寿为福”</t>
    </r>
    <r>
      <rPr>
        <sz val="11"/>
        <color theme="1"/>
        <rFont val="等线"/>
        <family val="2"/>
        <charset val="134"/>
        <scheme val="minor"/>
      </rPr>
      <t>。尤其喜与</t>
    </r>
    <r>
      <rPr>
        <b/>
        <sz val="11"/>
        <color theme="1"/>
        <rFont val="等线"/>
        <family val="3"/>
        <charset val="134"/>
        <scheme val="minor"/>
      </rPr>
      <t>天同、天梁、禄存</t>
    </r>
    <r>
      <rPr>
        <sz val="11"/>
        <color theme="1"/>
        <rFont val="等线"/>
        <family val="2"/>
        <charset val="134"/>
        <scheme val="minor"/>
      </rPr>
      <t>等福寿财星同度，主</t>
    </r>
    <r>
      <rPr>
        <b/>
        <sz val="11"/>
        <color theme="1"/>
        <rFont val="等线"/>
        <family val="3"/>
        <charset val="134"/>
        <scheme val="minor"/>
      </rPr>
      <t>福寿双全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</si>
  <si>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：天寿所在宫位，指示在人生的哪个领域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最易获得稳定性、持久性，晚年运佳，或是个人耐性与养生观念的投射领域</t>
    </r>
    <r>
      <rPr>
        <sz val="11"/>
        <color theme="1"/>
        <rFont val="等线"/>
        <family val="2"/>
        <charset val="134"/>
        <scheme val="minor"/>
      </rPr>
      <t>。</t>
    </r>
  </si>
  <si>
    <r>
      <t>5. “土”性的延伸</t>
    </r>
    <r>
      <rPr>
        <sz val="11"/>
        <color theme="1"/>
        <rFont val="等线"/>
        <family val="2"/>
        <charset val="134"/>
        <scheme val="minor"/>
      </rPr>
      <t>：属戊土，主</t>
    </r>
    <r>
      <rPr>
        <b/>
        <sz val="11"/>
        <color theme="1"/>
        <rFont val="等线"/>
        <family val="3"/>
        <charset val="134"/>
        <scheme val="minor"/>
      </rPr>
      <t>滋养、根基、慢性</t>
    </r>
    <r>
      <rPr>
        <sz val="11"/>
        <color theme="1"/>
        <rFont val="等线"/>
        <family val="2"/>
        <charset val="134"/>
        <scheme val="minor"/>
      </rPr>
      <t>。其“寿”性在物质层面对应</t>
    </r>
    <r>
      <rPr>
        <b/>
        <sz val="11"/>
        <color theme="1"/>
        <rFont val="等线"/>
        <family val="3"/>
        <charset val="134"/>
        <scheme val="minor"/>
      </rPr>
      <t>滋补品、长寿食物、稳固的建筑</t>
    </r>
    <r>
      <rPr>
        <sz val="11"/>
        <color theme="1"/>
        <rFont val="等线"/>
        <family val="2"/>
        <charset val="134"/>
        <scheme val="minor"/>
      </rPr>
      <t>；在生理层面可关联</t>
    </r>
    <r>
      <rPr>
        <b/>
        <sz val="11"/>
        <color theme="1"/>
        <rFont val="等线"/>
        <family val="3"/>
        <charset val="134"/>
        <scheme val="minor"/>
      </rPr>
      <t>消化系统、新陈代谢、生命活力</t>
    </r>
    <r>
      <rPr>
        <sz val="11"/>
        <color theme="1"/>
        <rFont val="等线"/>
        <family val="2"/>
        <charset val="134"/>
        <scheme val="minor"/>
      </rPr>
      <t>；在社会层面体现为</t>
    </r>
    <r>
      <rPr>
        <b/>
        <sz val="11"/>
        <color theme="1"/>
        <rFont val="等线"/>
        <family val="3"/>
        <charset val="134"/>
        <scheme val="minor"/>
      </rPr>
      <t>养老体系、长期规划</t>
    </r>
    <r>
      <rPr>
        <sz val="11"/>
        <color theme="1"/>
        <rFont val="等线"/>
        <family val="2"/>
        <charset val="134"/>
        <scheme val="minor"/>
      </rPr>
      <t>。</t>
    </r>
  </si>
  <si>
    <r>
      <t>6. 四化与寿性</t>
    </r>
    <r>
      <rPr>
        <sz val="11"/>
        <color theme="1"/>
        <rFont val="等线"/>
        <family val="2"/>
        <charset val="134"/>
        <scheme val="minor"/>
      </rPr>
      <t>：天寿</t>
    </r>
    <r>
      <rPr>
        <b/>
        <sz val="11"/>
        <color theme="1"/>
        <rFont val="等线"/>
        <family val="3"/>
        <charset val="134"/>
        <scheme val="minor"/>
      </rPr>
      <t>不参与四化</t>
    </r>
    <r>
      <rPr>
        <sz val="11"/>
        <color theme="1"/>
        <rFont val="等线"/>
        <family val="2"/>
        <charset val="134"/>
        <scheme val="minor"/>
      </rPr>
      <t>。但其吉性会因</t>
    </r>
    <r>
      <rPr>
        <b/>
        <sz val="11"/>
        <color theme="1"/>
        <rFont val="等线"/>
        <family val="3"/>
        <charset val="134"/>
        <scheme val="minor"/>
      </rPr>
      <t>化禄、化科</t>
    </r>
    <r>
      <rPr>
        <sz val="11"/>
        <color theme="1"/>
        <rFont val="等线"/>
        <family val="2"/>
        <charset val="134"/>
        <scheme val="minor"/>
      </rPr>
      <t>而增强，遇</t>
    </r>
    <r>
      <rPr>
        <b/>
        <sz val="11"/>
        <color theme="1"/>
        <rFont val="等线"/>
        <family val="3"/>
        <charset val="134"/>
        <scheme val="minor"/>
      </rPr>
      <t>化忌</t>
    </r>
    <r>
      <rPr>
        <sz val="11"/>
        <color theme="1"/>
        <rFont val="等线"/>
        <family val="2"/>
        <charset val="134"/>
        <scheme val="minor"/>
      </rPr>
      <t>影响较小，仍主长寿但过程或带小恙。</t>
    </r>
  </si>
  <si>
    <r>
      <t>7. “晚年运”与“根基”</t>
    </r>
    <r>
      <rPr>
        <sz val="11"/>
        <color theme="1"/>
        <rFont val="等线"/>
        <family val="2"/>
        <charset val="134"/>
        <scheme val="minor"/>
      </rPr>
      <t>：天寿特别强调</t>
    </r>
    <r>
      <rPr>
        <b/>
        <sz val="11"/>
        <color theme="1"/>
        <rFont val="等线"/>
        <family val="3"/>
        <charset val="134"/>
        <scheme val="minor"/>
      </rPr>
      <t>晚年运势与根基的深厚</t>
    </r>
    <r>
      <rPr>
        <sz val="11"/>
        <color theme="1"/>
        <rFont val="等线"/>
        <family val="2"/>
        <charset val="134"/>
        <scheme val="minor"/>
      </rPr>
      <t>。其所在宫位，往往指示</t>
    </r>
    <r>
      <rPr>
        <b/>
        <sz val="11"/>
        <color theme="1"/>
        <rFont val="等线"/>
        <family val="3"/>
        <charset val="134"/>
        <scheme val="minor"/>
      </rPr>
      <t>晚年的福气所在与一生的根基领域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</si>
  <si>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养老院、山区、土地庙、一切稳定、滋养、利于长寿的场所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</si>
  <si>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寿/稳健”及其全部引申象征（长寿、延年、福寿、慢性、持久、滋养、根基等）出发，系统化推导并呈现了“人/事/物”三个层次的完整解析。天寿为寿星，主长寿与稳定。其核心在于“稳”与“久”，是紫微斗数中重要的增福添寿、化解急煞的吉星。它所在之处，即赋予该领域持久力、稳定性与晚年的福泽。最喜与吉星、福星配合，锦上添花；与煞星同度，则能缓冲其凶性，堪称“煞星减速器”。在紫占中，天寿所在即个人“生命根基”与“晚年福地”之所在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</si>
  <si>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天巫星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</si>
  <si>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吉星</t>
    </r>
    <r>
      <rPr>
        <sz val="12"/>
        <color theme="1"/>
        <rFont val="等线"/>
        <family val="3"/>
        <charset val="134"/>
        <scheme val="minor"/>
      </rPr>
      <t>、阴土、月系星、</t>
    </r>
    <r>
      <rPr>
        <b/>
        <sz val="12"/>
        <color theme="1"/>
        <rFont val="等线"/>
        <family val="3"/>
        <charset val="134"/>
        <scheme val="minor"/>
      </rPr>
      <t>遗产、升迁、宗教信仰、技艺、医学、巫术、聪明好学、传承、贵人提拔、调动、乔迁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</si>
  <si>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整合自《金刚佛光-紫占课程手册》及相关权威资料，本次彻底构建以“升迁、遗产、宗教技艺”为核心，涵盖“聪明好学、传承、贵人提拔”等所有引申义的核心象征网络。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</si>
  <si>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聪明好学、头脑灵活、心善有灵气、平易近人、温顺善良、恪尽天职、洁身自好、谦虚上进、凡事礼让、认真负责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术士、宗教人士、医士、技艺传承者、聪明好学之人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易得贵人提拔，受人重视，与宗教、五术有缘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</si>
  <si>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与升迁、遗产继承、宗教信仰、技艺学习相关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职位调动、获得遗产、宗教缘分、学习秘术、贵人相助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需要积极进取、施展才能、获得提拔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需努力争取，逢吉则顺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</si>
  <si>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具有阴土、传承、神秘、技艺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</si>
  <si>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宗教法器、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医术工具、秘传典籍、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</si>
  <si>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寺庙、道观、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医学院、传承技艺的场所、</t>
    </r>
    <r>
      <rPr>
        <sz val="12"/>
        <color theme="1"/>
        <rFont val="等线"/>
        <family val="3"/>
        <charset val="134"/>
        <scheme val="minor"/>
      </rPr>
      <t>&lt;/ins&gt;神秘、具有传承性的形态。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</si>
  <si>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可能与遗传相关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（需结合煞星判断）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</si>
  <si>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升迁体系、遗产继承制度、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宗教组织、技艺传承系统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</si>
  <si>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升迁、遗产、宗教信仰、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技艺传承、贵人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</si>
  <si>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本次解析从“升迁、遗产、宗教技艺”本质出发，系统推导出其作为“传承者”、“升迁者”及“宗教技艺象征”的多重属性，并完整映射至三层结构，特别明确了其与“贵人提拔”、“调动”的关联。</t>
  </si>
  <si>
    <r>
      <t>吉星与升迁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</si>
  <si>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“升迁、遗产、宗教信仰”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丙级吉星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升迁之兆、得遗产、与宗教五术有缘</t>
    </r>
    <r>
      <rPr>
        <sz val="12"/>
        <color theme="1"/>
        <rFont val="等线"/>
        <family val="3"/>
        <charset val="134"/>
        <scheme val="minor"/>
      </rPr>
      <t>。</t>
    </r>
  </si>
  <si>
    <t>在命宫、官禄宫时，主有升迁机会；在财帛宫、田宅宫，可能得长辈遗产。</t>
  </si>
  <si>
    <r>
      <t>技艺与宗教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</si>
  <si>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“术士宗教医士之星”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医学、巫术、宗教、五术（山、医、命、相、卜）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聪明好学，爱钻研技术，承传天技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</si>
  <si>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在命宫、身宫时，命主可能喜爱宗教、五术、医术，或有相关天赋。</t>
  </si>
  <si>
    <r>
      <t>调动与贵人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</si>
  <si>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阴土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调动、得贵人提拔</t>
    </r>
    <r>
      <rPr>
        <sz val="12"/>
        <color theme="1"/>
        <rFont val="等线"/>
        <family val="3"/>
        <charset val="134"/>
        <scheme val="minor"/>
      </rPr>
      <t>。逢</t>
    </r>
    <r>
      <rPr>
        <b/>
        <sz val="12"/>
        <color theme="1"/>
        <rFont val="等线"/>
        <family val="3"/>
        <charset val="134"/>
        <scheme val="minor"/>
      </rPr>
      <t>天马</t>
    </r>
    <r>
      <rPr>
        <sz val="12"/>
        <color theme="1"/>
        <rFont val="等线"/>
        <family val="3"/>
        <charset val="134"/>
        <scheme val="minor"/>
      </rPr>
      <t>主</t>
    </r>
    <r>
      <rPr>
        <b/>
        <sz val="12"/>
        <color theme="1"/>
        <rFont val="等线"/>
        <family val="3"/>
        <charset val="134"/>
        <scheme val="minor"/>
      </rPr>
      <t>调动</t>
    </r>
    <r>
      <rPr>
        <sz val="12"/>
        <color theme="1"/>
        <rFont val="等线"/>
        <family val="3"/>
        <charset val="134"/>
        <scheme val="minor"/>
      </rPr>
      <t>；逢</t>
    </r>
    <r>
      <rPr>
        <b/>
        <sz val="12"/>
        <color theme="1"/>
        <rFont val="等线"/>
        <family val="3"/>
        <charset val="134"/>
        <scheme val="minor"/>
      </rPr>
      <t>天魁、天钺</t>
    </r>
    <r>
      <rPr>
        <sz val="12"/>
        <color theme="1"/>
        <rFont val="等线"/>
        <family val="3"/>
        <charset val="134"/>
        <scheme val="minor"/>
      </rPr>
      <t>主</t>
    </r>
    <r>
      <rPr>
        <b/>
        <sz val="12"/>
        <color theme="1"/>
        <rFont val="等线"/>
        <family val="3"/>
        <charset val="134"/>
        <scheme val="minor"/>
      </rPr>
      <t>得贵人提拔</t>
    </r>
    <r>
      <rPr>
        <sz val="12"/>
        <color theme="1"/>
        <rFont val="等线"/>
        <family val="3"/>
        <charset val="134"/>
        <scheme val="minor"/>
      </rPr>
      <t>；与</t>
    </r>
    <r>
      <rPr>
        <b/>
        <sz val="12"/>
        <color theme="1"/>
        <rFont val="等线"/>
        <family val="3"/>
        <charset val="134"/>
        <scheme val="minor"/>
      </rPr>
      <t>封诰</t>
    </r>
    <r>
      <rPr>
        <sz val="12"/>
        <color theme="1"/>
        <rFont val="等线"/>
        <family val="3"/>
        <charset val="134"/>
        <scheme val="minor"/>
      </rPr>
      <t>会照主</t>
    </r>
    <r>
      <rPr>
        <b/>
        <sz val="12"/>
        <color theme="1"/>
        <rFont val="等线"/>
        <family val="3"/>
        <charset val="134"/>
        <scheme val="minor"/>
      </rPr>
      <t>升职</t>
    </r>
    <r>
      <rPr>
        <sz val="12"/>
        <color theme="1"/>
        <rFont val="等线"/>
        <family val="3"/>
        <charset val="134"/>
        <scheme val="minor"/>
      </rPr>
      <t>。</t>
    </r>
  </si>
  <si>
    <t>在迁移宫遇流年，可能有乔迁之喜；在官禄宫逢吉星，主升迁顺利。</t>
  </si>
  <si>
    <r>
      <t>相貌亲和平易，给人以聪明、善良、有灵气的印象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</si>
  <si>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：聪明好学，灵活机智，心善有灵气，口才好，表达能力强，平易近人，温顺善良，恪尽天职，洁身自好，谦虚上进，凡事礼让，认真负责，升迁顺利。</t>
    </r>
  </si>
  <si>
    <r>
      <t>缺点</t>
    </r>
    <r>
      <rPr>
        <sz val="12"/>
        <color theme="1"/>
        <rFont val="等线"/>
        <family val="3"/>
        <charset val="134"/>
        <scheme val="minor"/>
      </rPr>
      <t>：缺少担当，轻易退缩，魄力不足，不宜领导，冲刺性差，起步艰难，辛劳劳碌，默默承受。</t>
    </r>
  </si>
  <si>
    <r>
      <t>一般主</t>
    </r>
    <r>
      <rPr>
        <b/>
        <sz val="12"/>
        <color theme="1"/>
        <rFont val="等线"/>
        <family val="3"/>
        <charset val="134"/>
        <scheme val="minor"/>
      </rPr>
      <t>健康状况良好</t>
    </r>
    <r>
      <rPr>
        <sz val="12"/>
        <color theme="1"/>
        <rFont val="等线"/>
        <family val="3"/>
        <charset val="134"/>
        <scheme val="minor"/>
      </rPr>
      <t>，但若与煞星同度于疾厄宫，可能提示</t>
    </r>
    <r>
      <rPr>
        <b/>
        <sz val="12"/>
        <color theme="1"/>
        <rFont val="等线"/>
        <family val="3"/>
        <charset val="134"/>
        <scheme val="minor"/>
      </rPr>
      <t>家族性遗传疾病</t>
    </r>
    <r>
      <rPr>
        <sz val="12"/>
        <color theme="1"/>
        <rFont val="等线"/>
        <family val="3"/>
        <charset val="134"/>
        <scheme val="minor"/>
      </rPr>
      <t>。</t>
    </r>
  </si>
  <si>
    <t>在疾厄宫无煞，则生病也能迅速康复；有煞则需注意。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</si>
  <si>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聪明好学，头脑灵活，心善有灵气，喜宗教、五术、医术，口才好</t>
    </r>
    <r>
      <rPr>
        <sz val="12"/>
        <color theme="1"/>
        <rFont val="等线"/>
        <family val="3"/>
        <charset val="134"/>
        <scheme val="minor"/>
      </rPr>
      <t>。若同宫主星旺吉，则有</t>
    </r>
    <r>
      <rPr>
        <b/>
        <sz val="12"/>
        <color theme="1"/>
        <rFont val="等线"/>
        <family val="3"/>
        <charset val="134"/>
        <scheme val="minor"/>
      </rPr>
      <t>腾达之象</t>
    </r>
    <r>
      <rPr>
        <sz val="12"/>
        <color theme="1"/>
        <rFont val="等线"/>
        <family val="3"/>
        <charset val="134"/>
        <scheme val="minor"/>
      </rPr>
      <t>。缺点为</t>
    </r>
    <r>
      <rPr>
        <b/>
        <sz val="12"/>
        <color theme="1"/>
        <rFont val="等线"/>
        <family val="3"/>
        <charset val="134"/>
        <scheme val="minor"/>
      </rPr>
      <t>缺乏担当，魄力不足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</si>
  <si>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关系亲密，彼此批评却又互相打气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</si>
  <si>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或许并非天作之合，但相互默契，互助互补</t>
    </r>
    <r>
      <rPr>
        <sz val="12"/>
        <color theme="1"/>
        <rFont val="等线"/>
        <family val="3"/>
        <charset val="134"/>
        <scheme val="minor"/>
      </rPr>
      <t>。若感情出问题，易</t>
    </r>
    <r>
      <rPr>
        <b/>
        <sz val="12"/>
        <color theme="1"/>
        <rFont val="等线"/>
        <family val="3"/>
        <charset val="134"/>
        <scheme val="minor"/>
      </rPr>
      <t>求神问卜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</si>
  <si>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前程似锦，自律自爱，不断进取</t>
    </r>
    <r>
      <rPr>
        <sz val="12"/>
        <color theme="1"/>
        <rFont val="等线"/>
        <family val="3"/>
        <charset val="134"/>
        <scheme val="minor"/>
      </rPr>
      <t>。</t>
    </r>
  </si>
  <si>
    <r>
      <t>财运</t>
    </r>
    <r>
      <rPr>
        <b/>
        <sz val="12"/>
        <color theme="1"/>
        <rFont val="等线"/>
        <family val="3"/>
        <charset val="134"/>
        <scheme val="minor"/>
      </rPr>
      <t>平平，需依赖努力补足</t>
    </r>
    <r>
      <rPr>
        <sz val="12"/>
        <color theme="1"/>
        <rFont val="等线"/>
        <family val="3"/>
        <charset val="134"/>
        <scheme val="minor"/>
      </rPr>
      <t>，因此</t>
    </r>
    <r>
      <rPr>
        <b/>
        <sz val="12"/>
        <color theme="1"/>
        <rFont val="等线"/>
        <family val="3"/>
        <charset val="134"/>
        <scheme val="minor"/>
      </rPr>
      <t>勤俭持家</t>
    </r>
    <r>
      <rPr>
        <sz val="12"/>
        <color theme="1"/>
        <rFont val="等线"/>
        <family val="3"/>
        <charset val="134"/>
        <scheme val="minor"/>
      </rPr>
      <t>。若与天梁同度，主</t>
    </r>
    <r>
      <rPr>
        <b/>
        <sz val="12"/>
        <color theme="1"/>
        <rFont val="等线"/>
        <family val="3"/>
        <charset val="134"/>
        <scheme val="minor"/>
      </rPr>
      <t>得长辈遗产</t>
    </r>
    <r>
      <rPr>
        <sz val="12"/>
        <color theme="1"/>
        <rFont val="等线"/>
        <family val="3"/>
        <charset val="134"/>
        <scheme val="minor"/>
      </rPr>
      <t>。逢吉曜相助，则</t>
    </r>
    <r>
      <rPr>
        <b/>
        <sz val="12"/>
        <color theme="1"/>
        <rFont val="等线"/>
        <family val="3"/>
        <charset val="134"/>
        <scheme val="minor"/>
      </rPr>
      <t>福禄倍增</t>
    </r>
    <r>
      <rPr>
        <sz val="12"/>
        <color theme="1"/>
        <rFont val="等线"/>
        <family val="3"/>
        <charset val="134"/>
        <scheme val="minor"/>
      </rPr>
      <t>。</t>
    </r>
  </si>
  <si>
    <r>
      <t>健康状况良好，需适度休息，即使生病也能迅速康复</t>
    </r>
    <r>
      <rPr>
        <sz val="12"/>
        <color theme="1"/>
        <rFont val="等线"/>
        <family val="3"/>
        <charset val="134"/>
        <scheme val="minor"/>
      </rPr>
      <t>。若与煞星同宫，需注意</t>
    </r>
    <r>
      <rPr>
        <b/>
        <sz val="12"/>
        <color theme="1"/>
        <rFont val="等线"/>
        <family val="3"/>
        <charset val="134"/>
        <scheme val="minor"/>
      </rPr>
      <t>家族性遗传疾病</t>
    </r>
    <r>
      <rPr>
        <sz val="12"/>
        <color theme="1"/>
        <rFont val="等线"/>
        <family val="3"/>
        <charset val="134"/>
        <scheme val="minor"/>
      </rPr>
      <t>。</t>
    </r>
  </si>
  <si>
    <r>
      <t>外出</t>
    </r>
    <r>
      <rPr>
        <b/>
        <sz val="12"/>
        <color theme="1"/>
        <rFont val="等线"/>
        <family val="3"/>
        <charset val="134"/>
        <scheme val="minor"/>
      </rPr>
      <t>低调不张扬，不易受排挤，总能抓住机遇展现才华</t>
    </r>
    <r>
      <rPr>
        <sz val="12"/>
        <color theme="1"/>
        <rFont val="等线"/>
        <family val="3"/>
        <charset val="134"/>
        <scheme val="minor"/>
      </rPr>
      <t>。流年遇之，主</t>
    </r>
    <r>
      <rPr>
        <b/>
        <sz val="12"/>
        <color theme="1"/>
        <rFont val="等线"/>
        <family val="3"/>
        <charset val="134"/>
        <scheme val="minor"/>
      </rPr>
      <t>有乔迁之喜</t>
    </r>
    <r>
      <rPr>
        <sz val="12"/>
        <color theme="1"/>
        <rFont val="等线"/>
        <family val="3"/>
        <charset val="134"/>
        <scheme val="minor"/>
      </rPr>
      <t>。</t>
    </r>
  </si>
  <si>
    <r>
      <t>身边的朋友值得珍惜长久交往</t>
    </r>
    <r>
      <rPr>
        <sz val="12"/>
        <color theme="1"/>
        <rFont val="等线"/>
        <family val="3"/>
        <charset val="134"/>
        <scheme val="minor"/>
      </rPr>
      <t>。</t>
    </r>
  </si>
  <si>
    <r>
      <t>虽非天赋异禀，但勤奋努力，自学成才</t>
    </r>
    <r>
      <rPr>
        <sz val="12"/>
        <color theme="1"/>
        <rFont val="等线"/>
        <family val="3"/>
        <charset val="134"/>
        <scheme val="minor"/>
      </rPr>
      <t>。逢吉星，主</t>
    </r>
    <r>
      <rPr>
        <b/>
        <sz val="12"/>
        <color theme="1"/>
        <rFont val="等线"/>
        <family val="3"/>
        <charset val="134"/>
        <scheme val="minor"/>
      </rPr>
      <t>升迁顺利，福禄倍增</t>
    </r>
    <r>
      <rPr>
        <sz val="12"/>
        <color theme="1"/>
        <rFont val="等线"/>
        <family val="3"/>
        <charset val="134"/>
        <scheme val="minor"/>
      </rPr>
      <t>。流年遇之，主</t>
    </r>
    <r>
      <rPr>
        <b/>
        <sz val="12"/>
        <color theme="1"/>
        <rFont val="等线"/>
        <family val="3"/>
        <charset val="134"/>
        <scheme val="minor"/>
      </rPr>
      <t>升迁之兆</t>
    </r>
    <r>
      <rPr>
        <sz val="12"/>
        <color theme="1"/>
        <rFont val="等线"/>
        <family val="3"/>
        <charset val="134"/>
        <scheme val="minor"/>
      </rPr>
      <t>。</t>
    </r>
  </si>
  <si>
    <r>
      <t>起居简朴，凭借良机和好运，居住环境会改善，有机会换得宽敞住所</t>
    </r>
    <r>
      <rPr>
        <sz val="12"/>
        <color theme="1"/>
        <rFont val="等线"/>
        <family val="3"/>
        <charset val="134"/>
        <scheme val="minor"/>
      </rPr>
      <t>。若主星吉利，有望</t>
    </r>
    <r>
      <rPr>
        <b/>
        <sz val="12"/>
        <color theme="1"/>
        <rFont val="等线"/>
        <family val="3"/>
        <charset val="134"/>
        <scheme val="minor"/>
      </rPr>
      <t>继承地产和固定资产</t>
    </r>
    <r>
      <rPr>
        <sz val="12"/>
        <color theme="1"/>
        <rFont val="等线"/>
        <family val="3"/>
        <charset val="134"/>
        <scheme val="minor"/>
      </rPr>
      <t>。</t>
    </r>
  </si>
  <si>
    <r>
      <t>幸运不断，只要小心谨慎，依靠实力和谋略必能取得成功</t>
    </r>
    <r>
      <rPr>
        <sz val="12"/>
        <color theme="1"/>
        <rFont val="等线"/>
        <family val="3"/>
        <charset val="134"/>
        <scheme val="minor"/>
      </rPr>
      <t>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</si>
  <si>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关系和睦，父母善良和蔼，责任心强，关爱子女</t>
    </r>
    <r>
      <rPr>
        <sz val="12"/>
        <color theme="1"/>
        <rFont val="等线"/>
        <family val="3"/>
        <charset val="134"/>
        <scheme val="minor"/>
      </rPr>
      <t>。若加阴煞及煞星，需注意父母一方可能有</t>
    </r>
    <r>
      <rPr>
        <b/>
        <sz val="12"/>
        <color theme="1"/>
        <rFont val="等线"/>
        <family val="3"/>
        <charset val="134"/>
        <scheme val="minor"/>
      </rPr>
      <t>遗传性疾病</t>
    </r>
    <r>
      <rPr>
        <sz val="12"/>
        <color theme="1"/>
        <rFont val="等线"/>
        <family val="3"/>
        <charset val="134"/>
        <scheme val="minor"/>
      </rPr>
      <t>。</t>
    </r>
  </si>
  <si>
    <t>主星/星曜​</t>
  </si>
  <si>
    <r>
      <t>天巫+天梁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</si>
  <si>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庇护与遗产结合</t>
    </r>
    <r>
      <rPr>
        <sz val="12"/>
        <color theme="1"/>
        <rFont val="等线"/>
        <family val="3"/>
        <charset val="134"/>
        <scheme val="minor"/>
      </rPr>
      <t>，同度于命宫或财帛宫，主</t>
    </r>
    <r>
      <rPr>
        <b/>
        <sz val="12"/>
        <color theme="1"/>
        <rFont val="等线"/>
        <family val="3"/>
        <charset val="134"/>
        <scheme val="minor"/>
      </rPr>
      <t>得长辈遗产</t>
    </r>
    <r>
      <rPr>
        <sz val="12"/>
        <color theme="1"/>
        <rFont val="等线"/>
        <family val="3"/>
        <charset val="134"/>
        <scheme val="minor"/>
      </rPr>
      <t>。</t>
    </r>
  </si>
  <si>
    <t>继承家族财产者；得长辈荫庇之人。</t>
  </si>
  <si>
    <r>
      <t>天巫+天马</t>
    </r>
    <r>
      <rPr>
        <sz val="12"/>
        <color theme="1"/>
        <rFont val="等线"/>
        <family val="3"/>
        <charset val="134"/>
        <scheme val="minor"/>
      </rPr>
      <t>​</t>
    </r>
  </si>
  <si>
    <r>
      <t>巫马相逢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升迁与调动结合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工作调动、职位变迁、乔迁</t>
    </r>
    <r>
      <rPr>
        <sz val="12"/>
        <color theme="1"/>
        <rFont val="等线"/>
        <family val="3"/>
        <charset val="134"/>
        <scheme val="minor"/>
      </rPr>
      <t>。</t>
    </r>
  </si>
  <si>
    <t>因工作调动搬家者；经常变动岗位的人。</t>
  </si>
  <si>
    <r>
      <t>天巫+天魁/天钺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</si>
  <si>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巫遇魁钺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升迁与贵人结合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得贵人提拔，机运多</t>
    </r>
    <r>
      <rPr>
        <sz val="12"/>
        <color theme="1"/>
        <rFont val="等线"/>
        <family val="3"/>
        <charset val="134"/>
        <scheme val="minor"/>
      </rPr>
      <t>。</t>
    </r>
  </si>
  <si>
    <t>受上级赏识而升迁者；遇贵人提携。</t>
  </si>
  <si>
    <r>
      <t>天巫+封诰</t>
    </r>
    <r>
      <rPr>
        <sz val="12"/>
        <color theme="1"/>
        <rFont val="等线"/>
        <family val="3"/>
        <charset val="134"/>
        <scheme val="minor"/>
      </rPr>
      <t>​</t>
    </r>
  </si>
  <si>
    <r>
      <t>巫诰会照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升迁与荣誉结合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升职、获得荣誉</t>
    </r>
    <r>
      <rPr>
        <sz val="12"/>
        <color theme="1"/>
        <rFont val="等线"/>
        <family val="3"/>
        <charset val="134"/>
        <scheme val="minor"/>
      </rPr>
      <t>。</t>
    </r>
  </si>
  <si>
    <t>获得职位晋升或荣誉称号。</t>
  </si>
  <si>
    <r>
      <t>天巫+左辅/右弼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</si>
  <si>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巫辅弼会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升迁与助力结合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忠于职守，受人重视</t>
    </r>
    <r>
      <rPr>
        <sz val="12"/>
        <color theme="1"/>
        <rFont val="等线"/>
        <family val="3"/>
        <charset val="134"/>
        <scheme val="minor"/>
      </rPr>
      <t>。</t>
    </r>
  </si>
  <si>
    <t>得力助手；团队中的核心成员。</t>
  </si>
  <si>
    <r>
      <t>天巫+文昌/文曲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</si>
  <si>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巫昌曲会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爱好文学、学术，因才华获得升迁</t>
    </r>
    <r>
      <rPr>
        <sz val="12"/>
        <color theme="1"/>
        <rFont val="等线"/>
        <family val="3"/>
        <charset val="134"/>
        <scheme val="minor"/>
      </rPr>
      <t>。</t>
    </r>
  </si>
  <si>
    <t>学者、文职人员的升迁；靠文书才华晋升。</t>
  </si>
  <si>
    <r>
      <t>天巫+化禄/化权/化科</t>
    </r>
    <r>
      <rPr>
        <sz val="12"/>
        <color theme="1"/>
        <rFont val="等线"/>
        <family val="3"/>
        <charset val="134"/>
        <scheme val="minor"/>
      </rPr>
      <t>​</t>
    </r>
  </si>
  <si>
    <r>
      <t>巫得禄权科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升迁与福禄科名结合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得财，人缘佳，凡事顺利，升迁顺畅</t>
    </r>
    <r>
      <rPr>
        <sz val="12"/>
        <color theme="1"/>
        <rFont val="等线"/>
        <family val="3"/>
        <charset val="134"/>
        <scheme val="minor"/>
      </rPr>
      <t>。</t>
    </r>
  </si>
  <si>
    <t>名利双收的晋升；顺利的事业发展。</t>
  </si>
  <si>
    <r>
      <t>天巫+天机/天同/天梁</t>
    </r>
    <r>
      <rPr>
        <sz val="12"/>
        <color theme="1"/>
        <rFont val="等线"/>
        <family val="3"/>
        <charset val="134"/>
        <scheme val="minor"/>
      </rPr>
      <t>​</t>
    </r>
  </si>
  <si>
    <r>
      <t>巫遇机同梁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升迁与宗教缘分结合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与宗教缘分极深，可能是虔诚的宗教信徒</t>
    </r>
    <r>
      <rPr>
        <sz val="12"/>
        <color theme="1"/>
        <rFont val="等线"/>
        <family val="3"/>
        <charset val="134"/>
        <scheme val="minor"/>
      </rPr>
      <t>。</t>
    </r>
  </si>
  <si>
    <t>虔诚的宗教信徒；修行者。</t>
  </si>
  <si>
    <r>
      <t>天巫+火星/铃星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</si>
  <si>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巫遇火铃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升迁与辛劳结合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作事辛劳，劳心劳力</t>
    </r>
    <r>
      <rPr>
        <sz val="12"/>
        <color theme="1"/>
        <rFont val="等线"/>
        <family val="3"/>
        <charset val="134"/>
        <scheme val="minor"/>
      </rPr>
      <t>。</t>
    </r>
  </si>
  <si>
    <t>通过辛苦工作获得升迁；忙碌的岗位。</t>
  </si>
  <si>
    <r>
      <t>天巫+擎羊/陀罗</t>
    </r>
    <r>
      <rPr>
        <sz val="12"/>
        <color theme="1"/>
        <rFont val="等线"/>
        <family val="3"/>
        <charset val="134"/>
        <scheme val="minor"/>
      </rPr>
      <t>​</t>
    </r>
  </si>
  <si>
    <r>
      <t>巫遇羊陀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升迁与阻力结合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较无担当力，升迁受阻</t>
    </r>
    <r>
      <rPr>
        <sz val="12"/>
        <color theme="1"/>
        <rFont val="等线"/>
        <family val="3"/>
        <charset val="134"/>
        <scheme val="minor"/>
      </rPr>
      <t>。</t>
    </r>
  </si>
  <si>
    <t>升迁过程遇到阻碍；缺乏魄力难以晋升。</t>
  </si>
  <si>
    <r>
      <t>天巫+地空/地劫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</si>
  <si>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巫遇空劫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升迁与空亡结合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劳心劳力，升迁机会易落空</t>
    </r>
    <r>
      <rPr>
        <sz val="12"/>
        <color theme="1"/>
        <rFont val="等线"/>
        <family val="3"/>
        <charset val="134"/>
        <scheme val="minor"/>
      </rPr>
      <t>。</t>
    </r>
  </si>
  <si>
    <t>升迁计划泡汤；努力却难有收获。</t>
  </si>
  <si>
    <r>
      <t>天巫+主星旺吉</t>
    </r>
    <r>
      <rPr>
        <sz val="12"/>
        <color theme="1"/>
        <rFont val="等线"/>
        <family val="3"/>
        <charset val="134"/>
        <scheme val="minor"/>
      </rPr>
      <t>​</t>
    </r>
  </si>
  <si>
    <r>
      <t>巫星逢吉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升迁之力增强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有腾达之象，福禄倍增</t>
    </r>
    <r>
      <rPr>
        <sz val="12"/>
        <color theme="1"/>
        <rFont val="等线"/>
        <family val="3"/>
        <charset val="134"/>
        <scheme val="minor"/>
      </rPr>
      <t>。天巫星必须</t>
    </r>
    <r>
      <rPr>
        <b/>
        <sz val="12"/>
        <color theme="1"/>
        <rFont val="等线"/>
        <family val="3"/>
        <charset val="134"/>
        <scheme val="minor"/>
      </rPr>
      <t>主星旺吉有力</t>
    </r>
    <r>
      <rPr>
        <sz val="12"/>
        <color theme="1"/>
        <rFont val="等线"/>
        <family val="3"/>
        <charset val="134"/>
        <scheme val="minor"/>
      </rPr>
      <t>才能有效力，否则只起拉拉队作用。</t>
    </r>
  </si>
  <si>
    <t>在强势主星带领下成功升迁。</t>
  </si>
  <si>
    <r>
      <t>天巫+煞星</t>
    </r>
    <r>
      <rPr>
        <sz val="12"/>
        <color theme="1"/>
        <rFont val="等线"/>
        <family val="3"/>
        <charset val="134"/>
        <scheme val="minor"/>
      </rPr>
      <t>​</t>
    </r>
  </si>
  <si>
    <r>
      <t>巫星逢煞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吉力受制</t>
    </r>
    <r>
      <rPr>
        <sz val="12"/>
        <color theme="1"/>
        <rFont val="等线"/>
        <family val="3"/>
        <charset val="134"/>
        <scheme val="minor"/>
      </rPr>
      <t>，天巫星</t>
    </r>
    <r>
      <rPr>
        <b/>
        <sz val="12"/>
        <color theme="1"/>
        <rFont val="等线"/>
        <family val="3"/>
        <charset val="134"/>
        <scheme val="minor"/>
      </rPr>
      <t>最忌与煞星同宫</t>
    </r>
    <r>
      <rPr>
        <sz val="12"/>
        <color theme="1"/>
        <rFont val="等线"/>
        <family val="3"/>
        <charset val="134"/>
        <scheme val="minor"/>
      </rPr>
      <t>，等于无用，失去效力。</t>
    </r>
  </si>
  <si>
    <t>虽有升迁机会但竞争激烈或受阻；遗产继承有纠纷。</t>
  </si>
  <si>
    <r>
      <t>1. “升迁、遗产、宗教技艺”本质</t>
    </r>
    <r>
      <rPr>
        <sz val="11"/>
        <color theme="1"/>
        <rFont val="等线"/>
        <family val="2"/>
        <charset val="134"/>
        <scheme val="minor"/>
      </rPr>
      <t>：天巫星化气为</t>
    </r>
    <r>
      <rPr>
        <b/>
        <sz val="11"/>
        <color theme="1"/>
        <rFont val="等线"/>
        <family val="3"/>
        <charset val="134"/>
        <scheme val="minor"/>
      </rPr>
      <t>“升迁”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遗产、升迁、宗教信仰、技艺（尤指医学与巫术）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通过技艺、贵人提拔或继承获得提升与福泽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吉利的辅星</t>
    </r>
    <r>
      <rPr>
        <sz val="11"/>
        <color theme="1"/>
        <rFont val="等线"/>
        <family val="2"/>
        <charset val="134"/>
        <scheme val="minor"/>
      </rPr>
      <t>，但</t>
    </r>
    <r>
      <rPr>
        <b/>
        <sz val="11"/>
        <color theme="1"/>
        <rFont val="等线"/>
        <family val="3"/>
        <charset val="134"/>
        <scheme val="minor"/>
      </rPr>
      <t>力量依赖于同宫主星的强弱</t>
    </r>
    <r>
      <rPr>
        <sz val="11"/>
        <color theme="1"/>
        <rFont val="等线"/>
        <family val="2"/>
        <charset val="134"/>
        <scheme val="minor"/>
      </rPr>
      <t>。</t>
    </r>
  </si>
  <si>
    <r>
      <t>2. “阴土”与“传承”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阴土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厚重、承载、传承</t>
    </r>
    <r>
      <rPr>
        <sz val="11"/>
        <color theme="1"/>
        <rFont val="等线"/>
        <family val="2"/>
        <charset val="134"/>
        <scheme val="minor"/>
      </rPr>
      <t>。其“升迁”性体现为</t>
    </r>
    <r>
      <rPr>
        <b/>
        <sz val="11"/>
        <color theme="1"/>
        <rFont val="等线"/>
        <family val="3"/>
        <charset val="134"/>
        <scheme val="minor"/>
      </rPr>
      <t>地位的提升、财产的继承、技艺的传承</t>
    </r>
    <r>
      <rPr>
        <sz val="11"/>
        <color theme="1"/>
        <rFont val="等线"/>
        <family val="2"/>
        <charset val="134"/>
        <scheme val="minor"/>
      </rPr>
      <t>。与天魁、天钺的“贵人”不同，天巫更侧重</t>
    </r>
    <r>
      <rPr>
        <b/>
        <sz val="11"/>
        <color theme="1"/>
        <rFont val="等线"/>
        <family val="3"/>
        <charset val="134"/>
        <scheme val="minor"/>
      </rPr>
      <t>通过系统内的传承或特定技艺（如宗教、医学）获得提升</t>
    </r>
    <r>
      <rPr>
        <sz val="11"/>
        <color theme="1"/>
        <rFont val="等线"/>
        <family val="2"/>
        <charset val="134"/>
        <scheme val="minor"/>
      </rPr>
      <t>。</t>
    </r>
  </si>
  <si>
    <r>
      <t>3. “逢吉则发，遇煞则废”的辩证</t>
    </r>
    <r>
      <rPr>
        <sz val="11"/>
        <color theme="1"/>
        <rFont val="等线"/>
        <family val="2"/>
        <charset val="134"/>
        <scheme val="minor"/>
      </rPr>
      <t>：天巫是</t>
    </r>
    <r>
      <rPr>
        <b/>
        <sz val="11"/>
        <color theme="1"/>
        <rFont val="等线"/>
        <family val="3"/>
        <charset val="134"/>
        <scheme val="minor"/>
      </rPr>
      <t>典型的“锦上添花”之星</t>
    </r>
    <r>
      <rPr>
        <sz val="11"/>
        <color theme="1"/>
        <rFont val="等线"/>
        <family val="2"/>
        <charset val="134"/>
        <scheme val="minor"/>
      </rPr>
      <t>。必须</t>
    </r>
    <r>
      <rPr>
        <b/>
        <sz val="11"/>
        <color theme="1"/>
        <rFont val="等线"/>
        <family val="3"/>
        <charset val="134"/>
        <scheme val="minor"/>
      </rPr>
      <t>与吉星或旺吉的主星同度</t>
    </r>
    <r>
      <rPr>
        <sz val="11"/>
        <color theme="1"/>
        <rFont val="等线"/>
        <family val="2"/>
        <charset val="134"/>
        <scheme val="minor"/>
      </rPr>
      <t>，方能发挥其</t>
    </r>
    <r>
      <rPr>
        <b/>
        <sz val="11"/>
        <color theme="1"/>
        <rFont val="等线"/>
        <family val="3"/>
        <charset val="134"/>
        <scheme val="minor"/>
      </rPr>
      <t>升迁、得遗产、获技艺</t>
    </r>
    <r>
      <rPr>
        <sz val="11"/>
        <color theme="1"/>
        <rFont val="等线"/>
        <family val="2"/>
        <charset val="134"/>
        <scheme val="minor"/>
      </rPr>
      <t>的吉利作用。若</t>
    </r>
    <r>
      <rPr>
        <b/>
        <sz val="11"/>
        <color theme="1"/>
        <rFont val="等线"/>
        <family val="3"/>
        <charset val="134"/>
        <scheme val="minor"/>
      </rPr>
      <t>独守或与煞星同宫，则基本无用，失去效力</t>
    </r>
    <r>
      <rPr>
        <sz val="11"/>
        <color theme="1"/>
        <rFont val="等线"/>
        <family val="2"/>
        <charset val="134"/>
        <scheme val="minor"/>
      </rPr>
      <t>。此为“逢吉则发，遇煞则废”。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</si>
  <si>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：天巫星所在宫位，指示在人生的哪个领域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最易获得升迁、继承遗产、或与宗教技艺结缘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施展才能、需要积极进取</t>
    </r>
    <r>
      <rPr>
        <sz val="11"/>
        <color theme="1"/>
        <rFont val="等线"/>
        <family val="2"/>
        <charset val="134"/>
        <scheme val="minor"/>
      </rPr>
      <t>的领域。</t>
    </r>
  </si>
  <si>
    <r>
      <t>5. “调动”与“乔迁”</t>
    </r>
    <r>
      <rPr>
        <sz val="11"/>
        <color theme="1"/>
        <rFont val="等线"/>
        <family val="2"/>
        <charset val="134"/>
        <scheme val="minor"/>
      </rPr>
      <t>：天巫星逢</t>
    </r>
    <r>
      <rPr>
        <b/>
        <sz val="11"/>
        <color theme="1"/>
        <rFont val="等线"/>
        <family val="3"/>
        <charset val="134"/>
        <scheme val="minor"/>
      </rPr>
      <t>天马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调动</t>
    </r>
    <r>
      <rPr>
        <sz val="11"/>
        <color theme="1"/>
        <rFont val="等线"/>
        <family val="2"/>
        <charset val="134"/>
        <scheme val="minor"/>
      </rPr>
      <t>；在</t>
    </r>
    <r>
      <rPr>
        <b/>
        <sz val="11"/>
        <color theme="1"/>
        <rFont val="等线"/>
        <family val="3"/>
        <charset val="134"/>
        <scheme val="minor"/>
      </rPr>
      <t>迁移宫</t>
    </r>
    <r>
      <rPr>
        <sz val="11"/>
        <color theme="1"/>
        <rFont val="等线"/>
        <family val="2"/>
        <charset val="134"/>
        <scheme val="minor"/>
      </rPr>
      <t>遇流年，主</t>
    </r>
    <r>
      <rPr>
        <b/>
        <sz val="11"/>
        <color theme="1"/>
        <rFont val="等线"/>
        <family val="3"/>
        <charset val="134"/>
        <scheme val="minor"/>
      </rPr>
      <t>乔迁之喜</t>
    </r>
    <r>
      <rPr>
        <sz val="11"/>
        <color theme="1"/>
        <rFont val="等线"/>
        <family val="2"/>
        <charset val="134"/>
        <scheme val="minor"/>
      </rPr>
      <t>。这体现了其“变动中提升”的特性。</t>
    </r>
  </si>
  <si>
    <r>
      <t>6. “遗产”的特定组合</t>
    </r>
    <r>
      <rPr>
        <sz val="11"/>
        <color theme="1"/>
        <rFont val="等线"/>
        <family val="2"/>
        <charset val="134"/>
        <scheme val="minor"/>
      </rPr>
      <t>：天巫与</t>
    </r>
    <r>
      <rPr>
        <b/>
        <sz val="11"/>
        <color theme="1"/>
        <rFont val="等线"/>
        <family val="3"/>
        <charset val="134"/>
        <scheme val="minor"/>
      </rPr>
      <t>天梁</t>
    </r>
    <r>
      <rPr>
        <sz val="11"/>
        <color theme="1"/>
        <rFont val="等线"/>
        <family val="2"/>
        <charset val="134"/>
        <scheme val="minor"/>
      </rPr>
      <t>同度于命宫或财帛宫，是</t>
    </r>
    <r>
      <rPr>
        <b/>
        <sz val="11"/>
        <color theme="1"/>
        <rFont val="等线"/>
        <family val="3"/>
        <charset val="134"/>
        <scheme val="minor"/>
      </rPr>
      <t>得长辈遗产</t>
    </r>
    <r>
      <rPr>
        <sz val="11"/>
        <color theme="1"/>
        <rFont val="等线"/>
        <family val="2"/>
        <charset val="134"/>
        <scheme val="minor"/>
      </rPr>
      <t>的显著标志。</t>
    </r>
  </si>
  <si>
    <r>
      <t>7. “宗教技艺”的倾向</t>
    </r>
    <r>
      <rPr>
        <sz val="11"/>
        <color theme="1"/>
        <rFont val="等线"/>
        <family val="2"/>
        <charset val="134"/>
        <scheme val="minor"/>
      </rPr>
      <t>：天巫星入命，通常表示命主</t>
    </r>
    <r>
      <rPr>
        <b/>
        <sz val="11"/>
        <color theme="1"/>
        <rFont val="等线"/>
        <family val="3"/>
        <charset val="134"/>
        <scheme val="minor"/>
      </rPr>
      <t>聪明好学，对宗教、五术、医术有浓厚兴趣，甚至有一定天赋</t>
    </r>
    <r>
      <rPr>
        <sz val="11"/>
        <color theme="1"/>
        <rFont val="等线"/>
        <family val="2"/>
        <charset val="134"/>
        <scheme val="minor"/>
      </rPr>
      <t>。与天机、天同、天梁等星同度，则</t>
    </r>
    <r>
      <rPr>
        <b/>
        <sz val="11"/>
        <color theme="1"/>
        <rFont val="等线"/>
        <family val="3"/>
        <charset val="134"/>
        <scheme val="minor"/>
      </rPr>
      <t>宗教缘分更深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</si>
  <si>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寺庙、道观、医学院、传承技艺的作坊、一切与宗教、神秘学、传统技艺传承相关的场所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</si>
  <si>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升迁/遗产/宗教技艺”及其全部引申象征（聪明好学、传承、贵人提拔、调动等）出发，系统化推导并呈现了“人/事/物”三个层次的完整解析。天巫为吉利的辅星，主升迁、遗产与宗教技艺。其核心在于“传”与“升”，常在需要凭借技艺、继承或系统内提拔的领域显现作用。其吉凶关键在于“逢吉则发，遇煞则废”。最喜与吉星、旺吉主星配合，则福禄倍增；最忌与煞星同度，则等同无用。在紫占中，天巫所在即个人“才能施展地”与“机遇提升点”之所在，其动向关乎地位的晋升、遗产的获得与技艺的传承。需与天魁、天钺（贵人星）在助力来源上明确区分，天巫更偏向系统内的传承与特定技艺的加持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</si>
  <si>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阴煞星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</si>
  <si>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暗曜</t>
    </r>
    <r>
      <rPr>
        <sz val="12"/>
        <color theme="1"/>
        <rFont val="等线"/>
        <family val="3"/>
        <charset val="134"/>
        <scheme val="minor"/>
      </rPr>
      <t>、阴土（或阴水）、</t>
    </r>
    <r>
      <rPr>
        <b/>
        <sz val="12"/>
        <color theme="1"/>
        <rFont val="等线"/>
        <family val="3"/>
        <charset val="134"/>
        <scheme val="minor"/>
      </rPr>
      <t>小人、暗害、阴邪、隐伏、灾厄、灵异、疑心、阴谋、隐藏的阻碍、阴性力量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</si>
  <si>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整合自《金刚佛光-紫占课程手册》及相关权威资料，本次彻底构建以“暗害、阴邪”为核心，涵盖“小人、灵异、疑心、阴谋”等所有引申义的核心象征网络。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</si>
  <si>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多疑、敏感、内心阴暗、易招小人、有灵异体质倾向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小人、阴谋家、暗中破坏者、灵异体质者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易遭暗算、陷害，或自身疑心重，人际关系中有隐藏的阻碍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</si>
  <si>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隐蔽、负面、不易察觉、涉及小人作祟或灵异现象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暗害、阴谋、隐伏的灾厄、灵异事件、疑心生暗鬼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需要警惕暗处、提防小人、处理阴性事务</t>
    </r>
    <r>
      <rPr>
        <sz val="12"/>
        <color theme="1"/>
        <rFont val="等线"/>
        <family val="3"/>
        <charset val="134"/>
        <scheme val="minor"/>
      </rPr>
      <t>。过程</t>
    </r>
    <r>
      <rPr>
        <b/>
        <sz val="12"/>
        <color theme="1"/>
        <rFont val="等线"/>
        <family val="3"/>
        <charset val="134"/>
        <scheme val="minor"/>
      </rPr>
      <t>隐秘、缓慢、具有破坏性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</si>
  <si>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具有阴性、隐藏、邪恶、灵异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</si>
  <si>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暗器、陷阱、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灵异物品、符咒、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</si>
  <si>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阴暗角落、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墓地、荒废场所、灵异高发地、</t>
    </r>
    <r>
      <rPr>
        <sz val="12"/>
        <color theme="1"/>
        <rFont val="等线"/>
        <family val="3"/>
        <charset val="134"/>
        <scheme val="minor"/>
      </rPr>
      <t>&lt;/ins&gt;隐蔽、阴森的形态。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</si>
  <si>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隐疾、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精神类疾病、疑难杂症、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</si>
  <si>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阴谋网络、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地下组织、暗中的阻碍系统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</si>
  <si>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小人、阴谋、灵异、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疑心、隐伏的灾厄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</si>
  <si>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本次解析从“暗害、阴邪”本质出发，系统推导出其作为“暗中破坏者”、“灵异相关者”及“阴性力量象征”的多重属性，并完整映射至三层结构，特别明确了其与“隐疾”、“阴谋网络”的关联。</t>
  </si>
  <si>
    <r>
      <t>暗曜与小人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</si>
  <si>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“暗害、阴邪”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小人、暗害、阴谋、灵异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重要的暗曜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隐伏的灾厄，不易察觉的危险</t>
    </r>
    <r>
      <rPr>
        <sz val="12"/>
        <color theme="1"/>
        <rFont val="等线"/>
        <family val="3"/>
        <charset val="134"/>
        <scheme val="minor"/>
      </rPr>
      <t>。</t>
    </r>
  </si>
  <si>
    <t>在命宫、交友宫时，主一生易犯小人，多暗中是非。</t>
  </si>
  <si>
    <r>
      <t>灵异与疑心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</si>
  <si>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“灵异之星”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阴邪、灵异、疑心生暗鬼</t>
    </r>
    <r>
      <rPr>
        <sz val="12"/>
        <color theme="1"/>
        <rFont val="等线"/>
        <family val="3"/>
        <charset val="134"/>
        <scheme val="minor"/>
      </rPr>
      <t>。命主可能</t>
    </r>
    <r>
      <rPr>
        <b/>
        <sz val="12"/>
        <color theme="1"/>
        <rFont val="等线"/>
        <family val="3"/>
        <charset val="134"/>
        <scheme val="minor"/>
      </rPr>
      <t>敏感，易感知灵异现象，或疑心重</t>
    </r>
    <r>
      <rPr>
        <sz val="12"/>
        <color theme="1"/>
        <rFont val="等线"/>
        <family val="3"/>
        <charset val="134"/>
        <scheme val="minor"/>
      </rPr>
      <t>。</t>
    </r>
  </si>
  <si>
    <t>在命宫、福德宫时，主易有灵异体验，或内心多疑，常感不安。</t>
  </si>
  <si>
    <r>
      <t>隐伏与灾厄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</si>
  <si>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阴土/阴水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隐伏、缓慢、持久的负面力量</t>
    </r>
    <r>
      <rPr>
        <sz val="12"/>
        <color theme="1"/>
        <rFont val="等线"/>
        <family val="3"/>
        <charset val="134"/>
        <scheme val="minor"/>
      </rPr>
      <t>。灾祸</t>
    </r>
    <r>
      <rPr>
        <b/>
        <sz val="12"/>
        <color theme="1"/>
        <rFont val="等线"/>
        <family val="3"/>
        <charset val="134"/>
        <scheme val="minor"/>
      </rPr>
      <t>多来自暗处，不易防备，且持续时间长</t>
    </r>
    <r>
      <rPr>
        <sz val="12"/>
        <color theme="1"/>
        <rFont val="等线"/>
        <family val="3"/>
        <charset val="134"/>
        <scheme val="minor"/>
      </rPr>
      <t>。</t>
    </r>
  </si>
  <si>
    <t>在疾厄宫，主隐疾难查；在官禄宫，主职场暗箭。</t>
  </si>
  <si>
    <r>
      <t>面色可能偏暗或苍白，眼神闪烁或多疑，气质阴郁，给人以难以捉摸、不易亲近的印象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</si>
  <si>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在命宫、身宫时显著，但需结合主星判断。</t>
  </si>
  <si>
    <r>
      <t>优点</t>
    </r>
    <r>
      <rPr>
        <sz val="12"/>
        <color theme="1"/>
        <rFont val="等线"/>
        <family val="3"/>
        <charset val="134"/>
        <scheme val="minor"/>
      </rPr>
      <t>：直觉敏锐，能察觉潜在危险，在某些领域（如玄学）可能有特殊感知力。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</si>
  <si>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：多疑敏感，易招小人，内心阴暗，常感压力，易受灵异干扰。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</si>
  <si>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隐疾、疑难杂症、精神类疾病、灵异病（如癔症）、慢性消耗性疾病</t>
    </r>
    <r>
      <rPr>
        <sz val="12"/>
        <color theme="1"/>
        <rFont val="等线"/>
        <family val="3"/>
        <charset val="134"/>
        <scheme val="minor"/>
      </rPr>
      <t>。</t>
    </r>
  </si>
  <si>
    <t>在疾厄宫时显现，尤其与巨门、太阴等同度时更验。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</si>
  <si>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多疑敏感，易招小人，一生多暗中是非，或有灵异体质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喜与吉星或阳性主星同度</t>
    </r>
    <r>
      <rPr>
        <sz val="12"/>
        <color theme="1"/>
        <rFont val="等线"/>
        <family val="3"/>
        <charset val="134"/>
        <scheme val="minor"/>
      </rPr>
      <t>，可</t>
    </r>
    <r>
      <rPr>
        <b/>
        <sz val="12"/>
        <color theme="1"/>
        <rFont val="等线"/>
        <family val="3"/>
        <charset val="134"/>
        <scheme val="minor"/>
      </rPr>
      <t>化解部分凶性，增强直觉力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忌独坐或与煞星同度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小人环绕，灾厄隐伏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</si>
  <si>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关系中有隐忧，易有暗中不睦，或受其拖累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</si>
  <si>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存在隐伏矛盾，易有第三者暗中破坏，或配偶多疑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</si>
  <si>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可能体质敏感，或亲子关系中有不易察觉的问题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</si>
  <si>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易因小人暗算、阴谋而损失，投资需防暗中陷阱</t>
    </r>
    <r>
      <rPr>
        <sz val="12"/>
        <color theme="1"/>
        <rFont val="等线"/>
        <family val="3"/>
        <charset val="134"/>
        <scheme val="minor"/>
      </rPr>
      <t>。</t>
    </r>
  </si>
  <si>
    <r>
      <t>易患隐疾、疑难杂症、精神疾病，或受灵异干扰致病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</si>
  <si>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易遇小人暗算，或遭遇灵异事件，出行需谨慎</t>
    </r>
    <r>
      <rPr>
        <sz val="12"/>
        <color theme="1"/>
        <rFont val="等线"/>
        <family val="3"/>
        <charset val="134"/>
        <scheme val="minor"/>
      </rPr>
      <t>。</t>
    </r>
  </si>
  <si>
    <r>
      <t>朋友中易有小人，需防暗中背叛，交友宜慎</t>
    </r>
    <r>
      <rPr>
        <sz val="12"/>
        <color theme="1"/>
        <rFont val="等线"/>
        <family val="3"/>
        <charset val="134"/>
        <scheme val="minor"/>
      </rPr>
      <t>。</t>
    </r>
  </si>
  <si>
    <r>
      <t>职场</t>
    </r>
    <r>
      <rPr>
        <b/>
        <sz val="12"/>
        <color theme="1"/>
        <rFont val="等线"/>
        <family val="3"/>
        <charset val="134"/>
        <scheme val="minor"/>
      </rPr>
      <t>易有小人作祟，暗中竞争激烈，需防同事暗算</t>
    </r>
    <r>
      <rPr>
        <sz val="12"/>
        <color theme="1"/>
        <rFont val="等线"/>
        <family val="3"/>
        <charset val="134"/>
        <scheme val="minor"/>
      </rPr>
      <t>。</t>
    </r>
  </si>
  <si>
    <r>
      <t>家宅不宁，易有灵异现象，或邻居中有小人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</si>
  <si>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多疑多虑，易有灵异体验，内心常感不安</t>
    </r>
    <r>
      <rPr>
        <sz val="12"/>
        <color theme="1"/>
        <rFont val="等线"/>
        <family val="3"/>
        <charset val="134"/>
        <scheme val="minor"/>
      </rPr>
      <t>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</si>
  <si>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关系中有隐情，或父母健康有隐疾，需多关注</t>
    </r>
    <r>
      <rPr>
        <sz val="12"/>
        <color theme="1"/>
        <rFont val="等线"/>
        <family val="3"/>
        <charset val="134"/>
        <scheme val="minor"/>
      </rPr>
      <t>。</t>
    </r>
  </si>
  <si>
    <r>
      <t>阴煞+巨门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</si>
  <si>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是非与阴邪叠加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口舌是非来自暗处，易有灵异纠缠，疑心病重</t>
    </r>
    <r>
      <rPr>
        <sz val="12"/>
        <color theme="1"/>
        <rFont val="等线"/>
        <family val="3"/>
        <charset val="134"/>
        <scheme val="minor"/>
      </rPr>
      <t>。</t>
    </r>
  </si>
  <si>
    <t>易遭谣言中伤；灵异体质者。</t>
  </si>
  <si>
    <r>
      <t>阴煞+太阴</t>
    </r>
    <r>
      <rPr>
        <sz val="12"/>
        <color theme="1"/>
        <rFont val="等线"/>
        <family val="3"/>
        <charset val="134"/>
        <scheme val="minor"/>
      </rPr>
      <t>​</t>
    </r>
  </si>
  <si>
    <r>
      <t>月星遇暗曜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阴柔与阴邪结合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阴性能量过重，易感灵异，女性妇科隐疾</t>
    </r>
    <r>
      <rPr>
        <sz val="12"/>
        <color theme="1"/>
        <rFont val="等线"/>
        <family val="3"/>
        <charset val="134"/>
        <scheme val="minor"/>
      </rPr>
      <t>。</t>
    </r>
  </si>
  <si>
    <t>女性灵媒；妇科疑难杂症。</t>
  </si>
  <si>
    <r>
      <t>阴煞+天机</t>
    </r>
    <r>
      <rPr>
        <sz val="12"/>
        <color theme="1"/>
        <rFont val="等线"/>
        <family val="3"/>
        <charset val="134"/>
        <scheme val="minor"/>
      </rPr>
      <t>​</t>
    </r>
  </si>
  <si>
    <r>
      <t>机星遇暗曜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变动与阴谋结合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计划易遭暗中破坏，变动中隐藏危机</t>
    </r>
    <r>
      <rPr>
        <sz val="12"/>
        <color theme="1"/>
        <rFont val="等线"/>
        <family val="3"/>
        <charset val="134"/>
        <scheme val="minor"/>
      </rPr>
      <t>。</t>
    </r>
  </si>
  <si>
    <t>计划被小人破坏；变动中遇险。</t>
  </si>
  <si>
    <r>
      <t>阴煞+七杀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</si>
  <si>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肃杀与暗害结合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易遭暗中伤害或暴力，险中带阴</t>
    </r>
    <r>
      <rPr>
        <sz val="12"/>
        <color theme="1"/>
        <rFont val="等线"/>
        <family val="3"/>
        <charset val="134"/>
        <scheme val="minor"/>
      </rPr>
      <t>。</t>
    </r>
  </si>
  <si>
    <t>遭暗算受伤；高危职业中的暗害。</t>
  </si>
  <si>
    <r>
      <t>阴煞+破军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</si>
  <si>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破坏与阴谋结合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破坏力来自暗处，损失暗中发生</t>
    </r>
    <r>
      <rPr>
        <sz val="12"/>
        <color theme="1"/>
        <rFont val="等线"/>
        <family val="3"/>
        <charset val="134"/>
        <scheme val="minor"/>
      </rPr>
      <t>。</t>
    </r>
  </si>
  <si>
    <t>财产被暗中盗取；事业被暗中颠覆。</t>
  </si>
  <si>
    <r>
      <t>阴煞+贪狼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</si>
  <si>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欲望与阴谋结合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桃花带煞，易因色欲遭暗算，或暗中进行不当交易</t>
    </r>
    <r>
      <rPr>
        <sz val="12"/>
        <color theme="1"/>
        <rFont val="等线"/>
        <family val="3"/>
        <charset val="134"/>
        <scheme val="minor"/>
      </rPr>
      <t>。</t>
    </r>
  </si>
  <si>
    <t>桃色陷阱；暗中贿赂。</t>
  </si>
  <si>
    <r>
      <t>阴煞+天梁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</si>
  <si>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庇护与阴邪矛盾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得到的庇护可能伴随暗中代价，或贵人本身有隐情</t>
    </r>
    <r>
      <rPr>
        <sz val="12"/>
        <color theme="1"/>
        <rFont val="等线"/>
        <family val="3"/>
        <charset val="134"/>
        <scheme val="minor"/>
      </rPr>
      <t>。</t>
    </r>
  </si>
  <si>
    <t>有问题的保护伞；带条件的帮助。</t>
  </si>
  <si>
    <r>
      <t>阴煞+天同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</si>
  <si>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福星遇暗曜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福气与阴邪矛盾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福气中有隐忧，享乐时易遭暗中破坏</t>
    </r>
    <r>
      <rPr>
        <sz val="12"/>
        <color theme="1"/>
        <rFont val="等线"/>
        <family val="3"/>
        <charset val="134"/>
        <scheme val="minor"/>
      </rPr>
      <t>。</t>
    </r>
  </si>
  <si>
    <t>乐极生悲；安逸生活中的隐患。</t>
  </si>
  <si>
    <r>
      <t>阴煞+火星/铃星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</si>
  <si>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阴煞遇火铃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阴邪与暴烈结合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暗害突然爆发，灾祸来得猛烈且隐蔽</t>
    </r>
    <r>
      <rPr>
        <sz val="12"/>
        <color theme="1"/>
        <rFont val="等线"/>
        <family val="3"/>
        <charset val="134"/>
        <scheme val="minor"/>
      </rPr>
      <t>。</t>
    </r>
  </si>
  <si>
    <t>突发性暗算；隐蔽的火灾/爆炸。</t>
  </si>
  <si>
    <r>
      <t>阴煞+擎羊/陀罗</t>
    </r>
    <r>
      <rPr>
        <sz val="12"/>
        <color theme="1"/>
        <rFont val="等线"/>
        <family val="3"/>
        <charset val="134"/>
        <scheme val="minor"/>
      </rPr>
      <t>​</t>
    </r>
  </si>
  <si>
    <r>
      <t>阴煞遇羊陀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阴邪与刑伤结合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暗中持久的伤害与刑伤，如慢性中毒、长期陷害</t>
    </r>
    <r>
      <rPr>
        <sz val="12"/>
        <color theme="1"/>
        <rFont val="等线"/>
        <family val="3"/>
        <charset val="134"/>
        <scheme val="minor"/>
      </rPr>
      <t>。</t>
    </r>
  </si>
  <si>
    <t>长期被下毒；持久的法律暗算。</t>
  </si>
  <si>
    <r>
      <t>阴煞+地空/地劫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</si>
  <si>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阴煞遇空劫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阴邪与空亡结合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阴谋落空，或灵异现象导致破耗</t>
    </r>
    <r>
      <rPr>
        <sz val="12"/>
        <color theme="1"/>
        <rFont val="等线"/>
        <family val="3"/>
        <charset val="134"/>
        <scheme val="minor"/>
      </rPr>
      <t>。</t>
    </r>
  </si>
  <si>
    <t>小人计划失败；因灵异事件破财。</t>
  </si>
  <si>
    <r>
      <t>阴煞+天刑</t>
    </r>
    <r>
      <rPr>
        <sz val="12"/>
        <color theme="1"/>
        <rFont val="等线"/>
        <family val="3"/>
        <charset val="134"/>
        <scheme val="minor"/>
      </rPr>
      <t>​</t>
    </r>
  </si>
  <si>
    <r>
      <t>阴煞遇刑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阴邪与律法结合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暗中违法，或法律事务中有隐情</t>
    </r>
    <r>
      <rPr>
        <sz val="12"/>
        <color theme="1"/>
        <rFont val="等线"/>
        <family val="3"/>
        <charset val="134"/>
        <scheme val="minor"/>
      </rPr>
      <t>。</t>
    </r>
  </si>
  <si>
    <t>隐秘的犯罪行为；法律文件中的陷阱。</t>
  </si>
  <si>
    <r>
      <t>阴煞+文昌/文曲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</si>
  <si>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阴煞遇昌曲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阴邪与才华结合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才华用于阴谋，或文书、契约中有隐藏问题</t>
    </r>
    <r>
      <rPr>
        <sz val="12"/>
        <color theme="1"/>
        <rFont val="等线"/>
        <family val="3"/>
        <charset val="134"/>
        <scheme val="minor"/>
      </rPr>
      <t>。</t>
    </r>
  </si>
  <si>
    <t>利用才华进行欺诈；合同中的隐藏条款。</t>
  </si>
  <si>
    <r>
      <t>阴煞+禄存/化禄</t>
    </r>
    <r>
      <rPr>
        <sz val="12"/>
        <color theme="1"/>
        <rFont val="等线"/>
        <family val="3"/>
        <charset val="134"/>
        <scheme val="minor"/>
      </rPr>
      <t>​</t>
    </r>
  </si>
  <si>
    <r>
      <t>阴煞遇禄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阴邪与财禄结合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不义之财，或财富来源有隐情</t>
    </r>
    <r>
      <rPr>
        <sz val="12"/>
        <color theme="1"/>
        <rFont val="等线"/>
        <family val="3"/>
        <charset val="134"/>
        <scheme val="minor"/>
      </rPr>
      <t>。</t>
    </r>
  </si>
  <si>
    <t>灰色收入；来路不明的财富。</t>
  </si>
  <si>
    <r>
      <t>1. “暗曜”与“阴邪”本质</t>
    </r>
    <r>
      <rPr>
        <sz val="11"/>
        <color theme="1"/>
        <rFont val="等线"/>
        <family val="2"/>
        <charset val="134"/>
        <scheme val="minor"/>
      </rPr>
      <t>：阴煞化气为</t>
    </r>
    <r>
      <rPr>
        <b/>
        <sz val="11"/>
        <color theme="1"/>
        <rFont val="等线"/>
        <family val="3"/>
        <charset val="134"/>
        <scheme val="minor"/>
      </rPr>
      <t>“暗”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小人、暗害、阴邪、灵异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在暗处遭遇阻碍、陷害或灵异干扰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凶曜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隐伏的、阴性的灾厄</t>
    </r>
    <r>
      <rPr>
        <sz val="11"/>
        <color theme="1"/>
        <rFont val="等线"/>
        <family val="2"/>
        <charset val="134"/>
        <scheme val="minor"/>
      </rPr>
      <t>。</t>
    </r>
  </si>
  <si>
    <r>
      <t>2. “阴土/阴水”与“隐伏”</t>
    </r>
    <r>
      <rPr>
        <sz val="11"/>
        <color theme="1"/>
        <rFont val="等线"/>
        <family val="2"/>
        <charset val="134"/>
        <scheme val="minor"/>
      </rPr>
      <t>：其五行属性（阴土或阴水）均强调</t>
    </r>
    <r>
      <rPr>
        <b/>
        <sz val="11"/>
        <color theme="1"/>
        <rFont val="等线"/>
        <family val="3"/>
        <charset val="134"/>
        <scheme val="minor"/>
      </rPr>
      <t>阴性、隐藏、缓慢</t>
    </r>
    <r>
      <rPr>
        <sz val="11"/>
        <color theme="1"/>
        <rFont val="等线"/>
        <family val="2"/>
        <charset val="134"/>
        <scheme val="minor"/>
      </rPr>
      <t>。其“害”性体现为</t>
    </r>
    <r>
      <rPr>
        <b/>
        <sz val="11"/>
        <color theme="1"/>
        <rFont val="等线"/>
        <family val="3"/>
        <charset val="134"/>
        <scheme val="minor"/>
      </rPr>
      <t>不易察觉、来自暗处、持久渗透</t>
    </r>
    <r>
      <rPr>
        <sz val="11"/>
        <color theme="1"/>
        <rFont val="等线"/>
        <family val="2"/>
        <charset val="134"/>
        <scheme val="minor"/>
      </rPr>
      <t>。与火星的“明火”快速爆发截然不同，阴煞是</t>
    </r>
    <r>
      <rPr>
        <b/>
        <sz val="11"/>
        <color theme="1"/>
        <rFont val="等线"/>
        <family val="3"/>
        <charset val="134"/>
        <scheme val="minor"/>
      </rPr>
      <t>暗中的、缓慢的侵蚀</t>
    </r>
    <r>
      <rPr>
        <sz val="11"/>
        <color theme="1"/>
        <rFont val="等线"/>
        <family val="2"/>
        <charset val="134"/>
        <scheme val="minor"/>
      </rPr>
      <t>。</t>
    </r>
  </si>
  <si>
    <r>
      <t>3. “逢吉减凶，遇煞增凶”的辩证</t>
    </r>
    <r>
      <rPr>
        <sz val="11"/>
        <color theme="1"/>
        <rFont val="等线"/>
        <family val="2"/>
        <charset val="134"/>
        <scheme val="minor"/>
      </rPr>
      <t>：阴煞的凶性</t>
    </r>
    <r>
      <rPr>
        <b/>
        <sz val="11"/>
        <color theme="1"/>
        <rFont val="等线"/>
        <family val="3"/>
        <charset val="134"/>
        <scheme val="minor"/>
      </rPr>
      <t>可被吉星或阳性主星（如太阳、紫微）化解一部分</t>
    </r>
    <r>
      <rPr>
        <sz val="11"/>
        <color theme="1"/>
        <rFont val="等线"/>
        <family val="2"/>
        <charset val="134"/>
        <scheme val="minor"/>
      </rPr>
      <t>，转化为</t>
    </r>
    <r>
      <rPr>
        <b/>
        <sz val="11"/>
        <color theme="1"/>
        <rFont val="等线"/>
        <family val="3"/>
        <charset val="134"/>
        <scheme val="minor"/>
      </rPr>
      <t>敏锐的直觉或对危险的预知力</t>
    </r>
    <r>
      <rPr>
        <sz val="11"/>
        <color theme="1"/>
        <rFont val="等线"/>
        <family val="2"/>
        <charset val="134"/>
        <scheme val="minor"/>
      </rPr>
      <t>。但若</t>
    </r>
    <r>
      <rPr>
        <b/>
        <sz val="11"/>
        <color theme="1"/>
        <rFont val="等线"/>
        <family val="3"/>
        <charset val="134"/>
        <scheme val="minor"/>
      </rPr>
      <t>与煞星（尤其是巨门、太阴）同度，则凶性大增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严重的暗害、灵异困扰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</si>
  <si>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：阴煞所在宫位，指示在人生的哪个领域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最易遭遇小人暗算、发生灵异事件或存在隐伏的危机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多疑性与灵异感知力</t>
    </r>
    <r>
      <rPr>
        <sz val="11"/>
        <color theme="1"/>
        <rFont val="等线"/>
        <family val="2"/>
        <charset val="134"/>
        <scheme val="minor"/>
      </rPr>
      <t>的投射领域。</t>
    </r>
  </si>
  <si>
    <r>
      <t>5. “灵异”与“疑心”</t>
    </r>
    <r>
      <rPr>
        <sz val="11"/>
        <color theme="1"/>
        <rFont val="等线"/>
        <family val="2"/>
        <charset val="134"/>
        <scheme val="minor"/>
      </rPr>
      <t>：阴煞是紫微斗数中与</t>
    </r>
    <r>
      <rPr>
        <b/>
        <sz val="11"/>
        <color theme="1"/>
        <rFont val="等线"/>
        <family val="3"/>
        <charset val="134"/>
        <scheme val="minor"/>
      </rPr>
      <t>灵异、阴邪之事</t>
    </r>
    <r>
      <rPr>
        <sz val="11"/>
        <color theme="1"/>
        <rFont val="等线"/>
        <family val="2"/>
        <charset val="134"/>
        <scheme val="minor"/>
      </rPr>
      <t>关联最强的星曜之一。同时，它也主</t>
    </r>
    <r>
      <rPr>
        <b/>
        <sz val="11"/>
        <color theme="1"/>
        <rFont val="等线"/>
        <family val="3"/>
        <charset val="134"/>
        <scheme val="minor"/>
      </rPr>
      <t>疑心</t>
    </r>
    <r>
      <rPr>
        <sz val="11"/>
        <color theme="1"/>
        <rFont val="等线"/>
        <family val="2"/>
        <charset val="134"/>
        <scheme val="minor"/>
      </rPr>
      <t>，常表现为“疑心生暗鬼”。</t>
    </r>
  </si>
  <si>
    <r>
      <t>6. “小人”的特指</t>
    </r>
    <r>
      <rPr>
        <sz val="11"/>
        <color theme="1"/>
        <rFont val="等线"/>
        <family val="2"/>
        <charset val="134"/>
        <scheme val="minor"/>
      </rPr>
      <t>：阴煞所主的“小人”，特指</t>
    </r>
    <r>
      <rPr>
        <b/>
        <sz val="11"/>
        <color theme="1"/>
        <rFont val="等线"/>
        <family val="3"/>
        <charset val="134"/>
        <scheme val="minor"/>
      </rPr>
      <t>暗中的、不易察觉的、使用阴谋手段的破坏者</t>
    </r>
    <r>
      <rPr>
        <sz val="11"/>
        <color theme="1"/>
        <rFont val="等线"/>
        <family val="2"/>
        <charset val="134"/>
        <scheme val="minor"/>
      </rPr>
      <t>，而非公开的对手。</t>
    </r>
  </si>
  <si>
    <r>
      <t>7. 健康关联</t>
    </r>
    <r>
      <rPr>
        <sz val="11"/>
        <color theme="1"/>
        <rFont val="等线"/>
        <family val="2"/>
        <charset val="134"/>
        <scheme val="minor"/>
      </rPr>
      <t>：在疾厄宫，阴煞常指向</t>
    </r>
    <r>
      <rPr>
        <b/>
        <sz val="11"/>
        <color theme="1"/>
        <rFont val="等线"/>
        <family val="3"/>
        <charset val="134"/>
        <scheme val="minor"/>
      </rPr>
      <t>西医难以诊断的隐疾、疑难杂症、精神类疾病或与灵异相关的病症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</si>
  <si>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阴暗角落、墓地、荒废古宅、灵异事件高发地、一切阴性、隐蔽、不祥的场所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</si>
  <si>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暗害/阴邪”及其全部引申象征（小人、灵异、疑心、阴谋、隐伏灾厄等）出发，系统化推导并呈现了“人/事/物”三个层次的完整解析。阴煞为暗曜，主小人暗害与阴邪之事。其核心在于“暗”与“阴”，是隐藏在幕后的负面力量。其所在之处，即提示该领域存在不易察觉的危险、小人或灵异干扰。最忌与煞星、暗星同度，凶性显著；若与吉星同度，可稍减其凶，或转化为特殊感知力。在紫占中，阴煞所在即个人“暗面战场”与“灵异敏感点”之所在，需格外警惕暗处的隐患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</si>
  <si>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天使星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</si>
  <si>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灾星</t>
    </r>
    <r>
      <rPr>
        <sz val="12"/>
        <color theme="1"/>
        <rFont val="等线"/>
        <family val="3"/>
        <charset val="134"/>
        <scheme val="minor"/>
      </rPr>
      <t>、阳水、</t>
    </r>
    <r>
      <rPr>
        <b/>
        <sz val="12"/>
        <color theme="1"/>
        <rFont val="等线"/>
        <family val="3"/>
        <charset val="134"/>
        <scheme val="minor"/>
      </rPr>
      <t>刑伤、灾病、破耗、意外、消耗、流动性的损失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</si>
  <si>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整合自《金刚佛光-紫占课程手册》及相关权威资料，本次彻底构建以“灾病、刑伤、破耗”为核心，涵盖“意外、消耗、流动损失”等所有引申义的核心象征网络。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</si>
  <si>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可能带来意外波折，或自身易受外伤、疾病困扰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伤病者、破财者、遭遇意外者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易因自身灾病拖累他人，或人际关系带来损耗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</si>
  <si>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突发意外、带来伤病或财物损失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刑伤、疾病、破财、意外灾厄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需要破财消灾、应对突发伤病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具有突发性、消耗性和破坏性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</si>
  <si>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具有伤害、消耗、流动破耗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</si>
  <si>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凶器、破损物品、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医疗耗材、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</si>
  <si>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医院、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事故现场、流动的水域、</t>
    </r>
    <r>
      <rPr>
        <sz val="12"/>
        <color theme="1"/>
        <rFont val="等线"/>
        <family val="3"/>
        <charset val="134"/>
        <scheme val="minor"/>
      </rPr>
      <t>&lt;/ins&gt;破损、消耗性的形态。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</si>
  <si>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外伤部位、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消耗性疾病（如腹泻）、循环系统问题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</si>
  <si>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急救系统、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保险理赔流程、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</si>
  <si>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刑伤、灾病、破耗、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意外、消耗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</si>
  <si>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本次解析从“灾病、刑伤、破耗”本质出发，系统推导出其作为“伤害施加者”、“消耗者”及“意外象征”的多重属性，并完整映射至三层结构，特别明确了其与“外伤”、“流动破耗”的关联。</t>
  </si>
  <si>
    <r>
      <t>灾星与刑伤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</si>
  <si>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“灾病、刑伤、破耗”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丙级凶星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身体刑伤、疾病、破财</t>
    </r>
    <r>
      <rPr>
        <sz val="12"/>
        <color theme="1"/>
        <rFont val="等线"/>
        <family val="3"/>
        <charset val="134"/>
        <scheme val="minor"/>
      </rPr>
      <t>。常与</t>
    </r>
    <r>
      <rPr>
        <b/>
        <sz val="12"/>
        <color theme="1"/>
        <rFont val="等线"/>
        <family val="3"/>
        <charset val="134"/>
        <scheme val="minor"/>
      </rPr>
      <t>天伤星</t>
    </r>
    <r>
      <rPr>
        <sz val="12"/>
        <color theme="1"/>
        <rFont val="等线"/>
        <family val="3"/>
        <charset val="134"/>
        <scheme val="minor"/>
      </rPr>
      <t>成对出现，增加灾病性质。</t>
    </r>
  </si>
  <si>
    <t>在命宫、疾厄宫、财帛宫时，主易有伤病破财之事。</t>
  </si>
  <si>
    <r>
      <t>意外与消耗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</si>
  <si>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“意外消耗之星”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突发性的伤害、疾病或财物损失</t>
    </r>
    <r>
      <rPr>
        <sz val="12"/>
        <color theme="1"/>
        <rFont val="等线"/>
        <family val="3"/>
        <charset val="134"/>
        <scheme val="minor"/>
      </rPr>
      <t>，具有</t>
    </r>
    <r>
      <rPr>
        <b/>
        <sz val="12"/>
        <color theme="1"/>
        <rFont val="等线"/>
        <family val="3"/>
        <charset val="134"/>
        <scheme val="minor"/>
      </rPr>
      <t>流动、消耗</t>
    </r>
    <r>
      <rPr>
        <sz val="12"/>
        <color theme="1"/>
        <rFont val="等线"/>
        <family val="3"/>
        <charset val="134"/>
        <scheme val="minor"/>
      </rPr>
      <t>的特性。</t>
    </r>
  </si>
  <si>
    <t>在迁移宫遇流煞，主外出意外；在财帛宫，主钱财莫名消耗。</t>
  </si>
  <si>
    <r>
      <t>破耗与流动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</si>
  <si>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阳水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流动性的破耗</t>
    </r>
    <r>
      <rPr>
        <sz val="12"/>
        <color theme="1"/>
        <rFont val="等线"/>
        <family val="3"/>
        <charset val="134"/>
        <scheme val="minor"/>
      </rPr>
      <t>。灾病或破财</t>
    </r>
    <r>
      <rPr>
        <b/>
        <sz val="12"/>
        <color theme="1"/>
        <rFont val="等线"/>
        <family val="3"/>
        <charset val="134"/>
        <scheme val="minor"/>
      </rPr>
      <t>来得突然，去得也快，但消耗明显</t>
    </r>
    <r>
      <rPr>
        <sz val="12"/>
        <color theme="1"/>
        <rFont val="等线"/>
        <family val="3"/>
        <charset val="134"/>
        <scheme val="minor"/>
      </rPr>
      <t>。</t>
    </r>
  </si>
  <si>
    <t>与天马同度，主远行破财或伤病；在田宅宫，主家宅水管等问题导致损失。</t>
  </si>
  <si>
    <r>
      <t>相貌或气质可能带有些许奔波劳碌或易受伤的倾向</t>
    </r>
    <r>
      <rPr>
        <sz val="12"/>
        <color theme="1"/>
        <rFont val="等线"/>
        <family val="3"/>
        <charset val="134"/>
        <scheme val="minor"/>
      </rPr>
      <t>，但需结合主星综合判断。</t>
    </r>
  </si>
  <si>
    <t>单独影响不明显，多需结合煞星或特定主星显现。</t>
  </si>
  <si>
    <r>
      <t>优点</t>
    </r>
    <r>
      <rPr>
        <sz val="12"/>
        <color theme="1"/>
        <rFont val="等线"/>
        <family val="3"/>
        <charset val="134"/>
        <scheme val="minor"/>
      </rPr>
      <t>：无显著优点，更多体现为人生中需要面对的灾病与破耗课题。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</si>
  <si>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：易遭遇意外伤病、破财，人生波折较多，需注意安全与健康。</t>
    </r>
  </si>
  <si>
    <r>
      <t>属阳水，主</t>
    </r>
    <r>
      <rPr>
        <b/>
        <sz val="12"/>
        <color theme="1"/>
        <rFont val="等线"/>
        <family val="3"/>
        <charset val="134"/>
        <scheme val="minor"/>
      </rPr>
      <t>意外伤害、急性病、流血、手术、消耗性疾病（如腹泻、失水）</t>
    </r>
    <r>
      <rPr>
        <sz val="12"/>
        <color theme="1"/>
        <rFont val="等线"/>
        <family val="3"/>
        <charset val="134"/>
        <scheme val="minor"/>
      </rPr>
      <t>。</t>
    </r>
  </si>
  <si>
    <t>在疾厄宫时显现，尤其与擎羊、七杀同度时更验外伤。</t>
  </si>
  <si>
    <r>
      <t>一生</t>
    </r>
    <r>
      <rPr>
        <b/>
        <sz val="12"/>
        <color theme="1"/>
        <rFont val="等线"/>
        <family val="3"/>
        <charset val="134"/>
        <scheme val="minor"/>
      </rPr>
      <t>易有刑伤、疾病、破财之事，体质可能较弱，或人生波折较多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若与吉星同度可减凶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与煞星同度则灾病破耗加剧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</si>
  <si>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易有刑克，或兄弟姐妹多病灾，彼此关系带来消耗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</si>
  <si>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易因伤病或破财事产生压力，或配偶身体欠佳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</si>
  <si>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健康需多注意，或养育子女过程耗费大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</si>
  <si>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易因伤病、意外事故而破耗，钱财流动大，难积聚</t>
    </r>
    <r>
      <rPr>
        <sz val="12"/>
        <color theme="1"/>
        <rFont val="等线"/>
        <family val="3"/>
        <charset val="134"/>
        <scheme val="minor"/>
      </rPr>
      <t>。</t>
    </r>
  </si>
  <si>
    <r>
      <t>易有意外伤害、急性病、手术，或患有消耗性疾病</t>
    </r>
    <r>
      <rPr>
        <sz val="12"/>
        <color theme="1"/>
        <rFont val="等线"/>
        <family val="3"/>
        <charset val="134"/>
        <scheme val="minor"/>
      </rPr>
      <t>。</t>
    </r>
  </si>
  <si>
    <r>
      <t>外出</t>
    </r>
    <r>
      <rPr>
        <b/>
        <sz val="12"/>
        <color theme="1"/>
        <rFont val="等线"/>
        <family val="3"/>
        <charset val="134"/>
        <scheme val="minor"/>
      </rPr>
      <t>易遇意外、伤病，或旅途破财，远行需特别注意安全</t>
    </r>
    <r>
      <rPr>
        <sz val="12"/>
        <color theme="1"/>
        <rFont val="等线"/>
        <family val="3"/>
        <charset val="134"/>
        <scheme val="minor"/>
      </rPr>
      <t>。</t>
    </r>
  </si>
  <si>
    <r>
      <t>朋友或下属可能带来损耗，或因其事而破财伤身</t>
    </r>
    <r>
      <rPr>
        <sz val="12"/>
        <color theme="1"/>
        <rFont val="等线"/>
        <family val="3"/>
        <charset val="134"/>
        <scheme val="minor"/>
      </rPr>
      <t>。</t>
    </r>
  </si>
  <si>
    <r>
      <t>事业上</t>
    </r>
    <r>
      <rPr>
        <b/>
        <sz val="12"/>
        <color theme="1"/>
        <rFont val="等线"/>
        <family val="3"/>
        <charset val="134"/>
        <scheme val="minor"/>
      </rPr>
      <t>易因伤病中断，或工作中发生意外，事业财运起伏消耗大</t>
    </r>
    <r>
      <rPr>
        <sz val="12"/>
        <color theme="1"/>
        <rFont val="等线"/>
        <family val="3"/>
        <charset val="134"/>
        <scheme val="minor"/>
      </rPr>
      <t>。</t>
    </r>
  </si>
  <si>
    <r>
      <t>家宅易有破损、漏水等问题导致破财，或家人多病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</si>
  <si>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常担忧健康或破财事，内心缺乏安全感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</si>
  <si>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健康需多关注，或与父母关系中有财物、健康的消耗</t>
    </r>
    <r>
      <rPr>
        <sz val="12"/>
        <color theme="1"/>
        <rFont val="等线"/>
        <family val="3"/>
        <charset val="134"/>
        <scheme val="minor"/>
      </rPr>
      <t>。</t>
    </r>
  </si>
  <si>
    <r>
      <t>天使+七杀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</si>
  <si>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肃杀与刑伤叠加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重大外伤、手术、意外灾祸</t>
    </r>
    <r>
      <rPr>
        <sz val="12"/>
        <color theme="1"/>
        <rFont val="等线"/>
        <family val="3"/>
        <charset val="134"/>
        <scheme val="minor"/>
      </rPr>
      <t>，煞气极重。</t>
    </r>
  </si>
  <si>
    <t>车祸等意外重伤；大型手术。</t>
  </si>
  <si>
    <r>
      <t>天使+破军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</si>
  <si>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破坏与破耗叠加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钱财与身体双双遭受意外损失，消耗巨大</t>
    </r>
    <r>
      <rPr>
        <sz val="12"/>
        <color theme="1"/>
        <rFont val="等线"/>
        <family val="3"/>
        <charset val="134"/>
        <scheme val="minor"/>
      </rPr>
      <t>。</t>
    </r>
  </si>
  <si>
    <t>因意外事故导致重大财产损失和身体伤害。</t>
  </si>
  <si>
    <r>
      <t>天使+贪狼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</si>
  <si>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欲望与灾病结合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因酒色、娱乐引发意外伤病或破财</t>
    </r>
    <r>
      <rPr>
        <sz val="12"/>
        <color theme="1"/>
        <rFont val="等线"/>
        <family val="3"/>
        <charset val="134"/>
        <scheme val="minor"/>
      </rPr>
      <t>。</t>
    </r>
  </si>
  <si>
    <t>酒后事故；因桃花事件破财伤身。</t>
  </si>
  <si>
    <r>
      <t>天使+廉贞</t>
    </r>
    <r>
      <rPr>
        <sz val="12"/>
        <color theme="1"/>
        <rFont val="等线"/>
        <family val="3"/>
        <charset val="134"/>
        <scheme val="minor"/>
      </rPr>
      <t>​</t>
    </r>
  </si>
  <si>
    <r>
      <t>囚星遇灾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复杂与刑伤结合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易涉官非并伴有身体伤害，或复杂疾病</t>
    </r>
    <r>
      <rPr>
        <sz val="12"/>
        <color theme="1"/>
        <rFont val="等线"/>
        <family val="3"/>
        <charset val="134"/>
        <scheme val="minor"/>
      </rPr>
      <t>。</t>
    </r>
  </si>
  <si>
    <t>打架斗殴惹上官司并受伤；疑难杂症。</t>
  </si>
  <si>
    <r>
      <t>天使+天同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</si>
  <si>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福气与灾病矛盾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福气受损，安逸生活中突发伤病</t>
    </r>
    <r>
      <rPr>
        <sz val="12"/>
        <color theme="1"/>
        <rFont val="等线"/>
        <family val="3"/>
        <charset val="134"/>
        <scheme val="minor"/>
      </rPr>
      <t>。</t>
    </r>
  </si>
  <si>
    <t>乐极生悲，如游玩时意外受伤。</t>
  </si>
  <si>
    <r>
      <t>天使+太阴</t>
    </r>
    <r>
      <rPr>
        <sz val="12"/>
        <color theme="1"/>
        <rFont val="等线"/>
        <family val="3"/>
        <charset val="134"/>
        <scheme val="minor"/>
      </rPr>
      <t>​</t>
    </r>
  </si>
  <si>
    <r>
      <t>富星遇灾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钱财因意外、疾病大量消耗</t>
    </r>
    <r>
      <rPr>
        <sz val="12"/>
        <color theme="1"/>
        <rFont val="等线"/>
        <family val="3"/>
        <charset val="134"/>
        <scheme val="minor"/>
      </rPr>
      <t>。</t>
    </r>
  </si>
  <si>
    <t>因病破财；因意外损毁财物。</t>
  </si>
  <si>
    <r>
      <t>天使+巨门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</si>
  <si>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是非与病灾结合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因口舌是非引发冲突受伤，或患暗疾</t>
    </r>
    <r>
      <rPr>
        <sz val="12"/>
        <color theme="1"/>
        <rFont val="等线"/>
        <family val="3"/>
        <charset val="134"/>
        <scheme val="minor"/>
      </rPr>
      <t>。</t>
    </r>
  </si>
  <si>
    <t>争吵升级为肢体冲突；难以诊断的急性病。</t>
  </si>
  <si>
    <r>
      <t>天使+天梁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</si>
  <si>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荫星遇灾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庇护与灾病矛盾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虽能逢凶化吉，但过程必有伤病破耗</t>
    </r>
    <r>
      <rPr>
        <sz val="12"/>
        <color theme="1"/>
        <rFont val="等线"/>
        <family val="3"/>
        <charset val="134"/>
        <scheme val="minor"/>
      </rPr>
      <t>。</t>
    </r>
  </si>
  <si>
    <t>大病一场后痊愈；破财消灾。</t>
  </si>
  <si>
    <r>
      <t>天使+擎羊</t>
    </r>
    <r>
      <rPr>
        <sz val="12"/>
        <color theme="1"/>
        <rFont val="等线"/>
        <family val="3"/>
        <charset val="134"/>
        <scheme val="minor"/>
      </rPr>
      <t>​</t>
    </r>
  </si>
  <si>
    <r>
      <t>灾刃相逢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灾病与明刃叠加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突发性、流血性的严重外伤</t>
    </r>
    <r>
      <rPr>
        <sz val="12"/>
        <color theme="1"/>
        <rFont val="等线"/>
        <family val="3"/>
        <charset val="134"/>
        <scheme val="minor"/>
      </rPr>
      <t>。</t>
    </r>
  </si>
  <si>
    <t>刀伤、车祸等见血光之灾。</t>
  </si>
  <si>
    <r>
      <t>天使+陀罗</t>
    </r>
    <r>
      <rPr>
        <sz val="12"/>
        <color theme="1"/>
        <rFont val="等线"/>
        <family val="3"/>
        <charset val="134"/>
        <scheme val="minor"/>
      </rPr>
      <t>​</t>
    </r>
  </si>
  <si>
    <r>
      <t>灾陀相逢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灾病与暗刃叠加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拖延性、反复性的慢性伤病或旧伤复发</t>
    </r>
    <r>
      <rPr>
        <sz val="12"/>
        <color theme="1"/>
        <rFont val="等线"/>
        <family val="3"/>
        <charset val="134"/>
        <scheme val="minor"/>
      </rPr>
      <t>。</t>
    </r>
  </si>
  <si>
    <t>慢性病急性发作；旧伤难以彻底痊愈。</t>
  </si>
  <si>
    <r>
      <t>天使+火星</t>
    </r>
    <r>
      <rPr>
        <sz val="12"/>
        <color theme="1"/>
        <rFont val="等线"/>
        <family val="3"/>
        <charset val="134"/>
        <scheme val="minor"/>
      </rPr>
      <t>​</t>
    </r>
  </si>
  <si>
    <r>
      <t>灾火相逢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灾病与暴烈结合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突发性的火灾、爆炸、急性炎症伤害</t>
    </r>
    <r>
      <rPr>
        <sz val="12"/>
        <color theme="1"/>
        <rFont val="等线"/>
        <family val="3"/>
        <charset val="134"/>
        <scheme val="minor"/>
      </rPr>
      <t>。</t>
    </r>
  </si>
  <si>
    <t>烧伤、急性阑尾炎等。</t>
  </si>
  <si>
    <r>
      <t>天使+铃星</t>
    </r>
    <r>
      <rPr>
        <sz val="12"/>
        <color theme="1"/>
        <rFont val="等线"/>
        <family val="3"/>
        <charset val="134"/>
        <scheme val="minor"/>
      </rPr>
      <t>​</t>
    </r>
  </si>
  <si>
    <r>
      <t>灾铃相逢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灾病与阴火结合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隐藏的、延迟爆发的伤病或中毒</t>
    </r>
    <r>
      <rPr>
        <sz val="12"/>
        <color theme="1"/>
        <rFont val="等线"/>
        <family val="3"/>
        <charset val="134"/>
        <scheme val="minor"/>
      </rPr>
      <t>。</t>
    </r>
  </si>
  <si>
    <t>慢性中毒；潜伏期后发作的疾病。</t>
  </si>
  <si>
    <r>
      <t>天使+天马</t>
    </r>
    <r>
      <rPr>
        <sz val="12"/>
        <color theme="1"/>
        <rFont val="等线"/>
        <family val="3"/>
        <charset val="134"/>
        <scheme val="minor"/>
      </rPr>
      <t>​</t>
    </r>
  </si>
  <si>
    <r>
      <t>灾马相逢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灾病与奔波结合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在移动、旅行中发生意外伤病或破财</t>
    </r>
    <r>
      <rPr>
        <sz val="12"/>
        <color theme="1"/>
        <rFont val="等线"/>
        <family val="3"/>
        <charset val="134"/>
        <scheme val="minor"/>
      </rPr>
      <t>。</t>
    </r>
  </si>
  <si>
    <t>旅途车祸；出差生病。</t>
  </si>
  <si>
    <r>
      <t>天使+天刑</t>
    </r>
    <r>
      <rPr>
        <sz val="12"/>
        <color theme="1"/>
        <rFont val="等线"/>
        <family val="3"/>
        <charset val="134"/>
        <scheme val="minor"/>
      </rPr>
      <t>​</t>
    </r>
  </si>
  <si>
    <r>
      <t>灾刑相逢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灾病与刑律结合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因官司、纪律处罚导致身体伤害或破财</t>
    </r>
    <r>
      <rPr>
        <sz val="12"/>
        <color theme="1"/>
        <rFont val="等线"/>
        <family val="3"/>
        <charset val="134"/>
        <scheme val="minor"/>
      </rPr>
      <t>。</t>
    </r>
  </si>
  <si>
    <t>受刑伤；因罚款导致财务紧张。</t>
  </si>
  <si>
    <r>
      <t>1. “灾星”与“破耗”本质</t>
    </r>
    <r>
      <rPr>
        <sz val="11"/>
        <color theme="1"/>
        <rFont val="等线"/>
        <family val="2"/>
        <charset val="134"/>
        <scheme val="minor"/>
      </rPr>
      <t>：天使化气为</t>
    </r>
    <r>
      <rPr>
        <b/>
        <sz val="11"/>
        <color theme="1"/>
        <rFont val="等线"/>
        <family val="3"/>
        <charset val="134"/>
        <scheme val="minor"/>
      </rPr>
      <t>“灾”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刑伤、灾病、破耗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遭遇意外的身体伤害、疾病或财物损失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消耗与破坏</t>
    </r>
    <r>
      <rPr>
        <sz val="11"/>
        <color theme="1"/>
        <rFont val="等线"/>
        <family val="2"/>
        <charset val="134"/>
        <scheme val="minor"/>
      </rPr>
      <t>，常与</t>
    </r>
    <r>
      <rPr>
        <b/>
        <sz val="11"/>
        <color theme="1"/>
        <rFont val="等线"/>
        <family val="3"/>
        <charset val="134"/>
        <scheme val="minor"/>
      </rPr>
      <t>天伤星</t>
    </r>
    <r>
      <rPr>
        <sz val="11"/>
        <color theme="1"/>
        <rFont val="等线"/>
        <family val="2"/>
        <charset val="134"/>
        <scheme val="minor"/>
      </rPr>
      <t>呼应，加重灾病属性。</t>
    </r>
  </si>
  <si>
    <r>
      <t>2. “阳水”与“流动消耗”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阳水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流动、消耗</t>
    </r>
    <r>
      <rPr>
        <sz val="11"/>
        <color theme="1"/>
        <rFont val="等线"/>
        <family val="2"/>
        <charset val="134"/>
        <scheme val="minor"/>
      </rPr>
      <t>。其“灾”性体现为</t>
    </r>
    <r>
      <rPr>
        <b/>
        <sz val="11"/>
        <color theme="1"/>
        <rFont val="等线"/>
        <family val="3"/>
        <charset val="134"/>
        <scheme val="minor"/>
      </rPr>
      <t>突发性、流动性的损失</t>
    </r>
    <r>
      <rPr>
        <sz val="11"/>
        <color theme="1"/>
        <rFont val="等线"/>
        <family val="2"/>
        <charset val="134"/>
        <scheme val="minor"/>
      </rPr>
      <t>，如意外流血、急性腹泻、钱财快速消耗。与陀罗的“阴金”拖延不同，天使的消耗</t>
    </r>
    <r>
      <rPr>
        <b/>
        <sz val="11"/>
        <color theme="1"/>
        <rFont val="等线"/>
        <family val="3"/>
        <charset val="134"/>
        <scheme val="minor"/>
      </rPr>
      <t>更直接、更突然</t>
    </r>
    <r>
      <rPr>
        <sz val="11"/>
        <color theme="1"/>
        <rFont val="等线"/>
        <family val="2"/>
        <charset val="134"/>
        <scheme val="minor"/>
      </rPr>
      <t>。</t>
    </r>
  </si>
  <si>
    <r>
      <t>3. “逢煞增凶，逢吉稍减”的辩证</t>
    </r>
    <r>
      <rPr>
        <sz val="11"/>
        <color theme="1"/>
        <rFont val="等线"/>
        <family val="2"/>
        <charset val="134"/>
        <scheme val="minor"/>
      </rPr>
      <t>：天使的凶性</t>
    </r>
    <r>
      <rPr>
        <b/>
        <sz val="11"/>
        <color theme="1"/>
        <rFont val="等线"/>
        <family val="3"/>
        <charset val="134"/>
        <scheme val="minor"/>
      </rPr>
      <t>会因与煞星（擎羊、火星等）同度而急剧增强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严重的意外血光</t>
    </r>
    <r>
      <rPr>
        <sz val="11"/>
        <color theme="1"/>
        <rFont val="等线"/>
        <family val="2"/>
        <charset val="134"/>
        <scheme val="minor"/>
      </rPr>
      <t>。若与</t>
    </r>
    <r>
      <rPr>
        <b/>
        <sz val="11"/>
        <color theme="1"/>
        <rFont val="等线"/>
        <family val="3"/>
        <charset val="134"/>
        <scheme val="minor"/>
      </rPr>
      <t>吉星或天梁等荫星同度，可减轻其凶性，或转化为破财消灾</t>
    </r>
    <r>
      <rPr>
        <sz val="11"/>
        <color theme="1"/>
        <rFont val="等线"/>
        <family val="2"/>
        <charset val="134"/>
        <scheme val="minor"/>
      </rPr>
      <t>，但消耗难免。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</si>
  <si>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：天使所在宫位，指示在人生的哪个领域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最易发生意外伤病、破财消耗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需要特别注意安全和健康管理的领域</t>
    </r>
    <r>
      <rPr>
        <sz val="11"/>
        <color theme="1"/>
        <rFont val="等线"/>
        <family val="2"/>
        <charset val="134"/>
        <scheme val="minor"/>
      </rPr>
      <t>。</t>
    </r>
  </si>
  <si>
    <r>
      <t>5. “天伤”的配对</t>
    </r>
    <r>
      <rPr>
        <sz val="11"/>
        <color theme="1"/>
        <rFont val="等线"/>
        <family val="2"/>
        <charset val="134"/>
        <scheme val="minor"/>
      </rPr>
      <t>：天使常与</t>
    </r>
    <r>
      <rPr>
        <b/>
        <sz val="11"/>
        <color theme="1"/>
        <rFont val="等线"/>
        <family val="3"/>
        <charset val="134"/>
        <scheme val="minor"/>
      </rPr>
      <t>天伤星</t>
    </r>
    <r>
      <rPr>
        <sz val="11"/>
        <color theme="1"/>
        <rFont val="等线"/>
        <family val="2"/>
        <charset val="134"/>
        <scheme val="minor"/>
      </rPr>
      <t>配对出现。二者均主灾病，但</t>
    </r>
    <r>
      <rPr>
        <b/>
        <sz val="11"/>
        <color theme="1"/>
        <rFont val="等线"/>
        <family val="3"/>
        <charset val="134"/>
        <scheme val="minor"/>
      </rPr>
      <t>天使偏重“刑伤”和“破耗”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天伤偏重“虚耗”和“精神损耗”</t>
    </r>
    <r>
      <rPr>
        <sz val="11"/>
        <color theme="1"/>
        <rFont val="等线"/>
        <family val="2"/>
        <charset val="134"/>
        <scheme val="minor"/>
      </rPr>
      <t>。同会时灾病性质加倍。</t>
    </r>
  </si>
  <si>
    <r>
      <t>6. 健康关联</t>
    </r>
    <r>
      <rPr>
        <sz val="11"/>
        <color theme="1"/>
        <rFont val="等线"/>
        <family val="2"/>
        <charset val="134"/>
        <scheme val="minor"/>
      </rPr>
      <t>：在疾厄宫，天使常指向</t>
    </r>
    <r>
      <rPr>
        <b/>
        <sz val="11"/>
        <color theme="1"/>
        <rFont val="等线"/>
        <family val="3"/>
        <charset val="134"/>
        <scheme val="minor"/>
      </rPr>
      <t>急性、突发性的身体伤害或疾病</t>
    </r>
    <r>
      <rPr>
        <sz val="11"/>
        <color theme="1"/>
        <rFont val="等线"/>
        <family val="2"/>
        <charset val="134"/>
        <scheme val="minor"/>
      </rPr>
      <t>，尤其是需要</t>
    </r>
    <r>
      <rPr>
        <b/>
        <sz val="11"/>
        <color theme="1"/>
        <rFont val="等线"/>
        <family val="3"/>
        <charset val="134"/>
        <scheme val="minor"/>
      </rPr>
      <t>手术、见血</t>
    </r>
    <r>
      <rPr>
        <sz val="11"/>
        <color theme="1"/>
        <rFont val="等线"/>
        <family val="2"/>
        <charset val="134"/>
        <scheme val="minor"/>
      </rPr>
      <t>的外伤，或</t>
    </r>
    <r>
      <rPr>
        <b/>
        <sz val="11"/>
        <color theme="1"/>
        <rFont val="等线"/>
        <family val="3"/>
        <charset val="134"/>
        <scheme val="minor"/>
      </rPr>
      <t>急性肠胃炎、脱水</t>
    </r>
    <r>
      <rPr>
        <sz val="11"/>
        <color theme="1"/>
        <rFont val="等线"/>
        <family val="2"/>
        <charset val="134"/>
        <scheme val="minor"/>
      </rPr>
      <t>等消耗性疾病。</t>
    </r>
  </si>
  <si>
    <r>
      <t>7. 与火星、擎羊的区别</t>
    </r>
    <r>
      <rPr>
        <sz val="11"/>
        <color theme="1"/>
        <rFont val="等线"/>
        <family val="2"/>
        <charset val="134"/>
        <scheme val="minor"/>
      </rPr>
      <t>：三者都主伤害。</t>
    </r>
    <r>
      <rPr>
        <b/>
        <sz val="11"/>
        <color theme="1"/>
        <rFont val="等线"/>
        <family val="3"/>
        <charset val="134"/>
        <scheme val="minor"/>
      </rPr>
      <t>火星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暴烈、快速</t>
    </r>
    <r>
      <rPr>
        <sz val="11"/>
        <color theme="1"/>
        <rFont val="等线"/>
        <family val="2"/>
        <charset val="134"/>
        <scheme val="minor"/>
      </rPr>
      <t>的伤害（如发炎、爆炸）；</t>
    </r>
    <r>
      <rPr>
        <b/>
        <sz val="11"/>
        <color theme="1"/>
        <rFont val="等线"/>
        <family val="3"/>
        <charset val="134"/>
        <scheme val="minor"/>
      </rPr>
      <t>擎羊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尖锐、主动</t>
    </r>
    <r>
      <rPr>
        <sz val="11"/>
        <color theme="1"/>
        <rFont val="等线"/>
        <family val="2"/>
        <charset val="134"/>
        <scheme val="minor"/>
      </rPr>
      <t>的伤害（如刀伤、竞争）；</t>
    </r>
    <r>
      <rPr>
        <b/>
        <sz val="11"/>
        <color theme="1"/>
        <rFont val="等线"/>
        <family val="3"/>
        <charset val="134"/>
        <scheme val="minor"/>
      </rPr>
      <t>天使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意外、消耗性</t>
    </r>
    <r>
      <rPr>
        <sz val="11"/>
        <color theme="1"/>
        <rFont val="等线"/>
        <family val="2"/>
        <charset val="134"/>
        <scheme val="minor"/>
      </rPr>
      <t>的伤害（如意外事故、破财的病伤）。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</si>
  <si>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医院、诊所、事故多发地、水流湍急处、一切可能发生意外伤害或消耗的场所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</si>
  <si>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灾病/刑伤/破耗”及其全部引申象征（意外、消耗、流动损失等）出发，系统化推导并呈现了“人/事/物”三个层次的完整解析。天使为灾星，主刑伤破耗。其核心在于“伤”与“耗”，常在健康与财物方面带来突发性的损失。其凶性可被吉星缓解，但最忌与煞星同度，则灾祸立至。在紫占中，天使所在即个人“健康财务风险点”之所在，提示需要防范意外和不必要的消耗。需与火星（明火）、擎羊（明刃）在伤害性质上明确区分，天使更偏向意外性与消耗性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</si>
  <si>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天伤星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</si>
  <si>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耗星</t>
    </r>
    <r>
      <rPr>
        <sz val="12"/>
        <color theme="1"/>
        <rFont val="等线"/>
        <family val="3"/>
        <charset val="134"/>
        <scheme val="minor"/>
      </rPr>
      <t>、阳土、</t>
    </r>
    <r>
      <rPr>
        <b/>
        <sz val="12"/>
        <color theme="1"/>
        <rFont val="等线"/>
        <family val="3"/>
        <charset val="134"/>
        <scheme val="minor"/>
      </rPr>
      <t>虚耗、忧伤、损耗、精神打击、内心伤痛、离别、夭折、空亡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</si>
  <si>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整合自《金刚佛光-紫占课程手册》及相关权威资料，本次彻底构建以“虚耗、忧伤”为核心，涵盖“损耗、精神打击、离别”等所有引申义的核心象征网络。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</si>
  <si>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易感忧伤、多愁善感、精神易受打击、内心有孤独感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忧伤者、损耗者、经历离别者、精神受创者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易经历生离死别，或关系带来精神损耗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</si>
  <si>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带来精神损耗、内心伤痛、或实质性的虚耗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忧伤、离别、损耗、精神打击、事倍功半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需要承受精神压力、经历失去或消耗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具有消耗性、伤感性和空亡性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</si>
  <si>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具有消耗、空亡、伤感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</si>
  <si>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消耗品、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纪念逝者的物品、空容器、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</si>
  <si>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墓地、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废墟、空旷荒凉之地、令人伤感的场所、</t>
    </r>
    <r>
      <rPr>
        <sz val="12"/>
        <color theme="1"/>
        <rFont val="等线"/>
        <family val="3"/>
        <charset val="134"/>
        <scheme val="minor"/>
      </rPr>
      <t>&lt;/ins&gt;空荡、消耗的形态。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</si>
  <si>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免疫系统损耗、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精神萎靡、慢性消耗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</si>
  <si>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殡葬系统、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心理咨询机构、损耗性机构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</si>
  <si>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虚耗、忧伤、离别、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精神打击、空亡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</si>
  <si>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本次解析从“虚耗、忧伤”本质出发，系统推导出其作为“精神损耗者”、“忧伤象征”及“空亡代表”的多重属性，并完整映射至三层结构，特别明确了其与“免疫损耗”、“离别”的关联。</t>
  </si>
  <si>
    <r>
      <t>耗星与虚耗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</si>
  <si>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“虚耗、忧伤”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丙级凶星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精神、身体或财物的无形损耗，以及内心的忧伤</t>
    </r>
    <r>
      <rPr>
        <sz val="12"/>
        <color theme="1"/>
        <rFont val="等线"/>
        <family val="3"/>
        <charset val="134"/>
        <scheme val="minor"/>
      </rPr>
      <t>。常与</t>
    </r>
    <r>
      <rPr>
        <b/>
        <sz val="12"/>
        <color theme="1"/>
        <rFont val="等线"/>
        <family val="3"/>
        <charset val="134"/>
        <scheme val="minor"/>
      </rPr>
      <t>天使星</t>
    </r>
    <r>
      <rPr>
        <sz val="12"/>
        <color theme="1"/>
        <rFont val="等线"/>
        <family val="3"/>
        <charset val="134"/>
        <scheme val="minor"/>
      </rPr>
      <t>成对出现，加重灾病虚耗性质。</t>
    </r>
  </si>
  <si>
    <t>在命宫、福德宫、疾厄宫时，主一生易感精神忧劳，体质或运势有损耗。</t>
  </si>
  <si>
    <r>
      <t>忧伤与离别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</si>
  <si>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“忧伤离别之星”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内心的伤痛、生离死别、孤独感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精神打击，事不遂心</t>
    </r>
    <r>
      <rPr>
        <sz val="12"/>
        <color theme="1"/>
        <rFont val="等线"/>
        <family val="3"/>
        <charset val="134"/>
        <scheme val="minor"/>
      </rPr>
      <t>。</t>
    </r>
  </si>
  <si>
    <t>在六亲宫位，主与亲属缘分薄，易有离别之事；在福德宫，主内心多忧。</t>
  </si>
  <si>
    <r>
      <t>损耗与空亡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</si>
  <si>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阳土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实质的消耗与空亡</t>
    </r>
    <r>
      <rPr>
        <sz val="12"/>
        <color theme="1"/>
        <rFont val="等线"/>
        <family val="3"/>
        <charset val="134"/>
        <scheme val="minor"/>
      </rPr>
      <t>。损耗</t>
    </r>
    <r>
      <rPr>
        <b/>
        <sz val="12"/>
        <color theme="1"/>
        <rFont val="等线"/>
        <family val="3"/>
        <charset val="134"/>
        <scheme val="minor"/>
      </rPr>
      <t>多体现在精神、健康或运势上，导致事倍功半，努力落空</t>
    </r>
    <r>
      <rPr>
        <sz val="12"/>
        <color theme="1"/>
        <rFont val="等线"/>
        <family val="3"/>
        <charset val="134"/>
        <scheme val="minor"/>
      </rPr>
      <t>。</t>
    </r>
  </si>
  <si>
    <t>在财帛宫，主钱财虚耗；在官禄宫，主事业上劳而无功。</t>
  </si>
  <si>
    <r>
      <t>可能面带忧色，或气质中有孤独、消耗之感，身形可能偏瘦</t>
    </r>
    <r>
      <rPr>
        <sz val="12"/>
        <color theme="1"/>
        <rFont val="等线"/>
        <family val="3"/>
        <charset val="134"/>
        <scheme val="minor"/>
      </rPr>
      <t>，但需结合主星综合判断。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</si>
  <si>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：无显著优点，更多体现为人生中需要面对的精神损耗与离别课题。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</si>
  <si>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：多愁善感，易受精神打击，内心孤独，运势有损耗，易感事倍功半。</t>
    </r>
  </si>
  <si>
    <r>
      <t>属阳土，主</t>
    </r>
    <r>
      <rPr>
        <b/>
        <sz val="12"/>
        <color theme="1"/>
        <rFont val="等线"/>
        <family val="3"/>
        <charset val="134"/>
        <scheme val="minor"/>
      </rPr>
      <t>慢性消耗、体质虚弱、精神萎靡、免疫力低下</t>
    </r>
    <r>
      <rPr>
        <sz val="12"/>
        <color theme="1"/>
        <rFont val="等线"/>
        <family val="3"/>
        <charset val="134"/>
        <scheme val="minor"/>
      </rPr>
      <t>。亦主</t>
    </r>
    <r>
      <rPr>
        <b/>
        <sz val="12"/>
        <color theme="1"/>
        <rFont val="等线"/>
        <family val="3"/>
        <charset val="134"/>
        <scheme val="minor"/>
      </rPr>
      <t>与生死相关的疾病或忧伤成疾</t>
    </r>
    <r>
      <rPr>
        <sz val="12"/>
        <color theme="1"/>
        <rFont val="等线"/>
        <family val="3"/>
        <charset val="134"/>
        <scheme val="minor"/>
      </rPr>
      <t>。</t>
    </r>
  </si>
  <si>
    <t>在疾厄宫时显现，尤其与天同、太阴等同度时更验精神性消耗。</t>
  </si>
  <si>
    <r>
      <t>一生</t>
    </r>
    <r>
      <rPr>
        <b/>
        <sz val="12"/>
        <color theme="1"/>
        <rFont val="等线"/>
        <family val="3"/>
        <charset val="134"/>
        <scheme val="minor"/>
      </rPr>
      <t>精神劳碌，多忧少乐，体质或运势有损耗，易经历离别之事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若与吉星同度可减凶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与煞星同度则忧伤损耗加剧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</si>
  <si>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缘分较薄，易有离别，或兄弟姐妹身体欠佳，彼此关系带来精神损耗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</si>
  <si>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易有生离死别之忧，或感情带来内心伤痛，配偶体质可能较弱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</si>
  <si>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缘分较薄，或子女健康需格外注意，养育过程精神耗费大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</si>
  <si>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易有无谓的消耗，难积聚，为钱财事忧心</t>
    </r>
    <r>
      <rPr>
        <sz val="12"/>
        <color theme="1"/>
        <rFont val="等线"/>
        <family val="3"/>
        <charset val="134"/>
        <scheme val="minor"/>
      </rPr>
      <t>。</t>
    </r>
  </si>
  <si>
    <r>
      <t>体质较弱，易有慢性消耗性疾病，或因忧伤影响健康，精神不振</t>
    </r>
    <r>
      <rPr>
        <sz val="12"/>
        <color theme="1"/>
        <rFont val="等线"/>
        <family val="3"/>
        <charset val="134"/>
        <scheme val="minor"/>
      </rPr>
      <t>。</t>
    </r>
  </si>
  <si>
    <r>
      <t>外出</t>
    </r>
    <r>
      <rPr>
        <b/>
        <sz val="12"/>
        <color theme="1"/>
        <rFont val="等线"/>
        <family val="3"/>
        <charset val="134"/>
        <scheme val="minor"/>
      </rPr>
      <t>运势平平，易感孤独，或远行时发生损耗身心之事</t>
    </r>
    <r>
      <rPr>
        <sz val="12"/>
        <color theme="1"/>
        <rFont val="等线"/>
        <family val="3"/>
        <charset val="134"/>
        <scheme val="minor"/>
      </rPr>
      <t>。</t>
    </r>
  </si>
  <si>
    <r>
      <t>朋友关系易带来损耗，或朋友中多忧伤困顿之人</t>
    </r>
    <r>
      <rPr>
        <sz val="12"/>
        <color theme="1"/>
        <rFont val="等线"/>
        <family val="3"/>
        <charset val="134"/>
        <scheme val="minor"/>
      </rPr>
      <t>。</t>
    </r>
  </si>
  <si>
    <r>
      <t>事业上</t>
    </r>
    <r>
      <rPr>
        <b/>
        <sz val="12"/>
        <color theme="1"/>
        <rFont val="等线"/>
        <family val="3"/>
        <charset val="134"/>
        <scheme val="minor"/>
      </rPr>
      <t>劳心劳力，事倍功半，成就感低，易因事业忧心</t>
    </r>
    <r>
      <rPr>
        <sz val="12"/>
        <color theme="1"/>
        <rFont val="等线"/>
        <family val="3"/>
        <charset val="134"/>
        <scheme val="minor"/>
      </rPr>
      <t>。</t>
    </r>
  </si>
  <si>
    <r>
      <t>家宅气氛可能清冷，或家运有损耗，需注意家人健康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</si>
  <si>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多忧多虑，内心常有孤独感与失落感，快乐不易得</t>
    </r>
    <r>
      <rPr>
        <sz val="12"/>
        <color theme="1"/>
        <rFont val="等线"/>
        <family val="3"/>
        <charset val="134"/>
        <scheme val="minor"/>
      </rPr>
      <t>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</si>
  <si>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缘分可能较薄，或父母健康有损，早年家庭易有忧伤事</t>
    </r>
    <r>
      <rPr>
        <sz val="12"/>
        <color theme="1"/>
        <rFont val="等线"/>
        <family val="3"/>
        <charset val="134"/>
        <scheme val="minor"/>
      </rPr>
      <t>。</t>
    </r>
  </si>
  <si>
    <r>
      <t>天伤+天同</t>
    </r>
    <r>
      <rPr>
        <sz val="12"/>
        <color theme="1"/>
        <rFont val="等线"/>
        <family val="3"/>
        <charset val="134"/>
        <scheme val="minor"/>
      </rPr>
      <t>​</t>
    </r>
  </si>
  <si>
    <r>
      <t>福星遇耗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福气与忧伤矛盾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福气有损，虽享乐但内心常怀隐忧，或乐极生悲</t>
    </r>
    <r>
      <rPr>
        <sz val="12"/>
        <color theme="1"/>
        <rFont val="等线"/>
        <family val="3"/>
        <charset val="134"/>
        <scheme val="minor"/>
      </rPr>
      <t>。</t>
    </r>
  </si>
  <si>
    <t>外表乐观内心孤独；享受中伴随失去。</t>
  </si>
  <si>
    <r>
      <t>天伤+太阴</t>
    </r>
    <r>
      <rPr>
        <sz val="12"/>
        <color theme="1"/>
        <rFont val="等线"/>
        <family val="3"/>
        <charset val="134"/>
        <scheme val="minor"/>
      </rPr>
      <t>​</t>
    </r>
  </si>
  <si>
    <r>
      <t>富星遇耗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财富与损耗结合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钱财暗耗，或因情感忧伤导致破财</t>
    </r>
    <r>
      <rPr>
        <sz val="12"/>
        <color theme="1"/>
        <rFont val="等线"/>
        <family val="3"/>
        <charset val="134"/>
        <scheme val="minor"/>
      </rPr>
      <t>。</t>
    </r>
  </si>
  <si>
    <t>为情所困而破财；暗中财务流失。</t>
  </si>
  <si>
    <r>
      <t>天伤+巨门</t>
    </r>
    <r>
      <rPr>
        <sz val="12"/>
        <color theme="1"/>
        <rFont val="等线"/>
        <family val="3"/>
        <charset val="134"/>
        <scheme val="minor"/>
      </rPr>
      <t>​</t>
    </r>
  </si>
  <si>
    <r>
      <t>暗星遇耗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是非与忧伤结合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因口舌是非导致精神内耗，忧伤抑郁</t>
    </r>
    <r>
      <rPr>
        <sz val="12"/>
        <color theme="1"/>
        <rFont val="等线"/>
        <family val="3"/>
        <charset val="134"/>
        <scheme val="minor"/>
      </rPr>
      <t>。</t>
    </r>
  </si>
  <si>
    <t>因谣言中伤而郁郁寡欢；忧思成疾。</t>
  </si>
  <si>
    <r>
      <t>天伤+七杀</t>
    </r>
    <r>
      <rPr>
        <sz val="12"/>
        <color theme="1"/>
        <rFont val="等线"/>
        <family val="3"/>
        <charset val="134"/>
        <scheme val="minor"/>
      </rPr>
      <t>​</t>
    </r>
  </si>
  <si>
    <r>
      <t>杀星遇耗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肃杀与损耗结合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经历打击后精神萎靡，或事业挫折带来巨大消耗</t>
    </r>
    <r>
      <rPr>
        <sz val="12"/>
        <color theme="1"/>
        <rFont val="等线"/>
        <family val="3"/>
        <charset val="134"/>
        <scheme val="minor"/>
      </rPr>
      <t>。</t>
    </r>
  </si>
  <si>
    <t>重大失败后一蹶不振；伤病后的虚弱。</t>
  </si>
  <si>
    <r>
      <t>天伤+破军</t>
    </r>
    <r>
      <rPr>
        <sz val="12"/>
        <color theme="1"/>
        <rFont val="等线"/>
        <family val="3"/>
        <charset val="134"/>
        <scheme val="minor"/>
      </rPr>
      <t>​</t>
    </r>
  </si>
  <si>
    <r>
      <t>耗星遇耗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破坏与虚耗叠加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钱财、事业、人际关系皆面临损耗，雪上加霜</t>
    </r>
    <r>
      <rPr>
        <sz val="12"/>
        <color theme="1"/>
        <rFont val="等线"/>
        <family val="3"/>
        <charset val="134"/>
        <scheme val="minor"/>
      </rPr>
      <t>。</t>
    </r>
  </si>
  <si>
    <t>破产后的身心俱疲；关系破裂后的孤独。</t>
  </si>
  <si>
    <r>
      <t>天伤+贪狼</t>
    </r>
    <r>
      <rPr>
        <sz val="12"/>
        <color theme="1"/>
        <rFont val="等线"/>
        <family val="3"/>
        <charset val="134"/>
        <scheme val="minor"/>
      </rPr>
      <t>​</t>
    </r>
  </si>
  <si>
    <r>
      <t>欲星遇耗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欲望与空虚结合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纵欲后感到空虚失落，或追求物欲导致精神损耗</t>
    </r>
    <r>
      <rPr>
        <sz val="12"/>
        <color theme="1"/>
        <rFont val="等线"/>
        <family val="3"/>
        <charset val="134"/>
        <scheme val="minor"/>
      </rPr>
      <t>。</t>
    </r>
  </si>
  <si>
    <t>酒色过度后的空虚感；物质满足后的迷茫。</t>
  </si>
  <si>
    <r>
      <t>天伤+天梁</t>
    </r>
    <r>
      <rPr>
        <sz val="12"/>
        <color theme="1"/>
        <rFont val="等线"/>
        <family val="3"/>
        <charset val="134"/>
        <scheme val="minor"/>
      </rPr>
      <t>​</t>
    </r>
  </si>
  <si>
    <r>
      <t>荫星遇耗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庇护与损耗矛盾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虽得庇护但内心仍有孤独感，或福荫中有损耗</t>
    </r>
    <r>
      <rPr>
        <sz val="12"/>
        <color theme="1"/>
        <rFont val="等线"/>
        <family val="3"/>
        <charset val="134"/>
        <scheme val="minor"/>
      </rPr>
      <t>。</t>
    </r>
  </si>
  <si>
    <t>受长辈关爱但仍感孤独；继承遗产伴随责任损耗。</t>
  </si>
  <si>
    <r>
      <t>天伤+太阳</t>
    </r>
    <r>
      <rPr>
        <sz val="12"/>
        <color theme="1"/>
        <rFont val="等线"/>
        <family val="3"/>
        <charset val="134"/>
        <scheme val="minor"/>
      </rPr>
      <t>​</t>
    </r>
  </si>
  <si>
    <r>
      <t>日星遇耗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光明与忧伤矛盾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外表开朗，内心孤寂，或名声背后有辛酸</t>
    </r>
    <r>
      <rPr>
        <sz val="12"/>
        <color theme="1"/>
        <rFont val="等线"/>
        <family val="3"/>
        <charset val="134"/>
        <scheme val="minor"/>
      </rPr>
      <t>。</t>
    </r>
  </si>
  <si>
    <t>公众人物背后的孤独；热心助人却内心耗损。</t>
  </si>
  <si>
    <r>
      <t>天伤+地空/地劫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</si>
  <si>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伤遇空劫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虚耗与空亡叠加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精神空虚，努力成空，损耗极大</t>
    </r>
    <r>
      <rPr>
        <sz val="12"/>
        <color theme="1"/>
        <rFont val="等线"/>
        <family val="3"/>
        <charset val="134"/>
        <scheme val="minor"/>
      </rPr>
      <t>。</t>
    </r>
  </si>
  <si>
    <t>理想破灭后的消沉；投资血本无归。</t>
  </si>
  <si>
    <r>
      <t>天伤+火星/铃星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</si>
  <si>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伤遇火铃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忧伤与暴烈结合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因突发打击而精神崩溃，或急性病后的虚弱</t>
    </r>
    <r>
      <rPr>
        <sz val="12"/>
        <color theme="1"/>
        <rFont val="等线"/>
        <family val="3"/>
        <charset val="134"/>
        <scheme val="minor"/>
      </rPr>
      <t>。</t>
    </r>
  </si>
  <si>
    <t>突发噩耗导致抑郁；大病初愈的虚弱。</t>
  </si>
  <si>
    <r>
      <t>天伤+擎羊/陀罗</t>
    </r>
    <r>
      <rPr>
        <sz val="12"/>
        <color theme="1"/>
        <rFont val="等线"/>
        <family val="3"/>
        <charset val="134"/>
        <scheme val="minor"/>
      </rPr>
      <t>​</t>
    </r>
  </si>
  <si>
    <r>
      <t>伤遇羊陀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忧伤与刑伤结合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因伤害事件（如手术、离别）导致长期精神伤痛</t>
    </r>
    <r>
      <rPr>
        <sz val="12"/>
        <color theme="1"/>
        <rFont val="等线"/>
        <family val="3"/>
        <charset val="134"/>
        <scheme val="minor"/>
      </rPr>
      <t>。</t>
    </r>
  </si>
  <si>
    <t>手术后身体虚弱且情绪低落；亲人离世的持久哀伤。</t>
  </si>
  <si>
    <r>
      <t>天伤+天马</t>
    </r>
    <r>
      <rPr>
        <sz val="12"/>
        <color theme="1"/>
        <rFont val="等线"/>
        <family val="3"/>
        <charset val="134"/>
        <scheme val="minor"/>
      </rPr>
      <t>​</t>
    </r>
  </si>
  <si>
    <r>
      <t>伤马相逢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损耗与奔波结合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奔波劳碌却收获甚微，身心俱疲</t>
    </r>
    <r>
      <rPr>
        <sz val="12"/>
        <color theme="1"/>
        <rFont val="等线"/>
        <family val="3"/>
        <charset val="134"/>
        <scheme val="minor"/>
      </rPr>
      <t>。</t>
    </r>
  </si>
  <si>
    <t>出差频繁却事业无成；漂泊在外的孤独感。</t>
  </si>
  <si>
    <r>
      <t>天伤+文昌/文曲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</si>
  <si>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伤遇昌曲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忧伤与才华结合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才华难以施展的苦闷，或文艺创作中的忧伤主题</t>
    </r>
    <r>
      <rPr>
        <sz val="12"/>
        <color theme="1"/>
        <rFont val="等线"/>
        <family val="3"/>
        <charset val="134"/>
        <scheme val="minor"/>
      </rPr>
      <t>。</t>
    </r>
  </si>
  <si>
    <t>怀才不遇的文人；创作悲伤作品的艺术家。</t>
  </si>
  <si>
    <r>
      <t>天伤+天使</t>
    </r>
    <r>
      <rPr>
        <sz val="12"/>
        <color theme="1"/>
        <rFont val="等线"/>
        <family val="3"/>
        <charset val="134"/>
        <scheme val="minor"/>
      </rPr>
      <t>​</t>
    </r>
  </si>
  <si>
    <r>
      <t>伤使相逢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虚耗与刑伤叠加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灾病与损耗同时发生，身心双重打击</t>
    </r>
    <r>
      <rPr>
        <sz val="12"/>
        <color theme="1"/>
        <rFont val="等线"/>
        <family val="3"/>
        <charset val="134"/>
        <scheme val="minor"/>
      </rPr>
      <t>。此为典型的“伤使”组合，凶性显著。</t>
    </r>
  </si>
  <si>
    <t>重病后的财力精力耗尽；意外事故后的长期康复与抑郁。</t>
  </si>
  <si>
    <r>
      <t>1. “耗星”与“忧伤”本质</t>
    </r>
    <r>
      <rPr>
        <sz val="11"/>
        <color theme="1"/>
        <rFont val="等线"/>
        <family val="2"/>
        <charset val="134"/>
        <scheme val="minor"/>
      </rPr>
      <t>：天伤化气为</t>
    </r>
    <r>
      <rPr>
        <b/>
        <sz val="11"/>
        <color theme="1"/>
        <rFont val="等线"/>
        <family val="3"/>
        <charset val="134"/>
        <scheme val="minor"/>
      </rPr>
      <t>“耗”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虚耗、忧伤、损耗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经历精神或物质上的消耗、损失与内心伤痛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无形的损耗与悲伤</t>
    </r>
    <r>
      <rPr>
        <sz val="11"/>
        <color theme="1"/>
        <rFont val="等线"/>
        <family val="2"/>
        <charset val="134"/>
        <scheme val="minor"/>
      </rPr>
      <t>，常与</t>
    </r>
    <r>
      <rPr>
        <b/>
        <sz val="11"/>
        <color theme="1"/>
        <rFont val="等线"/>
        <family val="3"/>
        <charset val="134"/>
        <scheme val="minor"/>
      </rPr>
      <t>天使星</t>
    </r>
    <r>
      <rPr>
        <sz val="11"/>
        <color theme="1"/>
        <rFont val="等线"/>
        <family val="2"/>
        <charset val="134"/>
        <scheme val="minor"/>
      </rPr>
      <t>配对，构成“伤使”组合，加重不吉。</t>
    </r>
  </si>
  <si>
    <r>
      <t>2. “阳土”与“空亡消耗”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阳土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空亡、消耗</t>
    </r>
    <r>
      <rPr>
        <sz val="11"/>
        <color theme="1"/>
        <rFont val="等线"/>
        <family val="2"/>
        <charset val="134"/>
        <scheme val="minor"/>
      </rPr>
      <t>。其“耗”性体现为</t>
    </r>
    <r>
      <rPr>
        <b/>
        <sz val="11"/>
        <color theme="1"/>
        <rFont val="等线"/>
        <family val="3"/>
        <charset val="134"/>
        <scheme val="minor"/>
      </rPr>
      <t>精神上的忧伤、健康上的损耗、运势上的空亡（事倍功半）</t>
    </r>
    <r>
      <rPr>
        <sz val="11"/>
        <color theme="1"/>
        <rFont val="等线"/>
        <family val="2"/>
        <charset val="134"/>
        <scheme val="minor"/>
      </rPr>
      <t>。与天使的“阳水”流动消耗不同，天伤更偏向</t>
    </r>
    <r>
      <rPr>
        <b/>
        <sz val="11"/>
        <color theme="1"/>
        <rFont val="等线"/>
        <family val="3"/>
        <charset val="134"/>
        <scheme val="minor"/>
      </rPr>
      <t>内在、持续的精神与体质消耗</t>
    </r>
    <r>
      <rPr>
        <sz val="11"/>
        <color theme="1"/>
        <rFont val="等线"/>
        <family val="2"/>
        <charset val="134"/>
        <scheme val="minor"/>
      </rPr>
      <t>。</t>
    </r>
  </si>
  <si>
    <r>
      <t>3. “逢吉稍解，逢煞增忧”的辩证</t>
    </r>
    <r>
      <rPr>
        <sz val="11"/>
        <color theme="1"/>
        <rFont val="等线"/>
        <family val="2"/>
        <charset val="134"/>
        <scheme val="minor"/>
      </rPr>
      <t>：天伤的凶性</t>
    </r>
    <r>
      <rPr>
        <b/>
        <sz val="11"/>
        <color theme="1"/>
        <rFont val="等线"/>
        <family val="3"/>
        <charset val="134"/>
        <scheme val="minor"/>
      </rPr>
      <t>会因与吉星（如天梁、禄存）同度而稍得缓解</t>
    </r>
    <r>
      <rPr>
        <sz val="11"/>
        <color theme="1"/>
        <rFont val="等线"/>
        <family val="2"/>
        <charset val="134"/>
        <scheme val="minor"/>
      </rPr>
      <t>，或转化为</t>
    </r>
    <r>
      <rPr>
        <b/>
        <sz val="11"/>
        <color theme="1"/>
        <rFont val="等线"/>
        <family val="3"/>
        <charset val="134"/>
        <scheme val="minor"/>
      </rPr>
      <t>对人生深刻的感悟与慈悲心</t>
    </r>
    <r>
      <rPr>
        <sz val="11"/>
        <color theme="1"/>
        <rFont val="等线"/>
        <family val="2"/>
        <charset val="134"/>
        <scheme val="minor"/>
      </rPr>
      <t>。但若与</t>
    </r>
    <r>
      <rPr>
        <b/>
        <sz val="11"/>
        <color theme="1"/>
        <rFont val="等线"/>
        <family val="3"/>
        <charset val="134"/>
        <scheme val="minor"/>
      </rPr>
      <t>煞星或天使同度，则忧伤损耗急剧加重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严重的内心痛苦或实质空耗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</si>
  <si>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：天伤所在宫位，指示在人生的哪个领域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最易感到忧伤、经历损耗或离别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精神脆弱点和需要修复的领域</t>
    </r>
    <r>
      <rPr>
        <sz val="11"/>
        <color theme="1"/>
        <rFont val="等线"/>
        <family val="2"/>
        <charset val="134"/>
        <scheme val="minor"/>
      </rPr>
      <t>。</t>
    </r>
  </si>
  <si>
    <r>
      <t>5. “天使”的配对</t>
    </r>
    <r>
      <rPr>
        <sz val="11"/>
        <color theme="1"/>
        <rFont val="等线"/>
        <family val="2"/>
        <charset val="134"/>
        <scheme val="minor"/>
      </rPr>
      <t>：天伤常与</t>
    </r>
    <r>
      <rPr>
        <b/>
        <sz val="11"/>
        <color theme="1"/>
        <rFont val="等线"/>
        <family val="3"/>
        <charset val="134"/>
        <scheme val="minor"/>
      </rPr>
      <t>天使星</t>
    </r>
    <r>
      <rPr>
        <sz val="11"/>
        <color theme="1"/>
        <rFont val="等线"/>
        <family val="2"/>
        <charset val="134"/>
        <scheme val="minor"/>
      </rPr>
      <t>配对出现。二者均主不吉，但</t>
    </r>
    <r>
      <rPr>
        <b/>
        <sz val="11"/>
        <color theme="1"/>
        <rFont val="等线"/>
        <family val="3"/>
        <charset val="134"/>
        <scheme val="minor"/>
      </rPr>
      <t>天伤偏重“精神虚耗”和“内心忧伤”</t>
    </r>
    <r>
      <rPr>
        <sz val="11"/>
        <color theme="1"/>
        <rFont val="等线"/>
        <family val="2"/>
        <charset val="134"/>
        <scheme val="minor"/>
      </rPr>
      <t>，</t>
    </r>
    <r>
      <rPr>
        <b/>
        <sz val="11"/>
        <color theme="1"/>
        <rFont val="等线"/>
        <family val="3"/>
        <charset val="134"/>
        <scheme val="minor"/>
      </rPr>
      <t>天使偏重“身体刑伤”和“财物破耗”</t>
    </r>
    <r>
      <rPr>
        <sz val="11"/>
        <color theme="1"/>
        <rFont val="等线"/>
        <family val="2"/>
        <charset val="134"/>
        <scheme val="minor"/>
      </rPr>
      <t>。同会时，身心俱损，凶性加倍。</t>
    </r>
  </si>
  <si>
    <r>
      <t>6. 健康关联</t>
    </r>
    <r>
      <rPr>
        <sz val="11"/>
        <color theme="1"/>
        <rFont val="等线"/>
        <family val="2"/>
        <charset val="134"/>
        <scheme val="minor"/>
      </rPr>
      <t>：在疾厄宫，天伤常指向</t>
    </r>
    <r>
      <rPr>
        <b/>
        <sz val="11"/>
        <color theme="1"/>
        <rFont val="等线"/>
        <family val="3"/>
        <charset val="134"/>
        <scheme val="minor"/>
      </rPr>
      <t>慢性消耗性疾病、体质虚弱、精神萎靡、免疫力低下</t>
    </r>
    <r>
      <rPr>
        <sz val="11"/>
        <color theme="1"/>
        <rFont val="等线"/>
        <family val="2"/>
        <charset val="134"/>
        <scheme val="minor"/>
      </rPr>
      <t>，或</t>
    </r>
    <r>
      <rPr>
        <b/>
        <sz val="11"/>
        <color theme="1"/>
        <rFont val="等线"/>
        <family val="3"/>
        <charset val="134"/>
        <scheme val="minor"/>
      </rPr>
      <t>因忧伤情绪导致的疾病（如抑郁、厌食）</t>
    </r>
    <r>
      <rPr>
        <sz val="11"/>
        <color theme="1"/>
        <rFont val="等线"/>
        <family val="2"/>
        <charset val="134"/>
        <scheme val="minor"/>
      </rPr>
      <t>。</t>
    </r>
  </si>
  <si>
    <r>
      <t>7. 与地空、地劫的区别</t>
    </r>
    <r>
      <rPr>
        <sz val="11"/>
        <color theme="1"/>
        <rFont val="等线"/>
        <family val="2"/>
        <charset val="134"/>
        <scheme val="minor"/>
      </rPr>
      <t>：三者都主“空”。</t>
    </r>
    <r>
      <rPr>
        <b/>
        <sz val="11"/>
        <color theme="1"/>
        <rFont val="等线"/>
        <family val="3"/>
        <charset val="134"/>
        <scheme val="minor"/>
      </rPr>
      <t>地空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思想上的空幻、理想破灭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地劫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物质上的破耗、起伏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天伤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精神与健康上的消耗、内心的忧伤与孤独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</si>
  <si>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墓地、废墟、荒凉的空地、医院、一切令人感到忧伤、孤独、消耗的场所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</si>
  <si>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虚耗/忧伤”及其全部引申象征（损耗、精神打击、离别、空亡等）出发，系统化推导并呈现了“人/事/物”三个层次的完整解析。天伤为耗星，主忧伤虚耗。其核心在于“伤”与“耗”，常在精神与健康层面带来持续的消耗与内心的孤寂感。其凶性可被吉星稍解，但最忌与煞星或天使同度，则忧伤深重。在紫占中，天伤所在即个人“精神脆弱点”与“运势消耗处”之所在，提示需要关注心理健康与能量的养护。需与地空（思想空）、地劫（物质空）在“空”的性质上明确区分，天伤更偏向精神与生命力的消耗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</si>
  <si>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天月星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</si>
  <si>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凶星</t>
    </r>
    <r>
      <rPr>
        <sz val="12"/>
        <color theme="1"/>
        <rFont val="等线"/>
        <family val="3"/>
        <charset val="134"/>
        <scheme val="minor"/>
      </rPr>
      <t>、阴火（丁火）、月系星、</t>
    </r>
    <r>
      <rPr>
        <b/>
        <sz val="12"/>
        <color theme="1"/>
        <rFont val="等线"/>
        <family val="3"/>
        <charset val="134"/>
        <scheme val="minor"/>
      </rPr>
      <t>疾病、慢性病、流行病、缠绵宿疾、忧心、安分守己、与世无争、缺乏主见、阴性信息缠绕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</si>
  <si>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整合自《金刚佛光-紫占课程手册》及相关权威资料，本次彻底构建以“疾病、忧心”为核心，涵盖“慢性病、安分守己、缺乏主见”等所有引申义的核心象征网络。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</si>
  <si>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安分守己、与世无争、缺乏主见、心态消极、缺乏活力、易有无病呻吟倾向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慢性病患者、体弱者、忧心忡忡者、安分守己者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为人随和但缺乏主动性，易有依赖心理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</si>
  <si>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与疾病、健康问题相关，多为慢性、缠绵难愈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生病、流行病、健康失常、忧心劳神、事不遂心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需要调整健康、应对慢性问题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缓慢、持久、消耗心力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</si>
  <si>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具有阴火、疾病、调整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</si>
  <si>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药品、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医疗设备、温补之物、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</si>
  <si>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医院、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诊所、疗养院、药房、</t>
    </r>
    <r>
      <rPr>
        <sz val="12"/>
        <color theme="1"/>
        <rFont val="等线"/>
        <family val="3"/>
        <charset val="134"/>
        <scheme val="minor"/>
      </rPr>
      <t>&lt;/ins&gt;温和、缓慢的形态。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</si>
  <si>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免疫系统、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消化系统（尤指肠胃）、慢性病系统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</si>
  <si>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医疗系统、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公共卫生体系、中介行业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</si>
  <si>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疾病、忧心、安分、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调整、中介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</si>
  <si>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本次解析从“疾病、忧心”本质出发，系统推导出其作为“疾病象征”、“安分者”及“调整之星”的多重属性，并完整映射至三层结构，特别明确了其与“消化系统”、“中介”的关联。</t>
  </si>
  <si>
    <r>
      <t>凶星与疾病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</si>
  <si>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“疾病、忧心”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丙级凶星</t>
    </r>
    <r>
      <rPr>
        <sz val="12"/>
        <color theme="1"/>
        <rFont val="等线"/>
        <family val="3"/>
        <charset val="134"/>
        <scheme val="minor"/>
      </rPr>
      <t>，被称为</t>
    </r>
    <r>
      <rPr>
        <b/>
        <sz val="12"/>
        <color theme="1"/>
        <rFont val="等线"/>
        <family val="3"/>
        <charset val="134"/>
        <scheme val="minor"/>
      </rPr>
      <t>“瘟神”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慢性疾病、流行病、缠绵难愈的宿疾</t>
    </r>
    <r>
      <rPr>
        <sz val="12"/>
        <color theme="1"/>
        <rFont val="等线"/>
        <family val="3"/>
        <charset val="134"/>
        <scheme val="minor"/>
      </rPr>
      <t>。若命宫有吉星，其凶性可减弱。</t>
    </r>
  </si>
  <si>
    <t>在命宫、疾厄宫时，主体弱多病，易患慢性病。</t>
  </si>
  <si>
    <r>
      <t>性格与心态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</si>
  <si>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“安分守己之星”</t>
    </r>
    <r>
      <rPr>
        <sz val="12"/>
        <color theme="1"/>
        <rFont val="等线"/>
        <family val="3"/>
        <charset val="134"/>
        <scheme val="minor"/>
      </rPr>
      <t>，象征</t>
    </r>
    <r>
      <rPr>
        <b/>
        <sz val="12"/>
        <color theme="1"/>
        <rFont val="等线"/>
        <family val="3"/>
        <charset val="134"/>
        <scheme val="minor"/>
      </rPr>
      <t>与世无争、缺乏主见、心态消极、缺乏活力</t>
    </r>
    <r>
      <rPr>
        <sz val="12"/>
        <color theme="1"/>
        <rFont val="等线"/>
        <family val="3"/>
        <charset val="134"/>
        <scheme val="minor"/>
      </rPr>
      <t>。逢煞星则</t>
    </r>
    <r>
      <rPr>
        <b/>
        <sz val="12"/>
        <color theme="1"/>
        <rFont val="等线"/>
        <family val="3"/>
        <charset val="134"/>
        <scheme val="minor"/>
      </rPr>
      <t>依赖心重、庸人自扰</t>
    </r>
    <r>
      <rPr>
        <sz val="12"/>
        <color theme="1"/>
        <rFont val="等线"/>
        <family val="3"/>
        <charset val="134"/>
        <scheme val="minor"/>
      </rPr>
      <t>。</t>
    </r>
  </si>
  <si>
    <t>在命宫、福德宫时，命主可能性格温和但缺乏进取心。</t>
  </si>
  <si>
    <r>
      <t>健康与调整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</si>
  <si>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阴火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健康失常</t>
    </r>
    <r>
      <rPr>
        <sz val="12"/>
        <color theme="1"/>
        <rFont val="等线"/>
        <family val="3"/>
        <charset val="134"/>
        <scheme val="minor"/>
      </rPr>
      <t>，亦是</t>
    </r>
    <r>
      <rPr>
        <b/>
        <sz val="12"/>
        <color theme="1"/>
        <rFont val="等线"/>
        <family val="3"/>
        <charset val="134"/>
        <scheme val="minor"/>
      </rPr>
      <t>调整之星</t>
    </r>
    <r>
      <rPr>
        <sz val="12"/>
        <color theme="1"/>
        <rFont val="等线"/>
        <family val="3"/>
        <charset val="134"/>
        <scheme val="minor"/>
      </rPr>
      <t>。此星入命身，也</t>
    </r>
    <r>
      <rPr>
        <b/>
        <sz val="12"/>
        <color theme="1"/>
        <rFont val="等线"/>
        <family val="3"/>
        <charset val="134"/>
        <scheme val="minor"/>
      </rPr>
      <t>主交易、婚姻中介，可作介绍人</t>
    </r>
    <r>
      <rPr>
        <sz val="12"/>
        <color theme="1"/>
        <rFont val="等线"/>
        <family val="3"/>
        <charset val="134"/>
        <scheme val="minor"/>
      </rPr>
      <t>。</t>
    </r>
  </si>
  <si>
    <t>在疾厄宫，主肠胃消化不佳；在交友宫，可能通过介绍认识朋友。</t>
  </si>
  <si>
    <r>
      <t>可能面色偏白或欠红润，气质温和安静，给人以与世无争、略显消极的印象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</si>
  <si>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：安分守己，与世无争，为人随和，不喜争斗。</t>
    </r>
  </si>
  <si>
    <r>
      <t>缺点</t>
    </r>
    <r>
      <rPr>
        <sz val="12"/>
        <color theme="1"/>
        <rFont val="等线"/>
        <family val="3"/>
        <charset val="134"/>
        <scheme val="minor"/>
      </rPr>
      <t>：缺乏主见，心态消极，缺乏活力，易有无病呻吟倾向，依赖心重，庸人自扰（逢煞时）。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</si>
  <si>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慢性疾病、流行病、缠绵宿疾、肠胃消化问题、体质虚弱</t>
    </r>
    <r>
      <rPr>
        <sz val="12"/>
        <color theme="1"/>
        <rFont val="等线"/>
        <family val="3"/>
        <charset val="134"/>
        <scheme val="minor"/>
      </rPr>
      <t>。尤忌入疾厄宫，主体弱多病。</t>
    </r>
  </si>
  <si>
    <t>在疾厄宫无吉解时，健康影响很大；有吉星同宫可化解部分凶性。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</si>
  <si>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安分守己，与世无争，缺乏主见</t>
    </r>
    <r>
      <rPr>
        <sz val="12"/>
        <color theme="1"/>
        <rFont val="等线"/>
        <family val="3"/>
        <charset val="134"/>
        <scheme val="minor"/>
      </rPr>
      <t>。身体</t>
    </r>
    <r>
      <rPr>
        <b/>
        <sz val="12"/>
        <color theme="1"/>
        <rFont val="等线"/>
        <family val="3"/>
        <charset val="134"/>
        <scheme val="minor"/>
      </rPr>
      <t>比较虚弱，常有小疾、慢性病相缠，不好医治</t>
    </r>
    <r>
      <rPr>
        <sz val="12"/>
        <color theme="1"/>
        <rFont val="等线"/>
        <family val="3"/>
        <charset val="134"/>
        <scheme val="minor"/>
      </rPr>
      <t>。有</t>
    </r>
    <r>
      <rPr>
        <b/>
        <sz val="12"/>
        <color theme="1"/>
        <rFont val="等线"/>
        <family val="3"/>
        <charset val="134"/>
        <scheme val="minor"/>
      </rPr>
      <t>阴性信息缠绕</t>
    </r>
    <r>
      <rPr>
        <sz val="12"/>
        <color theme="1"/>
        <rFont val="等线"/>
        <family val="3"/>
        <charset val="134"/>
        <scheme val="minor"/>
      </rPr>
      <t>，亦主</t>
    </r>
    <r>
      <rPr>
        <b/>
        <sz val="12"/>
        <color theme="1"/>
        <rFont val="等线"/>
        <family val="3"/>
        <charset val="134"/>
        <scheme val="minor"/>
      </rPr>
      <t>力不从心，常有莫名其妙的烦恼，忧郁相缠，劳心劳神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</si>
  <si>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凝聚力不够，彼此很少给对方帮助，关系比较低调</t>
    </r>
    <r>
      <rPr>
        <sz val="12"/>
        <color theme="1"/>
        <rFont val="等线"/>
        <family val="3"/>
        <charset val="134"/>
        <scheme val="minor"/>
      </rPr>
      <t>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</si>
  <si>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是个有心人，总想博取注意与认同，但心情不好，容易伤感情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</si>
  <si>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相当听话，事事愿意和父母商量，生活平淡但幸福</t>
    </r>
    <r>
      <rPr>
        <sz val="12"/>
        <color theme="1"/>
        <rFont val="等线"/>
        <family val="3"/>
        <charset val="134"/>
        <scheme val="minor"/>
      </rPr>
      <t>。</t>
    </r>
  </si>
  <si>
    <r>
      <t>财运</t>
    </r>
    <r>
      <rPr>
        <b/>
        <sz val="12"/>
        <color theme="1"/>
        <rFont val="等线"/>
        <family val="3"/>
        <charset val="134"/>
        <scheme val="minor"/>
      </rPr>
      <t>收入有限，但脚踏实地工作可有稳定收入，不致三餐不继，还会有余钱</t>
    </r>
    <r>
      <rPr>
        <sz val="12"/>
        <color theme="1"/>
        <rFont val="等线"/>
        <family val="3"/>
        <charset val="134"/>
        <scheme val="minor"/>
      </rPr>
      <t>（男命）。</t>
    </r>
  </si>
  <si>
    <r>
      <t>体质较弱，易患慢性病，肠胃消化常不好</t>
    </r>
    <r>
      <rPr>
        <sz val="12"/>
        <color theme="1"/>
        <rFont val="等线"/>
        <family val="3"/>
        <charset val="134"/>
        <scheme val="minor"/>
      </rPr>
      <t>。需注意</t>
    </r>
    <r>
      <rPr>
        <b/>
        <sz val="12"/>
        <color theme="1"/>
        <rFont val="等线"/>
        <family val="3"/>
        <charset val="134"/>
        <scheme val="minor"/>
      </rPr>
      <t>压力管理，三餐正常</t>
    </r>
    <r>
      <rPr>
        <sz val="12"/>
        <color theme="1"/>
        <rFont val="等线"/>
        <family val="3"/>
        <charset val="134"/>
        <scheme val="minor"/>
      </rPr>
      <t>。</t>
    </r>
  </si>
  <si>
    <r>
      <t>外出</t>
    </r>
    <r>
      <rPr>
        <b/>
        <sz val="12"/>
        <color theme="1"/>
        <rFont val="等线"/>
        <family val="3"/>
        <charset val="134"/>
        <scheme val="minor"/>
      </rPr>
      <t>很随性，时间到了、感觉对了就会出去走走</t>
    </r>
    <r>
      <rPr>
        <sz val="12"/>
        <color theme="1"/>
        <rFont val="等线"/>
        <family val="3"/>
        <charset val="134"/>
        <scheme val="minor"/>
      </rPr>
      <t>。</t>
    </r>
  </si>
  <si>
    <r>
      <t>朋友不多，多为泛泛之交，遇事多只能依靠自己</t>
    </r>
    <r>
      <rPr>
        <sz val="12"/>
        <color theme="1"/>
        <rFont val="等线"/>
        <family val="3"/>
        <charset val="134"/>
        <scheme val="minor"/>
      </rPr>
      <t>。</t>
    </r>
  </si>
  <si>
    <r>
      <t>学业</t>
    </r>
    <r>
      <rPr>
        <b/>
        <sz val="12"/>
        <color theme="1"/>
        <rFont val="等线"/>
        <family val="3"/>
        <charset val="134"/>
        <scheme val="minor"/>
      </rPr>
      <t>平平，少有表现</t>
    </r>
    <r>
      <rPr>
        <sz val="12"/>
        <color theme="1"/>
        <rFont val="等线"/>
        <family val="3"/>
        <charset val="134"/>
        <scheme val="minor"/>
      </rPr>
      <t>；工作</t>
    </r>
    <r>
      <rPr>
        <b/>
        <sz val="12"/>
        <color theme="1"/>
        <rFont val="等线"/>
        <family val="3"/>
        <charset val="134"/>
        <scheme val="minor"/>
      </rPr>
      <t>状况不错，能长久维持一份工作，但缺乏企图心</t>
    </r>
    <r>
      <rPr>
        <sz val="12"/>
        <color theme="1"/>
        <rFont val="等线"/>
        <family val="3"/>
        <charset val="134"/>
        <scheme val="minor"/>
      </rPr>
      <t>。</t>
    </r>
  </si>
  <si>
    <r>
      <t>舍得花钱整修居家环境以求住得舒服，精神上富有</t>
    </r>
    <r>
      <rPr>
        <sz val="12"/>
        <color theme="1"/>
        <rFont val="等线"/>
        <family val="3"/>
        <charset val="134"/>
        <scheme val="minor"/>
      </rPr>
      <t>。</t>
    </r>
  </si>
  <si>
    <r>
      <t>好事多磨，成长路上压力比人多，但运气好，总能度过难关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</si>
  <si>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年纪愈大，健康将逐年走下坡，需要付出更多关心</t>
    </r>
    <r>
      <rPr>
        <sz val="12"/>
        <color theme="1"/>
        <rFont val="等线"/>
        <family val="3"/>
        <charset val="134"/>
        <scheme val="minor"/>
      </rPr>
      <t>。</t>
    </r>
  </si>
  <si>
    <r>
      <t>天月+左辅/右弼</t>
    </r>
    <r>
      <rPr>
        <sz val="12"/>
        <color theme="1"/>
        <rFont val="等线"/>
        <family val="3"/>
        <charset val="134"/>
        <scheme val="minor"/>
      </rPr>
      <t>​</t>
    </r>
  </si>
  <si>
    <r>
      <t>月遇辅弼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安分与助力结合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做事积极</t>
    </r>
    <r>
      <rPr>
        <sz val="12"/>
        <color theme="1"/>
        <rFont val="等线"/>
        <family val="3"/>
        <charset val="134"/>
        <scheme val="minor"/>
      </rPr>
      <t>。</t>
    </r>
  </si>
  <si>
    <t>性格温和但做事有帮手，能积极完成事务。</t>
  </si>
  <si>
    <r>
      <t>天月+文昌/文曲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</si>
  <si>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月遇昌曲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安分与才华结合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有文采</t>
    </r>
    <r>
      <rPr>
        <sz val="12"/>
        <color theme="1"/>
        <rFont val="等线"/>
        <family val="3"/>
        <charset val="134"/>
        <scheme val="minor"/>
      </rPr>
      <t>。</t>
    </r>
  </si>
  <si>
    <t>安分守己但有文艺才华。</t>
  </si>
  <si>
    <r>
      <t>天月+天魁/天钺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</si>
  <si>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月遇魁钺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安分与贵人结合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为人和气，易结交有地位人士</t>
    </r>
    <r>
      <rPr>
        <sz val="12"/>
        <color theme="1"/>
        <rFont val="等线"/>
        <family val="3"/>
        <charset val="134"/>
        <scheme val="minor"/>
      </rPr>
      <t>。</t>
    </r>
  </si>
  <si>
    <t>因随和性格获得贵人提携。</t>
  </si>
  <si>
    <r>
      <t>天月+禄/权/科</t>
    </r>
    <r>
      <rPr>
        <sz val="12"/>
        <color theme="1"/>
        <rFont val="等线"/>
        <family val="3"/>
        <charset val="134"/>
        <scheme val="minor"/>
      </rPr>
      <t>​</t>
    </r>
  </si>
  <si>
    <r>
      <t>月遇禄权科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安分与福禄科名结合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名利双收，易有不错社会地位</t>
    </r>
    <r>
      <rPr>
        <sz val="12"/>
        <color theme="1"/>
        <rFont val="等线"/>
        <family val="3"/>
        <charset val="134"/>
        <scheme val="minor"/>
      </rPr>
      <t>。</t>
    </r>
  </si>
  <si>
    <t>虽安分但能获得名利地位。</t>
  </si>
  <si>
    <r>
      <t>天月+火星/铃星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</si>
  <si>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月遇火铃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安分与暴烈矛盾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依赖心重</t>
    </r>
    <r>
      <rPr>
        <sz val="12"/>
        <color theme="1"/>
        <rFont val="等线"/>
        <family val="3"/>
        <charset val="134"/>
        <scheme val="minor"/>
      </rPr>
      <t>。</t>
    </r>
  </si>
  <si>
    <t>性格消极依赖，遇事急躁。</t>
  </si>
  <si>
    <r>
      <t>天月+擎羊/陀罗</t>
    </r>
    <r>
      <rPr>
        <sz val="12"/>
        <color theme="1"/>
        <rFont val="等线"/>
        <family val="3"/>
        <charset val="134"/>
        <scheme val="minor"/>
      </rPr>
      <t>​</t>
    </r>
  </si>
  <si>
    <r>
      <t>月遇羊陀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安分与刑伤矛盾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庸人自扰</t>
    </r>
    <r>
      <rPr>
        <sz val="12"/>
        <color theme="1"/>
        <rFont val="等线"/>
        <family val="3"/>
        <charset val="134"/>
        <scheme val="minor"/>
      </rPr>
      <t>。</t>
    </r>
  </si>
  <si>
    <t>无事生非，自寻烦恼，健康易受刑伤影响。</t>
  </si>
  <si>
    <r>
      <t>天月+地空/地劫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</si>
  <si>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月遇空劫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安分与空亡结合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依赖心重，庸人自扰</t>
    </r>
    <r>
      <rPr>
        <sz val="12"/>
        <color theme="1"/>
        <rFont val="等线"/>
        <family val="3"/>
        <charset val="134"/>
        <scheme val="minor"/>
      </rPr>
      <t>（综合煞星效应）。</t>
    </r>
  </si>
  <si>
    <t>想法空幻，常感失落，健康易有空虚之症。</t>
  </si>
  <si>
    <r>
      <t>天月+天梁</t>
    </r>
    <r>
      <rPr>
        <sz val="12"/>
        <color theme="1"/>
        <rFont val="等线"/>
        <family val="3"/>
        <charset val="134"/>
        <scheme val="minor"/>
      </rPr>
      <t>​</t>
    </r>
  </si>
  <si>
    <r>
      <t>月遇荫星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疾病与庇护结合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慢性病能得到医治或缓解，但过程漫长</t>
    </r>
    <r>
      <rPr>
        <sz val="12"/>
        <color theme="1"/>
        <rFont val="等线"/>
        <family val="3"/>
        <charset val="134"/>
        <scheme val="minor"/>
      </rPr>
      <t>。</t>
    </r>
  </si>
  <si>
    <t>有长辈或医疗资源帮助调理慢性病。</t>
  </si>
  <si>
    <r>
      <t>天月+天同</t>
    </r>
    <r>
      <rPr>
        <sz val="12"/>
        <color theme="1"/>
        <rFont val="等线"/>
        <family val="3"/>
        <charset val="134"/>
        <scheme val="minor"/>
      </rPr>
      <t>​</t>
    </r>
  </si>
  <si>
    <r>
      <t>月遇福星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疾病与福气矛盾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虽有福享，但常受小病困扰</t>
    </r>
    <r>
      <rPr>
        <sz val="12"/>
        <color theme="1"/>
        <rFont val="等线"/>
        <family val="3"/>
        <charset val="134"/>
        <scheme val="minor"/>
      </rPr>
      <t>。</t>
    </r>
  </si>
  <si>
    <t>生活安逸但体质不佳，小病不断。</t>
  </si>
  <si>
    <r>
      <t>天月+巨门</t>
    </r>
    <r>
      <rPr>
        <sz val="12"/>
        <color theme="1"/>
        <rFont val="等线"/>
        <family val="3"/>
        <charset val="134"/>
        <scheme val="minor"/>
      </rPr>
      <t>​</t>
    </r>
  </si>
  <si>
    <r>
      <t>月遇暗星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疾病与是非结合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因病引发口舌是非，或暗疾难查</t>
    </r>
    <r>
      <rPr>
        <sz val="12"/>
        <color theme="1"/>
        <rFont val="等线"/>
        <family val="3"/>
        <charset val="134"/>
        <scheme val="minor"/>
      </rPr>
      <t>。</t>
    </r>
  </si>
  <si>
    <t>因健康问题与人争执；患有难以诊断的疾病。</t>
  </si>
  <si>
    <r>
      <t>天月+太阴</t>
    </r>
    <r>
      <rPr>
        <sz val="12"/>
        <color theme="1"/>
        <rFont val="等线"/>
        <family val="3"/>
        <charset val="134"/>
        <scheme val="minor"/>
      </rPr>
      <t>​</t>
    </r>
  </si>
  <si>
    <r>
      <t>月遇月星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阴性能量叠加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阴性信息缠绕更重，妇科或情绪问题</t>
    </r>
    <r>
      <rPr>
        <sz val="12"/>
        <color theme="1"/>
        <rFont val="等线"/>
        <family val="3"/>
        <charset val="134"/>
        <scheme val="minor"/>
      </rPr>
      <t>。</t>
    </r>
  </si>
  <si>
    <t>女性易有妇科慢性病；情绪忧郁。</t>
  </si>
  <si>
    <r>
      <t>天月+太阳</t>
    </r>
    <r>
      <rPr>
        <sz val="12"/>
        <color theme="1"/>
        <rFont val="等线"/>
        <family val="3"/>
        <charset val="134"/>
        <scheme val="minor"/>
      </rPr>
      <t>​</t>
    </r>
  </si>
  <si>
    <r>
      <t>月遇日星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阴病与阳刚矛盾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外表开朗，内里虚弱，慢性病易被忽视</t>
    </r>
    <r>
      <rPr>
        <sz val="12"/>
        <color theme="1"/>
        <rFont val="等线"/>
        <family val="3"/>
        <charset val="134"/>
        <scheme val="minor"/>
      </rPr>
      <t>。</t>
    </r>
  </si>
  <si>
    <t>看似健康，实则患有隐藏的慢性病。</t>
  </si>
  <si>
    <r>
      <t>天月+七杀</t>
    </r>
    <r>
      <rPr>
        <sz val="12"/>
        <color theme="1"/>
        <rFont val="等线"/>
        <family val="3"/>
        <charset val="134"/>
        <scheme val="minor"/>
      </rPr>
      <t>​</t>
    </r>
  </si>
  <si>
    <r>
      <t>月遇杀星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慢性病与急性病结合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慢性病急性发作，或伤病难愈</t>
    </r>
    <r>
      <rPr>
        <sz val="12"/>
        <color theme="1"/>
        <rFont val="等线"/>
        <family val="3"/>
        <charset val="134"/>
        <scheme val="minor"/>
      </rPr>
      <t>。</t>
    </r>
  </si>
  <si>
    <t>旧疾突然加重；手术后恢复缓慢。</t>
  </si>
  <si>
    <r>
      <t>天月+破军</t>
    </r>
    <r>
      <rPr>
        <sz val="12"/>
        <color theme="1"/>
        <rFont val="等线"/>
        <family val="3"/>
        <charset val="134"/>
        <scheme val="minor"/>
      </rPr>
      <t>​</t>
    </r>
  </si>
  <si>
    <r>
      <t>月遇耗星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疾病与破耗结合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因病破财，健康与钱财双双消耗</t>
    </r>
    <r>
      <rPr>
        <sz val="12"/>
        <color theme="1"/>
        <rFont val="等线"/>
        <family val="3"/>
        <charset val="134"/>
        <scheme val="minor"/>
      </rPr>
      <t>。</t>
    </r>
  </si>
  <si>
    <t>长期看病花费大；因病导致事业中断。</t>
  </si>
  <si>
    <r>
      <t>1. “瘟神”与“疾病”本质</t>
    </r>
    <r>
      <rPr>
        <sz val="11"/>
        <color theme="1"/>
        <rFont val="等线"/>
        <family val="2"/>
        <charset val="134"/>
        <scheme val="minor"/>
      </rPr>
      <t>：天月化气为</t>
    </r>
    <r>
      <rPr>
        <b/>
        <sz val="11"/>
        <color theme="1"/>
        <rFont val="等线"/>
        <family val="3"/>
        <charset val="134"/>
        <scheme val="minor"/>
      </rPr>
      <t>“病”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疾病、慢性病、流行病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与健康问题相伴，尤其是缠绵难愈的慢性疾病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健康上的困扰与精神上的忧心</t>
    </r>
    <r>
      <rPr>
        <sz val="11"/>
        <color theme="1"/>
        <rFont val="等线"/>
        <family val="2"/>
        <charset val="134"/>
        <scheme val="minor"/>
      </rPr>
      <t>。</t>
    </r>
  </si>
  <si>
    <r>
      <t>2. “阴火”与“安分”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阴火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温和、缓慢、内敛</t>
    </r>
    <r>
      <rPr>
        <sz val="11"/>
        <color theme="1"/>
        <rFont val="等线"/>
        <family val="2"/>
        <charset val="134"/>
        <scheme val="minor"/>
      </rPr>
      <t>。其“病”性体现为</t>
    </r>
    <r>
      <rPr>
        <b/>
        <sz val="11"/>
        <color theme="1"/>
        <rFont val="等线"/>
        <family val="3"/>
        <charset val="134"/>
        <scheme val="minor"/>
      </rPr>
      <t>慢性、持久、消耗</t>
    </r>
    <r>
      <rPr>
        <sz val="11"/>
        <color theme="1"/>
        <rFont val="等线"/>
        <family val="2"/>
        <charset val="134"/>
        <scheme val="minor"/>
      </rPr>
      <t>（如阴火慢燃）。其性格特质</t>
    </r>
    <r>
      <rPr>
        <b/>
        <sz val="11"/>
        <color theme="1"/>
        <rFont val="等线"/>
        <family val="3"/>
        <charset val="134"/>
        <scheme val="minor"/>
      </rPr>
      <t>安分守己、与世无争</t>
    </r>
    <r>
      <rPr>
        <sz val="11"/>
        <color theme="1"/>
        <rFont val="等线"/>
        <family val="2"/>
        <charset val="134"/>
        <scheme val="minor"/>
      </rPr>
      <t>也源于此阴火特性，缺乏阳火的进取与爆发力。</t>
    </r>
  </si>
  <si>
    <r>
      <t>3. “逢吉减病，遇煞增忧”的辩证</t>
    </r>
    <r>
      <rPr>
        <sz val="11"/>
        <color theme="1"/>
        <rFont val="等线"/>
        <family val="2"/>
        <charset val="134"/>
        <scheme val="minor"/>
      </rPr>
      <t>：天月的凶性</t>
    </r>
    <r>
      <rPr>
        <b/>
        <sz val="11"/>
        <color theme="1"/>
        <rFont val="等线"/>
        <family val="3"/>
        <charset val="134"/>
        <scheme val="minor"/>
      </rPr>
      <t>可被吉星（左辅、右弼、文昌、文曲等）或庙旺主星化解或减弱</t>
    </r>
    <r>
      <rPr>
        <sz val="11"/>
        <color theme="1"/>
        <rFont val="等线"/>
        <family val="2"/>
        <charset val="134"/>
        <scheme val="minor"/>
      </rPr>
      <t>，此时仅主</t>
    </r>
    <r>
      <rPr>
        <b/>
        <sz val="11"/>
        <color theme="1"/>
        <rFont val="等线"/>
        <family val="3"/>
        <charset val="134"/>
        <scheme val="minor"/>
      </rPr>
      <t>小疾或性格温和</t>
    </r>
    <r>
      <rPr>
        <sz val="11"/>
        <color theme="1"/>
        <rFont val="等线"/>
        <family val="2"/>
        <charset val="134"/>
        <scheme val="minor"/>
      </rPr>
      <t>。但若</t>
    </r>
    <r>
      <rPr>
        <b/>
        <sz val="11"/>
        <color theme="1"/>
        <rFont val="等线"/>
        <family val="3"/>
        <charset val="134"/>
        <scheme val="minor"/>
      </rPr>
      <t>与煞星（火星、铃星、擎羊、陀罗）同度，则健康影响很大，且性格上依赖心重、庸人自扰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</si>
  <si>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：天月所在宫位，指示在人生的哪个领域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最易出现健康问题、或需要调整、或表现出安分守己的特性</t>
    </r>
    <r>
      <rPr>
        <sz val="11"/>
        <color theme="1"/>
        <rFont val="等线"/>
        <family val="2"/>
        <charset val="134"/>
        <scheme val="minor"/>
      </rPr>
      <t>。传统认为“其坐守何宫，病因就由何宫而起”。</t>
    </r>
  </si>
  <si>
    <r>
      <t>5. “调整之星”与“中介”</t>
    </r>
    <r>
      <rPr>
        <sz val="11"/>
        <color theme="1"/>
        <rFont val="等线"/>
        <family val="2"/>
        <charset val="134"/>
        <scheme val="minor"/>
      </rPr>
      <t>：天月不仅是疾病星，也是</t>
    </r>
    <r>
      <rPr>
        <b/>
        <sz val="11"/>
        <color theme="1"/>
        <rFont val="等线"/>
        <family val="3"/>
        <charset val="134"/>
        <scheme val="minor"/>
      </rPr>
      <t>调整之星</t>
    </r>
    <r>
      <rPr>
        <sz val="11"/>
        <color theme="1"/>
        <rFont val="等线"/>
        <family val="2"/>
        <charset val="134"/>
        <scheme val="minor"/>
      </rPr>
      <t>。入命身时，也</t>
    </r>
    <r>
      <rPr>
        <b/>
        <sz val="11"/>
        <color theme="1"/>
        <rFont val="等线"/>
        <family val="3"/>
        <charset val="134"/>
        <scheme val="minor"/>
      </rPr>
      <t>主交易、婚姻中介，可作介绍人</t>
    </r>
    <r>
      <rPr>
        <sz val="11"/>
        <color theme="1"/>
        <rFont val="等线"/>
        <family val="2"/>
        <charset val="134"/>
        <scheme val="minor"/>
      </rPr>
      <t>。这体现了其“调和、连接”的阴火属性。</t>
    </r>
  </si>
  <si>
    <r>
      <t>6. 健康关联</t>
    </r>
    <r>
      <rPr>
        <sz val="11"/>
        <color theme="1"/>
        <rFont val="等线"/>
        <family val="2"/>
        <charset val="134"/>
        <scheme val="minor"/>
      </rPr>
      <t>：在疾厄宫，天月常指向</t>
    </r>
    <r>
      <rPr>
        <b/>
        <sz val="11"/>
        <color theme="1"/>
        <rFont val="等线"/>
        <family val="3"/>
        <charset val="134"/>
        <scheme val="minor"/>
      </rPr>
      <t>慢性疾病、流行病、肠胃消化系统问题、体质虚弱</t>
    </r>
    <r>
      <rPr>
        <sz val="11"/>
        <color theme="1"/>
        <rFont val="等线"/>
        <family val="2"/>
        <charset val="134"/>
        <scheme val="minor"/>
      </rPr>
      <t>。现代人压力大，常表现为</t>
    </r>
    <r>
      <rPr>
        <b/>
        <sz val="11"/>
        <color theme="1"/>
        <rFont val="等线"/>
        <family val="3"/>
        <charset val="134"/>
        <scheme val="minor"/>
      </rPr>
      <t>肠胃功能不佳</t>
    </r>
    <r>
      <rPr>
        <sz val="11"/>
        <color theme="1"/>
        <rFont val="等线"/>
        <family val="2"/>
        <charset val="134"/>
        <scheme val="minor"/>
      </rPr>
      <t>。</t>
    </r>
  </si>
  <si>
    <r>
      <t>7. 与天刑、天使的区别</t>
    </r>
    <r>
      <rPr>
        <sz val="11"/>
        <color theme="1"/>
        <rFont val="等线"/>
        <family val="2"/>
        <charset val="134"/>
        <scheme val="minor"/>
      </rPr>
      <t>：三者都涉及健康。</t>
    </r>
    <r>
      <rPr>
        <b/>
        <sz val="11"/>
        <color theme="1"/>
        <rFont val="等线"/>
        <family val="3"/>
        <charset val="134"/>
        <scheme val="minor"/>
      </rPr>
      <t>天刑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外伤、手术、官非引起的病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天使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急性、意外性的伤病破耗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天月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慢性、缠绵性的疾病与忧心</t>
    </r>
    <r>
      <rPr>
        <sz val="11"/>
        <color theme="1"/>
        <rFont val="等线"/>
        <family val="2"/>
        <charset val="134"/>
        <scheme val="minor"/>
      </rPr>
      <t>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</si>
  <si>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医院、诊所、药房、疗养院、一切与疾病治疗、健康调整相关的场所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</si>
  <si>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疾病/忧心”及其全部引申象征（慢性病、安分守己、缺乏主见、调整、中介等）出发，系统化推导并呈现了“人/事/物”三个层次的完整解析。天月为凶星，主疾病忧心。其核心在于“病”与“安”，常在健康层面带来慢性困扰，在性格上表现为与世无争。其凶性可被吉星化解，但最忌与煞星同度，则病忧加重。在紫占中，天月所在即个人“健康隐患点”与“性格温和处”之所在，提示需要关注慢性健康问题与心态调整。其“中介”属性也值得注意。需与天刑（刑伤）、天使（意外耗）在疾病性质上明确区分，天月更偏向慢性与内在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</si>
  <si>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华盖星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</si>
  <si>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艺术星</t>
    </r>
    <r>
      <rPr>
        <sz val="12"/>
        <color theme="1"/>
        <rFont val="等线"/>
        <family val="3"/>
        <charset val="134"/>
        <scheme val="minor"/>
      </rPr>
      <t>、阳木、</t>
    </r>
    <r>
      <rPr>
        <b/>
        <sz val="12"/>
        <color theme="1"/>
        <rFont val="等线"/>
        <family val="3"/>
        <charset val="134"/>
        <scheme val="minor"/>
      </rPr>
      <t>孤高、才华、艺术、宗教、哲学、神秘学、清高、孤独、超然、精神追求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</si>
  <si>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整合自《金刚佛光-紫占课程手册》及相关权威资料，本次彻底构建以“孤高、艺术、宗教”为核心，涵盖“才华、哲学、神秘学、清高”等所有引申义的核心象征网络。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</si>
  <si>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清高孤傲、有才华、喜静、不喜逢迎、有艺术或宗教天赋、精神世界丰富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艺术家、哲学家、宗教人士、研究者、孤独的思想者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喜独处，人际关系简单，知己少，易感孤独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</si>
  <si>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与艺术创作、学术研究、宗教修行、神秘探索相关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才华展现、艺术成就、精神领悟、孤独探索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需要专注、独立思考、发挥创造力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具有专注性、独立性和精神性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</si>
  <si>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具有艺术性、宗教性、精神性、孤独性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</si>
  <si>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艺术品、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宗教法器、书籍、研究工具、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</si>
  <si>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寺庙、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道观、美术馆、图书馆、研究室、</t>
    </r>
    <r>
      <rPr>
        <sz val="12"/>
        <color theme="1"/>
        <rFont val="等线"/>
        <family val="3"/>
        <charset val="134"/>
        <scheme val="minor"/>
      </rPr>
      <t>&lt;/ins&gt;清静、庄严的形态。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</si>
  <si>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神经系统、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感知系统（与精神相关）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</si>
  <si>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艺术界、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学术界、宗教组织、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</si>
  <si>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才华、艺术、宗教、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哲学、孤独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</si>
  <si>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本次解析从“孤高、艺术、宗教”本质出发，系统推导出其作为“才华象征”、“孤独者”及“精神追求者”的多重属性，并完整映射至三层结构，特别明确了其与“神经系统”、“艺术界”的关联。</t>
  </si>
  <si>
    <r>
      <t>艺术星与才华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</si>
  <si>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“孤高、艺术、宗教”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丁级星（杂曜）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才华、艺术天赋、宗教缘分、哲学思辨</t>
    </r>
    <r>
      <rPr>
        <sz val="12"/>
        <color theme="1"/>
        <rFont val="等线"/>
        <family val="3"/>
        <charset val="134"/>
        <scheme val="minor"/>
      </rPr>
      <t>。喜与</t>
    </r>
    <r>
      <rPr>
        <b/>
        <sz val="12"/>
        <color theme="1"/>
        <rFont val="等线"/>
        <family val="3"/>
        <charset val="134"/>
        <scheme val="minor"/>
      </rPr>
      <t>文星（昌曲）、吉星</t>
    </r>
    <r>
      <rPr>
        <sz val="12"/>
        <color theme="1"/>
        <rFont val="等线"/>
        <family val="3"/>
        <charset val="134"/>
        <scheme val="minor"/>
      </rPr>
      <t>同度，才华更显。</t>
    </r>
  </si>
  <si>
    <t>在命宫、官禄宫、福德宫时，主有特殊才华，喜文艺、哲学或宗教。</t>
  </si>
  <si>
    <r>
      <t>孤高与超然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</si>
  <si>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“孤独清高之星”</t>
    </r>
    <r>
      <rPr>
        <sz val="12"/>
        <color theme="1"/>
        <rFont val="等线"/>
        <family val="3"/>
        <charset val="134"/>
        <scheme val="minor"/>
      </rPr>
      <t>，象征</t>
    </r>
    <r>
      <rPr>
        <b/>
        <sz val="12"/>
        <color theme="1"/>
        <rFont val="等线"/>
        <family val="3"/>
        <charset val="134"/>
        <scheme val="minor"/>
      </rPr>
      <t>性格孤傲、喜静、不喜世俗应酬、精神超然物外</t>
    </r>
    <r>
      <rPr>
        <sz val="12"/>
        <color theme="1"/>
        <rFont val="等线"/>
        <family val="3"/>
        <charset val="134"/>
        <scheme val="minor"/>
      </rPr>
      <t>。逢煞忌则</t>
    </r>
    <r>
      <rPr>
        <b/>
        <sz val="12"/>
        <color theme="1"/>
        <rFont val="等线"/>
        <family val="3"/>
        <charset val="134"/>
        <scheme val="minor"/>
      </rPr>
      <t>孤克更重，怀才不遇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</si>
  <si>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在命宫、身宫时，命主可能气质清冷，喜独处，人际关系疏淡。</t>
  </si>
  <si>
    <r>
      <t>宗教与神秘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</si>
  <si>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阳木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向上生长、追求精神境界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宗教、玄学、神秘学的星曜</t>
    </r>
    <r>
      <rPr>
        <sz val="12"/>
        <color theme="1"/>
        <rFont val="等线"/>
        <family val="3"/>
        <charset val="134"/>
        <scheme val="minor"/>
      </rPr>
      <t>，有</t>
    </r>
    <r>
      <rPr>
        <b/>
        <sz val="12"/>
        <color theme="1"/>
        <rFont val="等线"/>
        <family val="3"/>
        <charset val="134"/>
        <scheme val="minor"/>
      </rPr>
      <t>出世倾向</t>
    </r>
    <r>
      <rPr>
        <sz val="12"/>
        <color theme="1"/>
        <rFont val="等线"/>
        <family val="3"/>
        <charset val="134"/>
        <scheme val="minor"/>
      </rPr>
      <t>，亦主</t>
    </r>
    <r>
      <rPr>
        <b/>
        <sz val="12"/>
        <color theme="1"/>
        <rFont val="等线"/>
        <family val="3"/>
        <charset val="134"/>
        <scheme val="minor"/>
      </rPr>
      <t>与佛道有缘</t>
    </r>
    <r>
      <rPr>
        <sz val="12"/>
        <color theme="1"/>
        <rFont val="等线"/>
        <family val="3"/>
        <charset val="134"/>
        <scheme val="minor"/>
      </rPr>
      <t>。</t>
    </r>
  </si>
  <si>
    <t>在命宫、福德宫，主对宗教、哲学、神秘文化有浓厚兴趣或天赋。</t>
  </si>
  <si>
    <r>
      <t>气质清冷、孤高，有出世之姿，眼神常带思考或超然感，给人以不食人间烟火、难以接近的印象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</si>
  <si>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：才华横溢，有艺术或哲学天赋，精神世界丰富，清高自爱，不随波逐流。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</si>
  <si>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：性格孤僻，不善交际，易感孤独，人际关系淡薄，有时过于理想化，不切实际。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</si>
  <si>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神经衰弱、失眠、思虑过度</t>
    </r>
    <r>
      <rPr>
        <sz val="12"/>
        <color theme="1"/>
        <rFont val="等线"/>
        <family val="3"/>
        <charset val="134"/>
        <scheme val="minor"/>
      </rPr>
      <t>，或因</t>
    </r>
    <r>
      <rPr>
        <b/>
        <sz val="12"/>
        <color theme="1"/>
        <rFont val="等线"/>
        <family val="3"/>
        <charset val="134"/>
        <scheme val="minor"/>
      </rPr>
      <t>精神追求导致与现实脱节</t>
    </r>
    <r>
      <rPr>
        <sz val="12"/>
        <color theme="1"/>
        <rFont val="等线"/>
        <family val="3"/>
        <charset val="134"/>
        <scheme val="minor"/>
      </rPr>
      <t>。</t>
    </r>
  </si>
  <si>
    <t>在疾厄宫时，需注意精神健康，避免过度思虑。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</si>
  <si>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聪明有才华，性格孤高，喜静，有艺术或宗教天赋，精神世界丰富，但易感孤独，知己少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喜与昌曲、科文星同度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才华出众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忌独坐或与煞忌同度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孤克更重，怀才不遇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</si>
  <si>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缘分较淡，彼此思想层面交流少，各自有独立的精神世界</t>
    </r>
    <r>
      <rPr>
        <sz val="12"/>
        <color theme="1"/>
        <rFont val="等线"/>
        <family val="3"/>
        <charset val="134"/>
        <scheme val="minor"/>
      </rPr>
      <t>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</si>
  <si>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可能有艺术气质或宗教情怀，但夫妻关系较淡泊，精神交流多于世俗热情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</si>
  <si>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聪明有艺术天赋，但可能与父母思想有隔阂，喜独立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</si>
  <si>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观念淡泊，不重物质，可通过艺术、文化、咨询类工作获利</t>
    </r>
    <r>
      <rPr>
        <sz val="12"/>
        <color theme="1"/>
        <rFont val="等线"/>
        <family val="3"/>
        <charset val="134"/>
        <scheme val="minor"/>
      </rPr>
      <t>。</t>
    </r>
  </si>
  <si>
    <r>
      <t>易有神经衰弱、失眠、思虑过度等精神方面问题，需注意精神调养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</si>
  <si>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喜清静，适合独自旅行或进行文化、宗教之旅，不喜喧闹场所</t>
    </r>
    <r>
      <rPr>
        <sz val="12"/>
        <color theme="1"/>
        <rFont val="等线"/>
        <family val="3"/>
        <charset val="134"/>
        <scheme val="minor"/>
      </rPr>
      <t>。</t>
    </r>
  </si>
  <si>
    <r>
      <t>朋友不多，但多为精神层面的知己，不喜泛泛之交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</si>
  <si>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艺术、文化、教育、研究、宗教、哲学、咨询</t>
    </r>
    <r>
      <rPr>
        <sz val="12"/>
        <color theme="1"/>
        <rFont val="等线"/>
        <family val="3"/>
        <charset val="134"/>
        <scheme val="minor"/>
      </rPr>
      <t>等需要</t>
    </r>
    <r>
      <rPr>
        <b/>
        <sz val="12"/>
        <color theme="1"/>
        <rFont val="等线"/>
        <family val="3"/>
        <charset val="134"/>
        <scheme val="minor"/>
      </rPr>
      <t>独立思考和创造力</t>
    </r>
    <r>
      <rPr>
        <sz val="12"/>
        <color theme="1"/>
        <rFont val="等线"/>
        <family val="3"/>
        <charset val="134"/>
        <scheme val="minor"/>
      </rPr>
      <t>的职业。</t>
    </r>
  </si>
  <si>
    <r>
      <t>家宅布置清雅，有艺术或宗教气息，喜静，不喜嘈杂环境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</si>
  <si>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丰富，追求精神境界，有宗教或哲学信仰，享受孤独与思考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</si>
  <si>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可能有艺术修养或宗教情怀，与父母在精神层面有连接但交流可能不深</t>
    </r>
    <r>
      <rPr>
        <sz val="12"/>
        <color theme="1"/>
        <rFont val="等线"/>
        <family val="3"/>
        <charset val="134"/>
        <scheme val="minor"/>
      </rPr>
      <t>。</t>
    </r>
  </si>
  <si>
    <r>
      <t>华盖+文昌/文曲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</si>
  <si>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盖遇昌曲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才华与文星叠加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才华横溢，在文艺、学术领域有极高造诣</t>
    </r>
    <r>
      <rPr>
        <sz val="12"/>
        <color theme="1"/>
        <rFont val="等线"/>
        <family val="3"/>
        <charset val="134"/>
        <scheme val="minor"/>
      </rPr>
      <t>。</t>
    </r>
  </si>
  <si>
    <t>杰出的艺术家、学者、作家。</t>
  </si>
  <si>
    <r>
      <t>华盖+天魁/天钺</t>
    </r>
    <r>
      <rPr>
        <sz val="12"/>
        <color theme="1"/>
        <rFont val="等线"/>
        <family val="3"/>
        <charset val="134"/>
        <scheme val="minor"/>
      </rPr>
      <t>​</t>
    </r>
  </si>
  <si>
    <r>
      <t>盖遇魁钺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才华与贵人结合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因才华获得贵人赏识，或在宗教、艺术界遇贵人</t>
    </r>
    <r>
      <rPr>
        <sz val="12"/>
        <color theme="1"/>
        <rFont val="等线"/>
        <family val="3"/>
        <charset val="134"/>
        <scheme val="minor"/>
      </rPr>
      <t>。</t>
    </r>
  </si>
  <si>
    <t>艺术家的赞助人；宗教上的引路人。</t>
  </si>
  <si>
    <r>
      <t>华盖+紫微</t>
    </r>
    <r>
      <rPr>
        <sz val="12"/>
        <color theme="1"/>
        <rFont val="等线"/>
        <family val="3"/>
        <charset val="134"/>
        <scheme val="minor"/>
      </rPr>
      <t>​</t>
    </r>
  </si>
  <si>
    <r>
      <t>盖遇帝星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孤高与尊贵结合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有艺术帝王或学术权威的气质，孤高但有领导力</t>
    </r>
    <r>
      <rPr>
        <sz val="12"/>
        <color theme="1"/>
        <rFont val="等线"/>
        <family val="3"/>
        <charset val="134"/>
        <scheme val="minor"/>
      </rPr>
      <t>。</t>
    </r>
  </si>
  <si>
    <t>艺术领域的泰斗；学术界的权威。</t>
  </si>
  <si>
    <r>
      <t>华盖+天机</t>
    </r>
    <r>
      <rPr>
        <sz val="12"/>
        <color theme="1"/>
        <rFont val="等线"/>
        <family val="3"/>
        <charset val="134"/>
        <scheme val="minor"/>
      </rPr>
      <t>​</t>
    </r>
  </si>
  <si>
    <r>
      <t>盖遇机星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才华与谋略结合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思维敏捷，有哲学或神秘学天赋，善策划</t>
    </r>
    <r>
      <rPr>
        <sz val="12"/>
        <color theme="1"/>
        <rFont val="等线"/>
        <family val="3"/>
        <charset val="134"/>
        <scheme val="minor"/>
      </rPr>
      <t>。</t>
    </r>
  </si>
  <si>
    <t>哲学家、战略家、命理师。</t>
  </si>
  <si>
    <r>
      <t>华盖+太阳</t>
    </r>
    <r>
      <rPr>
        <sz val="12"/>
        <color theme="1"/>
        <rFont val="等线"/>
        <family val="3"/>
        <charset val="134"/>
        <scheme val="minor"/>
      </rPr>
      <t>​</t>
    </r>
  </si>
  <si>
    <r>
      <t>盖遇日星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孤高与光明矛盾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才华得以展现（庙旺）或怀才不遇（落陷），有济世之心</t>
    </r>
    <r>
      <rPr>
        <sz val="12"/>
        <color theme="1"/>
        <rFont val="等线"/>
        <family val="3"/>
        <charset val="134"/>
        <scheme val="minor"/>
      </rPr>
      <t>。</t>
    </r>
  </si>
  <si>
    <t>传播文化的学者；理想主义的艺术家。</t>
  </si>
  <si>
    <r>
      <t>华盖+武曲</t>
    </r>
    <r>
      <rPr>
        <sz val="12"/>
        <color theme="1"/>
        <rFont val="等线"/>
        <family val="3"/>
        <charset val="134"/>
        <scheme val="minor"/>
      </rPr>
      <t>​</t>
    </r>
  </si>
  <si>
    <r>
      <t>盖遇将星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才华与刚毅结合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可将艺术才华转化为实际技艺，如雕刻、精密工艺</t>
    </r>
    <r>
      <rPr>
        <sz val="12"/>
        <color theme="1"/>
        <rFont val="等线"/>
        <family val="3"/>
        <charset val="134"/>
        <scheme val="minor"/>
      </rPr>
      <t>。</t>
    </r>
  </si>
  <si>
    <t>雕刻家、工程师、金融艺术家。</t>
  </si>
  <si>
    <r>
      <t>华盖+天同</t>
    </r>
    <r>
      <rPr>
        <sz val="12"/>
        <color theme="1"/>
        <rFont val="等线"/>
        <family val="3"/>
        <charset val="134"/>
        <scheme val="minor"/>
      </rPr>
      <t>​</t>
    </r>
  </si>
  <si>
    <r>
      <t>盖遇福星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才华与享乐结合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有艺术享受天赋，生活恬淡，在艺术中寻得快乐</t>
    </r>
    <r>
      <rPr>
        <sz val="12"/>
        <color theme="1"/>
        <rFont val="等线"/>
        <family val="3"/>
        <charset val="134"/>
        <scheme val="minor"/>
      </rPr>
      <t>。</t>
    </r>
  </si>
  <si>
    <t>享受生活的艺术家；音乐鉴赏家。</t>
  </si>
  <si>
    <r>
      <t>华盖+廉贞</t>
    </r>
    <r>
      <rPr>
        <sz val="12"/>
        <color theme="1"/>
        <rFont val="等线"/>
        <family val="3"/>
        <charset val="134"/>
        <scheme val="minor"/>
      </rPr>
      <t>​</t>
    </r>
  </si>
  <si>
    <r>
      <t>盖遇囚星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才华与复杂结合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才华带有复杂、深刻或争议性，适合先锋艺术</t>
    </r>
    <r>
      <rPr>
        <sz val="12"/>
        <color theme="1"/>
        <rFont val="等线"/>
        <family val="3"/>
        <charset val="134"/>
        <scheme val="minor"/>
      </rPr>
      <t>。</t>
    </r>
  </si>
  <si>
    <t>先锋派艺术家；深刻的思想家。</t>
  </si>
  <si>
    <r>
      <t>华盖+太阴</t>
    </r>
    <r>
      <rPr>
        <sz val="12"/>
        <color theme="1"/>
        <rFont val="等线"/>
        <family val="3"/>
        <charset val="134"/>
        <scheme val="minor"/>
      </rPr>
      <t>​</t>
    </r>
  </si>
  <si>
    <r>
      <t>盖遇月星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才华与阴柔结合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有细腻的艺术感知力，适合诗歌、音乐等阴柔艺术</t>
    </r>
    <r>
      <rPr>
        <sz val="12"/>
        <color theme="1"/>
        <rFont val="等线"/>
        <family val="3"/>
        <charset val="134"/>
        <scheme val="minor"/>
      </rPr>
      <t>。</t>
    </r>
  </si>
  <si>
    <t>诗人、音乐家、水墨画家。</t>
  </si>
  <si>
    <r>
      <t>华盖+贪狼</t>
    </r>
    <r>
      <rPr>
        <sz val="12"/>
        <color theme="1"/>
        <rFont val="等线"/>
        <family val="3"/>
        <charset val="134"/>
        <scheme val="minor"/>
      </rPr>
      <t>​</t>
    </r>
  </si>
  <si>
    <r>
      <t>盖遇欲星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才华与欲望结合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才华用于交际、表演，或对宗教艺术有强烈兴趣</t>
    </r>
    <r>
      <rPr>
        <sz val="12"/>
        <color theme="1"/>
        <rFont val="等线"/>
        <family val="3"/>
        <charset val="134"/>
        <scheme val="minor"/>
      </rPr>
      <t>。</t>
    </r>
  </si>
  <si>
    <t>表演艺术家；宗教艺术收藏家。</t>
  </si>
  <si>
    <r>
      <t>华盖+巨门</t>
    </r>
    <r>
      <rPr>
        <sz val="12"/>
        <color theme="1"/>
        <rFont val="等线"/>
        <family val="3"/>
        <charset val="134"/>
        <scheme val="minor"/>
      </rPr>
      <t>​</t>
    </r>
  </si>
  <si>
    <r>
      <t>盖遇暗星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才华与是非结合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才华可能引发争议，或在玄学、神秘学领域有研究</t>
    </r>
    <r>
      <rPr>
        <sz val="12"/>
        <color theme="1"/>
        <rFont val="等线"/>
        <family val="3"/>
        <charset val="134"/>
        <scheme val="minor"/>
      </rPr>
      <t>。</t>
    </r>
  </si>
  <si>
    <t>争议性作家；玄学研究者。</t>
  </si>
  <si>
    <r>
      <t>华盖+天相</t>
    </r>
    <r>
      <rPr>
        <sz val="12"/>
        <color theme="1"/>
        <rFont val="等线"/>
        <family val="3"/>
        <charset val="134"/>
        <scheme val="minor"/>
      </rPr>
      <t>​</t>
    </r>
  </si>
  <si>
    <r>
      <t>盖遇印星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才华与辅佐结合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适合从事艺术管理、文化传承或宗教事务管理</t>
    </r>
    <r>
      <rPr>
        <sz val="12"/>
        <color theme="1"/>
        <rFont val="等线"/>
        <family val="3"/>
        <charset val="134"/>
        <scheme val="minor"/>
      </rPr>
      <t>。</t>
    </r>
  </si>
  <si>
    <t>艺术策展人；寺庙管理者。</t>
  </si>
  <si>
    <r>
      <t>华盖+七杀</t>
    </r>
    <r>
      <rPr>
        <sz val="12"/>
        <color theme="1"/>
        <rFont val="等线"/>
        <family val="3"/>
        <charset val="134"/>
        <scheme val="minor"/>
      </rPr>
      <t>​</t>
    </r>
  </si>
  <si>
    <r>
      <t>盖遇杀星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才华与肃杀结合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艺术风格强烈、有突破性，或在逆境中激发才华</t>
    </r>
    <r>
      <rPr>
        <sz val="12"/>
        <color theme="1"/>
        <rFont val="等线"/>
        <family val="3"/>
        <charset val="134"/>
        <scheme val="minor"/>
      </rPr>
      <t>。</t>
    </r>
  </si>
  <si>
    <t>革命性艺术家；军旅作家。</t>
  </si>
  <si>
    <r>
      <t>华盖+破军</t>
    </r>
    <r>
      <rPr>
        <sz val="12"/>
        <color theme="1"/>
        <rFont val="等线"/>
        <family val="3"/>
        <charset val="134"/>
        <scheme val="minor"/>
      </rPr>
      <t>​</t>
    </r>
  </si>
  <si>
    <r>
      <t>盖遇耗星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才华与破坏结合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艺术创作充满颠覆性，喜破旧立新，但过程波折</t>
    </r>
    <r>
      <rPr>
        <sz val="12"/>
        <color theme="1"/>
        <rFont val="等线"/>
        <family val="3"/>
        <charset val="134"/>
        <scheme val="minor"/>
      </rPr>
      <t>。</t>
    </r>
  </si>
  <si>
    <t>颠覆传统的艺术家；改革者。</t>
  </si>
  <si>
    <r>
      <t>华盖+地空/地劫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</si>
  <si>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盖遇空劫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才华与空亡结合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思想超脱世俗，有惊人的创造力，但易流于空想，成就起伏</t>
    </r>
    <r>
      <rPr>
        <sz val="12"/>
        <color theme="1"/>
        <rFont val="等线"/>
        <family val="3"/>
        <charset val="134"/>
        <scheme val="minor"/>
      </rPr>
      <t>。</t>
    </r>
  </si>
  <si>
    <t>天才与疯子一线之隔；抽象派艺术家。</t>
  </si>
  <si>
    <r>
      <t>华盖+火星/铃星</t>
    </r>
    <r>
      <rPr>
        <sz val="12"/>
        <color theme="1"/>
        <rFont val="等线"/>
        <family val="3"/>
        <charset val="134"/>
        <scheme val="minor"/>
      </rPr>
      <t>​</t>
    </r>
  </si>
  <si>
    <r>
      <t>盖遇火铃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才华与暴烈结合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艺术创作充满激情与张力，但性格急躁，易有争议</t>
    </r>
    <r>
      <rPr>
        <sz val="12"/>
        <color theme="1"/>
        <rFont val="等线"/>
        <family val="3"/>
        <charset val="134"/>
        <scheme val="minor"/>
      </rPr>
      <t>。</t>
    </r>
  </si>
  <si>
    <t>激情澎湃的演奏家；风格激烈的画家。</t>
  </si>
  <si>
    <r>
      <t>华盖+擎羊/陀罗</t>
    </r>
    <r>
      <rPr>
        <sz val="12"/>
        <color theme="1"/>
        <rFont val="等线"/>
        <family val="3"/>
        <charset val="134"/>
        <scheme val="minor"/>
      </rPr>
      <t>​</t>
    </r>
  </si>
  <si>
    <r>
      <t>盖遇羊陀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才华与刑伤结合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艺术之路多挫折，才华在磨砺中成就，风格带有尖锐或持久感</t>
    </r>
    <r>
      <rPr>
        <sz val="12"/>
        <color theme="1"/>
        <rFont val="等线"/>
        <family val="3"/>
        <charset val="134"/>
        <scheme val="minor"/>
      </rPr>
      <t>。</t>
    </r>
  </si>
  <si>
    <t>历经磨难的艺术家；风格犀利的评论家。</t>
  </si>
  <si>
    <r>
      <t>1. “艺术星”与“孤高”本质</t>
    </r>
    <r>
      <rPr>
        <sz val="11"/>
        <color theme="1"/>
        <rFont val="等线"/>
        <family val="2"/>
        <charset val="134"/>
        <scheme val="minor"/>
      </rPr>
      <t>：华盖化气为</t>
    </r>
    <r>
      <rPr>
        <b/>
        <sz val="11"/>
        <color theme="1"/>
        <rFont val="等线"/>
        <family val="3"/>
        <charset val="134"/>
        <scheme val="minor"/>
      </rPr>
      <t>“孤”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才华、艺术、宗教、孤独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在精神、艺术或宗教领域有独特追求与成就，但伴随孤独感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中性偏吉的星曜</t>
    </r>
    <r>
      <rPr>
        <sz val="11"/>
        <color theme="1"/>
        <rFont val="等线"/>
        <family val="2"/>
        <charset val="134"/>
        <scheme val="minor"/>
      </rPr>
      <t>，其吉凶很大程度上取决于</t>
    </r>
    <r>
      <rPr>
        <b/>
        <sz val="11"/>
        <color theme="1"/>
        <rFont val="等线"/>
        <family val="3"/>
        <charset val="134"/>
        <scheme val="minor"/>
      </rPr>
      <t>所会主星及四化的引动</t>
    </r>
    <r>
      <rPr>
        <sz val="11"/>
        <color theme="1"/>
        <rFont val="等线"/>
        <family val="2"/>
        <charset val="134"/>
        <scheme val="minor"/>
      </rPr>
      <t>。</t>
    </r>
  </si>
  <si>
    <r>
      <t>2. “阳木”与“精神追求”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阳木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向上生长、追求精神高度</t>
    </r>
    <r>
      <rPr>
        <sz val="11"/>
        <color theme="1"/>
        <rFont val="等线"/>
        <family val="2"/>
        <charset val="134"/>
        <scheme val="minor"/>
      </rPr>
      <t>。其“孤”性体现为</t>
    </r>
    <r>
      <rPr>
        <b/>
        <sz val="11"/>
        <color theme="1"/>
        <rFont val="等线"/>
        <family val="3"/>
        <charset val="134"/>
        <scheme val="minor"/>
      </rPr>
      <t>精神上的独立与超然</t>
    </r>
    <r>
      <rPr>
        <sz val="11"/>
        <color theme="1"/>
        <rFont val="等线"/>
        <family val="2"/>
        <charset val="134"/>
        <scheme val="minor"/>
      </rPr>
      <t>，而非人际上的失败。其才华多体现在</t>
    </r>
    <r>
      <rPr>
        <b/>
        <sz val="11"/>
        <color theme="1"/>
        <rFont val="等线"/>
        <family val="3"/>
        <charset val="134"/>
        <scheme val="minor"/>
      </rPr>
      <t>需要高度专注与独立思考的领域</t>
    </r>
    <r>
      <rPr>
        <sz val="11"/>
        <color theme="1"/>
        <rFont val="等线"/>
        <family val="2"/>
        <charset val="134"/>
        <scheme val="minor"/>
      </rPr>
      <t>。</t>
    </r>
  </si>
  <si>
    <r>
      <t>3. “逢文星则显，遇煞忌则孤”的辩证</t>
    </r>
    <r>
      <rPr>
        <sz val="11"/>
        <color theme="1"/>
        <rFont val="等线"/>
        <family val="2"/>
        <charset val="134"/>
        <scheme val="minor"/>
      </rPr>
      <t>：华盖的才华与孤性</t>
    </r>
    <r>
      <rPr>
        <b/>
        <sz val="11"/>
        <color theme="1"/>
        <rFont val="等线"/>
        <family val="3"/>
        <charset val="134"/>
        <scheme val="minor"/>
      </rPr>
      <t>可被文星（昌曲）、科星激发</t>
    </r>
    <r>
      <rPr>
        <sz val="11"/>
        <color theme="1"/>
        <rFont val="等线"/>
        <family val="2"/>
        <charset val="134"/>
        <scheme val="minor"/>
      </rPr>
      <t>，转化为</t>
    </r>
    <r>
      <rPr>
        <b/>
        <sz val="11"/>
        <color theme="1"/>
        <rFont val="等线"/>
        <family val="3"/>
        <charset val="134"/>
        <scheme val="minor"/>
      </rPr>
      <t>卓越的艺术或学术成就</t>
    </r>
    <r>
      <rPr>
        <sz val="11"/>
        <color theme="1"/>
        <rFont val="等线"/>
        <family val="2"/>
        <charset val="134"/>
        <scheme val="minor"/>
      </rPr>
      <t>。但若</t>
    </r>
    <r>
      <rPr>
        <b/>
        <sz val="11"/>
        <color theme="1"/>
        <rFont val="等线"/>
        <family val="3"/>
        <charset val="134"/>
        <scheme val="minor"/>
      </rPr>
      <t>与煞星、忌星同度，则孤克性质加重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怀才不遇、性格孤僻、精神苦闷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</si>
  <si>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：华盖所在宫位，指示在人生的哪个领域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最能发挥其才华、或最能感受到孤独、或与宗教艺术最有缘</t>
    </r>
    <r>
      <rPr>
        <sz val="11"/>
        <color theme="1"/>
        <rFont val="等线"/>
        <family val="2"/>
        <charset val="134"/>
        <scheme val="minor"/>
      </rPr>
      <t>。例如在官禄宫主事业与才华相关，在福德宫主精神追求。</t>
    </r>
  </si>
  <si>
    <r>
      <t>5. “宗教与神秘学”的关联</t>
    </r>
    <r>
      <rPr>
        <sz val="11"/>
        <color theme="1"/>
        <rFont val="等线"/>
        <family val="2"/>
        <charset val="134"/>
        <scheme val="minor"/>
      </rPr>
      <t>：华盖是紫微斗数中与</t>
    </r>
    <r>
      <rPr>
        <b/>
        <sz val="11"/>
        <color theme="1"/>
        <rFont val="等线"/>
        <family val="3"/>
        <charset val="134"/>
        <scheme val="minor"/>
      </rPr>
      <t>宗教、哲学、玄学、神秘文化</t>
    </r>
    <r>
      <rPr>
        <sz val="11"/>
        <color theme="1"/>
        <rFont val="等线"/>
        <family val="2"/>
        <charset val="134"/>
        <scheme val="minor"/>
      </rPr>
      <t>关联最强的星曜之一。入命身、福德宫者，多有此方面兴趣或缘分。</t>
    </r>
  </si>
  <si>
    <r>
      <t>6. 健康关联</t>
    </r>
    <r>
      <rPr>
        <sz val="11"/>
        <color theme="1"/>
        <rFont val="等线"/>
        <family val="2"/>
        <charset val="134"/>
        <scheme val="minor"/>
      </rPr>
      <t>：在疾厄宫，华盖常指向</t>
    </r>
    <r>
      <rPr>
        <b/>
        <sz val="11"/>
        <color theme="1"/>
        <rFont val="等线"/>
        <family val="3"/>
        <charset val="134"/>
        <scheme val="minor"/>
      </rPr>
      <t>神经系统、精神层面的问题</t>
    </r>
    <r>
      <rPr>
        <sz val="11"/>
        <color theme="1"/>
        <rFont val="等线"/>
        <family val="2"/>
        <charset val="134"/>
        <scheme val="minor"/>
      </rPr>
      <t>，如</t>
    </r>
    <r>
      <rPr>
        <b/>
        <sz val="11"/>
        <color theme="1"/>
        <rFont val="等线"/>
        <family val="3"/>
        <charset val="134"/>
        <scheme val="minor"/>
      </rPr>
      <t>神经衰弱、失眠、思虑过度</t>
    </r>
    <r>
      <rPr>
        <sz val="11"/>
        <color theme="1"/>
        <rFont val="等线"/>
        <family val="2"/>
        <charset val="134"/>
        <scheme val="minor"/>
      </rPr>
      <t>，或因过于沉浸精神世界而</t>
    </r>
    <r>
      <rPr>
        <b/>
        <sz val="11"/>
        <color theme="1"/>
        <rFont val="等线"/>
        <family val="3"/>
        <charset val="134"/>
        <scheme val="minor"/>
      </rPr>
      <t>与现实脱节</t>
    </r>
    <r>
      <rPr>
        <sz val="11"/>
        <color theme="1"/>
        <rFont val="等线"/>
        <family val="2"/>
        <charset val="134"/>
        <scheme val="minor"/>
      </rPr>
      <t>。</t>
    </r>
  </si>
  <si>
    <r>
      <t>7. 与地空、地劫的区别</t>
    </r>
    <r>
      <rPr>
        <sz val="11"/>
        <color theme="1"/>
        <rFont val="等线"/>
        <family val="2"/>
        <charset val="134"/>
        <scheme val="minor"/>
      </rPr>
      <t>：三者都带“孤”性。</t>
    </r>
    <r>
      <rPr>
        <b/>
        <sz val="11"/>
        <color theme="1"/>
        <rFont val="等线"/>
        <family val="3"/>
        <charset val="134"/>
        <scheme val="minor"/>
      </rPr>
      <t>地空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思想上的空幻、理想破灭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地劫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行动上的波折、物质上的破耗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华盖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精神上的孤高、才华上的卓越与宗教缘分</t>
    </r>
    <r>
      <rPr>
        <sz val="11"/>
        <color theme="1"/>
        <rFont val="等线"/>
        <family val="2"/>
        <charset val="134"/>
        <scheme val="minor"/>
      </rPr>
      <t>，其“孤”是主动选择或天赋使然。</t>
    </r>
  </si>
  <si>
    <r>
      <t>8.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寺庙、道观、教堂、美术馆、博物馆、图书馆、研究院、一切清净、高雅、富有艺术或宗教气息的场所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</si>
  <si>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孤高/艺术/宗教”及其全部引申象征（才华、哲学、神秘学、清高、孤独等）出发，系统化推导并呈现了“人/事/物”三个层次的完整解析。华盖为艺术星，主孤高才华。其核心在于“才”与“孤”，常在精神与艺术领域展现卓越天赋，但伴随超然与孤独感。其性质可吉可凶，遇文星科星则才华彰显，遇煞忌则孤克怀才。在紫占中，华盖所在即个人“才华闪光点”与“精神寄托处”之所在，提示其在艺术、宗教、哲学方面的潜力与倾向。需与地空（思想空）、地劫（行动劫）在“孤”的性质上明确区分，华盖的孤更偏向精神层面的独立与卓越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</si>
  <si>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蜚蠊星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</si>
  <si>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t>一、蜚蠊定义</t>
  </si>
  <si>
    <r>
      <t>口舌星</t>
    </r>
    <r>
      <rPr>
        <sz val="12"/>
        <color theme="1"/>
        <rFont val="等线"/>
        <family val="3"/>
        <charset val="134"/>
        <scheme val="minor"/>
      </rPr>
      <t>、阴火、</t>
    </r>
    <r>
      <rPr>
        <b/>
        <sz val="12"/>
        <color theme="1"/>
        <rFont val="等线"/>
        <family val="3"/>
        <charset val="134"/>
        <scheme val="minor"/>
      </rPr>
      <t>是非、诽谤、谣言、中伤、争吵、小人、名誉受损、言语冲突、传播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</si>
  <si>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整合自《金刚佛光-紫占课程手册》及相关权威资料，本次彻底构建以“口舌、是非”为核心，涵盖“诽谤、谣言、争吵、小人”等所有引申义的核心象征网络。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</si>
  <si>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多言、易惹是非、喜传播消息（尤其是负面）、易与人发生口角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造谣者、搬弄是非者、争吵者、小人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易因言语得罪人，招致口舌是非，人际关系紧张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</si>
  <si>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伴随口舌争吵、谣言诽谤、名誉纠纷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是非、官司、争吵、诽谤、名誉受损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需要澄清谣言、应对口舌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具有传播性、破坏性和纠纷性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</si>
  <si>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具有口舌、是非、传播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</si>
  <si>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传播媒介（如电话、网络）、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争吵工具、诽谤性文字、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</si>
  <si>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法庭、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辩论场所、舆论场、是非之地、</t>
    </r>
    <r>
      <rPr>
        <sz val="12"/>
        <color theme="1"/>
        <rFont val="等线"/>
        <family val="3"/>
        <charset val="134"/>
        <scheme val="minor"/>
      </rPr>
      <t>&lt;/ins&gt;嘈杂、冲突的形态。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</si>
  <si>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呼吸系统（咽喉）、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发声系统、因怒气影响的系统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</si>
  <si>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司法系统（口舌官司）、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媒体、舆论监督体系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</si>
  <si>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是非、谣言、争吵、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诽谤、传播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</si>
  <si>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本次解析从“口舌、是非”本质出发，系统推导出其作为“是非制造者”、“谣言象征”及“冲突代表”的多重属性，并完整映射至三层结构，特别明确了其与“咽喉”、“舆论”的关联。</t>
  </si>
  <si>
    <r>
      <t>口舌星与是非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</si>
  <si>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“口舌、是非”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丁级凶星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口舌争吵、是非诽谤、谣言中伤</t>
    </r>
    <r>
      <rPr>
        <sz val="12"/>
        <color theme="1"/>
        <rFont val="等线"/>
        <family val="3"/>
        <charset val="134"/>
        <scheme val="minor"/>
      </rPr>
      <t>。常与</t>
    </r>
    <r>
      <rPr>
        <b/>
        <sz val="12"/>
        <color theme="1"/>
        <rFont val="等线"/>
        <family val="3"/>
        <charset val="134"/>
        <scheme val="minor"/>
      </rPr>
      <t>火星、铃星</t>
    </r>
    <r>
      <rPr>
        <sz val="12"/>
        <color theme="1"/>
        <rFont val="等线"/>
        <family val="3"/>
        <charset val="134"/>
        <scheme val="minor"/>
      </rPr>
      <t>等煞星同度，加重是非性质。</t>
    </r>
  </si>
  <si>
    <t>在命宫、迁移宫、官禄宫时，主一生易惹口舌是非，需谨言慎行。</t>
  </si>
  <si>
    <r>
      <t>诽谤与谣言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</si>
  <si>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“诽谤谣言之星”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无中生有、恶意中伤、流言蜚语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名誉受损，人缘不佳</t>
    </r>
    <r>
      <rPr>
        <sz val="12"/>
        <color theme="1"/>
        <rFont val="等线"/>
        <family val="3"/>
        <charset val="134"/>
        <scheme val="minor"/>
      </rPr>
      <t>。</t>
    </r>
  </si>
  <si>
    <t>在交友宫、父母宫时，易遭人背后议论或诽谤。</t>
  </si>
  <si>
    <r>
      <t>争吵与小人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</si>
  <si>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阴火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暗中的、持续的口舌是非与小人侵害</t>
    </r>
    <r>
      <rPr>
        <sz val="12"/>
        <color theme="1"/>
        <rFont val="等线"/>
        <family val="3"/>
        <charset val="134"/>
        <scheme val="minor"/>
      </rPr>
      <t>。是非</t>
    </r>
    <r>
      <rPr>
        <b/>
        <sz val="12"/>
        <color theme="1"/>
        <rFont val="等线"/>
        <family val="3"/>
        <charset val="134"/>
        <scheme val="minor"/>
      </rPr>
      <t>多起于暗处，传播快，破坏人际关系</t>
    </r>
    <r>
      <rPr>
        <sz val="12"/>
        <color theme="1"/>
        <rFont val="等线"/>
        <family val="3"/>
        <charset val="134"/>
        <scheme val="minor"/>
      </rPr>
      <t>。</t>
    </r>
  </si>
  <si>
    <t>与巨门同度，主因口舌引发重大纠纷；在夫妻宫，主夫妻间常有争吵。</t>
  </si>
  <si>
    <r>
      <t>可能眼神锐利或游移，气质中带有些许急躁或不安分，给人以喜议论、难亲近的印象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</si>
  <si>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：无显著优点，更多体现为人生中需要面对的口舌是非课题。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</si>
  <si>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：多言多语，易惹是非，喜传播消息，易与人争吵，人缘不佳，易犯小人。</t>
    </r>
  </si>
  <si>
    <r>
      <t>属阴火，主</t>
    </r>
    <r>
      <rPr>
        <b/>
        <sz val="12"/>
        <color theme="1"/>
        <rFont val="等线"/>
        <family val="3"/>
        <charset val="134"/>
        <scheme val="minor"/>
      </rPr>
      <t>上火、炎症，尤其是咽喉炎、口腔溃疡、呼吸系统问题</t>
    </r>
    <r>
      <rPr>
        <sz val="12"/>
        <color theme="1"/>
        <rFont val="等线"/>
        <family val="3"/>
        <charset val="134"/>
        <scheme val="minor"/>
      </rPr>
      <t>，或因</t>
    </r>
    <r>
      <rPr>
        <b/>
        <sz val="12"/>
        <color theme="1"/>
        <rFont val="等线"/>
        <family val="3"/>
        <charset val="134"/>
        <scheme val="minor"/>
      </rPr>
      <t>怒气伤肝</t>
    </r>
    <r>
      <rPr>
        <sz val="12"/>
        <color theme="1"/>
        <rFont val="等线"/>
        <family val="3"/>
        <charset val="134"/>
        <scheme val="minor"/>
      </rPr>
      <t>。</t>
    </r>
  </si>
  <si>
    <t>在疾厄宫时显现，尤其与火星同度时更验上火发炎。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</si>
  <si>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心直口快，或喜议论他人，易惹口舌是非，一生需防小人诽谤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若与吉星同度可减凶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与煞星同度则口舌官非不断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</si>
  <si>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易有口角争执，或兄弟姐妹间有是非，彼此关系不睦</t>
    </r>
    <r>
      <rPr>
        <sz val="12"/>
        <color theme="1"/>
        <rFont val="等线"/>
        <family val="3"/>
        <charset val="134"/>
        <scheme val="minor"/>
      </rPr>
      <t>。</t>
    </r>
  </si>
  <si>
    <r>
      <t>夫妻间</t>
    </r>
    <r>
      <rPr>
        <b/>
        <sz val="12"/>
        <color theme="1"/>
        <rFont val="等线"/>
        <family val="3"/>
        <charset val="134"/>
        <scheme val="minor"/>
      </rPr>
      <t>易因琐事争吵，沟通不良，或配偶多言惹事，需注意言语和谐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</si>
  <si>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调皮，易与人发生口角，或子女让你操心口舌之事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</si>
  <si>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易因是非、官司而破耗，或因合作纠纷损财</t>
    </r>
    <r>
      <rPr>
        <sz val="12"/>
        <color theme="1"/>
        <rFont val="等线"/>
        <family val="3"/>
        <charset val="134"/>
        <scheme val="minor"/>
      </rPr>
      <t>。</t>
    </r>
  </si>
  <si>
    <r>
      <t>易患咽喉炎、口腔疾病、呼吸系统炎症，或因生气导致肝火旺盛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</si>
  <si>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易与人发生口角冲突，需谨言慎行，防旅途是非</t>
    </r>
    <r>
      <rPr>
        <sz val="12"/>
        <color theme="1"/>
        <rFont val="等线"/>
        <family val="3"/>
        <charset val="134"/>
        <scheme val="minor"/>
      </rPr>
      <t>。</t>
    </r>
  </si>
  <si>
    <r>
      <t>易交到多言多语、搬弄是非的朋友，或下属、同事中多小人，需防背后中伤</t>
    </r>
    <r>
      <rPr>
        <sz val="12"/>
        <color theme="1"/>
        <rFont val="等线"/>
        <family val="3"/>
        <charset val="134"/>
        <scheme val="minor"/>
      </rPr>
      <t>。</t>
    </r>
  </si>
  <si>
    <r>
      <t>事业上</t>
    </r>
    <r>
      <rPr>
        <b/>
        <sz val="12"/>
        <color theme="1"/>
        <rFont val="等线"/>
        <family val="3"/>
        <charset val="134"/>
        <scheme val="minor"/>
      </rPr>
      <t>易有口舌是非，与同事、客户关系紧张，或事业因谣言受损</t>
    </r>
    <r>
      <rPr>
        <sz val="12"/>
        <color theme="1"/>
        <rFont val="等线"/>
        <family val="3"/>
        <charset val="134"/>
        <scheme val="minor"/>
      </rPr>
      <t>。</t>
    </r>
  </si>
  <si>
    <r>
      <t>家宅不宁，家人间易有口角，或邻居是非多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</si>
  <si>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常因是非谣言而烦心，内心缺乏安宁，思虑过多</t>
    </r>
    <r>
      <rPr>
        <sz val="12"/>
        <color theme="1"/>
        <rFont val="等线"/>
        <family val="3"/>
        <charset val="134"/>
        <scheme val="minor"/>
      </rPr>
      <t>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</si>
  <si>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沟通易有摩擦，或父母多是非，需为父母之事操心口舌</t>
    </r>
    <r>
      <rPr>
        <sz val="12"/>
        <color theme="1"/>
        <rFont val="等线"/>
        <family val="3"/>
        <charset val="134"/>
        <scheme val="minor"/>
      </rPr>
      <t>。</t>
    </r>
  </si>
  <si>
    <r>
      <t>蜚蠊+巨门</t>
    </r>
    <r>
      <rPr>
        <sz val="12"/>
        <color theme="1"/>
        <rFont val="等线"/>
        <family val="3"/>
        <charset val="134"/>
        <scheme val="minor"/>
      </rPr>
      <t>​</t>
    </r>
  </si>
  <si>
    <r>
      <t>口舌叠加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是非与暗星结合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重大口舌是非、官司诉讼、公开的诽谤，杀伤力极强</t>
    </r>
    <r>
      <rPr>
        <sz val="12"/>
        <color theme="1"/>
        <rFont val="等线"/>
        <family val="3"/>
        <charset val="134"/>
        <scheme val="minor"/>
      </rPr>
      <t>。</t>
    </r>
  </si>
  <si>
    <t>因言论引发官司；遭受严重的公开诽谤。</t>
  </si>
  <si>
    <r>
      <t>蜚蠊+太阳</t>
    </r>
    <r>
      <rPr>
        <sz val="12"/>
        <color theme="1"/>
        <rFont val="等线"/>
        <family val="3"/>
        <charset val="134"/>
        <scheme val="minor"/>
      </rPr>
      <t>​</t>
    </r>
  </si>
  <si>
    <r>
      <t>口舌公开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是非与光明结合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是非公开化，易因公开言论惹祸，或名誉受损</t>
    </r>
    <r>
      <rPr>
        <sz val="12"/>
        <color theme="1"/>
        <rFont val="等线"/>
        <family val="3"/>
        <charset val="134"/>
        <scheme val="minor"/>
      </rPr>
      <t>。</t>
    </r>
  </si>
  <si>
    <t>公开场合发言失当引发争议；名誉受公开攻击。</t>
  </si>
  <si>
    <r>
      <t>蜚蠊+天机</t>
    </r>
    <r>
      <rPr>
        <sz val="12"/>
        <color theme="1"/>
        <rFont val="等线"/>
        <family val="3"/>
        <charset val="134"/>
        <scheme val="minor"/>
      </rPr>
      <t>​</t>
    </r>
  </si>
  <si>
    <r>
      <t>口舌机动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是非与谋略结合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谣言传播快，是非多源于计谋或误会，需防小人算计</t>
    </r>
    <r>
      <rPr>
        <sz val="12"/>
        <color theme="1"/>
        <rFont val="等线"/>
        <family val="3"/>
        <charset val="134"/>
        <scheme val="minor"/>
      </rPr>
      <t>。</t>
    </r>
  </si>
  <si>
    <t>被人设计散布谣言；因误会产生是非。</t>
  </si>
  <si>
    <r>
      <t>蜚蠊+太阴</t>
    </r>
    <r>
      <rPr>
        <sz val="12"/>
        <color theme="1"/>
        <rFont val="等线"/>
        <family val="3"/>
        <charset val="134"/>
        <scheme val="minor"/>
      </rPr>
      <t>​</t>
    </r>
  </si>
  <si>
    <r>
      <t>口舌暗流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是非与阴柔结合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暗中的流言蜚语、女性是非，或因财务、情感惹口舌</t>
    </r>
    <r>
      <rPr>
        <sz val="12"/>
        <color theme="1"/>
        <rFont val="等线"/>
        <family val="3"/>
        <charset val="134"/>
        <scheme val="minor"/>
      </rPr>
      <t>。</t>
    </r>
  </si>
  <si>
    <t>遭人暗中诽谤；因感情事惹是非。</t>
  </si>
  <si>
    <r>
      <t>蜚蠊+天同</t>
    </r>
    <r>
      <rPr>
        <sz val="12"/>
        <color theme="1"/>
        <rFont val="等线"/>
        <family val="3"/>
        <charset val="134"/>
        <scheme val="minor"/>
      </rPr>
      <t>​</t>
    </r>
  </si>
  <si>
    <r>
      <t>口舌福损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是非与福气矛盾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因口舌破坏和谐，享受中突生是非，乐极生悲</t>
    </r>
    <r>
      <rPr>
        <sz val="12"/>
        <color theme="1"/>
        <rFont val="等线"/>
        <family val="3"/>
        <charset val="134"/>
        <scheme val="minor"/>
      </rPr>
      <t>。</t>
    </r>
  </si>
  <si>
    <t>聚会中因言语得罪人；安逸生活被谣言打扰。</t>
  </si>
  <si>
    <r>
      <t>蜚蠊+廉贞</t>
    </r>
    <r>
      <rPr>
        <sz val="12"/>
        <color theme="1"/>
        <rFont val="等线"/>
        <family val="3"/>
        <charset val="134"/>
        <scheme val="minor"/>
      </rPr>
      <t>​</t>
    </r>
  </si>
  <si>
    <r>
      <t>口舌复杂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是非与囚星结合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口舌涉及官非、复杂人际关系，或桃色是非</t>
    </r>
    <r>
      <rPr>
        <sz val="12"/>
        <color theme="1"/>
        <rFont val="等线"/>
        <family val="3"/>
        <charset val="134"/>
        <scheme val="minor"/>
      </rPr>
      <t>。</t>
    </r>
  </si>
  <si>
    <t>因感情纠纷惹上官司；复杂人际中的口舌。</t>
  </si>
  <si>
    <r>
      <t>蜚蠊+火星</t>
    </r>
    <r>
      <rPr>
        <sz val="12"/>
        <color theme="1"/>
        <rFont val="等线"/>
        <family val="3"/>
        <charset val="134"/>
        <scheme val="minor"/>
      </rPr>
      <t>​</t>
    </r>
  </si>
  <si>
    <r>
      <t>口舌暴烈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是非与明火结合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激烈的争吵、冲突，言语伤人，是非来得快而猛</t>
    </r>
    <r>
      <rPr>
        <sz val="12"/>
        <color theme="1"/>
        <rFont val="等线"/>
        <family val="3"/>
        <charset val="134"/>
        <scheme val="minor"/>
      </rPr>
      <t>。</t>
    </r>
  </si>
  <si>
    <t>暴怒下的激烈争吵；突发性的言语冲突。</t>
  </si>
  <si>
    <r>
      <t>蜚蠊+铃星</t>
    </r>
    <r>
      <rPr>
        <sz val="12"/>
        <color theme="1"/>
        <rFont val="等线"/>
        <family val="3"/>
        <charset val="134"/>
        <scheme val="minor"/>
      </rPr>
      <t>​</t>
    </r>
  </si>
  <si>
    <r>
      <t>口舌阴火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是非与暗火结合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记仇、暗中散布谣言、长期的口舌纠缠</t>
    </r>
    <r>
      <rPr>
        <sz val="12"/>
        <color theme="1"/>
        <rFont val="等线"/>
        <family val="3"/>
        <charset val="134"/>
        <scheme val="minor"/>
      </rPr>
      <t>。</t>
    </r>
  </si>
  <si>
    <t>被人记恨并长期诽谤；纠缠不清的是非。</t>
  </si>
  <si>
    <r>
      <t>蜚蠊+擎羊</t>
    </r>
    <r>
      <rPr>
        <sz val="12"/>
        <color theme="1"/>
        <rFont val="等线"/>
        <family val="3"/>
        <charset val="134"/>
        <scheme val="minor"/>
      </rPr>
      <t>​</t>
    </r>
  </si>
  <si>
    <r>
      <t>口舌刑伤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是非与明刃结合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口舌升级为肢体冲突，或因言语招致实际伤害</t>
    </r>
    <r>
      <rPr>
        <sz val="12"/>
        <color theme="1"/>
        <rFont val="等线"/>
        <family val="3"/>
        <charset val="134"/>
        <scheme val="minor"/>
      </rPr>
      <t>。</t>
    </r>
  </si>
  <si>
    <t>吵架动手；因言论导致身体受伤。</t>
  </si>
  <si>
    <r>
      <t>蜚蠊+陀罗</t>
    </r>
    <r>
      <rPr>
        <sz val="12"/>
        <color theme="1"/>
        <rFont val="等线"/>
        <family val="3"/>
        <charset val="134"/>
        <scheme val="minor"/>
      </rPr>
      <t>​</t>
    </r>
  </si>
  <si>
    <r>
      <t>口舌拖延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是非与暗刃结合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是非反复纠缠，旧事重提，拖延难解</t>
    </r>
    <r>
      <rPr>
        <sz val="12"/>
        <color theme="1"/>
        <rFont val="等线"/>
        <family val="3"/>
        <charset val="134"/>
        <scheme val="minor"/>
      </rPr>
      <t>。</t>
    </r>
  </si>
  <si>
    <t>陈年旧怨被反复提起；是非拖延不决。</t>
  </si>
  <si>
    <r>
      <t>蜚蠊+地空</t>
    </r>
    <r>
      <rPr>
        <sz val="12"/>
        <color theme="1"/>
        <rFont val="等线"/>
        <family val="3"/>
        <charset val="134"/>
        <scheme val="minor"/>
      </rPr>
      <t>​</t>
    </r>
  </si>
  <si>
    <r>
      <t>口舌空幻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是非与空亡结合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谣言内容荒诞不实，或口舌之争最终成空</t>
    </r>
    <r>
      <rPr>
        <sz val="12"/>
        <color theme="1"/>
        <rFont val="等线"/>
        <family val="3"/>
        <charset val="134"/>
        <scheme val="minor"/>
      </rPr>
      <t>。</t>
    </r>
  </si>
  <si>
    <t>散布不实谣言；争吵后发现是误会。</t>
  </si>
  <si>
    <r>
      <t>蜚蠊+地劫</t>
    </r>
    <r>
      <rPr>
        <sz val="12"/>
        <color theme="1"/>
        <rFont val="等线"/>
        <family val="3"/>
        <charset val="134"/>
        <scheme val="minor"/>
      </rPr>
      <t>​</t>
    </r>
  </si>
  <si>
    <r>
      <t>口舌破耗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是非与破耗结合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因口舌是非导致实际损失，人际关系破裂</t>
    </r>
    <r>
      <rPr>
        <sz val="12"/>
        <color theme="1"/>
        <rFont val="等线"/>
        <family val="3"/>
        <charset val="134"/>
        <scheme val="minor"/>
      </rPr>
      <t>。</t>
    </r>
  </si>
  <si>
    <t>因是非导致合作破裂、钱财损失。</t>
  </si>
  <si>
    <r>
      <t>蜚蠊+文昌/文曲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</si>
  <si>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口舌文饰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用文字、语言进行攻击或辩护，是非与文书相关</t>
    </r>
    <r>
      <rPr>
        <sz val="12"/>
        <color theme="1"/>
        <rFont val="等线"/>
        <family val="3"/>
        <charset val="134"/>
        <scheme val="minor"/>
      </rPr>
      <t>。</t>
    </r>
  </si>
  <si>
    <t>写文章攻击他人；因合同条款起纠纷。</t>
  </si>
  <si>
    <r>
      <t>蜚蠊+天刑</t>
    </r>
    <r>
      <rPr>
        <sz val="12"/>
        <color theme="1"/>
        <rFont val="等线"/>
        <family val="3"/>
        <charset val="134"/>
        <scheme val="minor"/>
      </rPr>
      <t>​</t>
    </r>
  </si>
  <si>
    <r>
      <t>口舌官非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是非与刑律结合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口舌直接引发官司、诉讼，或受到纪律处罚</t>
    </r>
    <r>
      <rPr>
        <sz val="12"/>
        <color theme="1"/>
        <rFont val="等线"/>
        <family val="3"/>
        <charset val="134"/>
        <scheme val="minor"/>
      </rPr>
      <t>。</t>
    </r>
  </si>
  <si>
    <t>诽谤罪被起诉；因言论违反规定受罚。</t>
  </si>
  <si>
    <r>
      <t>1. “口舌星”与“是非”本质</t>
    </r>
    <r>
      <rPr>
        <sz val="11"/>
        <color theme="1"/>
        <rFont val="等线"/>
        <family val="2"/>
        <charset val="134"/>
        <scheme val="minor"/>
      </rPr>
      <t>：蜚蠊化气为</t>
    </r>
    <r>
      <rPr>
        <b/>
        <sz val="11"/>
        <color theme="1"/>
        <rFont val="等线"/>
        <family val="3"/>
        <charset val="134"/>
        <scheme val="minor"/>
      </rPr>
      <t>“诽”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口舌、是非、诽谤、谣言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容易卷入言语纠纷、名誉受损、犯小人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凶星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人际关系的破坏与名誉的损害</t>
    </r>
    <r>
      <rPr>
        <sz val="11"/>
        <color theme="1"/>
        <rFont val="等线"/>
        <family val="2"/>
        <charset val="134"/>
        <scheme val="minor"/>
      </rPr>
      <t>。</t>
    </r>
  </si>
  <si>
    <r>
      <t>2. “阴火”与“暗中传播”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阴火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暗中、持续、传播</t>
    </r>
    <r>
      <rPr>
        <sz val="11"/>
        <color theme="1"/>
        <rFont val="等线"/>
        <family val="2"/>
        <charset val="134"/>
        <scheme val="minor"/>
      </rPr>
      <t>。其“是非”性体现为</t>
    </r>
    <r>
      <rPr>
        <b/>
        <sz val="11"/>
        <color theme="1"/>
        <rFont val="等线"/>
        <family val="3"/>
        <charset val="134"/>
        <scheme val="minor"/>
      </rPr>
      <t>暗中的流言蜚语、持续的诋毁中伤</t>
    </r>
    <r>
      <rPr>
        <sz val="11"/>
        <color theme="1"/>
        <rFont val="等线"/>
        <family val="2"/>
        <charset val="134"/>
        <scheme val="minor"/>
      </rPr>
      <t>，如同阴火慢燃，不易察觉却破坏力持久。与火星的“明火”公开爆发不同，蜚蠊更偏向</t>
    </r>
    <r>
      <rPr>
        <b/>
        <sz val="11"/>
        <color theme="1"/>
        <rFont val="等线"/>
        <family val="3"/>
        <charset val="134"/>
        <scheme val="minor"/>
      </rPr>
      <t>背后的、阴性的口舌</t>
    </r>
    <r>
      <rPr>
        <sz val="11"/>
        <color theme="1"/>
        <rFont val="等线"/>
        <family val="2"/>
        <charset val="134"/>
        <scheme val="minor"/>
      </rPr>
      <t>。</t>
    </r>
  </si>
  <si>
    <r>
      <t>3. “逢吉稍解，逢煞增凶”的辩证</t>
    </r>
    <r>
      <rPr>
        <sz val="11"/>
        <color theme="1"/>
        <rFont val="等线"/>
        <family val="2"/>
        <charset val="134"/>
        <scheme val="minor"/>
      </rPr>
      <t>：蜚蠊的凶性</t>
    </r>
    <r>
      <rPr>
        <b/>
        <sz val="11"/>
        <color theme="1"/>
        <rFont val="等线"/>
        <family val="3"/>
        <charset val="134"/>
        <scheme val="minor"/>
      </rPr>
      <t>可被吉星（如天梁、天相）或科星化解</t>
    </r>
    <r>
      <rPr>
        <sz val="11"/>
        <color theme="1"/>
        <rFont val="等线"/>
        <family val="2"/>
        <charset val="134"/>
        <scheme val="minor"/>
      </rPr>
      <t>，转化为</t>
    </r>
    <r>
      <rPr>
        <b/>
        <sz val="11"/>
        <color theme="1"/>
        <rFont val="等线"/>
        <family val="3"/>
        <charset val="134"/>
        <scheme val="minor"/>
      </rPr>
      <t>言语谨慎或从事需要口才的职业（如调解、律师）</t>
    </r>
    <r>
      <rPr>
        <sz val="11"/>
        <color theme="1"/>
        <rFont val="等线"/>
        <family val="2"/>
        <charset val="134"/>
        <scheme val="minor"/>
      </rPr>
      <t>。但若</t>
    </r>
    <r>
      <rPr>
        <b/>
        <sz val="11"/>
        <color theme="1"/>
        <rFont val="等线"/>
        <family val="3"/>
        <charset val="134"/>
        <scheme val="minor"/>
      </rPr>
      <t>与煞星（火星、铃星、擎羊）或巨门同度，则口舌是非急剧加重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严重的争吵、官司或名誉扫地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</si>
  <si>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：蜚蠊所在宫位，指示在人生的哪个领域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最易发生口舌是非、招惹小人</t>
    </r>
    <r>
      <rPr>
        <sz val="11"/>
        <color theme="1"/>
        <rFont val="等线"/>
        <family val="2"/>
        <charset val="134"/>
        <scheme val="minor"/>
      </rPr>
      <t>，也是个人</t>
    </r>
    <r>
      <rPr>
        <b/>
        <sz val="11"/>
        <color theme="1"/>
        <rFont val="等线"/>
        <family val="3"/>
        <charset val="134"/>
        <scheme val="minor"/>
      </rPr>
      <t>需要特别注意言行、防范谣言的领域</t>
    </r>
    <r>
      <rPr>
        <sz val="11"/>
        <color theme="1"/>
        <rFont val="等线"/>
        <family val="2"/>
        <charset val="134"/>
        <scheme val="minor"/>
      </rPr>
      <t>。</t>
    </r>
  </si>
  <si>
    <r>
      <t>5. 健康关联</t>
    </r>
    <r>
      <rPr>
        <sz val="11"/>
        <color theme="1"/>
        <rFont val="等线"/>
        <family val="2"/>
        <charset val="134"/>
        <scheme val="minor"/>
      </rPr>
      <t>：在疾厄宫，蜚蠊常指向</t>
    </r>
    <r>
      <rPr>
        <b/>
        <sz val="11"/>
        <color theme="1"/>
        <rFont val="等线"/>
        <family val="3"/>
        <charset val="134"/>
        <scheme val="minor"/>
      </rPr>
      <t>上火、炎症类疾病</t>
    </r>
    <r>
      <rPr>
        <sz val="11"/>
        <color theme="1"/>
        <rFont val="等线"/>
        <family val="2"/>
        <charset val="134"/>
        <scheme val="minor"/>
      </rPr>
      <t>，尤其是</t>
    </r>
    <r>
      <rPr>
        <b/>
        <sz val="11"/>
        <color theme="1"/>
        <rFont val="等线"/>
        <family val="3"/>
        <charset val="134"/>
        <scheme val="minor"/>
      </rPr>
      <t>咽喉、口腔、呼吸系统</t>
    </r>
    <r>
      <rPr>
        <sz val="11"/>
        <color theme="1"/>
        <rFont val="等线"/>
        <family val="2"/>
        <charset val="134"/>
        <scheme val="minor"/>
      </rPr>
      <t>的问题，也主</t>
    </r>
    <r>
      <rPr>
        <b/>
        <sz val="11"/>
        <color theme="1"/>
        <rFont val="等线"/>
        <family val="3"/>
        <charset val="134"/>
        <scheme val="minor"/>
      </rPr>
      <t>因生气、情绪激动引发的健康问题</t>
    </r>
    <r>
      <rPr>
        <sz val="11"/>
        <color theme="1"/>
        <rFont val="等线"/>
        <family val="2"/>
        <charset val="134"/>
        <scheme val="minor"/>
      </rPr>
      <t>。</t>
    </r>
  </si>
  <si>
    <r>
      <t>6. 与火星、铃星的区别</t>
    </r>
    <r>
      <rPr>
        <sz val="11"/>
        <color theme="1"/>
        <rFont val="等线"/>
        <family val="2"/>
        <charset val="134"/>
        <scheme val="minor"/>
      </rPr>
      <t>：三者都主“火”性。</t>
    </r>
    <r>
      <rPr>
        <b/>
        <sz val="11"/>
        <color theme="1"/>
        <rFont val="等线"/>
        <family val="3"/>
        <charset val="134"/>
        <scheme val="minor"/>
      </rPr>
      <t>火星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快速、公开、激烈的冲突</t>
    </r>
    <r>
      <rPr>
        <sz val="11"/>
        <color theme="1"/>
        <rFont val="等线"/>
        <family val="2"/>
        <charset val="134"/>
        <scheme val="minor"/>
      </rPr>
      <t>（行动&gt;言语）；</t>
    </r>
    <r>
      <rPr>
        <b/>
        <sz val="11"/>
        <color theme="1"/>
        <rFont val="等线"/>
        <family val="3"/>
        <charset val="134"/>
        <scheme val="minor"/>
      </rPr>
      <t>铃星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记仇、暗中、持久的怨恨</t>
    </r>
    <r>
      <rPr>
        <sz val="11"/>
        <color theme="1"/>
        <rFont val="等线"/>
        <family val="2"/>
        <charset val="134"/>
        <scheme val="minor"/>
      </rPr>
      <t>（情绪&gt;言语）；</t>
    </r>
    <r>
      <rPr>
        <b/>
        <sz val="11"/>
        <color theme="1"/>
        <rFont val="等线"/>
        <family val="3"/>
        <charset val="134"/>
        <scheme val="minor"/>
      </rPr>
      <t>蜚蠊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口舌、是非、谣言的传播与伤害</t>
    </r>
    <r>
      <rPr>
        <sz val="11"/>
        <color theme="1"/>
        <rFont val="等线"/>
        <family val="2"/>
        <charset val="134"/>
        <scheme val="minor"/>
      </rPr>
      <t>（言语&gt;行动/情绪）。</t>
    </r>
  </si>
  <si>
    <r>
      <t>7.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法庭、辩论场、舆论聚集地（如网络论坛）、是非多的场所、一切容易发生争吵和传播谣言的地方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</si>
  <si>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口舌/是非”及其全部引申象征（诽谤、谣言、争吵、小人、传播等）出发，系统化推导并呈现了“人/事/物”三个层次的完整解析。蜚蠊为口舌星，主是非诽谤。其核心在于“言”与“非”，常在人际关系和名誉层面带来困扰与破坏。其凶性可被吉星化解，但最忌与煞星或巨门同度，则口舌官非立至。在紫占中，蜚蠊所在即个人“口舌是非点”与“小人防范处”之所在，提示需要谨言慎行，防范谣言。需与火星（暴烈）、铃星（阴恨）在伤害性质上明确区分，蜚蠊更偏向言语与名誉的伤害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</si>
  <si>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天哭星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</si>
  <si>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忧伤星</t>
    </r>
    <r>
      <rPr>
        <sz val="12"/>
        <color theme="1"/>
        <rFont val="等线"/>
        <family val="3"/>
        <charset val="134"/>
        <scheme val="minor"/>
      </rPr>
      <t>、丙火、</t>
    </r>
    <r>
      <rPr>
        <b/>
        <sz val="12"/>
        <color theme="1"/>
        <rFont val="等线"/>
        <family val="3"/>
        <charset val="134"/>
        <scheme val="minor"/>
      </rPr>
      <t>哭泣、悲伤、忧愁、烦恼、内心痛苦、刑克、是非、哭丧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</si>
  <si>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整合自《金刚佛光-紫占课程手册》及相关权威资料，本次彻底构建以“忧伤、哭泣”为核心，涵盖“悲伤、烦恼、刑克、是非”等所有引申义的核心象征网络。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</si>
  <si>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多愁善感、易悲易哭、内心痛苦、孤僻、不合群、感情易冲动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悲伤者、哭泣者、烦恼者、内心痛苦者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六亲缘薄，易有离别、争吵，带来情感伤害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</si>
  <si>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伴随悲伤、哭泣、烦恼、是非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伤心事、哭丧事、离别事、烦恼事、口舌是非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需要宣泄情感、处理悲伤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具有情感性、悲伤性和消耗性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</si>
  <si>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具有悲伤、哭泣、烦恼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</si>
  <si>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眼泪、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丧葬用品、令人伤感的物品、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</si>
  <si>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墓地、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灵堂、悲伤的场所、</t>
    </r>
    <r>
      <rPr>
        <sz val="12"/>
        <color theme="1"/>
        <rFont val="等线"/>
        <family val="3"/>
        <charset val="134"/>
        <scheme val="minor"/>
      </rPr>
      <t>&lt;/ins&gt;哭泣、哀伤的形态。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</si>
  <si>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呼吸系统（肺）、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肝脏（怒伤肝）、脾脏（思伤脾）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</si>
  <si>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殡葬行业、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心理咨询（悲伤辅导）、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</si>
  <si>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悲伤、哭泣、忧愁、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刑克、是非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</si>
  <si>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本次解析从“忧伤、哭泣”本质出发，系统推导出其作为“悲伤象征”、“哭泣者”及“烦恼代表”的多重属性，并完整映射至三层结构，特别明确了其与“肺”、“肝”、“脾”的关联。</t>
  </si>
  <si>
    <r>
      <t>忧伤星与哭泣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</si>
  <si>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“忧伤、哭泣”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丁级凶星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悲伤、忧愁、烦恼、内心痛苦、哭丧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若主星吉时，反起拉拉队作用，易出名；若主星凶时，尤其逢巨门，则起哭丧队作用</t>
    </r>
    <r>
      <rPr>
        <sz val="12"/>
        <color theme="1"/>
        <rFont val="等线"/>
        <family val="3"/>
        <charset val="134"/>
        <scheme val="minor"/>
      </rPr>
      <t>。</t>
    </r>
  </si>
  <si>
    <t>在命宫、福德宫时，主一生多愁善感，易有伤心事。</t>
  </si>
  <si>
    <r>
      <t>悲伤与烦恼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</si>
  <si>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“悲伤烦恼之星”</t>
    </r>
    <r>
      <rPr>
        <sz val="12"/>
        <color theme="1"/>
        <rFont val="等线"/>
        <family val="3"/>
        <charset val="134"/>
        <scheme val="minor"/>
      </rPr>
      <t>，代表</t>
    </r>
    <r>
      <rPr>
        <b/>
        <sz val="12"/>
        <color theme="1"/>
        <rFont val="等线"/>
        <family val="3"/>
        <charset val="134"/>
        <scheme val="minor"/>
      </rPr>
      <t>内心的痛苦、忧愁、烦恼，易因小事伤感哭泣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情绪低落，精神压抑</t>
    </r>
    <r>
      <rPr>
        <sz val="12"/>
        <color theme="1"/>
        <rFont val="等线"/>
        <family val="3"/>
        <charset val="134"/>
        <scheme val="minor"/>
      </rPr>
      <t>。</t>
    </r>
  </si>
  <si>
    <t>在六亲宫位，主与亲属缘分薄，易有伤心离别之事；在福德宫，主内心多忧多虑。</t>
  </si>
  <si>
    <r>
      <t>刑克与是非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</si>
  <si>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丙火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情感上的刑克与是非</t>
    </r>
    <r>
      <rPr>
        <sz val="12"/>
        <color theme="1"/>
        <rFont val="等线"/>
        <family val="3"/>
        <charset val="134"/>
        <scheme val="minor"/>
      </rPr>
      <t>。火性炎上，</t>
    </r>
    <r>
      <rPr>
        <b/>
        <sz val="12"/>
        <color theme="1"/>
        <rFont val="等线"/>
        <family val="3"/>
        <charset val="134"/>
        <scheme val="minor"/>
      </rPr>
      <t>悲伤情绪易外露，引发口舌是非</t>
    </r>
    <r>
      <rPr>
        <sz val="12"/>
        <color theme="1"/>
        <rFont val="等线"/>
        <family val="3"/>
        <charset val="134"/>
        <scheme val="minor"/>
      </rPr>
      <t>。亦主</t>
    </r>
    <r>
      <rPr>
        <b/>
        <sz val="12"/>
        <color theme="1"/>
        <rFont val="等线"/>
        <family val="3"/>
        <charset val="134"/>
        <scheme val="minor"/>
      </rPr>
      <t>哭丧、白事</t>
    </r>
    <r>
      <rPr>
        <sz val="12"/>
        <color theme="1"/>
        <rFont val="等线"/>
        <family val="3"/>
        <charset val="134"/>
        <scheme val="minor"/>
      </rPr>
      <t>。</t>
    </r>
  </si>
  <si>
    <t>在夫妻宫、子女宫时，主刑伤、离别；在迁移宫，主外出多招口舌是非。</t>
  </si>
  <si>
    <r>
      <t>可能面带愁容，或眼带泪光，气质忧郁，给人以悲伤、孤僻的印象</t>
    </r>
    <r>
      <rPr>
        <sz val="12"/>
        <color theme="1"/>
        <rFont val="等线"/>
        <family val="3"/>
        <charset val="134"/>
        <scheme val="minor"/>
      </rPr>
      <t>。</t>
    </r>
  </si>
  <si>
    <t>单独影响不明显，多需结合主星综合判断。</t>
  </si>
  <si>
    <r>
      <t>优点</t>
    </r>
    <r>
      <rPr>
        <sz val="12"/>
        <color theme="1"/>
        <rFont val="等线"/>
        <family val="3"/>
        <charset val="134"/>
        <scheme val="minor"/>
      </rPr>
      <t>：情感丰富，有同情心，在某些艺术表达（如悲剧）上有天赋（主星吉时）。</t>
    </r>
  </si>
  <si>
    <r>
      <t>缺点</t>
    </r>
    <r>
      <rPr>
        <sz val="12"/>
        <color theme="1"/>
        <rFont val="等线"/>
        <family val="3"/>
        <charset val="134"/>
        <scheme val="minor"/>
      </rPr>
      <t>：性格孤僻，多愁善感，易哭，内心痛苦，不合群，六亲缘薄，感情易冲动。</t>
    </r>
  </si>
  <si>
    <r>
      <t>属丙火，主</t>
    </r>
    <r>
      <rPr>
        <b/>
        <sz val="12"/>
        <color theme="1"/>
        <rFont val="等线"/>
        <family val="3"/>
        <charset val="134"/>
        <scheme val="minor"/>
      </rPr>
      <t>肺、肝、脾易患疾病</t>
    </r>
    <r>
      <rPr>
        <sz val="12"/>
        <color theme="1"/>
        <rFont val="等线"/>
        <family val="3"/>
        <charset val="134"/>
        <scheme val="minor"/>
      </rPr>
      <t>，如</t>
    </r>
    <r>
      <rPr>
        <b/>
        <sz val="12"/>
        <color theme="1"/>
        <rFont val="等线"/>
        <family val="3"/>
        <charset val="134"/>
        <scheme val="minor"/>
      </rPr>
      <t>肺部疾病、肝火旺、脾虚</t>
    </r>
    <r>
      <rPr>
        <sz val="12"/>
        <color theme="1"/>
        <rFont val="等线"/>
        <family val="3"/>
        <charset val="134"/>
        <scheme val="minor"/>
      </rPr>
      <t>，或</t>
    </r>
    <r>
      <rPr>
        <b/>
        <sz val="12"/>
        <color theme="1"/>
        <rFont val="等线"/>
        <family val="3"/>
        <charset val="134"/>
        <scheme val="minor"/>
      </rPr>
      <t>经血不足</t>
    </r>
    <r>
      <rPr>
        <sz val="12"/>
        <color theme="1"/>
        <rFont val="等线"/>
        <family val="3"/>
        <charset val="134"/>
        <scheme val="minor"/>
      </rPr>
      <t>（女命）。亦主</t>
    </r>
    <r>
      <rPr>
        <b/>
        <sz val="12"/>
        <color theme="1"/>
        <rFont val="等线"/>
        <family val="3"/>
        <charset val="134"/>
        <scheme val="minor"/>
      </rPr>
      <t>因忧伤过度影响健康</t>
    </r>
    <r>
      <rPr>
        <sz val="12"/>
        <color theme="1"/>
        <rFont val="等线"/>
        <family val="3"/>
        <charset val="134"/>
        <scheme val="minor"/>
      </rPr>
      <t>。</t>
    </r>
  </si>
  <si>
    <t>在疾厄宫时显现，尤其与煞星同度时更验。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</si>
  <si>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性格孤僻，多愁善感，奔波劳碌，一生愁苦相，终日寡欢，喜怒无常，不合群，六亲缘薄，感情易冲动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若与吉星同度可减凶，甚至因情感丰富在艺术领域出名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若与煞星或巨门同度则忧伤刑克加剧</t>
    </r>
    <r>
      <rPr>
        <sz val="12"/>
        <color theme="1"/>
        <rFont val="等线"/>
        <family val="3"/>
        <charset val="134"/>
        <scheme val="minor"/>
      </rPr>
      <t>。</t>
    </r>
  </si>
  <si>
    <r>
      <t>与兄弟姐妹</t>
    </r>
    <r>
      <rPr>
        <b/>
        <sz val="12"/>
        <color theme="1"/>
        <rFont val="等线"/>
        <family val="3"/>
        <charset val="134"/>
        <scheme val="minor"/>
      </rPr>
      <t>感情淡薄，易争吵，缘分较薄</t>
    </r>
    <r>
      <rPr>
        <sz val="12"/>
        <color theme="1"/>
        <rFont val="等线"/>
        <family val="3"/>
        <charset val="134"/>
        <scheme val="minor"/>
      </rPr>
      <t>。</t>
    </r>
  </si>
  <si>
    <r>
      <t>夫妻关系</t>
    </r>
    <r>
      <rPr>
        <b/>
        <sz val="12"/>
        <color theme="1"/>
        <rFont val="等线"/>
        <family val="3"/>
        <charset val="134"/>
        <scheme val="minor"/>
      </rPr>
      <t>主刑伤，易起争执或争吵，难沟通，聚少离多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</si>
  <si>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缘分较薄，难沟通，或子女长大后远离自己。女命主易有堕胎、流产等事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</si>
  <si>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易破耗，左手进右手出，如过路财神，不容易存住钱。大小限逢之，多虚名虚利</t>
    </r>
    <r>
      <rPr>
        <sz val="12"/>
        <color theme="1"/>
        <rFont val="等线"/>
        <family val="3"/>
        <charset val="134"/>
        <scheme val="minor"/>
      </rPr>
      <t>。</t>
    </r>
  </si>
  <si>
    <r>
      <t>脾脏、肝脏、肺部易患疾病，或有经血不足等疾病</t>
    </r>
    <r>
      <rPr>
        <sz val="12"/>
        <color theme="1"/>
        <rFont val="等线"/>
        <family val="3"/>
        <charset val="134"/>
        <scheme val="minor"/>
      </rPr>
      <t>。</t>
    </r>
  </si>
  <si>
    <r>
      <t>外出</t>
    </r>
    <r>
      <rPr>
        <b/>
        <sz val="12"/>
        <color theme="1"/>
        <rFont val="等线"/>
        <family val="3"/>
        <charset val="134"/>
        <scheme val="minor"/>
      </rPr>
      <t>主出外离祖，多招口舌是非。限行遇之，主有伤心哀泣之事临头</t>
    </r>
    <r>
      <rPr>
        <sz val="12"/>
        <color theme="1"/>
        <rFont val="等线"/>
        <family val="3"/>
        <charset val="134"/>
        <scheme val="minor"/>
      </rPr>
      <t>。</t>
    </r>
  </si>
  <si>
    <r>
      <t>易与朋友、同事或属下不和，或者被别人欺侮</t>
    </r>
    <r>
      <rPr>
        <sz val="12"/>
        <color theme="1"/>
        <rFont val="等线"/>
        <family val="3"/>
        <charset val="134"/>
        <scheme val="minor"/>
      </rPr>
      <t>。</t>
    </r>
  </si>
  <si>
    <r>
      <t>事业上</t>
    </r>
    <r>
      <rPr>
        <b/>
        <sz val="12"/>
        <color theme="1"/>
        <rFont val="等线"/>
        <family val="3"/>
        <charset val="134"/>
        <scheme val="minor"/>
      </rPr>
      <t>主虚名，做事易患得患失、爱幻想、不切实际</t>
    </r>
    <r>
      <rPr>
        <sz val="12"/>
        <color theme="1"/>
        <rFont val="等线"/>
        <family val="3"/>
        <charset val="134"/>
        <scheme val="minor"/>
      </rPr>
      <t>。</t>
    </r>
  </si>
  <si>
    <r>
      <t>很难有自己的房子，通常会租住别人的房子。如宫中有吉星坐守，主中年以后置产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</si>
  <si>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福分浅薄，一生无福，且老来孤独</t>
    </r>
    <r>
      <rPr>
        <sz val="12"/>
        <color theme="1"/>
        <rFont val="等线"/>
        <family val="3"/>
        <charset val="134"/>
        <scheme val="minor"/>
      </rPr>
      <t>。</t>
    </r>
  </si>
  <si>
    <r>
      <t>与父母</t>
    </r>
    <r>
      <rPr>
        <b/>
        <sz val="12"/>
        <color theme="1"/>
        <rFont val="等线"/>
        <family val="3"/>
        <charset val="134"/>
        <scheme val="minor"/>
      </rPr>
      <t>缘分薄，亲情淡薄，说不上话，且容易破荡家产，变卖田庄</t>
    </r>
    <r>
      <rPr>
        <sz val="12"/>
        <color theme="1"/>
        <rFont val="等线"/>
        <family val="3"/>
        <charset val="134"/>
        <scheme val="minor"/>
      </rPr>
      <t>。</t>
    </r>
  </si>
  <si>
    <r>
      <t>天哭+巨门</t>
    </r>
    <r>
      <rPr>
        <sz val="12"/>
        <color theme="1"/>
        <rFont val="等线"/>
        <family val="3"/>
        <charset val="134"/>
        <scheme val="minor"/>
      </rPr>
      <t>​</t>
    </r>
  </si>
  <si>
    <r>
      <t>哭遇暗星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悲伤与是非结合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重大悲伤事，哭丧，或因口舌是非引发巨大悲伤</t>
    </r>
    <r>
      <rPr>
        <sz val="12"/>
        <color theme="1"/>
        <rFont val="等线"/>
        <family val="3"/>
        <charset val="134"/>
        <scheme val="minor"/>
      </rPr>
      <t>。此为典型的“哭丧队”组合，凶性显著。</t>
    </r>
  </si>
  <si>
    <t>亲人离世；因诽谤谣言导致极度悲伤。</t>
  </si>
  <si>
    <r>
      <t>天哭+太阳</t>
    </r>
    <r>
      <rPr>
        <sz val="12"/>
        <color theme="1"/>
        <rFont val="等线"/>
        <family val="3"/>
        <charset val="134"/>
        <scheme val="minor"/>
      </rPr>
      <t>​</t>
    </r>
  </si>
  <si>
    <r>
      <t>哭遇日星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悲伤与公开结合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公开的悲伤、哭泣，或名誉受损引发的伤心</t>
    </r>
    <r>
      <rPr>
        <sz val="12"/>
        <color theme="1"/>
        <rFont val="等线"/>
        <family val="3"/>
        <charset val="134"/>
        <scheme val="minor"/>
      </rPr>
      <t>（太阳庙旺则公开，落陷则隐藏）。</t>
    </r>
  </si>
  <si>
    <t>公开场合失态痛哭；因公开事件名誉受损而伤心。</t>
  </si>
  <si>
    <r>
      <t>天哭+天机</t>
    </r>
    <r>
      <rPr>
        <sz val="12"/>
        <color theme="1"/>
        <rFont val="等线"/>
        <family val="3"/>
        <charset val="134"/>
        <scheme val="minor"/>
      </rPr>
      <t>​</t>
    </r>
  </si>
  <si>
    <r>
      <t>哭遇机星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悲伤与变动结合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因变动、计划失败而伤心，悲伤感情感染力强，传播速度快</t>
    </r>
    <r>
      <rPr>
        <sz val="12"/>
        <color theme="1"/>
        <rFont val="等线"/>
        <family val="3"/>
        <charset val="134"/>
        <scheme val="minor"/>
      </rPr>
      <t>。</t>
    </r>
  </si>
  <si>
    <t>计划流产而沮丧；悲伤情绪迅速感染他人。</t>
  </si>
  <si>
    <r>
      <t>天哭+武曲</t>
    </r>
    <r>
      <rPr>
        <sz val="12"/>
        <color theme="1"/>
        <rFont val="等线"/>
        <family val="3"/>
        <charset val="134"/>
        <scheme val="minor"/>
      </rPr>
      <t>​</t>
    </r>
  </si>
  <si>
    <r>
      <t>哭遇将星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悲伤与刚毅结合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为钱财伤心，或身体病痛（骨、牙）带来的悲伤</t>
    </r>
    <r>
      <rPr>
        <sz val="12"/>
        <color theme="1"/>
        <rFont val="等线"/>
        <family val="3"/>
        <charset val="134"/>
        <scheme val="minor"/>
      </rPr>
      <t>。</t>
    </r>
  </si>
  <si>
    <t>投资失败痛心疾首；牙痛、骨痛难忍而哭。</t>
  </si>
  <si>
    <r>
      <t>天哭+天同</t>
    </r>
    <r>
      <rPr>
        <sz val="12"/>
        <color theme="1"/>
        <rFont val="等线"/>
        <family val="3"/>
        <charset val="134"/>
        <scheme val="minor"/>
      </rPr>
      <t>​</t>
    </r>
  </si>
  <si>
    <r>
      <t>哭遇福星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悲伤与福气矛盾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感受到悲伤（不一定是自己），或同情他人而伤心</t>
    </r>
    <r>
      <rPr>
        <sz val="12"/>
        <color theme="1"/>
        <rFont val="等线"/>
        <family val="3"/>
        <charset val="134"/>
        <scheme val="minor"/>
      </rPr>
      <t>。</t>
    </r>
  </si>
  <si>
    <t>看悲剧电影流泪；因他人不幸而感同身受。</t>
  </si>
  <si>
    <r>
      <t>天哭+廉贞</t>
    </r>
    <r>
      <rPr>
        <sz val="12"/>
        <color theme="1"/>
        <rFont val="等线"/>
        <family val="3"/>
        <charset val="134"/>
        <scheme val="minor"/>
      </rPr>
      <t>​</t>
    </r>
  </si>
  <si>
    <r>
      <t>哭遇囚星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悲伤与纠缠结合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伤心事一直缠绕心头，或电子产品故障带来烦恼</t>
    </r>
    <r>
      <rPr>
        <sz val="12"/>
        <color theme="1"/>
        <rFont val="等线"/>
        <family val="3"/>
        <charset val="134"/>
        <scheme val="minor"/>
      </rPr>
      <t>。</t>
    </r>
  </si>
  <si>
    <t>失恋后久久不能释怀；电脑死机导致工作丢失而崩溃。</t>
  </si>
  <si>
    <r>
      <t>天哭+天府</t>
    </r>
    <r>
      <rPr>
        <sz val="12"/>
        <color theme="1"/>
        <rFont val="等线"/>
        <family val="3"/>
        <charset val="134"/>
        <scheme val="minor"/>
      </rPr>
      <t>​</t>
    </r>
  </si>
  <si>
    <r>
      <t>哭遇库星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悲伤与包容结合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内心悲伤，或家宅、国家、民族层面的悲伤</t>
    </r>
    <r>
      <rPr>
        <sz val="12"/>
        <color theme="1"/>
        <rFont val="等线"/>
        <family val="3"/>
        <charset val="134"/>
        <scheme val="minor"/>
      </rPr>
      <t>。</t>
    </r>
  </si>
  <si>
    <t>家道中落暗自神伤；为国难悲痛。</t>
  </si>
  <si>
    <r>
      <t>天哭+太阴</t>
    </r>
    <r>
      <rPr>
        <sz val="12"/>
        <color theme="1"/>
        <rFont val="等线"/>
        <family val="3"/>
        <charset val="134"/>
        <scheme val="minor"/>
      </rPr>
      <t>​</t>
    </r>
  </si>
  <si>
    <r>
      <t>哭遇月星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悲伤与储存结合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储存悲伤（太阴庙旺储满，落陷不满），或为守财而苦恼</t>
    </r>
    <r>
      <rPr>
        <sz val="12"/>
        <color theme="1"/>
        <rFont val="等线"/>
        <family val="3"/>
        <charset val="134"/>
        <scheme val="minor"/>
      </rPr>
      <t>。</t>
    </r>
  </si>
  <si>
    <t>积压的委屈爆发；守财奴为花钱心疼。</t>
  </si>
  <si>
    <r>
      <t>天哭+贪狼</t>
    </r>
    <r>
      <rPr>
        <sz val="12"/>
        <color theme="1"/>
        <rFont val="等线"/>
        <family val="3"/>
        <charset val="134"/>
        <scheme val="minor"/>
      </rPr>
      <t>​</t>
    </r>
  </si>
  <si>
    <r>
      <t>哭遇欲星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悲伤与欲望结合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因欲望得不到满足而伤心，或身体某处疼痛（肉疼）</t>
    </r>
    <r>
      <rPr>
        <sz val="12"/>
        <color theme="1"/>
        <rFont val="等线"/>
        <family val="3"/>
        <charset val="134"/>
        <scheme val="minor"/>
      </rPr>
      <t>。</t>
    </r>
  </si>
  <si>
    <t>求不得之苦；受伤疼痛而哭。</t>
  </si>
  <si>
    <r>
      <t>天哭+天相</t>
    </r>
    <r>
      <rPr>
        <sz val="12"/>
        <color theme="1"/>
        <rFont val="等线"/>
        <family val="3"/>
        <charset val="134"/>
        <scheme val="minor"/>
      </rPr>
      <t>​</t>
    </r>
  </si>
  <si>
    <r>
      <t>哭遇印星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悲伤与相貌结合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长相带苦相或惹人怜爱，感情中有陪伴但不开心</t>
    </r>
    <r>
      <rPr>
        <sz val="12"/>
        <color theme="1"/>
        <rFont val="等线"/>
        <family val="3"/>
        <charset val="134"/>
        <scheme val="minor"/>
      </rPr>
      <t>。</t>
    </r>
  </si>
  <si>
    <t>天生苦瓜脸；婚姻中有陪伴但缺乏快乐。</t>
  </si>
  <si>
    <r>
      <t>天哭+七杀</t>
    </r>
    <r>
      <rPr>
        <sz val="12"/>
        <color theme="1"/>
        <rFont val="等线"/>
        <family val="3"/>
        <charset val="134"/>
        <scheme val="minor"/>
      </rPr>
      <t>​</t>
    </r>
  </si>
  <si>
    <r>
      <t>哭遇杀星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悲伤与肃杀结合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平面（如玻璃、显示屏）相关哭泣，或一直哭</t>
    </r>
    <r>
      <rPr>
        <sz val="12"/>
        <color theme="1"/>
        <rFont val="等线"/>
        <family val="3"/>
        <charset val="134"/>
        <scheme val="minor"/>
      </rPr>
      <t>。</t>
    </r>
  </si>
  <si>
    <t>看着照片哭泣；长时间沉浸在悲伤中。</t>
  </si>
  <si>
    <r>
      <t>天哭+破军</t>
    </r>
    <r>
      <rPr>
        <sz val="12"/>
        <color theme="1"/>
        <rFont val="等线"/>
        <family val="3"/>
        <charset val="134"/>
        <scheme val="minor"/>
      </rPr>
      <t>​</t>
    </r>
  </si>
  <si>
    <r>
      <t>哭遇耗星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悲伤与破坏结合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因破坏而伤心，或感情无法突破而悲伤，或吓哭别人</t>
    </r>
    <r>
      <rPr>
        <sz val="12"/>
        <color theme="1"/>
        <rFont val="等线"/>
        <family val="3"/>
        <charset val="134"/>
        <scheme val="minor"/>
      </rPr>
      <t>。</t>
    </r>
  </si>
  <si>
    <t>东西被打碎而伤心；单相思无法突破而痛苦。</t>
  </si>
  <si>
    <r>
      <t>天哭+文昌</t>
    </r>
    <r>
      <rPr>
        <sz val="12"/>
        <color theme="1"/>
        <rFont val="等线"/>
        <family val="3"/>
        <charset val="134"/>
        <scheme val="minor"/>
      </rPr>
      <t>​</t>
    </r>
  </si>
  <si>
    <r>
      <t>哭遇昌星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悲伤与文采结合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哭错了（白伤心），或传播悲伤事</t>
    </r>
    <r>
      <rPr>
        <sz val="12"/>
        <color theme="1"/>
        <rFont val="等线"/>
        <family val="3"/>
        <charset val="134"/>
        <scheme val="minor"/>
      </rPr>
      <t>。</t>
    </r>
  </si>
  <si>
    <t>误会解除后发现白哭一场；写悲伤文章。</t>
  </si>
  <si>
    <r>
      <t>天哭+文曲</t>
    </r>
    <r>
      <rPr>
        <sz val="12"/>
        <color theme="1"/>
        <rFont val="等线"/>
        <family val="3"/>
        <charset val="134"/>
        <scheme val="minor"/>
      </rPr>
      <t>​</t>
    </r>
  </si>
  <si>
    <r>
      <t>哭遇曲星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悲伤与内容结合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悲伤的内容</t>
    </r>
    <r>
      <rPr>
        <sz val="12"/>
        <color theme="1"/>
        <rFont val="等线"/>
        <family val="3"/>
        <charset val="134"/>
        <scheme val="minor"/>
      </rPr>
      <t>。</t>
    </r>
  </si>
  <si>
    <t>创作悲伤的歌曲、故事。</t>
  </si>
  <si>
    <r>
      <t>天哭+铃星</t>
    </r>
    <r>
      <rPr>
        <sz val="12"/>
        <color theme="1"/>
        <rFont val="等线"/>
        <family val="3"/>
        <charset val="134"/>
        <scheme val="minor"/>
      </rPr>
      <t>​</t>
    </r>
  </si>
  <si>
    <r>
      <t>哭遇铃星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悲伤与阴火结合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嘤嘤嘤地哭，又烦又悲伤</t>
    </r>
    <r>
      <rPr>
        <sz val="12"/>
        <color theme="1"/>
        <rFont val="等线"/>
        <family val="3"/>
        <charset val="134"/>
        <scheme val="minor"/>
      </rPr>
      <t>。</t>
    </r>
  </si>
  <si>
    <t>委屈地小声抽泣；烦躁又伤心。</t>
  </si>
  <si>
    <r>
      <t>天哭+火星</t>
    </r>
    <r>
      <rPr>
        <sz val="12"/>
        <color theme="1"/>
        <rFont val="等线"/>
        <family val="3"/>
        <charset val="134"/>
        <scheme val="minor"/>
      </rPr>
      <t>​</t>
    </r>
  </si>
  <si>
    <r>
      <t>哭遇火星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悲伤与明火结合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突发伤心事，大哭</t>
    </r>
    <r>
      <rPr>
        <sz val="12"/>
        <color theme="1"/>
        <rFont val="等线"/>
        <family val="3"/>
        <charset val="134"/>
        <scheme val="minor"/>
      </rPr>
      <t>。</t>
    </r>
  </si>
  <si>
    <t>突然接到噩耗嚎啕大哭。</t>
  </si>
  <si>
    <r>
      <t>天哭+天虚</t>
    </r>
    <r>
      <rPr>
        <sz val="12"/>
        <color theme="1"/>
        <rFont val="等线"/>
        <family val="3"/>
        <charset val="134"/>
        <scheme val="minor"/>
      </rPr>
      <t>​</t>
    </r>
  </si>
  <si>
    <r>
      <t>哭遇虚星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悲伤与虚弱结合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又悲伤又虚弱，完全无奈</t>
    </r>
    <r>
      <rPr>
        <sz val="12"/>
        <color theme="1"/>
        <rFont val="等线"/>
        <family val="3"/>
        <charset val="134"/>
        <scheme val="minor"/>
      </rPr>
      <t>。</t>
    </r>
  </si>
  <si>
    <t>病中悲伤，无力哭泣。</t>
  </si>
  <si>
    <r>
      <t>1. “忧伤星”与“哭泣”本质</t>
    </r>
    <r>
      <rPr>
        <sz val="11"/>
        <color theme="1"/>
        <rFont val="等线"/>
        <family val="2"/>
        <charset val="134"/>
        <scheme val="minor"/>
      </rPr>
      <t>：天哭化气为</t>
    </r>
    <r>
      <rPr>
        <b/>
        <sz val="11"/>
        <color theme="1"/>
        <rFont val="等线"/>
        <family val="3"/>
        <charset val="134"/>
        <scheme val="minor"/>
      </rPr>
      <t>“哭”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悲伤、哭泣、忧愁、烦恼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容易经历伤心事、情感丰富且易外露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带感情性的星曜</t>
    </r>
    <r>
      <rPr>
        <sz val="11"/>
        <color theme="1"/>
        <rFont val="等线"/>
        <family val="2"/>
        <charset val="134"/>
        <scheme val="minor"/>
      </rPr>
      <t>，其吉凶很大程度上取决于</t>
    </r>
    <r>
      <rPr>
        <b/>
        <sz val="11"/>
        <color theme="1"/>
        <rFont val="等线"/>
        <family val="3"/>
        <charset val="134"/>
        <scheme val="minor"/>
      </rPr>
      <t>所会主星的强弱</t>
    </r>
    <r>
      <rPr>
        <sz val="11"/>
        <color theme="1"/>
        <rFont val="等线"/>
        <family val="2"/>
        <charset val="134"/>
        <scheme val="minor"/>
      </rPr>
      <t>。</t>
    </r>
  </si>
  <si>
    <r>
      <t>2. “丙火”与“情感外露”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丙火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炎上、外露</t>
    </r>
    <r>
      <rPr>
        <sz val="11"/>
        <color theme="1"/>
        <rFont val="等线"/>
        <family val="2"/>
        <charset val="134"/>
        <scheme val="minor"/>
      </rPr>
      <t>。其“哭”性体现为</t>
    </r>
    <r>
      <rPr>
        <b/>
        <sz val="11"/>
        <color theme="1"/>
        <rFont val="等线"/>
        <family val="3"/>
        <charset val="134"/>
        <scheme val="minor"/>
      </rPr>
      <t>情感丰富、易感动、悲伤情绪容易表现出来</t>
    </r>
    <r>
      <rPr>
        <sz val="11"/>
        <color theme="1"/>
        <rFont val="等线"/>
        <family val="2"/>
        <charset val="134"/>
        <scheme val="minor"/>
      </rPr>
      <t>。与天虚（阴土）的内敛虚弱不同，天哭的悲伤是</t>
    </r>
    <r>
      <rPr>
        <b/>
        <sz val="11"/>
        <color theme="1"/>
        <rFont val="等线"/>
        <family val="3"/>
        <charset val="134"/>
        <scheme val="minor"/>
      </rPr>
      <t>外显的、有感染力的</t>
    </r>
    <r>
      <rPr>
        <sz val="11"/>
        <color theme="1"/>
        <rFont val="等线"/>
        <family val="2"/>
        <charset val="134"/>
        <scheme val="minor"/>
      </rPr>
      <t>。</t>
    </r>
  </si>
  <si>
    <r>
      <t>3. “逢吉则名，逢凶则丧”的辩证</t>
    </r>
    <r>
      <rPr>
        <sz val="11"/>
        <color theme="1"/>
        <rFont val="等线"/>
        <family val="2"/>
        <charset val="134"/>
        <scheme val="minor"/>
      </rPr>
      <t>：天哭的凶性</t>
    </r>
    <r>
      <rPr>
        <b/>
        <sz val="11"/>
        <color theme="1"/>
        <rFont val="等线"/>
        <family val="3"/>
        <charset val="134"/>
        <scheme val="minor"/>
      </rPr>
      <t>在主星吉利、庙旺时，反而能起“拉拉队”作用，易因情感丰富、感染力强而在文艺、表演等领域出名</t>
    </r>
    <r>
      <rPr>
        <sz val="11"/>
        <color theme="1"/>
        <rFont val="等线"/>
        <family val="2"/>
        <charset val="134"/>
        <scheme val="minor"/>
      </rPr>
      <t>。但若</t>
    </r>
    <r>
      <rPr>
        <b/>
        <sz val="11"/>
        <color theme="1"/>
        <rFont val="等线"/>
        <family val="3"/>
        <charset val="134"/>
        <scheme val="minor"/>
      </rPr>
      <t>主星凶陷，尤其与巨门等凶星同度，则起“哭丧队”作用，主真正的悲伤刑克之事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</si>
  <si>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：天哭所在宫位，指示在人生的哪个领域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最易感到悲伤、发生哭泣之事或引发烦恼</t>
    </r>
    <r>
      <rPr>
        <sz val="11"/>
        <color theme="1"/>
        <rFont val="等线"/>
        <family val="2"/>
        <charset val="134"/>
        <scheme val="minor"/>
      </rPr>
      <t>。例如在迁移宫主外出伤心，在父母宫主与父母缘薄。</t>
    </r>
  </si>
  <si>
    <r>
      <t>5. 健康关联</t>
    </r>
    <r>
      <rPr>
        <sz val="11"/>
        <color theme="1"/>
        <rFont val="等线"/>
        <family val="2"/>
        <charset val="134"/>
        <scheme val="minor"/>
      </rPr>
      <t>：在疾厄宫，天哭常指向</t>
    </r>
    <r>
      <rPr>
        <b/>
        <sz val="11"/>
        <color theme="1"/>
        <rFont val="等线"/>
        <family val="3"/>
        <charset val="134"/>
        <scheme val="minor"/>
      </rPr>
      <t>肺、肝、脾等脏腑的疾病</t>
    </r>
    <r>
      <rPr>
        <sz val="11"/>
        <color theme="1"/>
        <rFont val="等线"/>
        <family val="2"/>
        <charset val="134"/>
        <scheme val="minor"/>
      </rPr>
      <t>，中医认为“悲忧伤肺”、“怒伤肝”、“思伤脾”，与此星呼应。</t>
    </r>
  </si>
  <si>
    <r>
      <t>6. 与天虚的区别</t>
    </r>
    <r>
      <rPr>
        <sz val="11"/>
        <color theme="1"/>
        <rFont val="等线"/>
        <family val="2"/>
        <charset val="134"/>
        <scheme val="minor"/>
      </rPr>
      <t>：二者都主“虚”和“悲”。</t>
    </r>
    <r>
      <rPr>
        <b/>
        <sz val="11"/>
        <color theme="1"/>
        <rFont val="等线"/>
        <family val="3"/>
        <charset val="134"/>
        <scheme val="minor"/>
      </rPr>
      <t>天虚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内心空虚、虚弱、不实在</t>
    </r>
    <r>
      <rPr>
        <sz val="11"/>
        <color theme="1"/>
        <rFont val="等线"/>
        <family val="2"/>
        <charset val="134"/>
        <scheme val="minor"/>
      </rPr>
      <t>，悲伤是</t>
    </r>
    <r>
      <rPr>
        <b/>
        <sz val="11"/>
        <color theme="1"/>
        <rFont val="等线"/>
        <family val="3"/>
        <charset val="134"/>
        <scheme val="minor"/>
      </rPr>
      <t>内在的、持久的虚弱感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天哭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外在的哭泣、悲伤情绪的表达</t>
    </r>
    <r>
      <rPr>
        <sz val="11"/>
        <color theme="1"/>
        <rFont val="等线"/>
        <family val="2"/>
        <charset val="134"/>
        <scheme val="minor"/>
      </rPr>
      <t>，是</t>
    </r>
    <r>
      <rPr>
        <b/>
        <sz val="11"/>
        <color theme="1"/>
        <rFont val="等线"/>
        <family val="3"/>
        <charset val="134"/>
        <scheme val="minor"/>
      </rPr>
      <t>情感的直接宣泄</t>
    </r>
    <r>
      <rPr>
        <sz val="11"/>
        <color theme="1"/>
        <rFont val="等线"/>
        <family val="2"/>
        <charset val="134"/>
        <scheme val="minor"/>
      </rPr>
      <t>。</t>
    </r>
  </si>
  <si>
    <r>
      <t>7.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墓地、灵堂、一切令人悲伤、哭泣的场所，以及剧院、电影院等情感宣泄的场所（吉时）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</si>
  <si>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忧伤/哭泣”及其全部引申象征（悲伤、烦恼、刑克、是非等）出发，系统化推导并呈现了“人/事/物”三个层次的完整解析。天哭为忧伤星，主哭泣悲伤。其核心在于“悲”与“哭”，常在情感层面带来丰富的体验与表达。其性质可吉可凶，遇吉星庙旺则情感丰沛易出名，遇凶星陷地则多悲哭刑克之事。在紫占中，天哭所在即个人“情感敏感点”与“悲伤触发处”之所在，提示其情感表达模式与易伤心的领域。需与天虚（内虚）在“虚”的性质上明确区分，天哭更偏向情感的外露与宣泄。</t>
  </si>
  <si>
    <r>
      <t>根据《金刚佛光-紫占课程手册》及紫微斗数体系，并严格应用修正后的逻辑，现对</t>
    </r>
    <r>
      <rPr>
        <b/>
        <sz val="11"/>
        <color theme="1"/>
        <rFont val="等线"/>
        <family val="3"/>
        <charset val="134"/>
        <scheme val="minor"/>
      </rPr>
      <t>天厨星</t>
    </r>
    <r>
      <rPr>
        <sz val="11"/>
        <color theme="1"/>
        <rFont val="等线"/>
        <family val="2"/>
        <charset val="134"/>
        <scheme val="minor"/>
      </rPr>
      <t>进行完整象义解析。本次解析将首先</t>
    </r>
    <r>
      <rPr>
        <b/>
        <sz val="11"/>
        <color theme="1"/>
        <rFont val="等线"/>
        <family val="3"/>
        <charset val="134"/>
        <scheme val="minor"/>
      </rPr>
      <t>穷举其核心象征网络</t>
    </r>
    <r>
      <rPr>
        <sz val="11"/>
        <color theme="1"/>
        <rFont val="等线"/>
        <family val="2"/>
        <charset val="134"/>
        <scheme val="minor"/>
      </rPr>
      <t>，并确保每个象征都在“人、事、物”三层中得到彻底展开。</t>
    </r>
  </si>
  <si>
    <r>
      <t>食禄星</t>
    </r>
    <r>
      <rPr>
        <sz val="12"/>
        <color theme="1"/>
        <rFont val="等线"/>
        <family val="3"/>
        <charset val="134"/>
        <scheme val="minor"/>
      </rPr>
      <t>、阴土、</t>
    </r>
    <r>
      <rPr>
        <b/>
        <sz val="12"/>
        <color theme="1"/>
        <rFont val="等线"/>
        <family val="3"/>
        <charset val="134"/>
        <scheme val="minor"/>
      </rPr>
      <t>福气、口福、烹饪、宴饮、俸禄、才华、享受、稳定</t>
    </r>
    <r>
      <rPr>
        <sz val="12"/>
        <color theme="1"/>
        <rFont val="等线"/>
        <family val="3"/>
        <charset val="134"/>
        <scheme val="minor"/>
      </rPr>
      <t>​</t>
    </r>
  </si>
  <si>
    <t>整合自《金刚佛光-紫占课程手册》及相关权威资料，本次彻底构建以“食禄、福气”为核心，涵盖“烹饪、才华、享受、稳定”等所有引申义的核心象征网络。</t>
  </si>
  <si>
    <r>
      <t>1. 人（性格、行为、关系）：</t>
    </r>
    <r>
      <rPr>
        <sz val="12"/>
        <color theme="1"/>
        <rFont val="等线"/>
        <family val="3"/>
        <charset val="134"/>
        <scheme val="minor"/>
      </rPr>
      <t>​ 性格</t>
    </r>
    <r>
      <rPr>
        <b/>
        <sz val="12"/>
        <color theme="1"/>
        <rFont val="等线"/>
        <family val="3"/>
        <charset val="134"/>
        <scheme val="minor"/>
      </rPr>
      <t>温和、喜享受、有口福、有烹饪或管理才华、懂得生活情趣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厨师、美食家、有福之人、享受生活者、有稳定收入者</t>
    </r>
    <r>
      <rPr>
        <sz val="12"/>
        <color theme="1"/>
        <rFont val="等线"/>
        <family val="3"/>
        <charset val="134"/>
        <scheme val="minor"/>
      </rPr>
      <t>的代表。人际关系上，</t>
    </r>
    <r>
      <rPr>
        <b/>
        <sz val="12"/>
        <color theme="1"/>
        <rFont val="等线"/>
        <family val="3"/>
        <charset val="134"/>
        <scheme val="minor"/>
      </rPr>
      <t>待人宽厚，喜宴请聚会，人缘佳</t>
    </r>
    <r>
      <rPr>
        <sz val="12"/>
        <color theme="1"/>
        <rFont val="等线"/>
        <family val="3"/>
        <charset val="134"/>
        <scheme val="minor"/>
      </rPr>
      <t>。</t>
    </r>
  </si>
  <si>
    <r>
      <t>2. 事（事件、过程）：</t>
    </r>
    <r>
      <rPr>
        <sz val="12"/>
        <color theme="1"/>
        <rFont val="等线"/>
        <family val="3"/>
        <charset val="134"/>
        <scheme val="minor"/>
      </rPr>
      <t>​ 事件发展过程</t>
    </r>
    <r>
      <rPr>
        <b/>
        <sz val="12"/>
        <color theme="1"/>
        <rFont val="等线"/>
        <family val="3"/>
        <charset val="134"/>
        <scheme val="minor"/>
      </rPr>
      <t>与美食、宴饮、享受、稳定收入相关</t>
    </r>
    <r>
      <rPr>
        <sz val="12"/>
        <color theme="1"/>
        <rFont val="等线"/>
        <family val="3"/>
        <charset val="134"/>
        <scheme val="minor"/>
      </rPr>
      <t>。主</t>
    </r>
    <r>
      <rPr>
        <b/>
        <sz val="12"/>
        <color theme="1"/>
        <rFont val="等线"/>
        <family val="3"/>
        <charset val="134"/>
        <scheme val="minor"/>
      </rPr>
      <t>烹饪、聚餐、获得俸禄或稳定收入、才华得到认可</t>
    </r>
    <r>
      <rPr>
        <sz val="12"/>
        <color theme="1"/>
        <rFont val="等线"/>
        <family val="3"/>
        <charset val="134"/>
        <scheme val="minor"/>
      </rPr>
      <t>。代表</t>
    </r>
    <r>
      <rPr>
        <b/>
        <sz val="12"/>
        <color theme="1"/>
        <rFont val="等线"/>
        <family val="3"/>
        <charset val="134"/>
        <scheme val="minor"/>
      </rPr>
      <t>需要享受生活、发挥才华、获得稳定回报</t>
    </r>
    <r>
      <rPr>
        <sz val="12"/>
        <color theme="1"/>
        <rFont val="等线"/>
        <family val="3"/>
        <charset val="134"/>
        <scheme val="minor"/>
      </rPr>
      <t>的事务。过程</t>
    </r>
    <r>
      <rPr>
        <b/>
        <sz val="12"/>
        <color theme="1"/>
        <rFont val="等线"/>
        <family val="3"/>
        <charset val="134"/>
        <scheme val="minor"/>
      </rPr>
      <t>具有享受性、稳定性和创造性</t>
    </r>
    <r>
      <rPr>
        <sz val="12"/>
        <color theme="1"/>
        <rFont val="等线"/>
        <family val="3"/>
        <charset val="134"/>
        <scheme val="minor"/>
      </rPr>
      <t>。</t>
    </r>
  </si>
  <si>
    <r>
      <t>3. 物（物体、空间、形态、结构、系统）：</t>
    </r>
    <r>
      <rPr>
        <sz val="12"/>
        <color theme="1"/>
        <rFont val="等线"/>
        <family val="3"/>
        <charset val="134"/>
        <scheme val="minor"/>
      </rPr>
      <t>​ 指代一切</t>
    </r>
    <r>
      <rPr>
        <b/>
        <sz val="12"/>
        <color theme="1"/>
        <rFont val="等线"/>
        <family val="3"/>
        <charset val="134"/>
        <scheme val="minor"/>
      </rPr>
      <t>具有食禄、享受、稳定</t>
    </r>
    <r>
      <rPr>
        <sz val="12"/>
        <color theme="1"/>
        <rFont val="等线"/>
        <family val="3"/>
        <charset val="134"/>
        <scheme val="minor"/>
      </rPr>
      <t>属性的事物与系统。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</si>
  <si>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具体物体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厨房、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餐具、美食、俸禄、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</si>
  <si>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空间与形态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餐厅、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厨房、宴会场所、稳定的场所、</t>
    </r>
    <r>
      <rPr>
        <sz val="12"/>
        <color theme="1"/>
        <rFont val="等线"/>
        <family val="3"/>
        <charset val="134"/>
        <scheme val="minor"/>
      </rPr>
      <t>&lt;/ins&gt;丰盛、温和的形态。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</si>
  <si>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生理系统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消化系统（脾胃）、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味觉系统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</si>
  <si>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社会系统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餐饮行业、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福利体系、稳定的收入来源（如俸禄）</t>
    </r>
    <r>
      <rPr>
        <sz val="12"/>
        <color theme="1"/>
        <rFont val="等线"/>
        <family val="3"/>
        <charset val="134"/>
        <scheme val="minor"/>
      </rPr>
      <t>&lt;/ins&gt;。</t>
    </r>
  </si>
  <si>
    <r>
      <t xml:space="preserve">- </t>
    </r>
    <r>
      <rPr>
        <b/>
        <sz val="12"/>
        <color theme="1"/>
        <rFont val="等线"/>
        <family val="3"/>
        <charset val="134"/>
        <scheme val="minor"/>
      </rPr>
      <t>抽象概念</t>
    </r>
    <r>
      <rPr>
        <sz val="12"/>
        <color theme="1"/>
        <rFont val="等线"/>
        <family val="3"/>
        <charset val="134"/>
        <scheme val="minor"/>
      </rPr>
      <t>：</t>
    </r>
    <r>
      <rPr>
        <b/>
        <sz val="12"/>
        <color theme="1"/>
        <rFont val="等线"/>
        <family val="3"/>
        <charset val="134"/>
        <scheme val="minor"/>
      </rPr>
      <t>食禄、福气、享受、</t>
    </r>
    <r>
      <rPr>
        <sz val="12"/>
        <color theme="1"/>
        <rFont val="等线"/>
        <family val="3"/>
        <charset val="134"/>
        <scheme val="minor"/>
      </rPr>
      <t>&lt;ins&gt;</t>
    </r>
    <r>
      <rPr>
        <b/>
        <sz val="12"/>
        <color theme="1"/>
        <rFont val="等线"/>
        <family val="3"/>
        <charset val="134"/>
        <scheme val="minor"/>
      </rPr>
      <t>才华、稳定</t>
    </r>
    <r>
      <rPr>
        <sz val="12"/>
        <color theme="1"/>
        <rFont val="等线"/>
        <family val="3"/>
        <charset val="134"/>
        <scheme val="minor"/>
      </rPr>
      <t>&lt;/ins&gt;。</t>
    </r>
  </si>
  <si>
    <t>本次解析从“食禄、福气”本质出发，系统推导出其作为“福气象征”、“享受者”及“才华之星”的多重属性，并完整映射至三层结构，特别明确了其与“脾胃”、“餐饮业”的关联。</t>
  </si>
  <si>
    <r>
      <t>食禄星与福气</t>
    </r>
    <r>
      <rPr>
        <sz val="12"/>
        <color theme="1"/>
        <rFont val="等线"/>
        <family val="3"/>
        <charset val="134"/>
        <scheme val="minor"/>
      </rPr>
      <t>​</t>
    </r>
  </si>
  <si>
    <r>
      <t>核心为</t>
    </r>
    <r>
      <rPr>
        <b/>
        <sz val="12"/>
        <color theme="1"/>
        <rFont val="等线"/>
        <family val="3"/>
        <charset val="134"/>
        <scheme val="minor"/>
      </rPr>
      <t>“食禄、福气”</t>
    </r>
    <r>
      <rPr>
        <sz val="12"/>
        <color theme="1"/>
        <rFont val="等线"/>
        <family val="3"/>
        <charset val="134"/>
        <scheme val="minor"/>
      </rPr>
      <t>，是</t>
    </r>
    <r>
      <rPr>
        <b/>
        <sz val="12"/>
        <color theme="1"/>
        <rFont val="等线"/>
        <family val="3"/>
        <charset val="134"/>
        <scheme val="minor"/>
      </rPr>
      <t>丁级吉星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口福、烹饪才华、稳定俸禄、生活享受</t>
    </r>
    <r>
      <rPr>
        <sz val="12"/>
        <color theme="1"/>
        <rFont val="等线"/>
        <family val="3"/>
        <charset val="134"/>
        <scheme val="minor"/>
      </rPr>
      <t>。喜与</t>
    </r>
    <r>
      <rPr>
        <b/>
        <sz val="12"/>
        <color theme="1"/>
        <rFont val="等线"/>
        <family val="3"/>
        <charset val="134"/>
        <scheme val="minor"/>
      </rPr>
      <t>吉星、禄星</t>
    </r>
    <r>
      <rPr>
        <sz val="12"/>
        <color theme="1"/>
        <rFont val="等线"/>
        <family val="3"/>
        <charset val="134"/>
        <scheme val="minor"/>
      </rPr>
      <t>同度，福气更厚。</t>
    </r>
  </si>
  <si>
    <t>在命宫、财帛宫、官禄宫时，主一生有口福，易得稳定收入，或有烹饪等才华。</t>
  </si>
  <si>
    <r>
      <t>才华与享受</t>
    </r>
    <r>
      <rPr>
        <sz val="12"/>
        <color theme="1"/>
        <rFont val="等线"/>
        <family val="3"/>
        <charset val="134"/>
        <scheme val="minor"/>
      </rPr>
      <t>​</t>
    </r>
  </si>
  <si>
    <r>
      <t>为</t>
    </r>
    <r>
      <rPr>
        <b/>
        <sz val="12"/>
        <color theme="1"/>
        <rFont val="等线"/>
        <family val="3"/>
        <charset val="134"/>
        <scheme val="minor"/>
      </rPr>
      <t>“才华享受之星”</t>
    </r>
    <r>
      <rPr>
        <sz val="12"/>
        <color theme="1"/>
        <rFont val="等线"/>
        <family val="3"/>
        <charset val="134"/>
        <scheme val="minor"/>
      </rPr>
      <t>，象征</t>
    </r>
    <r>
      <rPr>
        <b/>
        <sz val="12"/>
        <color theme="1"/>
        <rFont val="等线"/>
        <family val="3"/>
        <charset val="134"/>
        <scheme val="minor"/>
      </rPr>
      <t>在饮食、烹饪或相关领域有天赋，懂得享受生活，有稳定收入来源</t>
    </r>
    <r>
      <rPr>
        <sz val="12"/>
        <color theme="1"/>
        <rFont val="等线"/>
        <family val="3"/>
        <charset val="134"/>
        <scheme val="minor"/>
      </rPr>
      <t>。</t>
    </r>
  </si>
  <si>
    <t>在命宫、身宫时，命主可能擅长烹饪，或工作与餐饮、福利相关，生活安逸。</t>
  </si>
  <si>
    <r>
      <t>烹饪与宴饮</t>
    </r>
    <r>
      <rPr>
        <sz val="12"/>
        <color theme="1"/>
        <rFont val="等线"/>
        <family val="3"/>
        <charset val="134"/>
        <scheme val="minor"/>
      </rPr>
      <t>​</t>
    </r>
  </si>
  <si>
    <r>
      <t>性属</t>
    </r>
    <r>
      <rPr>
        <b/>
        <sz val="12"/>
        <color theme="1"/>
        <rFont val="等线"/>
        <family val="3"/>
        <charset val="134"/>
        <scheme val="minor"/>
      </rPr>
      <t>阴土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滋养、稳定、积累</t>
    </r>
    <r>
      <rPr>
        <sz val="12"/>
        <color theme="1"/>
        <rFont val="等线"/>
        <family val="3"/>
        <charset val="134"/>
        <scheme val="minor"/>
      </rPr>
      <t>。是</t>
    </r>
    <r>
      <rPr>
        <b/>
        <sz val="12"/>
        <color theme="1"/>
        <rFont val="等线"/>
        <family val="3"/>
        <charset val="134"/>
        <scheme val="minor"/>
      </rPr>
      <t>烹饪、美食、宴请的星曜</t>
    </r>
    <r>
      <rPr>
        <sz val="12"/>
        <color theme="1"/>
        <rFont val="等线"/>
        <family val="3"/>
        <charset val="134"/>
        <scheme val="minor"/>
      </rPr>
      <t>，亦主</t>
    </r>
    <r>
      <rPr>
        <b/>
        <sz val="12"/>
        <color theme="1"/>
        <rFont val="等线"/>
        <family val="3"/>
        <charset val="134"/>
        <scheme val="minor"/>
      </rPr>
      <t>通过才华获得稳定回报</t>
    </r>
    <r>
      <rPr>
        <sz val="12"/>
        <color theme="1"/>
        <rFont val="等线"/>
        <family val="3"/>
        <charset val="134"/>
        <scheme val="minor"/>
      </rPr>
      <t>。</t>
    </r>
  </si>
  <si>
    <t>在命宫、田宅宫，主家中饮食丰盛，喜宴客；在官禄宫，主工作与食品、餐饮、福利相关。</t>
  </si>
  <si>
    <r>
      <t>面容丰润，气质温和，给人以和善、有福气、懂得生活的印象</t>
    </r>
    <r>
      <rPr>
        <sz val="12"/>
        <color theme="1"/>
        <rFont val="等线"/>
        <family val="3"/>
        <charset val="134"/>
        <scheme val="minor"/>
      </rPr>
      <t>。</t>
    </r>
  </si>
  <si>
    <r>
      <t>优点</t>
    </r>
    <r>
      <rPr>
        <sz val="12"/>
        <color theme="1"/>
        <rFont val="等线"/>
        <family val="3"/>
        <charset val="134"/>
        <scheme val="minor"/>
      </rPr>
      <t>：温和宽厚，懂得享受生活，有口福，在烹饪或相关领域有才华，人缘好，有稳定收入。</t>
    </r>
  </si>
  <si>
    <r>
      <t>缺点</t>
    </r>
    <r>
      <rPr>
        <sz val="12"/>
        <color theme="1"/>
        <rFont val="等线"/>
        <family val="3"/>
        <charset val="134"/>
        <scheme val="minor"/>
      </rPr>
      <t>：可能安于现状，缺乏进取心，易发福（若不加节制）。</t>
    </r>
  </si>
  <si>
    <r>
      <t>主</t>
    </r>
    <r>
      <rPr>
        <b/>
        <sz val="12"/>
        <color theme="1"/>
        <rFont val="等线"/>
        <family val="3"/>
        <charset val="134"/>
        <scheme val="minor"/>
      </rPr>
      <t>脾胃功能佳，消化吸收好</t>
    </r>
    <r>
      <rPr>
        <sz val="12"/>
        <color theme="1"/>
        <rFont val="等线"/>
        <family val="3"/>
        <charset val="134"/>
        <scheme val="minor"/>
      </rPr>
      <t>，但</t>
    </r>
    <r>
      <rPr>
        <b/>
        <sz val="12"/>
        <color theme="1"/>
        <rFont val="等线"/>
        <family val="3"/>
        <charset val="134"/>
        <scheme val="minor"/>
      </rPr>
      <t>过之则易因饮食不节导致肥胖、脾胃负担过重</t>
    </r>
    <r>
      <rPr>
        <sz val="12"/>
        <color theme="1"/>
        <rFont val="等线"/>
        <family val="3"/>
        <charset val="134"/>
        <scheme val="minor"/>
      </rPr>
      <t>。</t>
    </r>
  </si>
  <si>
    <t>在疾厄宫时，主脾胃健康，但需注意饮食均衡。</t>
  </si>
  <si>
    <r>
      <t>为人</t>
    </r>
    <r>
      <rPr>
        <b/>
        <sz val="12"/>
        <color theme="1"/>
        <rFont val="等线"/>
        <family val="3"/>
        <charset val="134"/>
        <scheme val="minor"/>
      </rPr>
      <t>温和宽厚，有口福，懂得享受生活，在烹饪、饮食或相关领域有才华，一生衣食无忧，易得稳定收入或俸禄</t>
    </r>
    <r>
      <rPr>
        <sz val="12"/>
        <color theme="1"/>
        <rFont val="等线"/>
        <family val="3"/>
        <charset val="134"/>
        <scheme val="minor"/>
      </rPr>
      <t>。</t>
    </r>
    <r>
      <rPr>
        <b/>
        <sz val="12"/>
        <color theme="1"/>
        <rFont val="等线"/>
        <family val="3"/>
        <charset val="134"/>
        <scheme val="minor"/>
      </rPr>
      <t>喜与吉星、禄星同度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福禄双全</t>
    </r>
    <r>
      <rPr>
        <sz val="12"/>
        <color theme="1"/>
        <rFont val="等线"/>
        <family val="3"/>
        <charset val="134"/>
        <scheme val="minor"/>
      </rPr>
      <t>；</t>
    </r>
    <r>
      <rPr>
        <b/>
        <sz val="12"/>
        <color theme="1"/>
        <rFont val="等线"/>
        <family val="3"/>
        <charset val="134"/>
        <scheme val="minor"/>
      </rPr>
      <t>忌与煞星同度</t>
    </r>
    <r>
      <rPr>
        <sz val="12"/>
        <color theme="1"/>
        <rFont val="等线"/>
        <family val="3"/>
        <charset val="134"/>
        <scheme val="minor"/>
      </rPr>
      <t>，则</t>
    </r>
    <r>
      <rPr>
        <b/>
        <sz val="12"/>
        <color theme="1"/>
        <rFont val="等线"/>
        <family val="3"/>
        <charset val="134"/>
        <scheme val="minor"/>
      </rPr>
      <t>才华受抑或享受过度成弊</t>
    </r>
    <r>
      <rPr>
        <sz val="12"/>
        <color theme="1"/>
        <rFont val="等线"/>
        <family val="3"/>
        <charset val="134"/>
        <scheme val="minor"/>
      </rPr>
      <t>。</t>
    </r>
  </si>
  <si>
    <r>
      <t>兄弟姐妹</t>
    </r>
    <r>
      <rPr>
        <b/>
        <sz val="12"/>
        <color theme="1"/>
        <rFont val="等线"/>
        <family val="3"/>
        <charset val="134"/>
        <scheme val="minor"/>
      </rPr>
      <t>中有擅长烹饪或懂得享受生活者，彼此关系和睦，常聚餐</t>
    </r>
    <r>
      <rPr>
        <sz val="12"/>
        <color theme="1"/>
        <rFont val="等线"/>
        <family val="3"/>
        <charset val="134"/>
        <scheme val="minor"/>
      </rPr>
      <t>。</t>
    </r>
  </si>
  <si>
    <r>
      <t>配偶</t>
    </r>
    <r>
      <rPr>
        <b/>
        <sz val="12"/>
        <color theme="1"/>
        <rFont val="等线"/>
        <family val="3"/>
        <charset val="134"/>
        <scheme val="minor"/>
      </rPr>
      <t>懂得生活情趣，可能擅长烹饪，夫妻生活和谐，常有美食享受</t>
    </r>
    <r>
      <rPr>
        <sz val="12"/>
        <color theme="1"/>
        <rFont val="等线"/>
        <family val="3"/>
        <charset val="134"/>
        <scheme val="minor"/>
      </rPr>
      <t>。</t>
    </r>
  </si>
  <si>
    <r>
      <t>子女</t>
    </r>
    <r>
      <rPr>
        <b/>
        <sz val="12"/>
        <color theme="1"/>
        <rFont val="等线"/>
        <family val="3"/>
        <charset val="134"/>
        <scheme val="minor"/>
      </rPr>
      <t>有口福，可能对烹饪有兴趣，与子女关系融洽，常一起享受美食</t>
    </r>
    <r>
      <rPr>
        <sz val="12"/>
        <color theme="1"/>
        <rFont val="等线"/>
        <family val="3"/>
        <charset val="134"/>
        <scheme val="minor"/>
      </rPr>
      <t>。</t>
    </r>
  </si>
  <si>
    <r>
      <t>钱财</t>
    </r>
    <r>
      <rPr>
        <b/>
        <sz val="12"/>
        <color theme="1"/>
        <rFont val="等线"/>
        <family val="3"/>
        <charset val="134"/>
        <scheme val="minor"/>
      </rPr>
      <t>来源稳定，易得俸禄、津贴或通过餐饮、食品相关行业获利，不愁吃穿</t>
    </r>
    <r>
      <rPr>
        <sz val="12"/>
        <color theme="1"/>
        <rFont val="等线"/>
        <family val="3"/>
        <charset val="134"/>
        <scheme val="minor"/>
      </rPr>
      <t>。</t>
    </r>
  </si>
  <si>
    <r>
      <t>脾胃功能良好，消化吸收佳，但需注意饮食过量导致的肥胖问题</t>
    </r>
    <r>
      <rPr>
        <sz val="12"/>
        <color theme="1"/>
        <rFont val="等线"/>
        <family val="3"/>
        <charset val="134"/>
        <scheme val="minor"/>
      </rPr>
      <t>。</t>
    </r>
  </si>
  <si>
    <r>
      <t>在外</t>
    </r>
    <r>
      <rPr>
        <b/>
        <sz val="12"/>
        <color theme="1"/>
        <rFont val="等线"/>
        <family val="3"/>
        <charset val="134"/>
        <scheme val="minor"/>
      </rPr>
      <t>常有口福，易受招待，或在外发展利于餐饮、食品行业</t>
    </r>
    <r>
      <rPr>
        <sz val="12"/>
        <color theme="1"/>
        <rFont val="等线"/>
        <family val="3"/>
        <charset val="134"/>
        <scheme val="minor"/>
      </rPr>
      <t>。</t>
    </r>
  </si>
  <si>
    <r>
      <t>朋友、同事中多懂得享受生活或有烹饪才华者，常因聚餐、宴请增进感情</t>
    </r>
    <r>
      <rPr>
        <sz val="12"/>
        <color theme="1"/>
        <rFont val="等线"/>
        <family val="3"/>
        <charset val="134"/>
        <scheme val="minor"/>
      </rPr>
      <t>。</t>
    </r>
  </si>
  <si>
    <r>
      <t>适合从事</t>
    </r>
    <r>
      <rPr>
        <b/>
        <sz val="12"/>
        <color theme="1"/>
        <rFont val="等线"/>
        <family val="3"/>
        <charset val="134"/>
        <scheme val="minor"/>
      </rPr>
      <t>餐饮、食品、酒店、福利、后勤、稳定收入的公职</t>
    </r>
    <r>
      <rPr>
        <sz val="12"/>
        <color theme="1"/>
        <rFont val="等线"/>
        <family val="3"/>
        <charset val="134"/>
        <scheme val="minor"/>
      </rPr>
      <t>等职业，</t>
    </r>
    <r>
      <rPr>
        <b/>
        <sz val="12"/>
        <color theme="1"/>
        <rFont val="等线"/>
        <family val="3"/>
        <charset val="134"/>
        <scheme val="minor"/>
      </rPr>
      <t>工作环境好，有口福</t>
    </r>
    <r>
      <rPr>
        <sz val="12"/>
        <color theme="1"/>
        <rFont val="等线"/>
        <family val="3"/>
        <charset val="134"/>
        <scheme val="minor"/>
      </rPr>
      <t>。</t>
    </r>
  </si>
  <si>
    <r>
      <t>家中饮食丰盛，厨房宽敞，喜宴客，家庭生活安逸幸福</t>
    </r>
    <r>
      <rPr>
        <sz val="12"/>
        <color theme="1"/>
        <rFont val="等线"/>
        <family val="3"/>
        <charset val="134"/>
        <scheme val="minor"/>
      </rPr>
      <t>。</t>
    </r>
  </si>
  <si>
    <r>
      <t>精神世界</t>
    </r>
    <r>
      <rPr>
        <b/>
        <sz val="12"/>
        <color theme="1"/>
        <rFont val="等线"/>
        <family val="3"/>
        <charset val="134"/>
        <scheme val="minor"/>
      </rPr>
      <t>安逸，懂得享受生活，有口福，内心满足感强</t>
    </r>
    <r>
      <rPr>
        <sz val="12"/>
        <color theme="1"/>
        <rFont val="等线"/>
        <family val="3"/>
        <charset val="134"/>
        <scheme val="minor"/>
      </rPr>
      <t>。</t>
    </r>
  </si>
  <si>
    <r>
      <t>父母</t>
    </r>
    <r>
      <rPr>
        <b/>
        <sz val="12"/>
        <color theme="1"/>
        <rFont val="等线"/>
        <family val="3"/>
        <charset val="134"/>
        <scheme val="minor"/>
      </rPr>
      <t>温和，家庭饮食条件好，从小有口福，得父母福荫</t>
    </r>
    <r>
      <rPr>
        <sz val="12"/>
        <color theme="1"/>
        <rFont val="等线"/>
        <family val="3"/>
        <charset val="134"/>
        <scheme val="minor"/>
      </rPr>
      <t>。</t>
    </r>
  </si>
  <si>
    <r>
      <t>天厨+天同</t>
    </r>
    <r>
      <rPr>
        <sz val="12"/>
        <color theme="1"/>
        <rFont val="等线"/>
        <family val="3"/>
        <charset val="134"/>
        <scheme val="minor"/>
      </rPr>
      <t>​</t>
    </r>
  </si>
  <si>
    <r>
      <t>厨遇福星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食禄与享乐叠加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福气深厚，极有口福，生活安逸享受，在餐饮、娱乐行业有发展</t>
    </r>
    <r>
      <rPr>
        <sz val="12"/>
        <color theme="1"/>
        <rFont val="等线"/>
        <family val="3"/>
        <charset val="134"/>
        <scheme val="minor"/>
      </rPr>
      <t>。</t>
    </r>
  </si>
  <si>
    <t>美食家、餐饮业老板、生活享受家。</t>
  </si>
  <si>
    <r>
      <t>天厨+天梁</t>
    </r>
    <r>
      <rPr>
        <sz val="12"/>
        <color theme="1"/>
        <rFont val="等线"/>
        <family val="3"/>
        <charset val="134"/>
        <scheme val="minor"/>
      </rPr>
      <t>​</t>
    </r>
  </si>
  <si>
    <r>
      <t>厨遇荫星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食禄与庇护结合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通过餐饮、食品或福利事业获得声望，或得长辈福荫而衣食无忧</t>
    </r>
    <r>
      <rPr>
        <sz val="12"/>
        <color theme="1"/>
        <rFont val="等线"/>
        <family val="3"/>
        <charset val="134"/>
        <scheme val="minor"/>
      </rPr>
      <t>。</t>
    </r>
  </si>
  <si>
    <t>福利机构负责人、老字号餐饮传承人。</t>
  </si>
  <si>
    <r>
      <t>天厨+太阴</t>
    </r>
    <r>
      <rPr>
        <sz val="12"/>
        <color theme="1"/>
        <rFont val="等线"/>
        <family val="3"/>
        <charset val="134"/>
        <scheme val="minor"/>
      </rPr>
      <t>​</t>
    </r>
  </si>
  <si>
    <r>
      <t>厨遇月星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食禄与财富结合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通过餐饮、房地产或仓储获利，家中饮食精致，懂得储存美食</t>
    </r>
    <r>
      <rPr>
        <sz val="12"/>
        <color theme="1"/>
        <rFont val="等线"/>
        <family val="3"/>
        <charset val="134"/>
        <scheme val="minor"/>
      </rPr>
      <t>。</t>
    </r>
  </si>
  <si>
    <t>食品贸易商、豪宅管家、美食收藏家。</t>
  </si>
  <si>
    <r>
      <t>天厨+武曲</t>
    </r>
    <r>
      <rPr>
        <sz val="12"/>
        <color theme="1"/>
        <rFont val="等线"/>
        <family val="3"/>
        <charset val="134"/>
        <scheme val="minor"/>
      </rPr>
      <t>​</t>
    </r>
  </si>
  <si>
    <r>
      <t>厨遇将星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食禄与刚毅结合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可将烹饪才华转化为精湛技艺或商业成功，如高级厨师、食品加工</t>
    </r>
    <r>
      <rPr>
        <sz val="12"/>
        <color theme="1"/>
        <rFont val="等线"/>
        <family val="3"/>
        <charset val="134"/>
        <scheme val="minor"/>
      </rPr>
      <t>。</t>
    </r>
  </si>
  <si>
    <t>米其林厨师、食品加工厂主。</t>
  </si>
  <si>
    <r>
      <t>天厨+贪狼</t>
    </r>
    <r>
      <rPr>
        <sz val="12"/>
        <color theme="1"/>
        <rFont val="等线"/>
        <family val="3"/>
        <charset val="134"/>
        <scheme val="minor"/>
      </rPr>
      <t>​</t>
    </r>
  </si>
  <si>
    <r>
      <t>厨遇欲星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食禄与欲望结合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对美食有强烈欲望，社交应酬多，可能在餐饮、娱乐行业发挥才华</t>
    </r>
    <r>
      <rPr>
        <sz val="12"/>
        <color theme="1"/>
        <rFont val="等线"/>
        <family val="3"/>
        <charset val="134"/>
        <scheme val="minor"/>
      </rPr>
      <t>。</t>
    </r>
  </si>
  <si>
    <t>美食节目主持人、宴会策划。</t>
  </si>
  <si>
    <r>
      <t>天厨+紫微</t>
    </r>
    <r>
      <rPr>
        <sz val="12"/>
        <color theme="1"/>
        <rFont val="等线"/>
        <family val="3"/>
        <charset val="134"/>
        <scheme val="minor"/>
      </rPr>
      <t>​</t>
    </r>
  </si>
  <si>
    <r>
      <t>厨遇帝星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食禄与尊贵结合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享受高级美食，或有管理大型餐饮、福利机构的能力</t>
    </r>
    <r>
      <rPr>
        <sz val="12"/>
        <color theme="1"/>
        <rFont val="等线"/>
        <family val="3"/>
        <charset val="134"/>
        <scheme val="minor"/>
      </rPr>
      <t>。</t>
    </r>
  </si>
  <si>
    <t>五星级酒店餐饮总监、福利部门高官。</t>
  </si>
  <si>
    <r>
      <t>天厨+天府</t>
    </r>
    <r>
      <rPr>
        <sz val="12"/>
        <color theme="1"/>
        <rFont val="等线"/>
        <family val="3"/>
        <charset val="134"/>
        <scheme val="minor"/>
      </rPr>
      <t>​</t>
    </r>
  </si>
  <si>
    <r>
      <t>厨遇库星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食禄与库藏结合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家底丰厚，饮食储备充足，通过稳定经营（如餐饮）积累财富</t>
    </r>
    <r>
      <rPr>
        <sz val="12"/>
        <color theme="1"/>
        <rFont val="等线"/>
        <family val="3"/>
        <charset val="134"/>
        <scheme val="minor"/>
      </rPr>
      <t>。</t>
    </r>
  </si>
  <si>
    <t>连锁餐饮老板、食品仓储业者。</t>
  </si>
  <si>
    <r>
      <t>天厨+禄存/化禄</t>
    </r>
    <r>
      <rPr>
        <sz val="12"/>
        <color theme="1"/>
        <rFont val="等线"/>
        <family val="3"/>
        <charset val="134"/>
        <scheme val="minor"/>
      </rPr>
      <t>​</t>
    </r>
  </si>
  <si>
    <r>
      <t>厨遇禄星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食禄与财禄叠加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财禄丰足，口福极佳，通过食禄相关事业大发利市</t>
    </r>
    <r>
      <rPr>
        <sz val="12"/>
        <color theme="1"/>
        <rFont val="等线"/>
        <family val="3"/>
        <charset val="134"/>
        <scheme val="minor"/>
      </rPr>
      <t>。</t>
    </r>
  </si>
  <si>
    <t>餐饮业巨富、美食投资人。</t>
  </si>
  <si>
    <r>
      <t>天厨+文昌/文曲</t>
    </r>
    <r>
      <rPr>
        <sz val="12"/>
        <color theme="1"/>
        <rFont val="等线"/>
        <family val="3"/>
        <charset val="134"/>
        <scheme val="minor"/>
      </rPr>
      <t>​</t>
    </r>
  </si>
  <si>
    <r>
      <t>厨遇文星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食禄与才华结合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有美食评论、烹饪写作或食品设计才华</t>
    </r>
    <r>
      <rPr>
        <sz val="12"/>
        <color theme="1"/>
        <rFont val="等线"/>
        <family val="3"/>
        <charset val="134"/>
        <scheme val="minor"/>
      </rPr>
      <t>。</t>
    </r>
  </si>
  <si>
    <t>美食作家、食品造型师、烹饪学校教师。</t>
  </si>
  <si>
    <r>
      <t>天厨+火星</t>
    </r>
    <r>
      <rPr>
        <sz val="12"/>
        <color theme="1"/>
        <rFont val="等线"/>
        <family val="3"/>
        <charset val="134"/>
        <scheme val="minor"/>
      </rPr>
      <t>​</t>
    </r>
  </si>
  <si>
    <r>
      <t>厨遇明火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食禄与急躁结合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烹饪速度快，喜辛辣刺激食物，但易因饮食急躁伤胃</t>
    </r>
    <r>
      <rPr>
        <sz val="12"/>
        <color theme="1"/>
        <rFont val="等线"/>
        <family val="3"/>
        <charset val="134"/>
        <scheme val="minor"/>
      </rPr>
      <t>。</t>
    </r>
  </si>
  <si>
    <t>快餐业者、川菜厨师。</t>
  </si>
  <si>
    <r>
      <t>天厨+铃星</t>
    </r>
    <r>
      <rPr>
        <sz val="12"/>
        <color theme="1"/>
        <rFont val="等线"/>
        <family val="3"/>
        <charset val="134"/>
        <scheme val="minor"/>
      </rPr>
      <t>​</t>
    </r>
  </si>
  <si>
    <r>
      <t>厨遇暗火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食禄与记仇结合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对美食有独特偏执的喜好，或通过餐饮业暗中获利</t>
    </r>
    <r>
      <rPr>
        <sz val="12"/>
        <color theme="1"/>
        <rFont val="等线"/>
        <family val="3"/>
        <charset val="134"/>
        <scheme val="minor"/>
      </rPr>
      <t>。</t>
    </r>
  </si>
  <si>
    <t>私房菜主理人、美食秘方拥有者。</t>
  </si>
  <si>
    <r>
      <t>天厨+擎羊</t>
    </r>
    <r>
      <rPr>
        <sz val="12"/>
        <color theme="1"/>
        <rFont val="等线"/>
        <family val="3"/>
        <charset val="134"/>
        <scheme val="minor"/>
      </rPr>
      <t>​</t>
    </r>
  </si>
  <si>
    <r>
      <t>厨遇明刃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食禄与冲突结合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烹饪风格犀利（如刀工），但易因饮食或餐饮事务起争执</t>
    </r>
    <r>
      <rPr>
        <sz val="12"/>
        <color theme="1"/>
        <rFont val="等线"/>
        <family val="3"/>
        <charset val="134"/>
        <scheme val="minor"/>
      </rPr>
      <t>。</t>
    </r>
  </si>
  <si>
    <t>寿司师傅（刀工）、餐饮竞争激烈。</t>
  </si>
  <si>
    <r>
      <t>天厨+陀罗</t>
    </r>
    <r>
      <rPr>
        <sz val="12"/>
        <color theme="1"/>
        <rFont val="等线"/>
        <family val="3"/>
        <charset val="134"/>
        <scheme val="minor"/>
      </rPr>
      <t>​</t>
    </r>
  </si>
  <si>
    <r>
      <t>厨遇暗刃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食禄与拖延结合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烹饪过程慢工出细活，但易因餐饮事务拖延反复</t>
    </r>
    <r>
      <rPr>
        <sz val="12"/>
        <color theme="1"/>
        <rFont val="等线"/>
        <family val="3"/>
        <charset val="134"/>
        <scheme val="minor"/>
      </rPr>
      <t>。</t>
    </r>
  </si>
  <si>
    <t>慢炖料理专家、餐饮项目进度慢。</t>
  </si>
  <si>
    <r>
      <t>天厨+地空/地劫</t>
    </r>
    <r>
      <rPr>
        <sz val="12"/>
        <color theme="1"/>
        <rFont val="等线"/>
        <family val="3"/>
        <charset val="134"/>
        <scheme val="minor"/>
      </rPr>
      <t>​</t>
    </r>
  </si>
  <si>
    <r>
      <t>厨遇空劫</t>
    </r>
    <r>
      <rPr>
        <sz val="12"/>
        <color theme="1"/>
        <rFont val="等线"/>
        <family val="3"/>
        <charset val="134"/>
        <scheme val="minor"/>
      </rPr>
      <t>，</t>
    </r>
    <r>
      <rPr>
        <b/>
        <sz val="12"/>
        <color theme="1"/>
        <rFont val="等线"/>
        <family val="3"/>
        <charset val="134"/>
        <scheme val="minor"/>
      </rPr>
      <t>食禄与空亡结合</t>
    </r>
    <r>
      <rPr>
        <sz val="12"/>
        <color theme="1"/>
        <rFont val="等线"/>
        <family val="3"/>
        <charset val="134"/>
        <scheme val="minor"/>
      </rPr>
      <t>，主</t>
    </r>
    <r>
      <rPr>
        <b/>
        <sz val="12"/>
        <color theme="1"/>
        <rFont val="等线"/>
        <family val="3"/>
        <charset val="134"/>
        <scheme val="minor"/>
      </rPr>
      <t>饮食观念独特（如素食、断食），或餐饮事业起伏大，易有意外破耗</t>
    </r>
    <r>
      <rPr>
        <sz val="12"/>
        <color theme="1"/>
        <rFont val="等线"/>
        <family val="3"/>
        <charset val="134"/>
        <scheme val="minor"/>
      </rPr>
      <t>。</t>
    </r>
  </si>
  <si>
    <t>创意料理厨师、餐饮业投资失利。</t>
  </si>
  <si>
    <r>
      <t>1. “食禄星”与“福气”本质</t>
    </r>
    <r>
      <rPr>
        <sz val="11"/>
        <color theme="1"/>
        <rFont val="等线"/>
        <family val="2"/>
        <charset val="134"/>
        <scheme val="minor"/>
      </rPr>
      <t>：天厨化气为</t>
    </r>
    <r>
      <rPr>
        <b/>
        <sz val="11"/>
        <color theme="1"/>
        <rFont val="等线"/>
        <family val="3"/>
        <charset val="134"/>
        <scheme val="minor"/>
      </rPr>
      <t>“禄”</t>
    </r>
    <r>
      <rPr>
        <sz val="11"/>
        <color theme="1"/>
        <rFont val="等线"/>
        <family val="2"/>
        <charset val="134"/>
        <scheme val="minor"/>
      </rPr>
      <t>，核心是</t>
    </r>
    <r>
      <rPr>
        <b/>
        <sz val="11"/>
        <color theme="1"/>
        <rFont val="等线"/>
        <family val="3"/>
        <charset val="134"/>
        <scheme val="minor"/>
      </rPr>
      <t>食禄、福气、才华、享受</t>
    </r>
    <r>
      <rPr>
        <sz val="11"/>
        <color theme="1"/>
        <rFont val="等线"/>
        <family val="2"/>
        <charset val="134"/>
        <scheme val="minor"/>
      </rPr>
      <t>。其人生轨迹是</t>
    </r>
    <r>
      <rPr>
        <b/>
        <sz val="11"/>
        <color theme="1"/>
        <rFont val="等线"/>
        <family val="3"/>
        <charset val="134"/>
        <scheme val="minor"/>
      </rPr>
      <t>在饮食、享受或相关领域有福气与才华，生活安定</t>
    </r>
    <r>
      <rPr>
        <sz val="11"/>
        <color theme="1"/>
        <rFont val="等线"/>
        <family val="2"/>
        <charset val="134"/>
        <scheme val="minor"/>
      </rPr>
      <t>。它是一颗</t>
    </r>
    <r>
      <rPr>
        <b/>
        <sz val="11"/>
        <color theme="1"/>
        <rFont val="等线"/>
        <family val="3"/>
        <charset val="134"/>
        <scheme val="minor"/>
      </rPr>
      <t>吉星</t>
    </r>
    <r>
      <rPr>
        <sz val="11"/>
        <color theme="1"/>
        <rFont val="等线"/>
        <family val="2"/>
        <charset val="134"/>
        <scheme val="minor"/>
      </rPr>
      <t>，主</t>
    </r>
    <r>
      <rPr>
        <b/>
        <sz val="11"/>
        <color theme="1"/>
        <rFont val="等线"/>
        <family val="3"/>
        <charset val="134"/>
        <scheme val="minor"/>
      </rPr>
      <t>稳定的福报与享受</t>
    </r>
    <r>
      <rPr>
        <sz val="11"/>
        <color theme="1"/>
        <rFont val="等线"/>
        <family val="2"/>
        <charset val="134"/>
        <scheme val="minor"/>
      </rPr>
      <t>。</t>
    </r>
  </si>
  <si>
    <r>
      <t>2. “阴土”与“稳定滋养”</t>
    </r>
    <r>
      <rPr>
        <sz val="11"/>
        <color theme="1"/>
        <rFont val="等线"/>
        <family val="2"/>
        <charset val="134"/>
        <scheme val="minor"/>
      </rPr>
      <t>：属</t>
    </r>
    <r>
      <rPr>
        <b/>
        <sz val="11"/>
        <color theme="1"/>
        <rFont val="等线"/>
        <family val="3"/>
        <charset val="134"/>
        <scheme val="minor"/>
      </rPr>
      <t>阴土</t>
    </r>
    <r>
      <rPr>
        <sz val="11"/>
        <color theme="1"/>
        <rFont val="等线"/>
        <family val="2"/>
        <charset val="134"/>
        <scheme val="minor"/>
      </rPr>
      <t>，性</t>
    </r>
    <r>
      <rPr>
        <b/>
        <sz val="11"/>
        <color theme="1"/>
        <rFont val="等线"/>
        <family val="3"/>
        <charset val="134"/>
        <scheme val="minor"/>
      </rPr>
      <t>稳定、滋养、积累</t>
    </r>
    <r>
      <rPr>
        <sz val="11"/>
        <color theme="1"/>
        <rFont val="等线"/>
        <family val="2"/>
        <charset val="134"/>
        <scheme val="minor"/>
      </rPr>
      <t>。其“食禄”性体现为</t>
    </r>
    <r>
      <rPr>
        <b/>
        <sz val="11"/>
        <color theme="1"/>
        <rFont val="等线"/>
        <family val="3"/>
        <charset val="134"/>
        <scheme val="minor"/>
      </rPr>
      <t>稳定的收入来源、滋养身心的美食、积累的福气</t>
    </r>
    <r>
      <rPr>
        <sz val="11"/>
        <color theme="1"/>
        <rFont val="等线"/>
        <family val="2"/>
        <charset val="134"/>
        <scheme val="minor"/>
      </rPr>
      <t>。与天福（阳土）的普遍福气不同，天厨更偏向</t>
    </r>
    <r>
      <rPr>
        <b/>
        <sz val="11"/>
        <color theme="1"/>
        <rFont val="等线"/>
        <family val="3"/>
        <charset val="134"/>
        <scheme val="minor"/>
      </rPr>
      <t>具体的、物质化的享受与才华</t>
    </r>
    <r>
      <rPr>
        <sz val="11"/>
        <color theme="1"/>
        <rFont val="等线"/>
        <family val="2"/>
        <charset val="134"/>
        <scheme val="minor"/>
      </rPr>
      <t>。</t>
    </r>
  </si>
  <si>
    <r>
      <t>3. “逢吉增福，遇煞减味”的辩证</t>
    </r>
    <r>
      <rPr>
        <sz val="11"/>
        <color theme="1"/>
        <rFont val="等线"/>
        <family val="2"/>
        <charset val="134"/>
        <scheme val="minor"/>
      </rPr>
      <t>：天厨的吉性</t>
    </r>
    <r>
      <rPr>
        <b/>
        <sz val="11"/>
        <color theme="1"/>
        <rFont val="等线"/>
        <family val="3"/>
        <charset val="134"/>
        <scheme val="minor"/>
      </rPr>
      <t>可被吉星（天同、天梁、禄存等）增强</t>
    </r>
    <r>
      <rPr>
        <sz val="11"/>
        <color theme="1"/>
        <rFont val="等线"/>
        <family val="2"/>
        <charset val="134"/>
        <scheme val="minor"/>
      </rPr>
      <t>，转化为</t>
    </r>
    <r>
      <rPr>
        <b/>
        <sz val="11"/>
        <color theme="1"/>
        <rFont val="等线"/>
        <family val="3"/>
        <charset val="134"/>
        <scheme val="minor"/>
      </rPr>
      <t>丰厚的福禄与卓越的才华</t>
    </r>
    <r>
      <rPr>
        <sz val="11"/>
        <color theme="1"/>
        <rFont val="等线"/>
        <family val="2"/>
        <charset val="134"/>
        <scheme val="minor"/>
      </rPr>
      <t>。但若</t>
    </r>
    <r>
      <rPr>
        <b/>
        <sz val="11"/>
        <color theme="1"/>
        <rFont val="等线"/>
        <family val="3"/>
        <charset val="134"/>
        <scheme val="minor"/>
      </rPr>
      <t>与煞星同度，则可能才华受抑、享受过度（如肥胖）或餐饮事业波折</t>
    </r>
    <r>
      <rPr>
        <sz val="11"/>
        <color theme="1"/>
        <rFont val="等线"/>
        <family val="2"/>
        <charset val="134"/>
        <scheme val="minor"/>
      </rPr>
      <t>。</t>
    </r>
  </si>
  <si>
    <r>
      <t>4. 宫位定领域</t>
    </r>
    <r>
      <rPr>
        <sz val="11"/>
        <color theme="1"/>
        <rFont val="等线"/>
        <family val="2"/>
        <charset val="134"/>
        <scheme val="minor"/>
      </rPr>
      <t>：天厨所在宫位，指示在人生的哪个领域</t>
    </r>
    <r>
      <rPr>
        <b/>
        <sz val="11"/>
        <color theme="1"/>
        <rFont val="等线"/>
        <family val="3"/>
        <charset val="134"/>
        <scheme val="minor"/>
      </rPr>
      <t>最能享受福气、发挥烹饪或相关才华、获得稳定回报</t>
    </r>
    <r>
      <rPr>
        <sz val="11"/>
        <color theme="1"/>
        <rFont val="等线"/>
        <family val="2"/>
        <charset val="134"/>
        <scheme val="minor"/>
      </rPr>
      <t>。例如在财帛宫主稳定收入，在官禄宫主事业与餐饮相关。</t>
    </r>
  </si>
  <si>
    <r>
      <t>5. 健康关联</t>
    </r>
    <r>
      <rPr>
        <sz val="11"/>
        <color theme="1"/>
        <rFont val="等线"/>
        <family val="2"/>
        <charset val="134"/>
        <scheme val="minor"/>
      </rPr>
      <t>：在疾厄宫，天厨常指向</t>
    </r>
    <r>
      <rPr>
        <b/>
        <sz val="11"/>
        <color theme="1"/>
        <rFont val="等线"/>
        <family val="3"/>
        <charset val="134"/>
        <scheme val="minor"/>
      </rPr>
      <t>脾胃功能良好</t>
    </r>
    <r>
      <rPr>
        <sz val="11"/>
        <color theme="1"/>
        <rFont val="等线"/>
        <family val="2"/>
        <charset val="134"/>
        <scheme val="minor"/>
      </rPr>
      <t>，但需注意</t>
    </r>
    <r>
      <rPr>
        <b/>
        <sz val="11"/>
        <color theme="1"/>
        <rFont val="等线"/>
        <family val="3"/>
        <charset val="134"/>
        <scheme val="minor"/>
      </rPr>
      <t>因过度享受美食导致的消化负担或肥胖问题</t>
    </r>
    <r>
      <rPr>
        <sz val="11"/>
        <color theme="1"/>
        <rFont val="等线"/>
        <family val="2"/>
        <charset val="134"/>
        <scheme val="minor"/>
      </rPr>
      <t>。</t>
    </r>
  </si>
  <si>
    <r>
      <t>6. 与天福、禄存的区别</t>
    </r>
    <r>
      <rPr>
        <sz val="11"/>
        <color theme="1"/>
        <rFont val="等线"/>
        <family val="2"/>
        <charset val="134"/>
        <scheme val="minor"/>
      </rPr>
      <t>：三者都主“福禄”。</t>
    </r>
    <r>
      <rPr>
        <b/>
        <sz val="11"/>
        <color theme="1"/>
        <rFont val="等线"/>
        <family val="3"/>
        <charset val="134"/>
        <scheme val="minor"/>
      </rPr>
      <t>天福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天生的福气、好运</t>
    </r>
    <r>
      <rPr>
        <sz val="11"/>
        <color theme="1"/>
        <rFont val="等线"/>
        <family val="2"/>
        <charset val="134"/>
        <scheme val="minor"/>
      </rPr>
      <t>，范围较广；</t>
    </r>
    <r>
      <rPr>
        <b/>
        <sz val="11"/>
        <color theme="1"/>
        <rFont val="等线"/>
        <family val="3"/>
        <charset val="134"/>
        <scheme val="minor"/>
      </rPr>
      <t>禄存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钱财的储存与积累</t>
    </r>
    <r>
      <rPr>
        <sz val="11"/>
        <color theme="1"/>
        <rFont val="等线"/>
        <family val="2"/>
        <charset val="134"/>
        <scheme val="minor"/>
      </rPr>
      <t>；</t>
    </r>
    <r>
      <rPr>
        <b/>
        <sz val="11"/>
        <color theme="1"/>
        <rFont val="等线"/>
        <family val="3"/>
        <charset val="134"/>
        <scheme val="minor"/>
      </rPr>
      <t>天厨</t>
    </r>
    <r>
      <rPr>
        <sz val="11"/>
        <color theme="1"/>
        <rFont val="等线"/>
        <family val="2"/>
        <charset val="134"/>
        <scheme val="minor"/>
      </rPr>
      <t>主</t>
    </r>
    <r>
      <rPr>
        <b/>
        <sz val="11"/>
        <color theme="1"/>
        <rFont val="等线"/>
        <family val="3"/>
        <charset val="134"/>
        <scheme val="minor"/>
      </rPr>
      <t>具体的食禄、口福、烹饪才华与稳定享受</t>
    </r>
    <r>
      <rPr>
        <sz val="11"/>
        <color theme="1"/>
        <rFont val="等线"/>
        <family val="2"/>
        <charset val="134"/>
        <scheme val="minor"/>
      </rPr>
      <t>，更物质化和生活化。</t>
    </r>
  </si>
  <si>
    <r>
      <t>7. 地理类象</t>
    </r>
    <r>
      <rPr>
        <sz val="11"/>
        <color theme="1"/>
        <rFont val="等线"/>
        <family val="2"/>
        <charset val="134"/>
        <scheme val="minor"/>
      </rPr>
      <t>：</t>
    </r>
    <r>
      <rPr>
        <b/>
        <sz val="11"/>
        <color theme="1"/>
        <rFont val="等线"/>
        <family val="3"/>
        <charset val="134"/>
        <scheme val="minor"/>
      </rPr>
      <t>厨房、餐厅、食堂、宴会厅、食品厂、一切与饮食、烹饪、享受美食相关的场所</t>
    </r>
    <r>
      <rPr>
        <sz val="11"/>
        <color theme="1"/>
        <rFont val="等线"/>
        <family val="2"/>
        <charset val="134"/>
        <scheme val="minor"/>
      </rPr>
      <t>。</t>
    </r>
  </si>
  <si>
    <t>注：以上内容严格遵循修正后的逻辑，从穷举“食禄/福气”及其全部引申象征（烹饪、才华、享受、稳定等）出发，系统化推导并呈现了“人/事/物”三个层次的完整解析。天厨为食禄星，主福气才华。其核心在于“食”与“禄”，常在生活享受与稳定回报层面带来福气。其性质为吉，遇吉星则福禄双全，遇煞星则享受有瑕。在紫占中，天厨所在即个人“口福享受点”与“才华发挥处”之所在，提示其在饮食、烹饪或稳定职业方面的潜力与倾向。需与天福（普遍福气）、禄存（钱财储存）在“禄”的性质上明确区分，天厨更偏向具体的生活享受与物质才华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</si>
</sst>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3.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/>
      <right style="medium">
        <color rgb="FFE0E0E0"/>
      </right>
      <top/>
      <bottom/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/>
      <diagonal/>
    </border>
    <border>
      <left style="medium">
        <color rgb="FFE0E0E0"/>
      </left>
      <right style="medium">
        <color rgb="FFE0E0E0"/>
      </right>
      <top/>
      <bottom/>
      <diagonal/>
    </border>
    <border>
      <left style="medium">
        <color rgb="FFE0E0E0"/>
      </left>
      <right style="medium">
        <color rgb="FFE0E0E0"/>
      </right>
      <top/>
      <bottom style="medium">
        <color rgb="FFE0E0E0"/>
      </bottom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0" fontId="5" fillId="0" borderId="1" xfId="0" applyFont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6" fillId="0" borderId="0" xfId="0" applyFont="1">
      <alignment vertical="center"/>
    </xf>
    <xf numFmtId="0" fontId="1" fillId="0" borderId="0" xfId="0" applyFont="1" applyAlignment="1">
      <alignment horizontal="left" vertical="center" indent="3"/>
    </xf>
    <xf numFmtId="0" fontId="7" fillId="0" borderId="0" xfId="0" applyFont="1" applyAlignment="1">
      <alignment horizontal="left" vertical="center" indent="2"/>
    </xf>
    <xf numFmtId="0" fontId="5" fillId="0" borderId="3" xfId="0" applyFont="1" applyBorder="1" applyAlignment="1">
      <alignment horizontal="left" vertical="center" wrapText="1" indent="1"/>
    </xf>
    <xf numFmtId="0" fontId="5" fillId="0" borderId="4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0" fontId="5" fillId="0" borderId="3" xfId="0" applyFont="1" applyBorder="1" applyAlignment="1">
      <alignment horizontal="left" vertical="center" wrapText="1" indent="1"/>
    </xf>
    <xf numFmtId="0" fontId="5" fillId="0" borderId="4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wrapText="1" indent="1"/>
    </xf>
    <xf numFmtId="0" fontId="4" fillId="0" borderId="3" xfId="0" applyFont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0" fontId="1" fillId="0" borderId="0" xfId="0" applyFont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 inden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 indent="1"/>
    </xf>
    <xf numFmtId="0" fontId="1" fillId="0" borderId="3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0" fillId="0" borderId="5" xfId="0" applyBorder="1" applyAlignment="1">
      <alignment horizontal="left" vertical="center" wrapText="1" indent="1"/>
    </xf>
    <xf numFmtId="0" fontId="1" fillId="0" borderId="3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0" fontId="1" fillId="0" borderId="5" xfId="0" applyFont="1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0" fillId="0" borderId="5" xfId="0" applyBorder="1" applyAlignment="1">
      <alignment horizontal="left" vertical="center" wrapText="1" inden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FF27-68BD-412A-A321-22A0C5D4D51F}">
  <dimension ref="B1:G102"/>
  <sheetViews>
    <sheetView topLeftCell="A60" zoomScaleNormal="100" workbookViewId="0">
      <selection activeCell="B1" sqref="B1:D10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4446</v>
      </c>
      <c r="G1" t="str">
        <f>"&lt;dl&gt;&lt;dt&gt;" &amp; B1 &amp; "&lt;/dt&gt;&lt;dd&gt;" &amp; C1 &amp; "&lt;/dd&gt;&lt;dd&gt;" &amp; D1 &amp; "&lt;/dd&gt;&lt;/dl&gt;"</f>
        <v>&lt;dl&gt;&lt;dt&gt;根据《金刚佛光-紫占课程手册》，并严格应用修正后的逻辑，现对紫微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4447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4448</v>
      </c>
      <c r="D7" s="15" t="s">
        <v>4449</v>
      </c>
    </row>
    <row r="8" spans="2:7" ht="94.5" x14ac:dyDescent="0.2">
      <c r="B8" s="24" t="s">
        <v>2914</v>
      </c>
      <c r="C8" s="19" t="s">
        <v>4450</v>
      </c>
      <c r="D8" s="27" t="s">
        <v>4458</v>
      </c>
    </row>
    <row r="9" spans="2:7" ht="94.5" x14ac:dyDescent="0.2">
      <c r="B9" s="25"/>
      <c r="C9" s="20" t="s">
        <v>4451</v>
      </c>
      <c r="D9" s="28"/>
    </row>
    <row r="10" spans="2:7" ht="47.25" x14ac:dyDescent="0.2">
      <c r="B10" s="25"/>
      <c r="C10" s="20" t="s">
        <v>4452</v>
      </c>
      <c r="D10" s="28"/>
    </row>
    <row r="11" spans="2:7" ht="47.25" x14ac:dyDescent="0.2">
      <c r="B11" s="25"/>
      <c r="C11" s="22" t="s">
        <v>4453</v>
      </c>
      <c r="D11" s="28"/>
    </row>
    <row r="12" spans="2:7" ht="47.25" x14ac:dyDescent="0.2">
      <c r="B12" s="25"/>
      <c r="C12" s="22" t="s">
        <v>4454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4455</v>
      </c>
      <c r="D14" s="28"/>
    </row>
    <row r="15" spans="2:7" ht="31.5" x14ac:dyDescent="0.2">
      <c r="B15" s="25"/>
      <c r="C15" s="22" t="s">
        <v>4456</v>
      </c>
      <c r="D15" s="28"/>
    </row>
    <row r="16" spans="2:7" ht="32.25" thickBot="1" x14ac:dyDescent="0.25">
      <c r="B16" s="26"/>
      <c r="C16" s="23" t="s">
        <v>4457</v>
      </c>
      <c r="D16" s="29"/>
    </row>
    <row r="19" spans="2:7" ht="17.25" x14ac:dyDescent="0.2">
      <c r="B19" s="5" t="s">
        <v>100</v>
      </c>
    </row>
    <row r="21" spans="2:7" ht="15.75" x14ac:dyDescent="0.2">
      <c r="B21" s="13" t="s">
        <v>101</v>
      </c>
    </row>
    <row r="22" spans="2:7" ht="16.5" thickBot="1" x14ac:dyDescent="0.25">
      <c r="B22" s="11"/>
    </row>
    <row r="23" spans="2:7" ht="16.5" thickBot="1" x14ac:dyDescent="0.25">
      <c r="B23" s="12" t="s">
        <v>62</v>
      </c>
      <c r="C23" s="12" t="s">
        <v>107</v>
      </c>
      <c r="D23" s="12" t="s">
        <v>108</v>
      </c>
      <c r="E23" s="12"/>
    </row>
    <row r="24" spans="2:7" ht="48" thickBot="1" x14ac:dyDescent="0.25">
      <c r="B24" s="14" t="s">
        <v>4459</v>
      </c>
      <c r="C24" s="15" t="s">
        <v>4460</v>
      </c>
      <c r="D24" s="15" t="s">
        <v>4461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帝星与至尊​&lt;/dt&gt;&lt;dd&gt;核心为“帝星”，代表至高无上的权力、尊严、领导地位。是十四主星之首，主尊贵、权威、受人敬仰。&lt;/dd&gt;&lt;dd&gt;在命宫、官禄宫时，主有领导才能，社会地位高，易居核心职位。&lt;/dd&gt;&lt;/dl&gt;</v>
      </c>
    </row>
    <row r="25" spans="2:7" ht="48" thickBot="1" x14ac:dyDescent="0.25">
      <c r="B25" s="14" t="s">
        <v>4462</v>
      </c>
      <c r="C25" s="15" t="s">
        <v>4463</v>
      </c>
      <c r="D25" s="15" t="s">
        <v>4464</v>
      </c>
      <c r="E25" s="15"/>
      <c r="G25" t="str">
        <f t="shared" si="0"/>
        <v>&lt;dl&gt;&lt;dt&gt;中心与枢纽​&lt;/dt&gt;&lt;dd&gt;化气为“尊”，为“北斗帝星”。代表中心、枢纽、发号施令之处。性格喜居核心，有掌控欲。&lt;/dd&gt;&lt;dd&gt;在命宫、身宫时，主自我意识强，希望成为团体中心。在十二宫皆有其影响力范围。&lt;/dd&gt;&lt;/dl&gt;</v>
      </c>
    </row>
    <row r="26" spans="2:7" ht="48" thickBot="1" x14ac:dyDescent="0.25">
      <c r="B26" s="14" t="s">
        <v>4465</v>
      </c>
      <c r="C26" s="15" t="s">
        <v>4466</v>
      </c>
      <c r="D26" s="15" t="s">
        <v>4467</v>
      </c>
      <c r="E26" s="15"/>
      <c r="G26" t="str">
        <f t="shared" si="0"/>
        <v>&lt;dl&gt;&lt;dt&gt;领导与管理​&lt;/dt&gt;&lt;dd&gt;为“帝星”，必有领导与管理职能。代表组织、规划、决策、统治。有宏观视野，善于建立制度与秩序。&lt;/dd&gt;&lt;dd&gt;在命宫、官禄宫时，主具备卓越的管理才能，适合担任领袖、高管。&lt;/dd&gt;&lt;/dl&gt;</v>
      </c>
    </row>
    <row r="27" spans="2:7" ht="48" thickBot="1" x14ac:dyDescent="0.25">
      <c r="B27" s="14" t="s">
        <v>4468</v>
      </c>
      <c r="C27" s="15" t="s">
        <v>4469</v>
      </c>
      <c r="D27" s="15" t="s">
        <v>4470</v>
      </c>
      <c r="E27" s="15"/>
      <c r="G27" t="str">
        <f t="shared" si="0"/>
        <v>&lt;dl&gt;&lt;dt&gt;大脑与首脑​&lt;/dt&gt;&lt;dd&gt;为“帝星”，亦为“首脑”。代表思考、决策、指挥。是智慧与命令的源头。&lt;/dd&gt;&lt;dd&gt;在命宫、疾厄宫时，主聪明，有主见，健康上需注意头部、神经系统。&lt;/dd&gt;&lt;/dl&gt;</v>
      </c>
    </row>
    <row r="28" spans="2:7" ht="32.25" thickBot="1" x14ac:dyDescent="0.25">
      <c r="B28" s="14" t="s">
        <v>3016</v>
      </c>
      <c r="C28" s="14" t="s">
        <v>4471</v>
      </c>
      <c r="D28" s="15" t="s">
        <v>2539</v>
      </c>
      <c r="E28" s="15"/>
      <c r="G28" t="str">
        <f t="shared" si="0"/>
        <v>&lt;dl&gt;&lt;dt&gt;外貌气质​&lt;/dt&gt;&lt;dd&gt;相貌端正，气度雍容，举止大方，有威仪，眼神坚定有神。&lt;/dd&gt;&lt;dd&gt;在命宫、身宫时显著。&lt;/dd&gt;&lt;/dl&gt;</v>
      </c>
    </row>
    <row r="29" spans="2:7" ht="32.25" thickBot="1" x14ac:dyDescent="0.25">
      <c r="B29" s="24" t="s">
        <v>3017</v>
      </c>
      <c r="C29" s="19" t="s">
        <v>4472</v>
      </c>
      <c r="D29" s="27"/>
      <c r="E29" s="15"/>
      <c r="G29" t="str">
        <f t="shared" si="0"/>
        <v>&lt;dl&gt;&lt;dt&gt;性格特质​&lt;/dt&gt;&lt;dd&gt;优点：领导力强，有责任感，胸怀大志，稳重端庄，善于组织规划。&lt;/dd&gt;&lt;dd&gt;&lt;/dd&gt;&lt;/dl&gt;</v>
      </c>
    </row>
    <row r="30" spans="2:7" ht="32.25" thickBot="1" x14ac:dyDescent="0.25">
      <c r="B30" s="26"/>
      <c r="C30" s="21" t="s">
        <v>4473</v>
      </c>
      <c r="D30" s="29"/>
    </row>
    <row r="31" spans="2:7" ht="32.25" thickBot="1" x14ac:dyDescent="0.25">
      <c r="B31" s="14" t="s">
        <v>3419</v>
      </c>
      <c r="C31" s="15" t="s">
        <v>4474</v>
      </c>
      <c r="D31" s="15" t="s">
        <v>3013</v>
      </c>
    </row>
    <row r="33" spans="2:7" ht="15" thickBot="1" x14ac:dyDescent="0.25"/>
    <row r="34" spans="2:7" ht="18" thickBot="1" x14ac:dyDescent="0.25">
      <c r="B34" s="5" t="s">
        <v>102</v>
      </c>
      <c r="E34" s="12"/>
    </row>
    <row r="35" spans="2:7" ht="16.5" thickBot="1" x14ac:dyDescent="0.25">
      <c r="B35" s="11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2" t="s">
        <v>6</v>
      </c>
      <c r="C36" s="12" t="s">
        <v>107</v>
      </c>
      <c r="D36" s="12" t="s">
        <v>7</v>
      </c>
      <c r="E36" s="15"/>
      <c r="G36" t="str">
        <f t="shared" si="0"/>
        <v>&lt;dl&gt;&lt;dt&gt;宫位​&lt;/dt&gt;&lt;dd&gt;具体象义​&lt;/dd&gt;&lt;dd&gt;文献依据​&lt;/dd&gt;&lt;/dl&gt;</v>
      </c>
    </row>
    <row r="37" spans="2:7" ht="95.25" thickBot="1" x14ac:dyDescent="0.25">
      <c r="B37" s="14" t="s">
        <v>2930</v>
      </c>
      <c r="C37" s="15" t="s">
        <v>4475</v>
      </c>
      <c r="D37" s="15"/>
      <c r="E37" s="15"/>
      <c r="G37" t="str">
        <f t="shared" si="0"/>
        <v>&lt;dl&gt;&lt;dt&gt;命宫​&lt;/dt&gt;&lt;dd&gt;为人有领导风范，自尊心强，好面子，有野心。是天生的领导者。适合从事管理、政治、大型企业高管。喜“百官朝拱”（辅佐吉星多），主大贵，权倾一方。忌“孤君在野”（无吉星辅佐），主孤高，有志难伸。紫微坐命，需修心养性，避免刚愎自用。&lt;/dd&gt;&lt;dd&gt;&lt;/dd&gt;&lt;/dl&gt;</v>
      </c>
    </row>
    <row r="38" spans="2:7" ht="32.25" thickBot="1" x14ac:dyDescent="0.25">
      <c r="B38" s="14" t="s">
        <v>2932</v>
      </c>
      <c r="C38" s="15" t="s">
        <v>4476</v>
      </c>
      <c r="D38" s="15"/>
      <c r="E38" s="15"/>
      <c r="G38" t="str">
        <f t="shared" si="0"/>
        <v>&lt;dl&gt;&lt;dt&gt;兄弟宫​&lt;/dt&gt;&lt;dd&gt;兄弟姐妹中可能有能力出众或像领导者一样的人物，自己易为兄弟姐妹中的核心。&lt;/dd&gt;&lt;dd&gt;&lt;/dd&gt;&lt;/dl&gt;</v>
      </c>
    </row>
    <row r="39" spans="2:7" ht="32.25" thickBot="1" x14ac:dyDescent="0.25">
      <c r="B39" s="14" t="s">
        <v>2934</v>
      </c>
      <c r="C39" s="15" t="s">
        <v>4477</v>
      </c>
      <c r="D39" s="15"/>
      <c r="E39" s="15"/>
      <c r="G39" t="str">
        <f t="shared" si="0"/>
        <v>&lt;dl&gt;&lt;dt&gt;夫妻宫​&lt;/dt&gt;&lt;dd&gt;配偶能力强，有地位，好面子。婚姻关系像君臣，需互相尊重，否则易有支配与反抗。&lt;/dd&gt;&lt;dd&gt;&lt;/dd&gt;&lt;/dl&gt;</v>
      </c>
    </row>
    <row r="40" spans="2:7" ht="32.25" thickBot="1" x14ac:dyDescent="0.25">
      <c r="B40" s="14" t="s">
        <v>2936</v>
      </c>
      <c r="C40" s="15" t="s">
        <v>4478</v>
      </c>
      <c r="D40" s="15"/>
      <c r="E40" s="15"/>
      <c r="G40" t="str">
        <f t="shared" si="0"/>
        <v>&lt;dl&gt;&lt;dt&gt;子女宫​&lt;/dt&gt;&lt;dd&gt;子女有出息，能力强，但管教需注意方式，避免权威压制。&lt;/dd&gt;&lt;dd&gt;&lt;/dd&gt;&lt;/dl&gt;</v>
      </c>
    </row>
    <row r="41" spans="2:7" ht="48" thickBot="1" x14ac:dyDescent="0.25">
      <c r="B41" s="14" t="s">
        <v>9</v>
      </c>
      <c r="C41" s="15" t="s">
        <v>4479</v>
      </c>
      <c r="D41" s="15"/>
      <c r="E41" s="15"/>
      <c r="G41" t="str">
        <f t="shared" si="0"/>
        <v>&lt;dl&gt;&lt;dt&gt;财帛宫​&lt;/dt&gt;&lt;dd&gt;求财方式多与权力、地位相关，适合通过管理、投资、高端行业获利。钱财来得大气，也花费巨大。&lt;/dd&gt;&lt;dd&gt;&lt;/dd&gt;&lt;/dl&gt;</v>
      </c>
    </row>
    <row r="42" spans="2:7" ht="32.25" thickBot="1" x14ac:dyDescent="0.25">
      <c r="B42" s="14" t="s">
        <v>10</v>
      </c>
      <c r="C42" s="15" t="s">
        <v>4480</v>
      </c>
      <c r="D42" s="15"/>
      <c r="E42" s="15"/>
      <c r="G42" t="str">
        <f t="shared" si="0"/>
        <v>&lt;dl&gt;&lt;dt&gt;疾厄宫​&lt;/dt&gt;&lt;dd&gt;主脾胃不适，更需注意头部疾病、神经系统疾病、高血压。&lt;/dd&gt;&lt;dd&gt;&lt;/dd&gt;&lt;/dl&gt;</v>
      </c>
    </row>
    <row r="43" spans="2:7" ht="32.25" thickBot="1" x14ac:dyDescent="0.25">
      <c r="B43" s="14" t="s">
        <v>13</v>
      </c>
      <c r="C43" s="15" t="s">
        <v>4481</v>
      </c>
      <c r="D43" s="15"/>
      <c r="E43" s="15"/>
      <c r="G43" t="str">
        <f t="shared" si="0"/>
        <v>&lt;dl&gt;&lt;dt&gt;迁移宫​&lt;/dt&gt;&lt;dd&gt;在外有地位，受人尊重，易结交权贵，适合在异地发展事业，担任领导职务。&lt;/dd&gt;&lt;dd&gt;&lt;/dd&gt;&lt;/dl&gt;</v>
      </c>
    </row>
    <row r="44" spans="2:7" ht="32.25" thickBot="1" x14ac:dyDescent="0.25">
      <c r="B44" s="14" t="s">
        <v>3018</v>
      </c>
      <c r="C44" s="14" t="s">
        <v>4482</v>
      </c>
      <c r="D44" s="15"/>
    </row>
    <row r="45" spans="2:7" ht="48" thickBot="1" x14ac:dyDescent="0.25">
      <c r="B45" s="14" t="s">
        <v>3019</v>
      </c>
      <c r="C45" s="15" t="s">
        <v>4483</v>
      </c>
      <c r="D45" s="15"/>
    </row>
    <row r="46" spans="2:7" ht="32.25" thickBot="1" x14ac:dyDescent="0.25">
      <c r="B46" s="14" t="s">
        <v>8</v>
      </c>
      <c r="C46" s="14" t="s">
        <v>4484</v>
      </c>
      <c r="D46" s="15"/>
    </row>
    <row r="47" spans="2:7" ht="32.25" thickBot="1" x14ac:dyDescent="0.25">
      <c r="B47" s="14" t="s">
        <v>2945</v>
      </c>
      <c r="C47" s="15" t="s">
        <v>4485</v>
      </c>
      <c r="D47" s="15"/>
    </row>
    <row r="48" spans="2:7" ht="32.25" thickBot="1" x14ac:dyDescent="0.25">
      <c r="B48" s="14" t="s">
        <v>11</v>
      </c>
      <c r="C48" s="15" t="s">
        <v>4486</v>
      </c>
      <c r="D48" s="15"/>
      <c r="E48" s="12"/>
    </row>
    <row r="49" spans="2:7" ht="16.5" thickBot="1" x14ac:dyDescent="0.25"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8" thickBot="1" x14ac:dyDescent="0.25">
      <c r="B51" s="5" t="s">
        <v>70</v>
      </c>
      <c r="E51" s="15"/>
      <c r="G51" t="str">
        <f t="shared" si="0"/>
        <v>&lt;dl&gt;&lt;dt&gt;四、主星组合象义&lt;/dt&gt;&lt;dd&gt;&lt;/dd&gt;&lt;dd&gt;&lt;/dd&gt;&lt;/dl&gt;</v>
      </c>
    </row>
    <row r="52" spans="2:7" ht="16.5" thickBot="1" x14ac:dyDescent="0.25">
      <c r="E52" s="15"/>
      <c r="G52" t="str">
        <f t="shared" si="0"/>
        <v>&lt;dl&gt;&lt;dt&gt;&lt;/dt&gt;&lt;dd&gt;&lt;/dd&gt;&lt;dd&gt;&lt;/dd&gt;&lt;/dl&gt;</v>
      </c>
    </row>
    <row r="53" spans="2:7" ht="15.75" x14ac:dyDescent="0.2">
      <c r="B53" s="13" t="s">
        <v>4487</v>
      </c>
    </row>
    <row r="54" spans="2:7" ht="16.5" thickBot="1" x14ac:dyDescent="0.25">
      <c r="B54" s="11"/>
    </row>
    <row r="55" spans="2:7" ht="16.5" thickBot="1" x14ac:dyDescent="0.25">
      <c r="B55" s="12" t="s">
        <v>19</v>
      </c>
      <c r="C55" s="12" t="s">
        <v>73</v>
      </c>
      <c r="D55" s="12" t="s">
        <v>108</v>
      </c>
    </row>
    <row r="56" spans="2:7" ht="32.25" thickBot="1" x14ac:dyDescent="0.25">
      <c r="B56" s="14" t="s">
        <v>4488</v>
      </c>
      <c r="C56" s="14" t="s">
        <v>4489</v>
      </c>
      <c r="D56" s="15" t="s">
        <v>4378</v>
      </c>
    </row>
    <row r="57" spans="2:7" ht="32.25" thickBot="1" x14ac:dyDescent="0.25">
      <c r="B57" s="14" t="s">
        <v>4490</v>
      </c>
      <c r="C57" s="14" t="s">
        <v>4491</v>
      </c>
      <c r="D57" s="15" t="s">
        <v>4492</v>
      </c>
    </row>
    <row r="58" spans="2:7" ht="32.25" thickBot="1" x14ac:dyDescent="0.25">
      <c r="B58" s="14" t="s">
        <v>4493</v>
      </c>
      <c r="C58" s="14" t="s">
        <v>4494</v>
      </c>
      <c r="D58" s="15" t="s">
        <v>4495</v>
      </c>
    </row>
    <row r="59" spans="2:7" ht="32.25" thickBot="1" x14ac:dyDescent="0.25">
      <c r="B59" s="14" t="s">
        <v>4496</v>
      </c>
      <c r="C59" s="14" t="s">
        <v>4497</v>
      </c>
      <c r="D59" s="15" t="s">
        <v>4498</v>
      </c>
    </row>
    <row r="60" spans="2:7" ht="32.25" thickBot="1" x14ac:dyDescent="0.25">
      <c r="B60" s="14" t="s">
        <v>4499</v>
      </c>
      <c r="C60" s="14" t="s">
        <v>4500</v>
      </c>
      <c r="D60" s="15" t="s">
        <v>4501</v>
      </c>
    </row>
    <row r="61" spans="2:7" ht="48" thickBot="1" x14ac:dyDescent="0.25">
      <c r="B61" s="14" t="s">
        <v>4502</v>
      </c>
      <c r="C61" s="14" t="s">
        <v>4503</v>
      </c>
      <c r="D61" s="15" t="s">
        <v>4504</v>
      </c>
    </row>
    <row r="62" spans="2:7" ht="32.25" thickBot="1" x14ac:dyDescent="0.25">
      <c r="B62" s="14" t="s">
        <v>4505</v>
      </c>
      <c r="C62" s="14" t="s">
        <v>4506</v>
      </c>
      <c r="D62" s="15" t="s">
        <v>4507</v>
      </c>
    </row>
    <row r="63" spans="2:7" ht="48" thickBot="1" x14ac:dyDescent="0.25">
      <c r="B63" s="14" t="s">
        <v>4508</v>
      </c>
      <c r="C63" s="14" t="s">
        <v>4509</v>
      </c>
      <c r="D63" s="15" t="s">
        <v>4510</v>
      </c>
    </row>
    <row r="64" spans="2:7" ht="48" thickBot="1" x14ac:dyDescent="0.25">
      <c r="B64" s="14" t="s">
        <v>4511</v>
      </c>
      <c r="C64" s="14" t="s">
        <v>4512</v>
      </c>
      <c r="D64" s="15" t="s">
        <v>4513</v>
      </c>
    </row>
    <row r="65" spans="2:4" ht="32.25" thickBot="1" x14ac:dyDescent="0.25">
      <c r="B65" s="14" t="s">
        <v>4514</v>
      </c>
      <c r="C65" s="14" t="s">
        <v>4515</v>
      </c>
      <c r="D65" s="15" t="s">
        <v>4516</v>
      </c>
    </row>
    <row r="66" spans="2:4" ht="32.25" thickBot="1" x14ac:dyDescent="0.25">
      <c r="B66" s="14" t="s">
        <v>4517</v>
      </c>
      <c r="C66" s="14" t="s">
        <v>4518</v>
      </c>
      <c r="D66" s="15" t="s">
        <v>4248</v>
      </c>
    </row>
    <row r="67" spans="2:4" ht="32.25" thickBot="1" x14ac:dyDescent="0.25">
      <c r="B67" s="14" t="s">
        <v>4519</v>
      </c>
      <c r="C67" s="14" t="s">
        <v>4520</v>
      </c>
      <c r="D67" s="15" t="s">
        <v>4521</v>
      </c>
    </row>
    <row r="68" spans="2:4" ht="32.25" thickBot="1" x14ac:dyDescent="0.25">
      <c r="B68" s="14" t="s">
        <v>4522</v>
      </c>
      <c r="C68" s="14" t="s">
        <v>4523</v>
      </c>
      <c r="D68" s="15" t="s">
        <v>4524</v>
      </c>
    </row>
    <row r="71" spans="2:4" ht="17.25" x14ac:dyDescent="0.2">
      <c r="B71" s="5" t="s">
        <v>71</v>
      </c>
    </row>
    <row r="72" spans="2:4" ht="16.5" thickBot="1" x14ac:dyDescent="0.25">
      <c r="B72" s="11"/>
    </row>
    <row r="73" spans="2:4" ht="16.5" thickBot="1" x14ac:dyDescent="0.25">
      <c r="B73" s="12" t="s">
        <v>14</v>
      </c>
      <c r="C73" s="12" t="s">
        <v>75</v>
      </c>
      <c r="D73" s="12" t="s">
        <v>7</v>
      </c>
    </row>
    <row r="74" spans="2:4" ht="32.25" thickBot="1" x14ac:dyDescent="0.25">
      <c r="B74" s="14" t="s">
        <v>4525</v>
      </c>
      <c r="C74" s="14" t="s">
        <v>4526</v>
      </c>
      <c r="D74" s="15"/>
    </row>
    <row r="75" spans="2:4" ht="32.25" thickBot="1" x14ac:dyDescent="0.25">
      <c r="B75" s="14" t="s">
        <v>4527</v>
      </c>
      <c r="C75" s="14" t="s">
        <v>4528</v>
      </c>
      <c r="D75" s="15"/>
    </row>
    <row r="76" spans="2:4" ht="32.25" thickBot="1" x14ac:dyDescent="0.25">
      <c r="B76" s="14" t="s">
        <v>4529</v>
      </c>
      <c r="C76" s="14" t="s">
        <v>4530</v>
      </c>
      <c r="D76" s="15"/>
    </row>
    <row r="77" spans="2:4" ht="16.5" thickBot="1" x14ac:dyDescent="0.25">
      <c r="B77" s="14" t="s">
        <v>4531</v>
      </c>
      <c r="C77" s="14" t="s">
        <v>4532</v>
      </c>
      <c r="D77" s="15"/>
    </row>
    <row r="78" spans="2:4" ht="32.25" thickBot="1" x14ac:dyDescent="0.25">
      <c r="B78" s="14" t="s">
        <v>4533</v>
      </c>
      <c r="C78" s="14" t="s">
        <v>4534</v>
      </c>
      <c r="D78" s="15"/>
    </row>
    <row r="79" spans="2:4" ht="32.25" thickBot="1" x14ac:dyDescent="0.25">
      <c r="B79" s="14" t="s">
        <v>4535</v>
      </c>
      <c r="C79" s="14" t="s">
        <v>4536</v>
      </c>
      <c r="D79" s="15"/>
    </row>
    <row r="80" spans="2:4" ht="32.25" thickBot="1" x14ac:dyDescent="0.25">
      <c r="B80" s="14" t="s">
        <v>4537</v>
      </c>
      <c r="C80" s="14" t="s">
        <v>4538</v>
      </c>
      <c r="D80" s="15"/>
    </row>
    <row r="81" spans="2:4" ht="32.25" thickBot="1" x14ac:dyDescent="0.25">
      <c r="B81" s="14" t="s">
        <v>4539</v>
      </c>
      <c r="C81" s="14" t="s">
        <v>4540</v>
      </c>
      <c r="D81" s="15"/>
    </row>
    <row r="82" spans="2:4" ht="32.25" thickBot="1" x14ac:dyDescent="0.25">
      <c r="B82" s="14" t="s">
        <v>4541</v>
      </c>
      <c r="C82" s="14" t="s">
        <v>4542</v>
      </c>
      <c r="D82" s="15"/>
    </row>
    <row r="83" spans="2:4" ht="32.25" thickBot="1" x14ac:dyDescent="0.25">
      <c r="B83" s="14" t="s">
        <v>4543</v>
      </c>
      <c r="C83" s="14" t="s">
        <v>4544</v>
      </c>
      <c r="D83" s="15"/>
    </row>
    <row r="84" spans="2:4" ht="32.25" thickBot="1" x14ac:dyDescent="0.25">
      <c r="B84" s="14" t="s">
        <v>4545</v>
      </c>
      <c r="C84" s="14" t="s">
        <v>4546</v>
      </c>
      <c r="D84" s="15"/>
    </row>
    <row r="85" spans="2:4" ht="32.25" thickBot="1" x14ac:dyDescent="0.25">
      <c r="B85" s="14" t="s">
        <v>4547</v>
      </c>
      <c r="C85" s="14" t="s">
        <v>4548</v>
      </c>
      <c r="D85" s="15"/>
    </row>
    <row r="86" spans="2:4" ht="32.25" thickBot="1" x14ac:dyDescent="0.25">
      <c r="B86" s="14" t="s">
        <v>4549</v>
      </c>
      <c r="C86" s="14" t="s">
        <v>4550</v>
      </c>
      <c r="D86" s="15"/>
    </row>
    <row r="87" spans="2:4" ht="32.25" thickBot="1" x14ac:dyDescent="0.25">
      <c r="B87" s="14" t="s">
        <v>4551</v>
      </c>
      <c r="C87" s="14" t="s">
        <v>4552</v>
      </c>
      <c r="D87" s="15"/>
    </row>
    <row r="88" spans="2:4" ht="32.25" thickBot="1" x14ac:dyDescent="0.25">
      <c r="B88" s="14" t="s">
        <v>4553</v>
      </c>
      <c r="C88" s="14" t="s">
        <v>4554</v>
      </c>
      <c r="D88" s="15"/>
    </row>
    <row r="91" spans="2:4" ht="17.25" x14ac:dyDescent="0.2">
      <c r="B91" s="5" t="s">
        <v>103</v>
      </c>
    </row>
    <row r="92" spans="2:4" x14ac:dyDescent="0.2">
      <c r="B92" s="6"/>
    </row>
    <row r="93" spans="2:4" x14ac:dyDescent="0.2">
      <c r="B93" s="7" t="s">
        <v>4555</v>
      </c>
    </row>
    <row r="94" spans="2:4" x14ac:dyDescent="0.2">
      <c r="B94" s="7" t="s">
        <v>4556</v>
      </c>
    </row>
    <row r="95" spans="2:4" x14ac:dyDescent="0.2">
      <c r="B95" s="7" t="s">
        <v>4557</v>
      </c>
    </row>
    <row r="96" spans="2:4" x14ac:dyDescent="0.2">
      <c r="B96" s="7" t="s">
        <v>4558</v>
      </c>
    </row>
    <row r="97" spans="2:2" x14ac:dyDescent="0.2">
      <c r="B97" s="7" t="s">
        <v>4559</v>
      </c>
    </row>
    <row r="98" spans="2:2" x14ac:dyDescent="0.2">
      <c r="B98" s="7" t="s">
        <v>4560</v>
      </c>
    </row>
    <row r="99" spans="2:2" x14ac:dyDescent="0.2">
      <c r="B99" s="7" t="s">
        <v>4561</v>
      </c>
    </row>
    <row r="100" spans="2:2" x14ac:dyDescent="0.2">
      <c r="B100" s="7" t="s">
        <v>4562</v>
      </c>
    </row>
    <row r="101" spans="2:2" x14ac:dyDescent="0.2">
      <c r="B101" s="6"/>
    </row>
    <row r="102" spans="2:2" x14ac:dyDescent="0.2">
      <c r="B102" s="6" t="s">
        <v>4563</v>
      </c>
    </row>
  </sheetData>
  <mergeCells count="4">
    <mergeCell ref="B8:B16"/>
    <mergeCell ref="D8:D16"/>
    <mergeCell ref="B29:B30"/>
    <mergeCell ref="D29:D3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72684-AED1-46C8-B286-C73E08579A91}">
  <dimension ref="B1:G102"/>
  <sheetViews>
    <sheetView topLeftCell="A9" zoomScaleNormal="100" workbookViewId="0">
      <selection activeCell="B1" sqref="B1:D10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4334</v>
      </c>
      <c r="G1" t="str">
        <f>"&lt;dl&gt;&lt;dt&gt;" &amp; B1 &amp; "&lt;/dt&gt;&lt;dd&gt;" &amp; C1 &amp; "&lt;/dd&gt;&lt;dd&gt;" &amp; D1 &amp; "&lt;/dd&gt;&lt;/dl&gt;"</f>
        <v>&lt;dl&gt;&lt;dt&gt;根据《金刚佛光-紫占课程手册》，并严格应用修正后的逻辑，现对天府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4335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4336</v>
      </c>
      <c r="D7" s="15" t="s">
        <v>4337</v>
      </c>
    </row>
    <row r="8" spans="2:7" ht="110.25" x14ac:dyDescent="0.2">
      <c r="B8" s="24" t="s">
        <v>2914</v>
      </c>
      <c r="C8" s="19" t="s">
        <v>4338</v>
      </c>
      <c r="D8" s="27" t="s">
        <v>4347</v>
      </c>
    </row>
    <row r="9" spans="2:7" ht="94.5" x14ac:dyDescent="0.2">
      <c r="B9" s="25"/>
      <c r="C9" s="20" t="s">
        <v>4339</v>
      </c>
      <c r="D9" s="28"/>
    </row>
    <row r="10" spans="2:7" ht="47.25" x14ac:dyDescent="0.2">
      <c r="B10" s="25"/>
      <c r="C10" s="20" t="s">
        <v>4340</v>
      </c>
      <c r="D10" s="28"/>
    </row>
    <row r="11" spans="2:7" ht="47.25" x14ac:dyDescent="0.2">
      <c r="B11" s="25"/>
      <c r="C11" s="22" t="s">
        <v>4341</v>
      </c>
      <c r="D11" s="28"/>
    </row>
    <row r="12" spans="2:7" ht="47.25" x14ac:dyDescent="0.2">
      <c r="B12" s="25"/>
      <c r="C12" s="22" t="s">
        <v>4342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4344</v>
      </c>
      <c r="D14" s="28"/>
    </row>
    <row r="15" spans="2:7" ht="47.25" x14ac:dyDescent="0.2">
      <c r="B15" s="25"/>
      <c r="C15" s="22" t="s">
        <v>4345</v>
      </c>
      <c r="D15" s="28"/>
    </row>
    <row r="16" spans="2:7" ht="32.25" thickBot="1" x14ac:dyDescent="0.25">
      <c r="B16" s="26"/>
      <c r="C16" s="23" t="s">
        <v>4346</v>
      </c>
      <c r="D16" s="29"/>
    </row>
    <row r="19" spans="2:7" ht="17.25" x14ac:dyDescent="0.2">
      <c r="B19" s="5" t="s">
        <v>100</v>
      </c>
    </row>
    <row r="21" spans="2:7" ht="15.75" x14ac:dyDescent="0.2">
      <c r="B21" s="13" t="s">
        <v>101</v>
      </c>
    </row>
    <row r="22" spans="2:7" ht="16.5" thickBot="1" x14ac:dyDescent="0.25">
      <c r="B22" s="11"/>
    </row>
    <row r="23" spans="2:7" ht="16.5" thickBot="1" x14ac:dyDescent="0.25">
      <c r="B23" s="12" t="s">
        <v>62</v>
      </c>
      <c r="C23" s="12" t="s">
        <v>107</v>
      </c>
      <c r="D23" s="12" t="s">
        <v>108</v>
      </c>
      <c r="E23" s="12" t="s">
        <v>7</v>
      </c>
    </row>
    <row r="24" spans="2:7" ht="48" thickBot="1" x14ac:dyDescent="0.25">
      <c r="B24" s="14" t="s">
        <v>4348</v>
      </c>
      <c r="C24" s="15" t="s">
        <v>4349</v>
      </c>
      <c r="D24" s="15" t="s">
        <v>4350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库星与财库​&lt;/dt&gt;&lt;dd&gt;核心为“库”，代表收藏、积累、财富、资源。是财帛与田宅的主星，主富裕、稳定、储蓄能力强。&lt;/dd&gt;&lt;dd&gt;在命宫、财帛宫、田宅宫时，主一生物质生活丰足，善于理财和积累资产。&lt;/dd&gt;&lt;/dl&gt;</v>
      </c>
    </row>
    <row r="25" spans="2:7" ht="48" thickBot="1" x14ac:dyDescent="0.25">
      <c r="B25" s="14" t="s">
        <v>4351</v>
      </c>
      <c r="C25" s="15" t="s">
        <v>4352</v>
      </c>
      <c r="D25" s="15" t="s">
        <v>4353</v>
      </c>
      <c r="E25" s="15"/>
      <c r="G25" t="str">
        <f t="shared" si="0"/>
        <v>&lt;dl&gt;&lt;dt&gt;稳定与保守​&lt;/dt&gt;&lt;dd&gt;化气为“库”，亦为“令星”（南斗主星）。代表稳定、保守、不易变动。性格求稳，不喜冒险，遵循传统与规则。&lt;/dd&gt;&lt;dd&gt;在命宫、官禄宫时，主适合在稳定体系内发展，如公务员、银行、大型企业。&lt;/dd&gt;&lt;/dl&gt;</v>
      </c>
    </row>
    <row r="26" spans="2:7" ht="48" thickBot="1" x14ac:dyDescent="0.25">
      <c r="B26" s="14" t="s">
        <v>4354</v>
      </c>
      <c r="C26" s="15" t="s">
        <v>4355</v>
      </c>
      <c r="D26" s="15" t="s">
        <v>4356</v>
      </c>
      <c r="E26" s="15"/>
      <c r="G26" t="str">
        <f t="shared" si="0"/>
        <v>&lt;dl&gt;&lt;dt&gt;管理与包容​&lt;/dt&gt;&lt;dd&gt;为“库”，必有管理职能。代表统筹、规划、领导、包容。有容人之量，能协调各方，维持系统稳定运行。&lt;/dd&gt;&lt;dd&gt;在命宫、官禄宫时，主具备管理才能，适合担任主管、经理等职位。&lt;/dd&gt;&lt;/dl&gt;</v>
      </c>
    </row>
    <row r="27" spans="2:7" ht="48" thickBot="1" x14ac:dyDescent="0.25">
      <c r="B27" s="14" t="s">
        <v>4357</v>
      </c>
      <c r="C27" s="15" t="s">
        <v>4358</v>
      </c>
      <c r="D27" s="15" t="s">
        <v>4359</v>
      </c>
      <c r="E27" s="15"/>
      <c r="G27" t="str">
        <f t="shared" si="0"/>
        <v>&lt;dl&gt;&lt;dt&gt;中心与疆域​&lt;/dt&gt;&lt;dd&gt;为“库”，必有边界与范围。代表中心、核心、领地、权限。重视自己的领域与范围，有主权意识。&lt;/dd&gt;&lt;dd&gt;在命宫、田宅宫时，主注重家庭与个人空间，有领地观念。在官禄宫，主掌管一个部门或领域。&lt;/dd&gt;&lt;/dl&gt;</v>
      </c>
    </row>
    <row r="28" spans="2:7" ht="32.25" thickBot="1" x14ac:dyDescent="0.25">
      <c r="B28" s="14" t="s">
        <v>3016</v>
      </c>
      <c r="C28" s="14" t="s">
        <v>4360</v>
      </c>
      <c r="D28" s="15" t="s">
        <v>2539</v>
      </c>
      <c r="E28" s="15"/>
      <c r="G28" t="str">
        <f t="shared" si="0"/>
        <v>&lt;dl&gt;&lt;dt&gt;外貌气质​&lt;/dt&gt;&lt;dd&gt;身材丰满，方脸或圆脸，神态稳重，举止从容，有富贵气。&lt;/dd&gt;&lt;dd&gt;在命宫、身宫时显著。&lt;/dd&gt;&lt;/dl&gt;</v>
      </c>
    </row>
    <row r="29" spans="2:7" ht="32.25" thickBot="1" x14ac:dyDescent="0.25">
      <c r="B29" s="24" t="s">
        <v>3017</v>
      </c>
      <c r="C29" s="19" t="s">
        <v>4361</v>
      </c>
      <c r="D29" s="27"/>
      <c r="E29" s="15"/>
      <c r="G29" t="str">
        <f t="shared" si="0"/>
        <v>&lt;dl&gt;&lt;dt&gt;性格特质​&lt;/dt&gt;&lt;dd&gt;优点：稳重可靠，谨慎保守，善于管理，包容大度，有责任心，理财能力强。&lt;/dd&gt;&lt;dd&gt;&lt;/dd&gt;&lt;/dl&gt;</v>
      </c>
    </row>
    <row r="30" spans="2:7" ht="32.25" thickBot="1" x14ac:dyDescent="0.25">
      <c r="B30" s="26"/>
      <c r="C30" s="21" t="s">
        <v>4362</v>
      </c>
      <c r="D30" s="29"/>
    </row>
    <row r="31" spans="2:7" ht="48" thickBot="1" x14ac:dyDescent="0.25">
      <c r="B31" s="14" t="s">
        <v>3419</v>
      </c>
      <c r="C31" s="15" t="s">
        <v>4363</v>
      </c>
      <c r="D31" s="15" t="s">
        <v>3013</v>
      </c>
    </row>
    <row r="33" spans="2:7" ht="15" thickBot="1" x14ac:dyDescent="0.25"/>
    <row r="34" spans="2:7" ht="18" thickBot="1" x14ac:dyDescent="0.25">
      <c r="B34" s="5" t="s">
        <v>102</v>
      </c>
      <c r="E34" s="12" t="s">
        <v>7</v>
      </c>
    </row>
    <row r="35" spans="2:7" ht="16.5" thickBot="1" x14ac:dyDescent="0.25">
      <c r="B35" s="11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2" t="s">
        <v>6</v>
      </c>
      <c r="C36" s="12" t="s">
        <v>107</v>
      </c>
      <c r="D36" s="12" t="s">
        <v>7</v>
      </c>
      <c r="E36" s="15"/>
      <c r="G36" t="str">
        <f t="shared" si="0"/>
        <v>&lt;dl&gt;&lt;dt&gt;宫位​&lt;/dt&gt;&lt;dd&gt;具体象义​&lt;/dd&gt;&lt;dd&gt;文献依据​&lt;/dd&gt;&lt;/dl&gt;</v>
      </c>
    </row>
    <row r="37" spans="2:7" ht="111" thickBot="1" x14ac:dyDescent="0.25">
      <c r="B37" s="14" t="s">
        <v>2930</v>
      </c>
      <c r="C37" s="15" t="s">
        <v>4364</v>
      </c>
      <c r="D37" s="15"/>
      <c r="E37" s="15"/>
      <c r="G37" t="str">
        <f t="shared" si="0"/>
        <v>&lt;dl&gt;&lt;dt&gt;命宫​&lt;/dt&gt;&lt;dd&gt;为人稳重可靠，保守谨慎，善于管理与积累。是天生的管理者与收藏家。适合从事金融、会计、房地产、仓储、行政管理。喜吉星会照及“府库充盈”，主一生富足，事业稳定。忌空星（地空、地劫）及煞星，主库空，财运起伏，为人吝啬。天府坐命，需培养魄力，避免过于保守。&lt;/dd&gt;&lt;dd&gt;&lt;/dd&gt;&lt;/dl&gt;</v>
      </c>
    </row>
    <row r="38" spans="2:7" ht="32.25" thickBot="1" x14ac:dyDescent="0.25">
      <c r="B38" s="14" t="s">
        <v>2932</v>
      </c>
      <c r="C38" s="15" t="s">
        <v>4365</v>
      </c>
      <c r="D38" s="15"/>
      <c r="E38" s="15"/>
      <c r="G38" t="str">
        <f t="shared" si="0"/>
        <v>&lt;dl&gt;&lt;dt&gt;兄弟宫​&lt;/dt&gt;&lt;dd&gt;兄弟姐妹关系稳定，互相扶持，兄弟姐妹中可能有善于理财或担任管理职务者。&lt;/dd&gt;&lt;dd&gt;&lt;/dd&gt;&lt;/dl&gt;</v>
      </c>
    </row>
    <row r="39" spans="2:7" ht="32.25" thickBot="1" x14ac:dyDescent="0.25">
      <c r="B39" s="14" t="s">
        <v>2934</v>
      </c>
      <c r="C39" s="15" t="s">
        <v>4366</v>
      </c>
      <c r="D39" s="15"/>
      <c r="E39" s="15"/>
      <c r="G39" t="str">
        <f t="shared" si="0"/>
        <v>&lt;dl&gt;&lt;dt&gt;夫妻宫​&lt;/dt&gt;&lt;dd&gt;配偶家境不错，性格稳重，注重实际。婚姻关系稳定，像合作伙伴，注重物质基础。&lt;/dd&gt;&lt;dd&gt;&lt;/dd&gt;&lt;/dl&gt;</v>
      </c>
    </row>
    <row r="40" spans="2:7" ht="32.25" thickBot="1" x14ac:dyDescent="0.25">
      <c r="B40" s="14" t="s">
        <v>2936</v>
      </c>
      <c r="C40" s="15" t="s">
        <v>4367</v>
      </c>
      <c r="D40" s="15"/>
      <c r="E40" s="15"/>
      <c r="G40" t="str">
        <f t="shared" si="0"/>
        <v>&lt;dl&gt;&lt;dt&gt;子女宫​&lt;/dt&gt;&lt;dd&gt;子女稳重懂事，理财观念强。子女数量不多，但能得子女物质奉养。&lt;/dd&gt;&lt;dd&gt;&lt;/dd&gt;&lt;/dl&gt;</v>
      </c>
    </row>
    <row r="41" spans="2:7" ht="48" thickBot="1" x14ac:dyDescent="0.25">
      <c r="B41" s="14" t="s">
        <v>9</v>
      </c>
      <c r="C41" s="15" t="s">
        <v>4368</v>
      </c>
      <c r="D41" s="15"/>
      <c r="E41" s="15"/>
      <c r="G41" t="str">
        <f t="shared" si="0"/>
        <v>&lt;dl&gt;&lt;dt&gt;财帛宫​&lt;/dt&gt;&lt;dd&gt;求财方式稳定、保守、善于储蓄。适合稳定薪水、租金、利息、长期投资。是财库，见禄存、化禄，主财富丰盈；见空劫，主财来财去。&lt;/dd&gt;&lt;dd&gt;&lt;/dd&gt;&lt;/dl&gt;</v>
      </c>
    </row>
    <row r="42" spans="2:7" ht="32.25" thickBot="1" x14ac:dyDescent="0.25">
      <c r="B42" s="14" t="s">
        <v>10</v>
      </c>
      <c r="C42" s="15" t="s">
        <v>4369</v>
      </c>
      <c r="D42" s="15"/>
      <c r="E42" s="15"/>
      <c r="G42" t="str">
        <f t="shared" si="0"/>
        <v>&lt;dl&gt;&lt;dt&gt;疾厄宫​&lt;/dt&gt;&lt;dd&gt;主脾胃、消化系统疾病，易有肥胖、消化不良问题。&lt;/dd&gt;&lt;dd&gt;&lt;/dd&gt;&lt;/dl&gt;</v>
      </c>
    </row>
    <row r="43" spans="2:7" ht="32.25" thickBot="1" x14ac:dyDescent="0.25">
      <c r="B43" s="14" t="s">
        <v>13</v>
      </c>
      <c r="C43" s="15" t="s">
        <v>4370</v>
      </c>
      <c r="D43" s="15"/>
      <c r="E43" s="15"/>
      <c r="G43" t="str">
        <f t="shared" si="0"/>
        <v>&lt;dl&gt;&lt;dt&gt;迁移宫​&lt;/dt&gt;&lt;dd&gt;在外人缘好，易得他人信赖，适合在异地从事稳定行业或管理职务。&lt;/dd&gt;&lt;dd&gt;&lt;/dd&gt;&lt;/dl&gt;</v>
      </c>
    </row>
    <row r="44" spans="2:7" ht="32.25" thickBot="1" x14ac:dyDescent="0.25">
      <c r="B44" s="14" t="s">
        <v>3018</v>
      </c>
      <c r="C44" s="14" t="s">
        <v>4371</v>
      </c>
      <c r="D44" s="15"/>
    </row>
    <row r="45" spans="2:7" ht="48" thickBot="1" x14ac:dyDescent="0.25">
      <c r="B45" s="14" t="s">
        <v>3019</v>
      </c>
      <c r="C45" s="15" t="s">
        <v>4372</v>
      </c>
      <c r="D45" s="15"/>
    </row>
    <row r="46" spans="2:7" ht="48" thickBot="1" x14ac:dyDescent="0.25">
      <c r="B46" s="14" t="s">
        <v>8</v>
      </c>
      <c r="C46" s="14" t="s">
        <v>4373</v>
      </c>
      <c r="D46" s="15"/>
    </row>
    <row r="47" spans="2:7" ht="32.25" thickBot="1" x14ac:dyDescent="0.25">
      <c r="B47" s="14" t="s">
        <v>2945</v>
      </c>
      <c r="C47" s="15" t="s">
        <v>4374</v>
      </c>
      <c r="D47" s="15"/>
    </row>
    <row r="48" spans="2:7" ht="32.25" thickBot="1" x14ac:dyDescent="0.25">
      <c r="B48" s="14" t="s">
        <v>11</v>
      </c>
      <c r="C48" s="15" t="s">
        <v>4375</v>
      </c>
      <c r="D48" s="15"/>
      <c r="E48" s="12" t="s">
        <v>7</v>
      </c>
    </row>
    <row r="49" spans="2:7" ht="16.5" thickBot="1" x14ac:dyDescent="0.25"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8" thickBot="1" x14ac:dyDescent="0.25">
      <c r="B51" s="5" t="s">
        <v>70</v>
      </c>
      <c r="E51" s="15"/>
      <c r="G51" t="str">
        <f t="shared" si="0"/>
        <v>&lt;dl&gt;&lt;dt&gt;四、主星组合象义&lt;/dt&gt;&lt;dd&gt;&lt;/dd&gt;&lt;dd&gt;&lt;/dd&gt;&lt;/dl&gt;</v>
      </c>
    </row>
    <row r="52" spans="2:7" ht="16.5" thickBot="1" x14ac:dyDescent="0.25">
      <c r="E52" s="15"/>
      <c r="G52" t="str">
        <f t="shared" si="0"/>
        <v>&lt;dl&gt;&lt;dt&gt;&lt;/dt&gt;&lt;dd&gt;&lt;/dd&gt;&lt;dd&gt;&lt;/dd&gt;&lt;/dl&gt;</v>
      </c>
    </row>
    <row r="53" spans="2:7" ht="15.75" x14ac:dyDescent="0.2">
      <c r="B53" s="13" t="s">
        <v>4376</v>
      </c>
    </row>
    <row r="54" spans="2:7" ht="16.5" thickBot="1" x14ac:dyDescent="0.25">
      <c r="B54" s="11"/>
    </row>
    <row r="55" spans="2:7" ht="16.5" thickBot="1" x14ac:dyDescent="0.25">
      <c r="B55" s="12" t="s">
        <v>19</v>
      </c>
      <c r="C55" s="12" t="s">
        <v>73</v>
      </c>
      <c r="D55" s="12" t="s">
        <v>108</v>
      </c>
    </row>
    <row r="56" spans="2:7" ht="32.25" thickBot="1" x14ac:dyDescent="0.25">
      <c r="B56" s="14" t="s">
        <v>21</v>
      </c>
      <c r="C56" s="14" t="s">
        <v>4377</v>
      </c>
      <c r="D56" s="15" t="s">
        <v>4378</v>
      </c>
    </row>
    <row r="57" spans="2:7" ht="32.25" thickBot="1" x14ac:dyDescent="0.25">
      <c r="B57" s="14" t="s">
        <v>4379</v>
      </c>
      <c r="C57" s="14" t="s">
        <v>4380</v>
      </c>
      <c r="D57" s="15" t="s">
        <v>4381</v>
      </c>
    </row>
    <row r="58" spans="2:7" ht="32.25" thickBot="1" x14ac:dyDescent="0.25">
      <c r="B58" s="14" t="s">
        <v>24</v>
      </c>
      <c r="C58" s="14" t="s">
        <v>4382</v>
      </c>
      <c r="D58" s="15" t="s">
        <v>4383</v>
      </c>
    </row>
    <row r="59" spans="2:7" ht="32.25" thickBot="1" x14ac:dyDescent="0.25">
      <c r="B59" s="14" t="s">
        <v>22</v>
      </c>
      <c r="C59" s="14" t="s">
        <v>4384</v>
      </c>
      <c r="D59" s="15" t="s">
        <v>4385</v>
      </c>
    </row>
    <row r="60" spans="2:7" ht="32.25" thickBot="1" x14ac:dyDescent="0.25">
      <c r="B60" s="14" t="s">
        <v>4386</v>
      </c>
      <c r="C60" s="14" t="s">
        <v>4387</v>
      </c>
      <c r="D60" s="15" t="s">
        <v>4388</v>
      </c>
    </row>
    <row r="61" spans="2:7" ht="48" thickBot="1" x14ac:dyDescent="0.25">
      <c r="B61" s="14" t="s">
        <v>23</v>
      </c>
      <c r="C61" s="14" t="s">
        <v>4389</v>
      </c>
      <c r="D61" s="15" t="s">
        <v>4390</v>
      </c>
    </row>
    <row r="62" spans="2:7" ht="32.25" thickBot="1" x14ac:dyDescent="0.25">
      <c r="B62" s="14" t="s">
        <v>4391</v>
      </c>
      <c r="C62" s="14" t="s">
        <v>4392</v>
      </c>
      <c r="D62" s="15" t="s">
        <v>4393</v>
      </c>
    </row>
    <row r="63" spans="2:7" ht="48" thickBot="1" x14ac:dyDescent="0.25">
      <c r="B63" s="14" t="s">
        <v>4394</v>
      </c>
      <c r="C63" s="14" t="s">
        <v>4395</v>
      </c>
      <c r="D63" s="15" t="s">
        <v>4396</v>
      </c>
    </row>
    <row r="64" spans="2:7" ht="48" thickBot="1" x14ac:dyDescent="0.25">
      <c r="B64" s="14" t="s">
        <v>4397</v>
      </c>
      <c r="C64" s="14" t="s">
        <v>4398</v>
      </c>
      <c r="D64" s="15" t="s">
        <v>4399</v>
      </c>
    </row>
    <row r="65" spans="2:4" ht="32.25" thickBot="1" x14ac:dyDescent="0.25">
      <c r="B65" s="14" t="s">
        <v>4400</v>
      </c>
      <c r="C65" s="14" t="s">
        <v>4401</v>
      </c>
      <c r="D65" s="15" t="s">
        <v>4038</v>
      </c>
    </row>
    <row r="66" spans="2:4" ht="48" thickBot="1" x14ac:dyDescent="0.25">
      <c r="B66" s="14" t="s">
        <v>4402</v>
      </c>
      <c r="C66" s="14" t="s">
        <v>4403</v>
      </c>
      <c r="D66" s="15" t="s">
        <v>4404</v>
      </c>
    </row>
    <row r="67" spans="2:4" ht="32.25" thickBot="1" x14ac:dyDescent="0.25">
      <c r="B67" s="14" t="s">
        <v>4405</v>
      </c>
      <c r="C67" s="14" t="s">
        <v>4406</v>
      </c>
      <c r="D67" s="15" t="s">
        <v>4407</v>
      </c>
    </row>
    <row r="68" spans="2:4" ht="32.25" thickBot="1" x14ac:dyDescent="0.25">
      <c r="B68" s="14" t="s">
        <v>4408</v>
      </c>
      <c r="C68" s="14" t="s">
        <v>4409</v>
      </c>
      <c r="D68" s="15" t="s">
        <v>4410</v>
      </c>
    </row>
    <row r="71" spans="2:4" ht="17.25" x14ac:dyDescent="0.2">
      <c r="B71" s="5" t="s">
        <v>71</v>
      </c>
    </row>
    <row r="72" spans="2:4" ht="16.5" thickBot="1" x14ac:dyDescent="0.25">
      <c r="B72" s="11"/>
    </row>
    <row r="73" spans="2:4" ht="16.5" thickBot="1" x14ac:dyDescent="0.25">
      <c r="B73" s="12" t="s">
        <v>14</v>
      </c>
      <c r="C73" s="12" t="s">
        <v>75</v>
      </c>
      <c r="D73" s="12" t="s">
        <v>7</v>
      </c>
    </row>
    <row r="74" spans="2:4" ht="32.25" thickBot="1" x14ac:dyDescent="0.25">
      <c r="B74" s="14" t="s">
        <v>4411</v>
      </c>
      <c r="C74" s="14" t="s">
        <v>4412</v>
      </c>
      <c r="D74" s="15"/>
    </row>
    <row r="75" spans="2:4" ht="32.25" thickBot="1" x14ac:dyDescent="0.25">
      <c r="B75" s="14" t="s">
        <v>4413</v>
      </c>
      <c r="C75" s="14" t="s">
        <v>4414</v>
      </c>
      <c r="D75" s="15"/>
    </row>
    <row r="76" spans="2:4" ht="32.25" thickBot="1" x14ac:dyDescent="0.25">
      <c r="B76" s="14" t="s">
        <v>4415</v>
      </c>
      <c r="C76" s="14" t="s">
        <v>4416</v>
      </c>
      <c r="D76" s="15"/>
    </row>
    <row r="77" spans="2:4" ht="16.5" thickBot="1" x14ac:dyDescent="0.25">
      <c r="B77" s="14" t="s">
        <v>4417</v>
      </c>
      <c r="C77" s="14" t="s">
        <v>4418</v>
      </c>
      <c r="D77" s="15"/>
    </row>
    <row r="78" spans="2:4" ht="32.25" thickBot="1" x14ac:dyDescent="0.25">
      <c r="B78" s="14" t="s">
        <v>4419</v>
      </c>
      <c r="C78" s="14" t="s">
        <v>4420</v>
      </c>
      <c r="D78" s="15"/>
    </row>
    <row r="79" spans="2:4" ht="32.25" thickBot="1" x14ac:dyDescent="0.25">
      <c r="B79" s="14" t="s">
        <v>4421</v>
      </c>
      <c r="C79" s="14" t="s">
        <v>4422</v>
      </c>
      <c r="D79" s="15"/>
    </row>
    <row r="80" spans="2:4" ht="32.25" thickBot="1" x14ac:dyDescent="0.25">
      <c r="B80" s="14" t="s">
        <v>15</v>
      </c>
      <c r="C80" s="14" t="s">
        <v>4423</v>
      </c>
      <c r="D80" s="15"/>
    </row>
    <row r="81" spans="2:4" ht="32.25" thickBot="1" x14ac:dyDescent="0.25">
      <c r="B81" s="14" t="s">
        <v>4424</v>
      </c>
      <c r="C81" s="14" t="s">
        <v>4425</v>
      </c>
      <c r="D81" s="15"/>
    </row>
    <row r="82" spans="2:4" ht="32.25" thickBot="1" x14ac:dyDescent="0.25">
      <c r="B82" s="14" t="s">
        <v>17</v>
      </c>
      <c r="C82" s="14" t="s">
        <v>4426</v>
      </c>
      <c r="D82" s="15"/>
    </row>
    <row r="83" spans="2:4" ht="32.25" thickBot="1" x14ac:dyDescent="0.25">
      <c r="B83" s="14" t="s">
        <v>18</v>
      </c>
      <c r="C83" s="14" t="s">
        <v>4427</v>
      </c>
      <c r="D83" s="15"/>
    </row>
    <row r="84" spans="2:4" ht="32.25" thickBot="1" x14ac:dyDescent="0.25">
      <c r="B84" s="14" t="s">
        <v>16</v>
      </c>
      <c r="C84" s="14" t="s">
        <v>4428</v>
      </c>
      <c r="D84" s="15"/>
    </row>
    <row r="85" spans="2:4" ht="16.5" thickBot="1" x14ac:dyDescent="0.25">
      <c r="B85" s="14" t="s">
        <v>4429</v>
      </c>
      <c r="C85" s="14" t="s">
        <v>4430</v>
      </c>
      <c r="D85" s="15"/>
    </row>
    <row r="86" spans="2:4" ht="16.5" thickBot="1" x14ac:dyDescent="0.25">
      <c r="B86" s="14" t="s">
        <v>4431</v>
      </c>
      <c r="C86" s="14" t="s">
        <v>4432</v>
      </c>
      <c r="D86" s="15"/>
    </row>
    <row r="87" spans="2:4" ht="16.5" thickBot="1" x14ac:dyDescent="0.25">
      <c r="B87" s="14" t="s">
        <v>4433</v>
      </c>
      <c r="C87" s="14" t="s">
        <v>4434</v>
      </c>
      <c r="D87" s="15"/>
    </row>
    <row r="88" spans="2:4" ht="32.25" thickBot="1" x14ac:dyDescent="0.25">
      <c r="B88" s="14" t="s">
        <v>4435</v>
      </c>
      <c r="C88" s="14" t="s">
        <v>4436</v>
      </c>
      <c r="D88" s="15"/>
    </row>
    <row r="91" spans="2:4" ht="17.25" x14ac:dyDescent="0.2">
      <c r="B91" s="5" t="s">
        <v>103</v>
      </c>
    </row>
    <row r="92" spans="2:4" x14ac:dyDescent="0.2">
      <c r="B92" s="6"/>
    </row>
    <row r="93" spans="2:4" x14ac:dyDescent="0.2">
      <c r="B93" s="7" t="s">
        <v>4437</v>
      </c>
    </row>
    <row r="94" spans="2:4" x14ac:dyDescent="0.2">
      <c r="B94" s="7" t="s">
        <v>4438</v>
      </c>
    </row>
    <row r="95" spans="2:4" x14ac:dyDescent="0.2">
      <c r="B95" s="7" t="s">
        <v>4439</v>
      </c>
    </row>
    <row r="96" spans="2:4" x14ac:dyDescent="0.2">
      <c r="B96" s="7" t="s">
        <v>4440</v>
      </c>
    </row>
    <row r="97" spans="2:2" x14ac:dyDescent="0.2">
      <c r="B97" s="7" t="s">
        <v>4441</v>
      </c>
    </row>
    <row r="98" spans="2:2" x14ac:dyDescent="0.2">
      <c r="B98" s="7" t="s">
        <v>4442</v>
      </c>
    </row>
    <row r="99" spans="2:2" x14ac:dyDescent="0.2">
      <c r="B99" s="7" t="s">
        <v>4443</v>
      </c>
    </row>
    <row r="100" spans="2:2" x14ac:dyDescent="0.2">
      <c r="B100" s="7" t="s">
        <v>4444</v>
      </c>
    </row>
    <row r="101" spans="2:2" x14ac:dyDescent="0.2">
      <c r="B101" s="6"/>
    </row>
    <row r="102" spans="2:2" x14ac:dyDescent="0.2">
      <c r="B102" s="6" t="s">
        <v>4445</v>
      </c>
    </row>
  </sheetData>
  <mergeCells count="4">
    <mergeCell ref="B8:B16"/>
    <mergeCell ref="D8:D16"/>
    <mergeCell ref="B29:B30"/>
    <mergeCell ref="D29:D30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CD793-D16C-4000-B8D6-C0C28B7C1798}">
  <dimension ref="B1:G103"/>
  <sheetViews>
    <sheetView topLeftCell="A9" zoomScaleNormal="100" workbookViewId="0">
      <selection activeCell="C15" sqref="C1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4214</v>
      </c>
      <c r="G1" t="str">
        <f>"&lt;dl&gt;&lt;dt&gt;" &amp; B1 &amp; "&lt;/dt&gt;&lt;dd&gt;" &amp; C1 &amp; "&lt;/dd&gt;&lt;dd&gt;" &amp; D1 &amp; "&lt;/dd&gt;&lt;/dl&gt;"</f>
        <v>&lt;dl&gt;&lt;dt&gt;根据《金刚佛光-紫占课程手册》，天梁星的完整象义解析如下（严格遵循原始资料结构与表述，并应用修正后的逻辑，在“本质”部分系统化呈现“人/事/物”三个层次）：&lt;/dt&gt;&lt;dd&gt;&lt;/dd&gt;&lt;dd&gt;&lt;/dd&gt;&lt;/dl&gt;</v>
      </c>
    </row>
    <row r="4" spans="2:7" ht="17.25" x14ac:dyDescent="0.2">
      <c r="B4" s="5" t="s">
        <v>4215</v>
      </c>
    </row>
    <row r="5" spans="2:7" ht="16.5" thickBot="1" x14ac:dyDescent="0.25">
      <c r="B5" s="11"/>
    </row>
    <row r="6" spans="2:7" ht="15" thickBot="1" x14ac:dyDescent="0.25">
      <c r="B6" s="38" t="s">
        <v>59</v>
      </c>
      <c r="C6" s="38" t="s">
        <v>60</v>
      </c>
      <c r="D6" s="38" t="s">
        <v>7</v>
      </c>
    </row>
    <row r="7" spans="2:7" ht="57.75" thickBot="1" x14ac:dyDescent="0.25">
      <c r="B7" s="38" t="s">
        <v>68</v>
      </c>
      <c r="C7" s="33" t="s">
        <v>4322</v>
      </c>
      <c r="D7" s="33" t="s">
        <v>4323</v>
      </c>
    </row>
    <row r="8" spans="2:7" ht="85.5" x14ac:dyDescent="0.2">
      <c r="B8" s="43" t="s">
        <v>61</v>
      </c>
      <c r="C8" s="39" t="s">
        <v>4324</v>
      </c>
      <c r="D8" s="46" t="s">
        <v>4333</v>
      </c>
    </row>
    <row r="9" spans="2:7" ht="99.75" x14ac:dyDescent="0.2">
      <c r="B9" s="44"/>
      <c r="C9" s="40" t="s">
        <v>4325</v>
      </c>
      <c r="D9" s="47"/>
    </row>
    <row r="10" spans="2:7" ht="42.75" x14ac:dyDescent="0.2">
      <c r="B10" s="44"/>
      <c r="C10" s="40" t="s">
        <v>4326</v>
      </c>
      <c r="D10" s="47"/>
    </row>
    <row r="11" spans="2:7" ht="42.75" x14ac:dyDescent="0.2">
      <c r="B11" s="44"/>
      <c r="C11" s="41" t="s">
        <v>4327</v>
      </c>
      <c r="D11" s="47"/>
    </row>
    <row r="12" spans="2:7" ht="57" x14ac:dyDescent="0.2">
      <c r="B12" s="44"/>
      <c r="C12" s="41" t="s">
        <v>4328</v>
      </c>
      <c r="D12" s="47"/>
    </row>
    <row r="13" spans="2:7" x14ac:dyDescent="0.2">
      <c r="B13" s="44"/>
      <c r="C13" s="41" t="s">
        <v>4329</v>
      </c>
      <c r="D13" s="47"/>
    </row>
    <row r="14" spans="2:7" ht="28.5" x14ac:dyDescent="0.2">
      <c r="B14" s="44"/>
      <c r="C14" s="41" t="s">
        <v>4330</v>
      </c>
      <c r="D14" s="47"/>
    </row>
    <row r="15" spans="2:7" ht="42.75" x14ac:dyDescent="0.2">
      <c r="B15" s="44"/>
      <c r="C15" s="41" t="s">
        <v>4331</v>
      </c>
      <c r="D15" s="47"/>
    </row>
    <row r="16" spans="2:7" ht="43.5" thickBot="1" x14ac:dyDescent="0.25">
      <c r="B16" s="45"/>
      <c r="C16" s="42" t="s">
        <v>4332</v>
      </c>
      <c r="D16" s="48"/>
    </row>
    <row r="17" spans="2:7" ht="142.5" thickBot="1" x14ac:dyDescent="0.25">
      <c r="B17" s="14" t="s">
        <v>2918</v>
      </c>
      <c r="C17" s="15" t="s">
        <v>4216</v>
      </c>
      <c r="D17" s="15"/>
    </row>
    <row r="20" spans="2:7" ht="17.25" x14ac:dyDescent="0.2">
      <c r="B20" s="5" t="s">
        <v>100</v>
      </c>
    </row>
    <row r="22" spans="2:7" ht="15.75" x14ac:dyDescent="0.2">
      <c r="B22" s="13" t="s">
        <v>101</v>
      </c>
    </row>
    <row r="23" spans="2:7" ht="16.5" thickBot="1" x14ac:dyDescent="0.25">
      <c r="B23" s="11"/>
      <c r="E23" s="2" t="s">
        <v>7</v>
      </c>
    </row>
    <row r="24" spans="2:7" ht="16.5" thickBot="1" x14ac:dyDescent="0.25">
      <c r="B24" s="12" t="s">
        <v>62</v>
      </c>
      <c r="C24" s="12" t="s">
        <v>107</v>
      </c>
      <c r="D24" s="12" t="s">
        <v>108</v>
      </c>
      <c r="E24" s="4"/>
      <c r="G24" t="str">
        <f t="shared" ref="G24:G52" si="0">"&lt;dl&gt;&lt;dt&gt;" &amp; B24 &amp; "&lt;/dt&gt;&lt;dd&gt;" &amp; C24 &amp; "&lt;/dd&gt;&lt;dd&gt;" &amp; D24 &amp; "&lt;/dd&gt;&lt;/dl&gt;"</f>
        <v>&lt;dl&gt;&lt;dt&gt;场景​&lt;/dt&gt;&lt;dd&gt;具体象义​&lt;/dd&gt;&lt;dd&gt;典型案例/说明​&lt;/dd&gt;&lt;/dl&gt;</v>
      </c>
    </row>
    <row r="25" spans="2:7" ht="48" thickBot="1" x14ac:dyDescent="0.25">
      <c r="B25" s="14" t="s">
        <v>4217</v>
      </c>
      <c r="C25" s="15" t="s">
        <v>4218</v>
      </c>
      <c r="D25" s="15" t="s">
        <v>4219</v>
      </c>
      <c r="E25" s="4"/>
      <c r="G25" t="str">
        <f t="shared" si="0"/>
        <v>&lt;dl&gt;&lt;dt&gt;荫星与寿星​&lt;/dt&gt;&lt;dd&gt;核心代表荫庇、福报、长寿。象征化解灾难、遇难成祥。在命盘中主有长辈、贵人庇护，本人也具庇护他人之能。&lt;/dd&gt;&lt;dd&gt;在命宫、福德宫时，主一生多逢凶化吉，有寿，晚年运佳。&lt;/dd&gt;&lt;/dl&gt;</v>
      </c>
    </row>
    <row r="26" spans="2:7" ht="48" thickBot="1" x14ac:dyDescent="0.25">
      <c r="B26" s="14" t="s">
        <v>4220</v>
      </c>
      <c r="C26" s="15" t="s">
        <v>4221</v>
      </c>
      <c r="D26" s="15" t="s">
        <v>4222</v>
      </c>
      <c r="E26" s="4"/>
      <c r="G26" t="str">
        <f t="shared" si="0"/>
        <v>&lt;dl&gt;&lt;dt&gt;清高与原则​&lt;/dt&gt;&lt;dd&gt;化气为“荫”，亦为“清高之星”。代表原则、纪律、清誉、不徇私情。性格耿直，是非分明，有道德感。&lt;/dd&gt;&lt;dd&gt;在命宫、官禄宫时，主适合法律、监察、审计、医疗等需要高度原则性的职业。&lt;/dd&gt;&lt;/dl&gt;</v>
      </c>
    </row>
    <row r="27" spans="2:7" ht="48" thickBot="1" x14ac:dyDescent="0.25">
      <c r="B27" s="14" t="s">
        <v>4223</v>
      </c>
      <c r="C27" s="15" t="s">
        <v>4224</v>
      </c>
      <c r="D27" s="15" t="s">
        <v>4225</v>
      </c>
      <c r="E27" s="4"/>
      <c r="G27" t="str">
        <f t="shared" si="0"/>
        <v>&lt;dl&gt;&lt;dt&gt;监察与医药​&lt;/dt&gt;&lt;dd&gt;主监察、审核、医疗、医药。具有发现问题、诊断问题、解决问题（尤其是痼疾）​ 的能力。&lt;/dd&gt;&lt;dd&gt;在命宫、官禄宫、疾厄宫时，主适合医生、法官、审计师、质检员等职业。&lt;/dd&gt;&lt;/dl&gt;</v>
      </c>
    </row>
    <row r="28" spans="2:7" ht="48" thickBot="1" x14ac:dyDescent="0.25">
      <c r="B28" s="14" t="s">
        <v>4226</v>
      </c>
      <c r="C28" s="15" t="s">
        <v>4227</v>
      </c>
      <c r="D28" s="15" t="s">
        <v>4228</v>
      </c>
      <c r="G28" t="str">
        <f t="shared" si="0"/>
        <v>&lt;dl&gt;&lt;dt&gt;孤克与说教​&lt;/dt&gt;&lt;dd&gt;为“孤星”，因清高而显孤傲，人际关系疏淡。好管闲事、喜说教，易招人反感。&lt;/dd&gt;&lt;dd&gt;在命宫、夫妻宫时，主婚姻较迟或感情平淡，人际关系需注意沟通方式。&lt;/dd&gt;&lt;/dl&gt;</v>
      </c>
    </row>
    <row r="29" spans="2:7" ht="32.25" thickBot="1" x14ac:dyDescent="0.25">
      <c r="B29" s="14" t="s">
        <v>3016</v>
      </c>
      <c r="C29" s="14" t="s">
        <v>4229</v>
      </c>
      <c r="D29" s="15" t="s">
        <v>2539</v>
      </c>
      <c r="G29" t="str">
        <f t="shared" si="0"/>
        <v>&lt;dl&gt;&lt;dt&gt;外貌气质​&lt;/dt&gt;&lt;dd&gt;身材清瘦挺拔，面容严肃，有长者风范，目光有神。&lt;/dd&gt;&lt;dd&gt;在命宫、身宫时显著。&lt;/dd&gt;&lt;/dl&gt;</v>
      </c>
    </row>
    <row r="30" spans="2:7" ht="31.5" x14ac:dyDescent="0.2">
      <c r="B30" s="24" t="s">
        <v>3017</v>
      </c>
      <c r="C30" s="19" t="s">
        <v>4230</v>
      </c>
      <c r="D30" s="27"/>
    </row>
    <row r="31" spans="2:7" ht="32.25" thickBot="1" x14ac:dyDescent="0.25">
      <c r="B31" s="26"/>
      <c r="C31" s="21" t="s">
        <v>4231</v>
      </c>
      <c r="D31" s="29"/>
    </row>
    <row r="32" spans="2:7" ht="48" thickBot="1" x14ac:dyDescent="0.25">
      <c r="B32" s="14" t="s">
        <v>3419</v>
      </c>
      <c r="C32" s="15" t="s">
        <v>4232</v>
      </c>
      <c r="D32" s="15" t="s">
        <v>3013</v>
      </c>
    </row>
    <row r="35" spans="2:7" ht="17.25" x14ac:dyDescent="0.2">
      <c r="B35" s="5" t="s">
        <v>102</v>
      </c>
      <c r="G35" t="str">
        <f t="shared" si="0"/>
        <v>&lt;dl&gt;&lt;dt&gt;三、宫位组合象义&lt;/dt&gt;&lt;dd&gt;&lt;/dd&gt;&lt;dd&gt;&lt;/dd&gt;&lt;/dl&gt;</v>
      </c>
    </row>
    <row r="36" spans="2:7" ht="16.5" thickBot="1" x14ac:dyDescent="0.25">
      <c r="B36" s="11"/>
      <c r="G36" t="str">
        <f t="shared" si="0"/>
        <v>&lt;dl&gt;&lt;dt&gt;&lt;/dt&gt;&lt;dd&gt;&lt;/dd&gt;&lt;dd&gt;&lt;/dd&gt;&lt;/dl&gt;</v>
      </c>
    </row>
    <row r="37" spans="2:7" ht="16.5" thickBot="1" x14ac:dyDescent="0.25">
      <c r="B37" s="12" t="s">
        <v>6</v>
      </c>
      <c r="C37" s="12" t="s">
        <v>107</v>
      </c>
      <c r="D37" s="12" t="s">
        <v>7</v>
      </c>
      <c r="G37" t="str">
        <f t="shared" si="0"/>
        <v>&lt;dl&gt;&lt;dt&gt;宫位​&lt;/dt&gt;&lt;dd&gt;具体象义​&lt;/dd&gt;&lt;dd&gt;文献依据​&lt;/dd&gt;&lt;/dl&gt;</v>
      </c>
    </row>
    <row r="38" spans="2:7" ht="95.25" thickBot="1" x14ac:dyDescent="0.25">
      <c r="B38" s="14" t="s">
        <v>2930</v>
      </c>
      <c r="C38" s="15" t="s">
        <v>4233</v>
      </c>
      <c r="D38" s="15"/>
      <c r="G38" t="str">
        <f t="shared" si="0"/>
        <v>&lt;dl&gt;&lt;dt&gt;命宫​&lt;/dt&gt;&lt;dd&gt;为人清高耿直，有原则，有长辈缘，好管闲事。是天生的顾问、调解者、保护者。适合从事法律、医疗、教育、宗教、监察、公益。喜吉星会照，主福寿双全，遇难成祥。忌煞星，主孤克性质加重，人生多波折。天梁坐命，需修心养性，避免过于孤傲与说教。&lt;/dd&gt;&lt;dd&gt;&lt;/dd&gt;&lt;/dl&gt;</v>
      </c>
    </row>
    <row r="39" spans="2:7" ht="32.25" thickBot="1" x14ac:dyDescent="0.25">
      <c r="B39" s="14" t="s">
        <v>2932</v>
      </c>
      <c r="C39" s="15" t="s">
        <v>4234</v>
      </c>
      <c r="D39" s="15"/>
      <c r="G39" t="str">
        <f t="shared" si="0"/>
        <v>&lt;dl&gt;&lt;dt&gt;兄弟宫​&lt;/dt&gt;&lt;dd&gt;兄弟姐妹中可能有年长或像长辈一样照顾自己者，但也易有原则性强、好说教者。&lt;/dd&gt;&lt;dd&gt;&lt;/dd&gt;&lt;/dl&gt;</v>
      </c>
    </row>
    <row r="40" spans="2:7" ht="48" thickBot="1" x14ac:dyDescent="0.25">
      <c r="B40" s="14" t="s">
        <v>2934</v>
      </c>
      <c r="C40" s="15" t="s">
        <v>4235</v>
      </c>
      <c r="D40" s="15"/>
      <c r="G40" t="str">
        <f t="shared" si="0"/>
        <v>&lt;dl&gt;&lt;dt&gt;夫妻宫​&lt;/dt&gt;&lt;dd&gt;配偶年龄可能偏大，或有家长作风。婚姻关系像长辈照顾晚辈，平淡但稳定。若天梁性质差，则婚姻迟、感情淡、或配偶健康需注意。&lt;/dd&gt;&lt;dd&gt;&lt;/dd&gt;&lt;/dl&gt;</v>
      </c>
    </row>
    <row r="41" spans="2:7" ht="32.25" thickBot="1" x14ac:dyDescent="0.25">
      <c r="B41" s="14" t="s">
        <v>2936</v>
      </c>
      <c r="C41" s="15" t="s">
        <v>4236</v>
      </c>
      <c r="D41" s="15"/>
      <c r="G41" t="str">
        <f t="shared" si="0"/>
        <v>&lt;dl&gt;&lt;dt&gt;子女宫​&lt;/dt&gt;&lt;dd&gt;子女懂事、有礼貌，但可能显得老成。教育得当可成材，且孝顺。&lt;/dd&gt;&lt;dd&gt;&lt;/dd&gt;&lt;/dl&gt;</v>
      </c>
    </row>
    <row r="42" spans="2:7" ht="63.75" thickBot="1" x14ac:dyDescent="0.25">
      <c r="B42" s="14" t="s">
        <v>9</v>
      </c>
      <c r="C42" s="15" t="s">
        <v>4237</v>
      </c>
      <c r="D42" s="15"/>
      <c r="G42" t="str">
        <f t="shared" si="0"/>
        <v>&lt;dl&gt;&lt;dt&gt;财帛宫​&lt;/dt&gt;&lt;dd&gt;求财方式凭专业、信誉、或长辈赠与。不喜投机，钱财来得正，去得稳。见禄存、化禄，主因名望、专业得财；但天梁化禄需防原则松动而破财。&lt;/dd&gt;&lt;dd&gt;&lt;/dd&gt;&lt;/dl&gt;</v>
      </c>
    </row>
    <row r="43" spans="2:7" ht="32.25" thickBot="1" x14ac:dyDescent="0.25">
      <c r="B43" s="14" t="s">
        <v>10</v>
      </c>
      <c r="C43" s="15" t="s">
        <v>4238</v>
      </c>
      <c r="D43" s="15"/>
      <c r="E43" s="2" t="s">
        <v>7</v>
      </c>
      <c r="G43" t="str">
        <f t="shared" si="0"/>
        <v>&lt;dl&gt;&lt;dt&gt;疾厄宫​&lt;/dt&gt;&lt;dd&gt;主慢性病、免疫系统疾病、脊柱问题。天梁为寿星，有病易得良医，能逢凶化吉。&lt;/dd&gt;&lt;dd&gt;&lt;/dd&gt;&lt;/dl&gt;</v>
      </c>
    </row>
    <row r="44" spans="2:7" ht="32.25" thickBot="1" x14ac:dyDescent="0.25">
      <c r="B44" s="14" t="s">
        <v>13</v>
      </c>
      <c r="C44" s="15" t="s">
        <v>4239</v>
      </c>
      <c r="D44" s="15"/>
      <c r="E44" s="4"/>
    </row>
    <row r="45" spans="2:7" ht="48" thickBot="1" x14ac:dyDescent="0.25">
      <c r="B45" s="14" t="s">
        <v>3018</v>
      </c>
      <c r="C45" s="14" t="s">
        <v>4240</v>
      </c>
      <c r="D45" s="15"/>
      <c r="E45" s="4"/>
    </row>
    <row r="46" spans="2:7" ht="48" thickBot="1" x14ac:dyDescent="0.25">
      <c r="B46" s="14" t="s">
        <v>3019</v>
      </c>
      <c r="C46" s="15" t="s">
        <v>4241</v>
      </c>
      <c r="D46" s="15"/>
      <c r="E46" s="4"/>
    </row>
    <row r="47" spans="2:7" ht="48" thickBot="1" x14ac:dyDescent="0.25">
      <c r="B47" s="14" t="s">
        <v>8</v>
      </c>
      <c r="C47" s="14" t="s">
        <v>4242</v>
      </c>
      <c r="D47" s="15"/>
      <c r="E47" s="4"/>
    </row>
    <row r="48" spans="2:7" ht="32.25" thickBot="1" x14ac:dyDescent="0.25">
      <c r="B48" s="14" t="s">
        <v>2945</v>
      </c>
      <c r="C48" s="15" t="s">
        <v>4243</v>
      </c>
      <c r="D48" s="15"/>
    </row>
    <row r="49" spans="2:7" ht="48" thickBot="1" x14ac:dyDescent="0.25">
      <c r="B49" s="14" t="s">
        <v>11</v>
      </c>
      <c r="C49" s="15" t="s">
        <v>4244</v>
      </c>
      <c r="D49" s="15"/>
      <c r="G49" t="str">
        <f t="shared" si="0"/>
        <v>&lt;dl&gt;&lt;dt&gt;父母宫​&lt;/dt&gt;&lt;dd&gt;父母有责任心，像老师一样严格，或父母为公务员、教师、医生等职业。得天梁荫庇，易得父母或长辈的照顾与遗产。&lt;/dd&gt;&lt;dd&gt;&lt;/dd&gt;&lt;/dl&gt;</v>
      </c>
    </row>
    <row r="50" spans="2:7" x14ac:dyDescent="0.2">
      <c r="G50" t="str">
        <f t="shared" si="0"/>
        <v>&lt;dl&gt;&lt;dt&gt;&lt;/dt&gt;&lt;dd&gt;&lt;/dd&gt;&lt;dd&gt;&lt;/dd&gt;&lt;/dl&gt;</v>
      </c>
    </row>
    <row r="51" spans="2:7" x14ac:dyDescent="0.2">
      <c r="E51" s="2" t="s">
        <v>7</v>
      </c>
      <c r="G51" t="str">
        <f t="shared" si="0"/>
        <v>&lt;dl&gt;&lt;dt&gt;&lt;/dt&gt;&lt;dd&gt;&lt;/dd&gt;&lt;dd&gt;&lt;/dd&gt;&lt;/dl&gt;</v>
      </c>
    </row>
    <row r="52" spans="2:7" ht="17.25" x14ac:dyDescent="0.2">
      <c r="B52" s="5" t="s">
        <v>70</v>
      </c>
      <c r="E52" s="4"/>
      <c r="G52" t="str">
        <f t="shared" si="0"/>
        <v>&lt;dl&gt;&lt;dt&gt;四、主星组合象义&lt;/dt&gt;&lt;dd&gt;&lt;/dd&gt;&lt;dd&gt;&lt;/dd&gt;&lt;/dl&gt;</v>
      </c>
    </row>
    <row r="53" spans="2:7" x14ac:dyDescent="0.2">
      <c r="E53" s="4"/>
    </row>
    <row r="54" spans="2:7" ht="15.75" x14ac:dyDescent="0.2">
      <c r="B54" s="13" t="s">
        <v>4245</v>
      </c>
      <c r="E54" s="4"/>
    </row>
    <row r="55" spans="2:7" ht="16.5" thickBot="1" x14ac:dyDescent="0.25">
      <c r="B55" s="11"/>
      <c r="E55" s="4"/>
    </row>
    <row r="56" spans="2:7" ht="16.5" thickBot="1" x14ac:dyDescent="0.25">
      <c r="B56" s="12" t="s">
        <v>19</v>
      </c>
      <c r="C56" s="12" t="s">
        <v>73</v>
      </c>
      <c r="D56" s="12" t="s">
        <v>108</v>
      </c>
    </row>
    <row r="57" spans="2:7" ht="48" thickBot="1" x14ac:dyDescent="0.25">
      <c r="B57" s="14" t="s">
        <v>4246</v>
      </c>
      <c r="C57" s="14" t="s">
        <v>4247</v>
      </c>
      <c r="D57" s="15" t="s">
        <v>4248</v>
      </c>
    </row>
    <row r="58" spans="2:7" ht="48" thickBot="1" x14ac:dyDescent="0.25">
      <c r="B58" s="14" t="s">
        <v>4249</v>
      </c>
      <c r="C58" s="14" t="s">
        <v>4250</v>
      </c>
      <c r="D58" s="15" t="s">
        <v>4251</v>
      </c>
    </row>
    <row r="59" spans="2:7" ht="32.25" thickBot="1" x14ac:dyDescent="0.25">
      <c r="B59" s="14" t="s">
        <v>4252</v>
      </c>
      <c r="C59" s="14" t="s">
        <v>4253</v>
      </c>
      <c r="D59" s="15" t="s">
        <v>4254</v>
      </c>
    </row>
    <row r="60" spans="2:7" ht="32.25" thickBot="1" x14ac:dyDescent="0.25">
      <c r="B60" s="14" t="s">
        <v>4255</v>
      </c>
      <c r="C60" s="14" t="s">
        <v>4256</v>
      </c>
      <c r="D60" s="15" t="s">
        <v>4257</v>
      </c>
      <c r="E60" s="2" t="s">
        <v>7</v>
      </c>
    </row>
    <row r="61" spans="2:7" ht="32.25" thickBot="1" x14ac:dyDescent="0.25">
      <c r="B61" s="14" t="s">
        <v>4258</v>
      </c>
      <c r="C61" s="14" t="s">
        <v>4259</v>
      </c>
      <c r="D61" s="15" t="s">
        <v>4260</v>
      </c>
      <c r="E61" s="4"/>
    </row>
    <row r="62" spans="2:7" ht="32.25" thickBot="1" x14ac:dyDescent="0.25">
      <c r="B62" s="14" t="s">
        <v>4261</v>
      </c>
      <c r="C62" s="14" t="s">
        <v>4262</v>
      </c>
      <c r="D62" s="15" t="s">
        <v>4263</v>
      </c>
      <c r="E62" s="4"/>
    </row>
    <row r="63" spans="2:7" ht="32.25" thickBot="1" x14ac:dyDescent="0.25">
      <c r="B63" s="14" t="s">
        <v>4264</v>
      </c>
      <c r="C63" s="14" t="s">
        <v>4265</v>
      </c>
      <c r="D63" s="15" t="s">
        <v>4266</v>
      </c>
      <c r="E63" s="4"/>
    </row>
    <row r="64" spans="2:7" ht="48" thickBot="1" x14ac:dyDescent="0.25">
      <c r="B64" s="14" t="s">
        <v>4267</v>
      </c>
      <c r="C64" s="14" t="s">
        <v>4268</v>
      </c>
      <c r="D64" s="15" t="s">
        <v>4269</v>
      </c>
      <c r="E64" s="4"/>
    </row>
    <row r="65" spans="2:6" ht="32.25" thickBot="1" x14ac:dyDescent="0.25">
      <c r="B65" s="14" t="s">
        <v>4270</v>
      </c>
      <c r="C65" s="14" t="s">
        <v>4271</v>
      </c>
      <c r="D65" s="15" t="s">
        <v>4151</v>
      </c>
      <c r="E65" s="4"/>
    </row>
    <row r="66" spans="2:6" ht="48" thickBot="1" x14ac:dyDescent="0.25">
      <c r="B66" s="14" t="s">
        <v>4272</v>
      </c>
      <c r="C66" s="14" t="s">
        <v>4273</v>
      </c>
      <c r="D66" s="15" t="s">
        <v>4274</v>
      </c>
    </row>
    <row r="67" spans="2:6" ht="32.25" thickBot="1" x14ac:dyDescent="0.25">
      <c r="B67" s="14" t="s">
        <v>4275</v>
      </c>
      <c r="C67" s="14" t="s">
        <v>4276</v>
      </c>
      <c r="D67" s="15" t="s">
        <v>4157</v>
      </c>
    </row>
    <row r="68" spans="2:6" ht="32.25" thickBot="1" x14ac:dyDescent="0.25">
      <c r="B68" s="14" t="s">
        <v>4277</v>
      </c>
      <c r="C68" s="14" t="s">
        <v>4278</v>
      </c>
      <c r="D68" s="15" t="s">
        <v>4279</v>
      </c>
    </row>
    <row r="69" spans="2:6" ht="48" thickBot="1" x14ac:dyDescent="0.25">
      <c r="B69" s="14" t="s">
        <v>4280</v>
      </c>
      <c r="C69" s="14" t="s">
        <v>4281</v>
      </c>
      <c r="D69" s="15" t="s">
        <v>4282</v>
      </c>
    </row>
    <row r="70" spans="2:6" x14ac:dyDescent="0.2">
      <c r="E70" s="2" t="s">
        <v>63</v>
      </c>
      <c r="F70" s="2" t="s">
        <v>7</v>
      </c>
    </row>
    <row r="71" spans="2:6" ht="57" x14ac:dyDescent="0.2">
      <c r="E71" s="4" t="s">
        <v>64</v>
      </c>
      <c r="F71" s="4"/>
    </row>
    <row r="72" spans="2:6" ht="57" x14ac:dyDescent="0.2">
      <c r="B72" s="5" t="s">
        <v>71</v>
      </c>
      <c r="E72" s="4" t="s">
        <v>65</v>
      </c>
      <c r="F72" s="4"/>
    </row>
    <row r="73" spans="2:6" ht="57.75" thickBot="1" x14ac:dyDescent="0.25">
      <c r="B73" s="11"/>
      <c r="E73" s="4" t="s">
        <v>66</v>
      </c>
      <c r="F73" s="4"/>
    </row>
    <row r="74" spans="2:6" ht="57.75" thickBot="1" x14ac:dyDescent="0.25">
      <c r="B74" s="12" t="s">
        <v>14</v>
      </c>
      <c r="C74" s="12" t="s">
        <v>75</v>
      </c>
      <c r="D74" s="12" t="s">
        <v>7</v>
      </c>
      <c r="E74" s="4" t="s">
        <v>67</v>
      </c>
      <c r="F74" s="4"/>
    </row>
    <row r="75" spans="2:6" ht="32.25" thickBot="1" x14ac:dyDescent="0.25">
      <c r="B75" s="14" t="s">
        <v>4283</v>
      </c>
      <c r="C75" s="14" t="s">
        <v>4284</v>
      </c>
      <c r="D75" s="15"/>
    </row>
    <row r="76" spans="2:6" ht="32.25" thickBot="1" x14ac:dyDescent="0.25">
      <c r="B76" s="14" t="s">
        <v>4285</v>
      </c>
      <c r="C76" s="14" t="s">
        <v>4286</v>
      </c>
      <c r="D76" s="15"/>
    </row>
    <row r="77" spans="2:6" ht="32.25" thickBot="1" x14ac:dyDescent="0.25">
      <c r="B77" s="14" t="s">
        <v>4287</v>
      </c>
      <c r="C77" s="14" t="s">
        <v>4288</v>
      </c>
      <c r="D77" s="15"/>
    </row>
    <row r="78" spans="2:6" ht="16.5" thickBot="1" x14ac:dyDescent="0.25">
      <c r="B78" s="14" t="s">
        <v>4289</v>
      </c>
      <c r="C78" s="14" t="s">
        <v>4290</v>
      </c>
      <c r="D78" s="15"/>
    </row>
    <row r="79" spans="2:6" ht="32.25" thickBot="1" x14ac:dyDescent="0.25">
      <c r="B79" s="14" t="s">
        <v>4291</v>
      </c>
      <c r="C79" s="14" t="s">
        <v>4292</v>
      </c>
      <c r="D79" s="15"/>
    </row>
    <row r="80" spans="2:6" ht="32.25" thickBot="1" x14ac:dyDescent="0.25">
      <c r="B80" s="14" t="s">
        <v>4293</v>
      </c>
      <c r="C80" s="14" t="s">
        <v>4294</v>
      </c>
      <c r="D80" s="15"/>
    </row>
    <row r="81" spans="2:4" ht="32.25" thickBot="1" x14ac:dyDescent="0.25">
      <c r="B81" s="14" t="s">
        <v>4295</v>
      </c>
      <c r="C81" s="14" t="s">
        <v>4296</v>
      </c>
      <c r="D81" s="15"/>
    </row>
    <row r="82" spans="2:4" ht="32.25" thickBot="1" x14ac:dyDescent="0.25">
      <c r="B82" s="14" t="s">
        <v>4297</v>
      </c>
      <c r="C82" s="14" t="s">
        <v>4298</v>
      </c>
      <c r="D82" s="15"/>
    </row>
    <row r="83" spans="2:4" ht="32.25" thickBot="1" x14ac:dyDescent="0.25">
      <c r="B83" s="14" t="s">
        <v>4299</v>
      </c>
      <c r="C83" s="14" t="s">
        <v>4300</v>
      </c>
      <c r="D83" s="15"/>
    </row>
    <row r="84" spans="2:4" ht="32.25" thickBot="1" x14ac:dyDescent="0.25">
      <c r="B84" s="14" t="s">
        <v>4301</v>
      </c>
      <c r="C84" s="14" t="s">
        <v>4302</v>
      </c>
      <c r="D84" s="15"/>
    </row>
    <row r="85" spans="2:4" ht="32.25" thickBot="1" x14ac:dyDescent="0.25">
      <c r="B85" s="14" t="s">
        <v>4303</v>
      </c>
      <c r="C85" s="14" t="s">
        <v>4304</v>
      </c>
      <c r="D85" s="15"/>
    </row>
    <row r="86" spans="2:4" ht="32.25" thickBot="1" x14ac:dyDescent="0.25">
      <c r="B86" s="14" t="s">
        <v>4305</v>
      </c>
      <c r="C86" s="14" t="s">
        <v>4306</v>
      </c>
      <c r="D86" s="15"/>
    </row>
    <row r="87" spans="2:4" ht="32.25" thickBot="1" x14ac:dyDescent="0.25">
      <c r="B87" s="14" t="s">
        <v>4307</v>
      </c>
      <c r="C87" s="14" t="s">
        <v>4308</v>
      </c>
      <c r="D87" s="15"/>
    </row>
    <row r="88" spans="2:4" ht="32.25" thickBot="1" x14ac:dyDescent="0.25">
      <c r="B88" s="14" t="s">
        <v>4309</v>
      </c>
      <c r="C88" s="14" t="s">
        <v>4310</v>
      </c>
      <c r="D88" s="15"/>
    </row>
    <row r="89" spans="2:4" ht="16.5" thickBot="1" x14ac:dyDescent="0.25">
      <c r="B89" s="14" t="s">
        <v>4311</v>
      </c>
      <c r="C89" s="14" t="s">
        <v>4312</v>
      </c>
      <c r="D89" s="15"/>
    </row>
    <row r="92" spans="2:4" ht="17.25" x14ac:dyDescent="0.2">
      <c r="B92" s="5" t="s">
        <v>103</v>
      </c>
    </row>
    <row r="93" spans="2:4" x14ac:dyDescent="0.2">
      <c r="B93" s="6"/>
    </row>
    <row r="94" spans="2:4" x14ac:dyDescent="0.2">
      <c r="B94" s="7" t="s">
        <v>4313</v>
      </c>
    </row>
    <row r="95" spans="2:4" x14ac:dyDescent="0.2">
      <c r="B95" s="7" t="s">
        <v>4314</v>
      </c>
    </row>
    <row r="96" spans="2:4" x14ac:dyDescent="0.2">
      <c r="B96" s="7" t="s">
        <v>4315</v>
      </c>
    </row>
    <row r="97" spans="2:2" x14ac:dyDescent="0.2">
      <c r="B97" s="7" t="s">
        <v>4316</v>
      </c>
    </row>
    <row r="98" spans="2:2" x14ac:dyDescent="0.2">
      <c r="B98" s="7" t="s">
        <v>4317</v>
      </c>
    </row>
    <row r="99" spans="2:2" x14ac:dyDescent="0.2">
      <c r="B99" s="7" t="s">
        <v>4318</v>
      </c>
    </row>
    <row r="100" spans="2:2" x14ac:dyDescent="0.2">
      <c r="B100" s="7" t="s">
        <v>4319</v>
      </c>
    </row>
    <row r="101" spans="2:2" x14ac:dyDescent="0.2">
      <c r="B101" s="7" t="s">
        <v>4320</v>
      </c>
    </row>
    <row r="102" spans="2:2" x14ac:dyDescent="0.2">
      <c r="B102" s="6"/>
    </row>
    <row r="103" spans="2:2" x14ac:dyDescent="0.2">
      <c r="B103" s="6" t="s">
        <v>4321</v>
      </c>
    </row>
  </sheetData>
  <mergeCells count="4">
    <mergeCell ref="B8:B16"/>
    <mergeCell ref="D8:D16"/>
    <mergeCell ref="B30:B31"/>
    <mergeCell ref="D30:D3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0B3D-D3D0-4F4A-8156-36BC603FDB6F}">
  <dimension ref="B1:G104"/>
  <sheetViews>
    <sheetView topLeftCell="A9" zoomScaleNormal="100" workbookViewId="0">
      <selection activeCell="D8" sqref="D8:D1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41.125" customWidth="1"/>
  </cols>
  <sheetData>
    <row r="1" spans="2:7" x14ac:dyDescent="0.2">
      <c r="B1" t="s">
        <v>4096</v>
      </c>
      <c r="G1" t="str">
        <f>"&lt;dl&gt;&lt;dt&gt;" &amp; B1 &amp; "&lt;/dt&gt;&lt;dd&gt;" &amp; C1 &amp; "&lt;/dd&gt;&lt;dd&gt;" &amp; D1 &amp; "&lt;/dd&gt;&lt;/dl&gt;"</f>
        <v>&lt;dl&gt;&lt;dt&gt;根据《金刚佛光-紫占课程手册》，天相星的完整象义解析如下（严格遵循原始资料结构与表述，并应用修正后的逻辑，在“本质”部分系统化呈现“人/事/物”三个层次）：&lt;/dt&gt;&lt;dd&gt;&lt;/dd&gt;&lt;dd&gt;&lt;/dd&gt;&lt;/dl&gt;</v>
      </c>
    </row>
    <row r="4" spans="2:7" ht="17.25" x14ac:dyDescent="0.2">
      <c r="B4" s="5" t="s">
        <v>69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29.25" thickBot="1" x14ac:dyDescent="0.25">
      <c r="B7" s="38" t="s">
        <v>68</v>
      </c>
      <c r="C7" s="33" t="s">
        <v>4202</v>
      </c>
      <c r="D7" s="33"/>
    </row>
    <row r="8" spans="2:7" ht="85.5" x14ac:dyDescent="0.2">
      <c r="B8" s="43" t="s">
        <v>61</v>
      </c>
      <c r="C8" s="39" t="s">
        <v>4203</v>
      </c>
      <c r="D8" s="46" t="s">
        <v>4213</v>
      </c>
    </row>
    <row r="9" spans="2:7" ht="99.75" x14ac:dyDescent="0.2">
      <c r="B9" s="44"/>
      <c r="C9" s="40" t="s">
        <v>4204</v>
      </c>
      <c r="D9" s="47"/>
    </row>
    <row r="10" spans="2:7" ht="42.75" x14ac:dyDescent="0.2">
      <c r="B10" s="44"/>
      <c r="C10" s="40" t="s">
        <v>4205</v>
      </c>
      <c r="D10" s="47"/>
    </row>
    <row r="11" spans="2:7" ht="28.5" x14ac:dyDescent="0.2">
      <c r="B11" s="44"/>
      <c r="C11" s="41" t="s">
        <v>4206</v>
      </c>
      <c r="D11" s="47"/>
    </row>
    <row r="12" spans="2:7" ht="42.75" x14ac:dyDescent="0.2">
      <c r="B12" s="44"/>
      <c r="C12" s="41" t="s">
        <v>4207</v>
      </c>
      <c r="D12" s="47"/>
    </row>
    <row r="13" spans="2:7" ht="28.5" x14ac:dyDescent="0.2">
      <c r="B13" s="44"/>
      <c r="C13" s="41" t="s">
        <v>4208</v>
      </c>
      <c r="D13" s="47"/>
    </row>
    <row r="14" spans="2:7" x14ac:dyDescent="0.2">
      <c r="B14" s="44"/>
      <c r="C14" s="41" t="s">
        <v>4209</v>
      </c>
      <c r="D14" s="47"/>
    </row>
    <row r="15" spans="2:7" ht="28.5" x14ac:dyDescent="0.2">
      <c r="B15" s="44"/>
      <c r="C15" s="41" t="s">
        <v>4210</v>
      </c>
      <c r="D15" s="47"/>
    </row>
    <row r="16" spans="2:7" ht="28.5" x14ac:dyDescent="0.2">
      <c r="B16" s="44"/>
      <c r="C16" s="41" t="s">
        <v>4211</v>
      </c>
      <c r="D16" s="47"/>
    </row>
    <row r="17" spans="2:7" ht="29.25" thickBot="1" x14ac:dyDescent="0.25">
      <c r="B17" s="45"/>
      <c r="C17" s="42" t="s">
        <v>4212</v>
      </c>
      <c r="D17" s="48"/>
    </row>
    <row r="18" spans="2:7" ht="158.25" thickBot="1" x14ac:dyDescent="0.25">
      <c r="B18" s="14" t="s">
        <v>2918</v>
      </c>
      <c r="C18" s="15" t="s">
        <v>4097</v>
      </c>
      <c r="D18" s="15"/>
    </row>
    <row r="21" spans="2:7" ht="17.25" x14ac:dyDescent="0.2">
      <c r="B21" s="5" t="s">
        <v>100</v>
      </c>
    </row>
    <row r="23" spans="2:7" ht="15.75" x14ac:dyDescent="0.2">
      <c r="B23" s="13" t="s">
        <v>101</v>
      </c>
    </row>
    <row r="24" spans="2:7" ht="16.5" thickBot="1" x14ac:dyDescent="0.25">
      <c r="B24" s="11"/>
    </row>
    <row r="25" spans="2:7" ht="16.5" thickBot="1" x14ac:dyDescent="0.25">
      <c r="B25" s="12" t="s">
        <v>62</v>
      </c>
      <c r="C25" s="12" t="s">
        <v>107</v>
      </c>
      <c r="D25" s="12" t="s">
        <v>108</v>
      </c>
    </row>
    <row r="26" spans="2:7" ht="48" thickBot="1" x14ac:dyDescent="0.25">
      <c r="B26" s="14" t="s">
        <v>4098</v>
      </c>
      <c r="C26" s="15" t="s">
        <v>4099</v>
      </c>
      <c r="D26" s="15" t="s">
        <v>4100</v>
      </c>
    </row>
    <row r="27" spans="2:7" ht="48" thickBot="1" x14ac:dyDescent="0.25">
      <c r="B27" s="14" t="s">
        <v>4101</v>
      </c>
      <c r="C27" s="15" t="s">
        <v>4102</v>
      </c>
      <c r="D27" s="15" t="s">
        <v>4103</v>
      </c>
    </row>
    <row r="28" spans="2:7" ht="32.25" thickBot="1" x14ac:dyDescent="0.25">
      <c r="B28" s="14" t="s">
        <v>4104</v>
      </c>
      <c r="C28" s="15" t="s">
        <v>4105</v>
      </c>
      <c r="D28" s="15" t="s">
        <v>4106</v>
      </c>
      <c r="G28" t="str">
        <f t="shared" ref="G28:G56" si="0">"&lt;dl&gt;&lt;dt&gt;" &amp; B28 &amp; "&lt;/dt&gt;&lt;dd&gt;" &amp; C28 &amp; "&lt;/dd&gt;&lt;dd&gt;" &amp; D28 &amp; "&lt;/dd&gt;&lt;/dl&gt;"</f>
        <v>&lt;dl&gt;&lt;dt&gt;形象与装饰​&lt;/dt&gt;&lt;dd&gt;主形象、外表、装饰。注重仪表、衣着、礼仪，有审美眼光，喜打扮、修饰。&lt;/dd&gt;&lt;dd&gt;在命宫、田宅宫时，主注重个人形象与家居装饰。&lt;/dd&gt;&lt;/dl&gt;</v>
      </c>
    </row>
    <row r="29" spans="2:7" ht="48" thickBot="1" x14ac:dyDescent="0.25">
      <c r="B29" s="14" t="s">
        <v>4107</v>
      </c>
      <c r="C29" s="15" t="s">
        <v>4108</v>
      </c>
      <c r="D29" s="15" t="s">
        <v>4109</v>
      </c>
      <c r="G29" t="str">
        <f t="shared" si="0"/>
        <v>&lt;dl&gt;&lt;dt&gt;辅佐与依赖​&lt;/dt&gt;&lt;dd&gt;为辅佐之星，有强烈的服务与辅助精神，但缺乏开创性，需依附强者。喜与紫微、天府等帝星同度或会照，方能发挥最大价值。&lt;/dd&gt;&lt;dd&gt;在命宫、官禄宫时，主适合担任副手、秘书、顾问等辅助性职位。&lt;/dd&gt;&lt;/dl&gt;</v>
      </c>
    </row>
    <row r="30" spans="2:7" ht="32.25" thickBot="1" x14ac:dyDescent="0.25">
      <c r="B30" s="14" t="s">
        <v>3016</v>
      </c>
      <c r="C30" s="14" t="s">
        <v>4110</v>
      </c>
      <c r="D30" s="15" t="s">
        <v>2539</v>
      </c>
      <c r="G30" t="str">
        <f t="shared" si="0"/>
        <v>&lt;dl&gt;&lt;dt&gt;外貌气质​&lt;/dt&gt;&lt;dd&gt;面貌端正，肤色白皙，举止优雅，衣着得体，给人可靠、温和的印象。&lt;/dd&gt;&lt;dd&gt;在命宫、身宫时显著。&lt;/dd&gt;&lt;/dl&gt;</v>
      </c>
    </row>
    <row r="31" spans="2:7" ht="31.5" x14ac:dyDescent="0.2">
      <c r="B31" s="24" t="s">
        <v>3017</v>
      </c>
      <c r="C31" s="19" t="s">
        <v>4111</v>
      </c>
      <c r="D31" s="27"/>
      <c r="G31" t="str">
        <f t="shared" si="0"/>
        <v>&lt;dl&gt;&lt;dt&gt;性格特质​&lt;/dt&gt;&lt;dd&gt;优点：稳重诚信，温和有礼，注重形象，乐于助人，有责任感，协调能力强，循规蹈矩。&lt;/dd&gt;&lt;dd&gt;&lt;/dd&gt;&lt;/dl&gt;</v>
      </c>
    </row>
    <row r="32" spans="2:7" ht="32.25" thickBot="1" x14ac:dyDescent="0.25">
      <c r="B32" s="26"/>
      <c r="C32" s="21" t="s">
        <v>4112</v>
      </c>
      <c r="D32" s="29"/>
      <c r="G32" t="str">
        <f t="shared" si="0"/>
        <v>&lt;dl&gt;&lt;dt&gt;&lt;/dt&gt;&lt;dd&gt;缺点：缺乏主见，易受他人影响，优柔寡断，有时流于虚伪，过于在意他人看法。&lt;/dd&gt;&lt;dd&gt;&lt;/dd&gt;&lt;/dl&gt;</v>
      </c>
    </row>
    <row r="33" spans="2:7" ht="32.25" thickBot="1" x14ac:dyDescent="0.25">
      <c r="B33" s="14" t="s">
        <v>3419</v>
      </c>
      <c r="C33" s="15" t="s">
        <v>4113</v>
      </c>
      <c r="D33" s="15" t="s">
        <v>3013</v>
      </c>
      <c r="G33" t="str">
        <f t="shared" si="0"/>
        <v>&lt;dl&gt;&lt;dt&gt;健康方面​&lt;/dt&gt;&lt;dd&gt;属阳水，主泌尿系统、消化系统、皮肤。需注意水肿、泌尿感染、肠胃不适、皮肤病。&lt;/dd&gt;&lt;dd&gt;在疾厄宫时显现。&lt;/dd&gt;&lt;/dl&gt;</v>
      </c>
    </row>
    <row r="36" spans="2:7" ht="17.25" x14ac:dyDescent="0.2">
      <c r="B36" s="5" t="s">
        <v>102</v>
      </c>
    </row>
    <row r="37" spans="2:7" ht="16.5" thickBot="1" x14ac:dyDescent="0.25">
      <c r="B37" s="11"/>
    </row>
    <row r="38" spans="2:7" ht="16.5" thickBot="1" x14ac:dyDescent="0.25">
      <c r="B38" s="12" t="s">
        <v>6</v>
      </c>
      <c r="C38" s="12" t="s">
        <v>107</v>
      </c>
      <c r="D38" s="12" t="s">
        <v>7</v>
      </c>
    </row>
    <row r="39" spans="2:7" ht="111" thickBot="1" x14ac:dyDescent="0.25">
      <c r="B39" s="14" t="s">
        <v>2930</v>
      </c>
      <c r="C39" s="15" t="s">
        <v>4114</v>
      </c>
      <c r="D39" s="15"/>
    </row>
    <row r="40" spans="2:7" ht="32.25" thickBot="1" x14ac:dyDescent="0.25">
      <c r="B40" s="14" t="s">
        <v>2932</v>
      </c>
      <c r="C40" s="15" t="s">
        <v>4115</v>
      </c>
      <c r="D40" s="15"/>
      <c r="G40" t="str">
        <f t="shared" si="0"/>
        <v>&lt;dl&gt;&lt;dt&gt;兄弟宫​&lt;/dt&gt;&lt;dd&gt;与兄弟姐妹关系融洽，互相帮助。兄弟姐妹中可能有从事文职、服务行业者。&lt;/dd&gt;&lt;dd&gt;&lt;/dd&gt;&lt;/dl&gt;</v>
      </c>
    </row>
    <row r="41" spans="2:7" ht="63.75" thickBot="1" x14ac:dyDescent="0.25">
      <c r="B41" s="14" t="s">
        <v>2934</v>
      </c>
      <c r="C41" s="15" t="s">
        <v>4116</v>
      </c>
      <c r="D41" s="15"/>
      <c r="G41" t="str">
        <f t="shared" si="0"/>
        <v>&lt;dl&gt;&lt;dt&gt;夫妻宫​&lt;/dt&gt;&lt;dd&gt;配偶相貌端正，性格温和，注重家庭形象。婚姻关系平稳，注重仪式感。但天相缺乏激情，婚姻易流于平淡。若见煞忌，需防配偶健康问题或婚姻受外界干扰。&lt;/dd&gt;&lt;dd&gt;&lt;/dd&gt;&lt;/dl&gt;</v>
      </c>
    </row>
    <row r="42" spans="2:7" ht="16.5" thickBot="1" x14ac:dyDescent="0.25">
      <c r="B42" s="14" t="s">
        <v>2936</v>
      </c>
      <c r="C42" s="15" t="s">
        <v>4117</v>
      </c>
      <c r="D42" s="15"/>
      <c r="G42" t="str">
        <f t="shared" si="0"/>
        <v>&lt;dl&gt;&lt;dt&gt;子女宫​&lt;/dt&gt;&lt;dd&gt;子女乖巧听话，注重礼仪。教育得当可成材。&lt;/dd&gt;&lt;dd&gt;&lt;/dd&gt;&lt;/dl&gt;</v>
      </c>
    </row>
    <row r="43" spans="2:7" ht="63.75" thickBot="1" x14ac:dyDescent="0.25">
      <c r="B43" s="14" t="s">
        <v>9</v>
      </c>
      <c r="C43" s="15" t="s">
        <v>4118</v>
      </c>
      <c r="D43" s="15"/>
      <c r="G43" t="str">
        <f t="shared" si="0"/>
        <v>&lt;dl&gt;&lt;dt&gt;财帛宫​&lt;/dt&gt;&lt;dd&gt;求财方式稳定、凭信誉、通过服务或中介获利。适合稳定薪水、佣金、中介费。不喜风险投资。见禄存、化禄，主财源稳定；见煞忌，则因契约、担保破财。&lt;/dd&gt;&lt;dd&gt;&lt;/dd&gt;&lt;/dl&gt;</v>
      </c>
    </row>
    <row r="44" spans="2:7" ht="32.25" thickBot="1" x14ac:dyDescent="0.25">
      <c r="B44" s="14" t="s">
        <v>10</v>
      </c>
      <c r="C44" s="15" t="s">
        <v>4119</v>
      </c>
      <c r="D44" s="15"/>
      <c r="G44" t="str">
        <f t="shared" si="0"/>
        <v>&lt;dl&gt;&lt;dt&gt;疾厄宫​&lt;/dt&gt;&lt;dd&gt;主泌尿系统、消化系统、皮肤疾病。需注意饮食卫生与皮肤保养。&lt;/dd&gt;&lt;dd&gt;&lt;/dd&gt;&lt;/dl&gt;</v>
      </c>
    </row>
    <row r="45" spans="2:7" ht="32.25" thickBot="1" x14ac:dyDescent="0.25">
      <c r="B45" s="14" t="s">
        <v>13</v>
      </c>
      <c r="C45" s="15" t="s">
        <v>4120</v>
      </c>
      <c r="D45" s="15"/>
      <c r="G45" t="str">
        <f t="shared" si="0"/>
        <v>&lt;dl&gt;&lt;dt&gt;迁移宫​&lt;/dt&gt;&lt;dd&gt;在外人缘佳，易得他人帮助，适合外出发展，尤其利于需要与人打交道的工作。&lt;/dd&gt;&lt;dd&gt;&lt;/dd&gt;&lt;/dl&gt;</v>
      </c>
    </row>
    <row r="46" spans="2:7" ht="48" thickBot="1" x14ac:dyDescent="0.25">
      <c r="B46" s="14" t="s">
        <v>3018</v>
      </c>
      <c r="C46" s="14" t="s">
        <v>4121</v>
      </c>
      <c r="D46" s="15"/>
      <c r="G46" t="str">
        <f t="shared" si="0"/>
        <v>&lt;dl&gt;&lt;dt&gt;交友宫（奴仆宫）​&lt;/dt&gt;&lt;dd&gt;朋友、同事多正直、可靠之人。天相吉则得得力助手、可靠伙伴；天相凶则易遇表面友善、实则虚伪之人。&lt;/dd&gt;&lt;dd&gt;&lt;/dd&gt;&lt;/dl&gt;</v>
      </c>
    </row>
    <row r="47" spans="2:7" ht="63.75" thickBot="1" x14ac:dyDescent="0.25">
      <c r="B47" s="14" t="s">
        <v>3019</v>
      </c>
      <c r="C47" s="15" t="s">
        <v>4122</v>
      </c>
      <c r="D47" s="15"/>
      <c r="G47" t="str">
        <f t="shared" si="0"/>
        <v>&lt;dl&gt;&lt;dt&gt;官禄宫（事业宫）​&lt;/dt&gt;&lt;dd&gt;适合从事需要协调、沟通、遵循规则的工作，如行政管理、文秘、法律、公关、人力资源、服务、服装、美容。不喜变动与风险，适合在稳定体系中发展。&lt;/dd&gt;&lt;dd&gt;&lt;/dd&gt;&lt;/dl&gt;</v>
      </c>
    </row>
    <row r="48" spans="2:7" ht="48" thickBot="1" x14ac:dyDescent="0.25">
      <c r="B48" s="14" t="s">
        <v>8</v>
      </c>
      <c r="C48" s="14" t="s">
        <v>4123</v>
      </c>
      <c r="D48" s="15"/>
    </row>
    <row r="49" spans="2:7" ht="32.25" thickBot="1" x14ac:dyDescent="0.25">
      <c r="B49" s="14" t="s">
        <v>2945</v>
      </c>
      <c r="C49" s="15" t="s">
        <v>4124</v>
      </c>
      <c r="D49" s="15"/>
    </row>
    <row r="50" spans="2:7" ht="32.25" thickBot="1" x14ac:dyDescent="0.25">
      <c r="B50" s="14" t="s">
        <v>11</v>
      </c>
      <c r="C50" s="15" t="s">
        <v>4125</v>
      </c>
      <c r="D50" s="15"/>
    </row>
    <row r="53" spans="2:7" ht="17.25" x14ac:dyDescent="0.2">
      <c r="B53" s="5" t="s">
        <v>70</v>
      </c>
      <c r="G53" t="str">
        <f t="shared" si="0"/>
        <v>&lt;dl&gt;&lt;dt&gt;四、主星组合象义&lt;/dt&gt;&lt;dd&gt;&lt;/dd&gt;&lt;dd&gt;&lt;/dd&gt;&lt;/dl&gt;</v>
      </c>
    </row>
    <row r="54" spans="2:7" x14ac:dyDescent="0.2">
      <c r="G54" t="str">
        <f t="shared" si="0"/>
        <v>&lt;dl&gt;&lt;dt&gt;&lt;/dt&gt;&lt;dd&gt;&lt;/dd&gt;&lt;dd&gt;&lt;/dd&gt;&lt;/dl&gt;</v>
      </c>
    </row>
    <row r="55" spans="2:7" ht="15.75" x14ac:dyDescent="0.2">
      <c r="B55" s="13" t="s">
        <v>4126</v>
      </c>
      <c r="G55" t="str">
        <f t="shared" si="0"/>
        <v>&lt;dl&gt;&lt;dt&gt;1. 增强印信/协调/服务组合&lt;/dt&gt;&lt;dd&gt;&lt;/dd&gt;&lt;dd&gt;&lt;/dd&gt;&lt;/dl&gt;</v>
      </c>
    </row>
    <row r="56" spans="2:7" ht="16.5" thickBot="1" x14ac:dyDescent="0.25">
      <c r="B56" s="11"/>
      <c r="G56" t="str">
        <f t="shared" si="0"/>
        <v>&lt;dl&gt;&lt;dt&gt;&lt;/dt&gt;&lt;dd&gt;&lt;/dd&gt;&lt;dd&gt;&lt;/dd&gt;&lt;/dl&gt;</v>
      </c>
    </row>
    <row r="57" spans="2:7" ht="16.5" thickBot="1" x14ac:dyDescent="0.25">
      <c r="B57" s="12" t="s">
        <v>19</v>
      </c>
      <c r="C57" s="12" t="s">
        <v>73</v>
      </c>
      <c r="D57" s="12" t="s">
        <v>108</v>
      </c>
    </row>
    <row r="58" spans="2:7" ht="48" thickBot="1" x14ac:dyDescent="0.25">
      <c r="B58" s="14" t="s">
        <v>4127</v>
      </c>
      <c r="C58" s="14" t="s">
        <v>4128</v>
      </c>
      <c r="D58" s="15" t="s">
        <v>4129</v>
      </c>
    </row>
    <row r="59" spans="2:7" ht="32.25" thickBot="1" x14ac:dyDescent="0.25">
      <c r="B59" s="14" t="s">
        <v>4130</v>
      </c>
      <c r="C59" s="14" t="s">
        <v>4131</v>
      </c>
      <c r="D59" s="15" t="s">
        <v>4132</v>
      </c>
    </row>
    <row r="60" spans="2:7" ht="32.25" thickBot="1" x14ac:dyDescent="0.25">
      <c r="B60" s="14" t="s">
        <v>4133</v>
      </c>
      <c r="C60" s="14" t="s">
        <v>4134</v>
      </c>
      <c r="D60" s="15" t="s">
        <v>4047</v>
      </c>
    </row>
    <row r="61" spans="2:7" ht="48" thickBot="1" x14ac:dyDescent="0.25">
      <c r="B61" s="14" t="s">
        <v>4135</v>
      </c>
      <c r="C61" s="14" t="s">
        <v>4136</v>
      </c>
      <c r="D61" s="15" t="s">
        <v>4137</v>
      </c>
    </row>
    <row r="62" spans="2:7" ht="32.25" thickBot="1" x14ac:dyDescent="0.25">
      <c r="B62" s="14" t="s">
        <v>4138</v>
      </c>
      <c r="C62" s="14" t="s">
        <v>4139</v>
      </c>
      <c r="D62" s="15" t="s">
        <v>4140</v>
      </c>
    </row>
    <row r="63" spans="2:7" ht="48" thickBot="1" x14ac:dyDescent="0.25">
      <c r="B63" s="14" t="s">
        <v>4141</v>
      </c>
      <c r="C63" s="14" t="s">
        <v>4142</v>
      </c>
      <c r="D63" s="15" t="s">
        <v>4143</v>
      </c>
    </row>
    <row r="64" spans="2:7" ht="32.25" thickBot="1" x14ac:dyDescent="0.25">
      <c r="B64" s="14" t="s">
        <v>4144</v>
      </c>
      <c r="C64" s="14" t="s">
        <v>4145</v>
      </c>
      <c r="D64" s="15" t="s">
        <v>4146</v>
      </c>
    </row>
    <row r="65" spans="2:4" ht="32.25" thickBot="1" x14ac:dyDescent="0.25">
      <c r="B65" s="14" t="s">
        <v>4147</v>
      </c>
      <c r="C65" s="14" t="s">
        <v>4148</v>
      </c>
      <c r="D65" s="15" t="s">
        <v>3922</v>
      </c>
    </row>
    <row r="66" spans="2:4" ht="32.25" thickBot="1" x14ac:dyDescent="0.25">
      <c r="B66" s="14" t="s">
        <v>4149</v>
      </c>
      <c r="C66" s="14" t="s">
        <v>4150</v>
      </c>
      <c r="D66" s="15" t="s">
        <v>4151</v>
      </c>
    </row>
    <row r="67" spans="2:4" ht="32.25" thickBot="1" x14ac:dyDescent="0.25">
      <c r="B67" s="14" t="s">
        <v>4152</v>
      </c>
      <c r="C67" s="14" t="s">
        <v>4153</v>
      </c>
      <c r="D67" s="15" t="s">
        <v>4154</v>
      </c>
    </row>
    <row r="68" spans="2:4" ht="32.25" thickBot="1" x14ac:dyDescent="0.25">
      <c r="B68" s="14" t="s">
        <v>4155</v>
      </c>
      <c r="C68" s="14" t="s">
        <v>4156</v>
      </c>
      <c r="D68" s="15" t="s">
        <v>4157</v>
      </c>
    </row>
    <row r="69" spans="2:4" ht="32.25" thickBot="1" x14ac:dyDescent="0.25">
      <c r="B69" s="14" t="s">
        <v>4158</v>
      </c>
      <c r="C69" s="14" t="s">
        <v>4159</v>
      </c>
      <c r="D69" s="15" t="s">
        <v>4160</v>
      </c>
    </row>
    <row r="70" spans="2:4" ht="32.25" thickBot="1" x14ac:dyDescent="0.25">
      <c r="B70" s="14" t="s">
        <v>4161</v>
      </c>
      <c r="C70" s="14" t="s">
        <v>4162</v>
      </c>
      <c r="D70" s="15" t="s">
        <v>3815</v>
      </c>
    </row>
    <row r="73" spans="2:4" ht="17.25" x14ac:dyDescent="0.2">
      <c r="B73" s="5" t="s">
        <v>71</v>
      </c>
    </row>
    <row r="74" spans="2:4" ht="16.5" thickBot="1" x14ac:dyDescent="0.25">
      <c r="B74" s="11"/>
    </row>
    <row r="75" spans="2:4" ht="16.5" thickBot="1" x14ac:dyDescent="0.25">
      <c r="B75" s="12" t="s">
        <v>14</v>
      </c>
      <c r="C75" s="12" t="s">
        <v>75</v>
      </c>
      <c r="D75" s="12" t="s">
        <v>7</v>
      </c>
    </row>
    <row r="76" spans="2:4" ht="32.25" thickBot="1" x14ac:dyDescent="0.25">
      <c r="B76" s="14" t="s">
        <v>4163</v>
      </c>
      <c r="C76" s="14" t="s">
        <v>4164</v>
      </c>
      <c r="D76" s="15"/>
    </row>
    <row r="77" spans="2:4" ht="32.25" thickBot="1" x14ac:dyDescent="0.25">
      <c r="B77" s="14" t="s">
        <v>4165</v>
      </c>
      <c r="C77" s="14" t="s">
        <v>4166</v>
      </c>
      <c r="D77" s="15"/>
    </row>
    <row r="78" spans="2:4" ht="32.25" thickBot="1" x14ac:dyDescent="0.25">
      <c r="B78" s="14" t="s">
        <v>4167</v>
      </c>
      <c r="C78" s="14" t="s">
        <v>4168</v>
      </c>
      <c r="D78" s="15"/>
    </row>
    <row r="79" spans="2:4" ht="32.25" thickBot="1" x14ac:dyDescent="0.25">
      <c r="B79" s="14" t="s">
        <v>4169</v>
      </c>
      <c r="C79" s="14" t="s">
        <v>4170</v>
      </c>
      <c r="D79" s="15"/>
    </row>
    <row r="80" spans="2:4" ht="32.25" thickBot="1" x14ac:dyDescent="0.25">
      <c r="B80" s="14" t="s">
        <v>4171</v>
      </c>
      <c r="C80" s="14" t="s">
        <v>4172</v>
      </c>
      <c r="D80" s="15"/>
    </row>
    <row r="81" spans="2:4" ht="32.25" thickBot="1" x14ac:dyDescent="0.25">
      <c r="B81" s="14" t="s">
        <v>4173</v>
      </c>
      <c r="C81" s="14" t="s">
        <v>4174</v>
      </c>
      <c r="D81" s="15"/>
    </row>
    <row r="82" spans="2:4" ht="32.25" thickBot="1" x14ac:dyDescent="0.25">
      <c r="B82" s="14" t="s">
        <v>4175</v>
      </c>
      <c r="C82" s="14" t="s">
        <v>4176</v>
      </c>
      <c r="D82" s="15"/>
    </row>
    <row r="83" spans="2:4" ht="32.25" thickBot="1" x14ac:dyDescent="0.25">
      <c r="B83" s="14" t="s">
        <v>4177</v>
      </c>
      <c r="C83" s="14" t="s">
        <v>4178</v>
      </c>
      <c r="D83" s="15"/>
    </row>
    <row r="84" spans="2:4" ht="32.25" thickBot="1" x14ac:dyDescent="0.25">
      <c r="B84" s="14" t="s">
        <v>4179</v>
      </c>
      <c r="C84" s="14" t="s">
        <v>4180</v>
      </c>
      <c r="D84" s="15"/>
    </row>
    <row r="85" spans="2:4" ht="32.25" thickBot="1" x14ac:dyDescent="0.25">
      <c r="B85" s="14" t="s">
        <v>4181</v>
      </c>
      <c r="C85" s="14" t="s">
        <v>4182</v>
      </c>
      <c r="D85" s="15"/>
    </row>
    <row r="86" spans="2:4" ht="32.25" thickBot="1" x14ac:dyDescent="0.25">
      <c r="B86" s="14" t="s">
        <v>4183</v>
      </c>
      <c r="C86" s="14" t="s">
        <v>4184</v>
      </c>
      <c r="D86" s="15"/>
    </row>
    <row r="87" spans="2:4" ht="32.25" thickBot="1" x14ac:dyDescent="0.25">
      <c r="B87" s="14" t="s">
        <v>4185</v>
      </c>
      <c r="C87" s="14" t="s">
        <v>4186</v>
      </c>
      <c r="D87" s="15"/>
    </row>
    <row r="88" spans="2:4" ht="16.5" thickBot="1" x14ac:dyDescent="0.25">
      <c r="B88" s="14" t="s">
        <v>4187</v>
      </c>
      <c r="C88" s="14" t="s">
        <v>4188</v>
      </c>
      <c r="D88" s="15"/>
    </row>
    <row r="89" spans="2:4" ht="16.5" thickBot="1" x14ac:dyDescent="0.25">
      <c r="B89" s="14" t="s">
        <v>4189</v>
      </c>
      <c r="C89" s="14" t="s">
        <v>4190</v>
      </c>
      <c r="D89" s="15"/>
    </row>
    <row r="90" spans="2:4" ht="32.25" thickBot="1" x14ac:dyDescent="0.25">
      <c r="B90" s="14" t="s">
        <v>4191</v>
      </c>
      <c r="C90" s="14" t="s">
        <v>4192</v>
      </c>
      <c r="D90" s="15"/>
    </row>
    <row r="93" spans="2:4" ht="17.25" x14ac:dyDescent="0.2">
      <c r="B93" s="5" t="s">
        <v>103</v>
      </c>
    </row>
    <row r="94" spans="2:4" x14ac:dyDescent="0.2">
      <c r="B94" s="6"/>
    </row>
    <row r="95" spans="2:4" x14ac:dyDescent="0.2">
      <c r="B95" s="7" t="s">
        <v>4193</v>
      </c>
    </row>
    <row r="96" spans="2:4" x14ac:dyDescent="0.2">
      <c r="B96" s="7" t="s">
        <v>4194</v>
      </c>
    </row>
    <row r="97" spans="2:2" x14ac:dyDescent="0.2">
      <c r="B97" s="7" t="s">
        <v>4195</v>
      </c>
    </row>
    <row r="98" spans="2:2" x14ac:dyDescent="0.2">
      <c r="B98" s="7" t="s">
        <v>4196</v>
      </c>
    </row>
    <row r="99" spans="2:2" x14ac:dyDescent="0.2">
      <c r="B99" s="7" t="s">
        <v>4197</v>
      </c>
    </row>
    <row r="100" spans="2:2" x14ac:dyDescent="0.2">
      <c r="B100" s="7" t="s">
        <v>4198</v>
      </c>
    </row>
    <row r="101" spans="2:2" x14ac:dyDescent="0.2">
      <c r="B101" s="7" t="s">
        <v>4199</v>
      </c>
    </row>
    <row r="102" spans="2:2" x14ac:dyDescent="0.2">
      <c r="B102" s="7" t="s">
        <v>4200</v>
      </c>
    </row>
    <row r="103" spans="2:2" x14ac:dyDescent="0.2">
      <c r="B103" s="6"/>
    </row>
    <row r="104" spans="2:2" x14ac:dyDescent="0.2">
      <c r="B104" s="6" t="s">
        <v>4201</v>
      </c>
    </row>
  </sheetData>
  <mergeCells count="4">
    <mergeCell ref="B31:B32"/>
    <mergeCell ref="D31:D32"/>
    <mergeCell ref="B8:B17"/>
    <mergeCell ref="D8:D17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9050C-A50B-428E-BAF1-80F53536ACE8}">
  <dimension ref="B1:G101"/>
  <sheetViews>
    <sheetView topLeftCell="A9" zoomScaleNormal="100" workbookViewId="0">
      <selection activeCell="B1" sqref="B1:D10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3979</v>
      </c>
      <c r="G1" t="str">
        <f>"&lt;dl&gt;&lt;dt&gt;" &amp; B1 &amp; "&lt;/dt&gt;&lt;dd&gt;" &amp; C1 &amp; "&lt;/dd&gt;&lt;dd&gt;" &amp; D1 &amp; "&lt;/dd&gt;&lt;/dl&gt;"</f>
        <v>&lt;dl&gt;&lt;dt&gt;根据《金刚佛光-紫占课程手册》，太阳星的完整象义解析如下（严格遵循原始资料结构与表述，并应用修正后的逻辑，在“本质”部分系统化呈现“人/事/物”三个层次）：&lt;/dt&gt;&lt;dd&gt;&lt;/dd&gt;&lt;dd&gt;&lt;/dd&gt;&lt;/dl&gt;</v>
      </c>
    </row>
    <row r="4" spans="2:7" ht="17.25" x14ac:dyDescent="0.2">
      <c r="B4" s="5" t="s">
        <v>3980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32.25" thickBot="1" x14ac:dyDescent="0.25">
      <c r="B7" s="14" t="s">
        <v>2913</v>
      </c>
      <c r="C7" s="15" t="s">
        <v>3981</v>
      </c>
      <c r="D7" s="15"/>
    </row>
    <row r="8" spans="2:7" ht="110.25" x14ac:dyDescent="0.2">
      <c r="B8" s="24" t="s">
        <v>2914</v>
      </c>
      <c r="C8" s="19" t="s">
        <v>3982</v>
      </c>
      <c r="D8" s="27" t="s">
        <v>3988</v>
      </c>
    </row>
    <row r="9" spans="2:7" ht="94.5" x14ac:dyDescent="0.2">
      <c r="B9" s="25"/>
      <c r="C9" s="20" t="s">
        <v>3983</v>
      </c>
      <c r="D9" s="28"/>
    </row>
    <row r="10" spans="2:7" ht="31.5" x14ac:dyDescent="0.2">
      <c r="B10" s="25"/>
      <c r="C10" s="20" t="s">
        <v>3984</v>
      </c>
      <c r="D10" s="28"/>
    </row>
    <row r="11" spans="2:7" ht="31.5" x14ac:dyDescent="0.2">
      <c r="B11" s="25"/>
      <c r="C11" s="22" t="s">
        <v>3985</v>
      </c>
      <c r="D11" s="28"/>
    </row>
    <row r="12" spans="2:7" ht="31.5" x14ac:dyDescent="0.2">
      <c r="B12" s="25"/>
      <c r="C12" s="22" t="s">
        <v>3986</v>
      </c>
      <c r="D12" s="28"/>
    </row>
    <row r="13" spans="2:7" ht="32.25" thickBot="1" x14ac:dyDescent="0.25">
      <c r="B13" s="26"/>
      <c r="C13" s="23" t="s">
        <v>3987</v>
      </c>
      <c r="D13" s="29"/>
    </row>
    <row r="14" spans="2:7" ht="189.75" thickBot="1" x14ac:dyDescent="0.25">
      <c r="B14" s="14" t="s">
        <v>2918</v>
      </c>
      <c r="C14" s="15" t="s">
        <v>3989</v>
      </c>
      <c r="D14" s="15"/>
      <c r="E14" s="2"/>
    </row>
    <row r="15" spans="2:7" x14ac:dyDescent="0.2">
      <c r="E15" s="4"/>
    </row>
    <row r="16" spans="2:7" x14ac:dyDescent="0.2">
      <c r="E16" s="4"/>
    </row>
    <row r="17" spans="2:7" ht="17.25" x14ac:dyDescent="0.2">
      <c r="B17" s="5" t="s">
        <v>100</v>
      </c>
      <c r="E17" s="4"/>
    </row>
    <row r="18" spans="2:7" x14ac:dyDescent="0.2">
      <c r="E18" s="4"/>
    </row>
    <row r="19" spans="2:7" ht="15.75" x14ac:dyDescent="0.2">
      <c r="B19" s="13" t="s">
        <v>101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3990</v>
      </c>
      <c r="C22" s="15" t="s">
        <v>3991</v>
      </c>
      <c r="D22" s="15" t="s">
        <v>3992</v>
      </c>
    </row>
    <row r="23" spans="2:7" ht="48" thickBot="1" x14ac:dyDescent="0.25">
      <c r="B23" s="14" t="s">
        <v>3993</v>
      </c>
      <c r="C23" s="15" t="s">
        <v>3994</v>
      </c>
      <c r="D23" s="15" t="s">
        <v>3995</v>
      </c>
    </row>
    <row r="24" spans="2:7" ht="48" thickBot="1" x14ac:dyDescent="0.25">
      <c r="B24" s="14" t="s">
        <v>3996</v>
      </c>
      <c r="C24" s="15" t="s">
        <v>3997</v>
      </c>
      <c r="D24" s="15" t="s">
        <v>3998</v>
      </c>
      <c r="G24" t="str">
        <f t="shared" ref="G24:G52" si="0">"&lt;dl&gt;&lt;dt&gt;" &amp; B24 &amp; "&lt;/dt&gt;&lt;dd&gt;" &amp; C24 &amp; "&lt;/dd&gt;&lt;dd&gt;" &amp; D24 &amp; "&lt;/dd&gt;&lt;/dl&gt;"</f>
        <v>&lt;dl&gt;&lt;dt&gt;光明与博爱​&lt;/dt&gt;&lt;dd&gt;代表光明正大、公正无私、乐于助人、奉献精神。性格热情、开朗、喜欢照顾人，有领导风范，但易好大喜功。&lt;/dd&gt;&lt;dd&gt;在命宫、迁移宫时，主为人正直，乐于助人，喜出风头。&lt;/dd&gt;&lt;/dl&gt;</v>
      </c>
    </row>
    <row r="25" spans="2:7" ht="48" thickBot="1" x14ac:dyDescent="0.25">
      <c r="B25" s="14" t="s">
        <v>3999</v>
      </c>
      <c r="C25" s="15" t="s">
        <v>4000</v>
      </c>
      <c r="D25" s="15" t="s">
        <v>4001</v>
      </c>
      <c r="G25" t="str">
        <f t="shared" si="0"/>
        <v>&lt;dl&gt;&lt;dt&gt;公开与表现​&lt;/dt&gt;&lt;dd&gt;主公开、透明、曝光、表现。凡事喜欢放在台面上，不喜暗中操作。适合需要抛头露面的工作。&lt;/dd&gt;&lt;dd&gt;在命宫、官禄宫时，主适合公开演讲、主持、公关等职业。&lt;/dd&gt;&lt;/dl&gt;</v>
      </c>
    </row>
    <row r="26" spans="2:7" ht="63.75" thickBot="1" x14ac:dyDescent="0.25">
      <c r="B26" s="14" t="s">
        <v>3874</v>
      </c>
      <c r="C26" s="14" t="s">
        <v>4002</v>
      </c>
      <c r="D26" s="15"/>
      <c r="G26" t="str">
        <f t="shared" si="0"/>
        <v>&lt;dl&gt;&lt;dt&gt;日夜影响​&lt;/dt&gt;&lt;dd&gt;日生人（白天出生）太阳庙旺，则精力充沛、事业顺利、贵人运强；夜生人（晚上出生）或太阳落陷，则怀才不遇、付出多回报少、父亲缘薄。此区别是断事关键之一。&lt;/dd&gt;&lt;dd&gt;&lt;/dd&gt;&lt;/dl&gt;</v>
      </c>
    </row>
    <row r="27" spans="2:7" ht="48" thickBot="1" x14ac:dyDescent="0.25">
      <c r="B27" s="14" t="s">
        <v>3016</v>
      </c>
      <c r="C27" s="14" t="s">
        <v>4003</v>
      </c>
      <c r="D27" s="15" t="s">
        <v>2539</v>
      </c>
      <c r="G27" t="str">
        <f t="shared" si="0"/>
        <v>&lt;dl&gt;&lt;dt&gt;外貌气质​&lt;/dt&gt;&lt;dd&gt;庙旺：体格魁梧，面色红润，声音洪亮，举止大方，有威仪。落陷：体格中等或偏瘦，面色黄白，精力不足，威仪减损。&lt;/dd&gt;&lt;dd&gt;在命宫、身宫时显著。&lt;/dd&gt;&lt;/dl&gt;</v>
      </c>
    </row>
    <row r="28" spans="2:7" ht="31.5" x14ac:dyDescent="0.2">
      <c r="B28" s="24" t="s">
        <v>3017</v>
      </c>
      <c r="C28" s="19" t="s">
        <v>4004</v>
      </c>
      <c r="D28" s="27"/>
      <c r="G28" t="str">
        <f t="shared" si="0"/>
        <v>&lt;dl&gt;&lt;dt&gt;性格特质​&lt;/dt&gt;&lt;dd&gt;优点：光明磊落，热情开朗，慷慨大方，乐于助人，有领导力，重视名誉，有责任感。&lt;/dd&gt;&lt;dd&gt;&lt;/dd&gt;&lt;/dl&gt;</v>
      </c>
    </row>
    <row r="29" spans="2:7" ht="32.25" thickBot="1" x14ac:dyDescent="0.25">
      <c r="B29" s="26"/>
      <c r="C29" s="21" t="s">
        <v>4005</v>
      </c>
      <c r="D29" s="29"/>
      <c r="G29" t="str">
        <f t="shared" si="0"/>
        <v>&lt;dl&gt;&lt;dt&gt;&lt;/dt&gt;&lt;dd&gt;缺点：好面子，主观性强，固执己见，操心劳碌，易招嫉妒，好大喜功，有时过于强势。&lt;/dd&gt;&lt;dd&gt;&lt;/dd&gt;&lt;/dl&gt;</v>
      </c>
    </row>
    <row r="30" spans="2:7" ht="48" thickBot="1" x14ac:dyDescent="0.25">
      <c r="B30" s="14" t="s">
        <v>3419</v>
      </c>
      <c r="C30" s="15" t="s">
        <v>4006</v>
      </c>
      <c r="D30" s="15" t="s">
        <v>3013</v>
      </c>
    </row>
    <row r="31" spans="2:7" x14ac:dyDescent="0.2">
      <c r="E31" s="2"/>
    </row>
    <row r="32" spans="2:7" x14ac:dyDescent="0.2">
      <c r="E32" s="4"/>
    </row>
    <row r="33" spans="2:7" ht="17.25" x14ac:dyDescent="0.2">
      <c r="B33" s="5" t="s">
        <v>102</v>
      </c>
      <c r="E33" s="4"/>
    </row>
    <row r="34" spans="2:7" ht="16.5" thickBot="1" x14ac:dyDescent="0.25">
      <c r="B34" s="11"/>
      <c r="E34" s="4"/>
    </row>
    <row r="35" spans="2:7" ht="16.5" thickBot="1" x14ac:dyDescent="0.25">
      <c r="B35" s="12" t="s">
        <v>6</v>
      </c>
      <c r="C35" s="12" t="s">
        <v>107</v>
      </c>
      <c r="D35" s="12" t="s">
        <v>7</v>
      </c>
      <c r="E35" s="4"/>
      <c r="G35" t="str">
        <f t="shared" si="0"/>
        <v>&lt;dl&gt;&lt;dt&gt;宫位​&lt;/dt&gt;&lt;dd&gt;具体象义​&lt;/dd&gt;&lt;dd&gt;文献依据​&lt;/dd&gt;&lt;/dl&gt;</v>
      </c>
    </row>
    <row r="36" spans="2:7" ht="111" thickBot="1" x14ac:dyDescent="0.25">
      <c r="B36" s="14" t="s">
        <v>2930</v>
      </c>
      <c r="C36" s="15" t="s">
        <v>4007</v>
      </c>
      <c r="D36" s="15"/>
      <c r="G36" t="str">
        <f t="shared" si="0"/>
        <v>&lt;dl&gt;&lt;dt&gt;命宫​&lt;/dt&gt;&lt;dd&gt;为人光明磊落，热情开朗，有领导才能，喜出风头，重视名誉。女命易有男性气质（女人男相），性格刚强。适合从事公职、管理、教育、传播、能源、政治。日生人庙旺，主贵显、事业有成、父亲助力大；夜生人落陷，主怀才不遇、劳碌、与父亲缘分薄。太阳坐命，需修心养性，避免过度操劳与固执。&lt;/dd&gt;&lt;dd&gt;&lt;/dd&gt;&lt;/dl&gt;</v>
      </c>
    </row>
    <row r="37" spans="2:7" ht="48" thickBot="1" x14ac:dyDescent="0.25">
      <c r="B37" s="14" t="s">
        <v>2932</v>
      </c>
      <c r="C37" s="15" t="s">
        <v>4008</v>
      </c>
      <c r="D37" s="15"/>
      <c r="G37" t="str">
        <f t="shared" si="0"/>
        <v>&lt;dl&gt;&lt;dt&gt;兄弟宫​&lt;/dt&gt;&lt;dd&gt;与兄弟朋友关系光明正大，易得男性朋友帮助。若太阳性质差，则兄弟朋友中有好争强好胜者，或易受其拖累。&lt;/dd&gt;&lt;dd&gt;&lt;/dd&gt;&lt;/dl&gt;</v>
      </c>
    </row>
    <row r="38" spans="2:7" ht="79.5" thickBot="1" x14ac:dyDescent="0.25">
      <c r="B38" s="14" t="s">
        <v>2934</v>
      </c>
      <c r="C38" s="14" t="s">
        <v>4009</v>
      </c>
      <c r="D38" s="15"/>
      <c r="G38" t="str">
        <f t="shared" si="0"/>
        <v>&lt;dl&gt;&lt;dt&gt;夫妻宫​&lt;/dt&gt;&lt;dd&gt;女命：丈夫有事业心、社会地位（太阳庙旺吉化）；若太阳落陷逢煞，则感情不顺，丈夫体弱或事业不振。男命：本人对妻子有责任感；太阳性质差则婚姻中付出多，或妻子健康不佳。&lt;/dd&gt;&lt;dd&gt;&lt;/dd&gt;&lt;/dl&gt;</v>
      </c>
    </row>
    <row r="39" spans="2:7" ht="48" thickBot="1" x14ac:dyDescent="0.25">
      <c r="B39" s="14" t="s">
        <v>2936</v>
      </c>
      <c r="C39" s="15" t="s">
        <v>4010</v>
      </c>
      <c r="D39" s="15"/>
      <c r="E39" s="2"/>
      <c r="G39" t="str">
        <f t="shared" si="0"/>
        <v>&lt;dl&gt;&lt;dt&gt;子女宫​&lt;/dt&gt;&lt;dd&gt;子女活泼开朗，有表现欲，男孩概率大。太阳吉则子女有出息、能成器；太阳凶则子女好动、叛逆、让父母操心。&lt;/dd&gt;&lt;dd&gt;&lt;/dd&gt;&lt;/dl&gt;</v>
      </c>
    </row>
    <row r="40" spans="2:7" ht="63.75" thickBot="1" x14ac:dyDescent="0.25">
      <c r="B40" s="14" t="s">
        <v>9</v>
      </c>
      <c r="C40" s="15" t="s">
        <v>4011</v>
      </c>
      <c r="D40" s="15"/>
      <c r="E40" s="4"/>
      <c r="G40" t="str">
        <f t="shared" si="0"/>
        <v>&lt;dl&gt;&lt;dt&gt;财帛宫​&lt;/dt&gt;&lt;dd&gt;求财方式公开、凭名誉地位获利，如薪水、奖金、公开营收。不喜暗财，钱财来得正大光明，去得也快（乐于助人）。见禄存、化禄，主因名得利；见煞忌，则因名破财。&lt;/dd&gt;&lt;dd&gt;&lt;/dd&gt;&lt;/dl&gt;</v>
      </c>
    </row>
    <row r="41" spans="2:7" ht="48" thickBot="1" x14ac:dyDescent="0.25">
      <c r="B41" s="14" t="s">
        <v>10</v>
      </c>
      <c r="C41" s="15" t="s">
        <v>4012</v>
      </c>
      <c r="D41" s="15"/>
      <c r="E41" s="4"/>
      <c r="G41" t="str">
        <f t="shared" si="0"/>
        <v>&lt;dl&gt;&lt;dt&gt;疾厄宫​&lt;/dt&gt;&lt;dd&gt;主心脏、眼睛、头部疾病。太阳落陷或逢煞忌，需特别注意心脏病、高血压、眼疾、脑部问题。&lt;/dd&gt;&lt;dd&gt;&lt;/dd&gt;&lt;/dl&gt;</v>
      </c>
    </row>
    <row r="42" spans="2:7" ht="32.25" thickBot="1" x14ac:dyDescent="0.25">
      <c r="B42" s="14" t="s">
        <v>13</v>
      </c>
      <c r="C42" s="15" t="s">
        <v>4013</v>
      </c>
      <c r="D42" s="15"/>
      <c r="E42" s="4"/>
      <c r="G42" t="str">
        <f t="shared" si="0"/>
        <v>&lt;dl&gt;&lt;dt&gt;迁移宫​&lt;/dt&gt;&lt;dd&gt;在外活跃，易成名，得人注目。适合外出发展，在公开场合能展现才华。&lt;/dd&gt;&lt;dd&gt;&lt;/dd&gt;&lt;/dl&gt;</v>
      </c>
    </row>
    <row r="43" spans="2:7" ht="48" thickBot="1" x14ac:dyDescent="0.25">
      <c r="B43" s="14" t="s">
        <v>3018</v>
      </c>
      <c r="C43" s="14" t="s">
        <v>4014</v>
      </c>
      <c r="D43" s="15"/>
      <c r="E43" s="4"/>
      <c r="G43" t="str">
        <f t="shared" si="0"/>
        <v>&lt;dl&gt;&lt;dt&gt;交友宫（奴仆宫）​&lt;/dt&gt;&lt;dd&gt;朋友中男性居多，多社会名流。太阳吉则得男性朋友、上司助力；太阳凶则易遇好表现、好争斗的男性朋友。&lt;/dd&gt;&lt;dd&gt;&lt;/dd&gt;&lt;/dl&gt;</v>
      </c>
    </row>
    <row r="44" spans="2:7" ht="63.75" thickBot="1" x14ac:dyDescent="0.25">
      <c r="B44" s="14" t="s">
        <v>3019</v>
      </c>
      <c r="C44" s="14" t="s">
        <v>4015</v>
      </c>
      <c r="D44" s="15"/>
    </row>
    <row r="45" spans="2:7" ht="48" thickBot="1" x14ac:dyDescent="0.25">
      <c r="B45" s="14" t="s">
        <v>8</v>
      </c>
      <c r="C45" s="14" t="s">
        <v>4016</v>
      </c>
      <c r="D45" s="15"/>
    </row>
    <row r="46" spans="2:7" ht="48" thickBot="1" x14ac:dyDescent="0.25">
      <c r="B46" s="14" t="s">
        <v>2945</v>
      </c>
      <c r="C46" s="15" t="s">
        <v>4017</v>
      </c>
      <c r="D46" s="15"/>
    </row>
    <row r="47" spans="2:7" ht="48" thickBot="1" x14ac:dyDescent="0.25">
      <c r="B47" s="14" t="s">
        <v>11</v>
      </c>
      <c r="C47" s="14" t="s">
        <v>4018</v>
      </c>
      <c r="D47" s="15"/>
    </row>
    <row r="48" spans="2:7" x14ac:dyDescent="0.2">
      <c r="E48" s="2"/>
    </row>
    <row r="49" spans="2:7" x14ac:dyDescent="0.2">
      <c r="E49" s="4"/>
      <c r="G49" t="str">
        <f t="shared" si="0"/>
        <v>&lt;dl&gt;&lt;dt&gt;&lt;/dt&gt;&lt;dd&gt;&lt;/dd&gt;&lt;dd&gt;&lt;/dd&gt;&lt;/dl&gt;</v>
      </c>
    </row>
    <row r="50" spans="2:7" ht="17.25" x14ac:dyDescent="0.2">
      <c r="B50" s="5" t="s">
        <v>70</v>
      </c>
      <c r="E50" s="4"/>
      <c r="G50" t="str">
        <f t="shared" si="0"/>
        <v>&lt;dl&gt;&lt;dt&gt;四、主星组合象义&lt;/dt&gt;&lt;dd&gt;&lt;/dd&gt;&lt;dd&gt;&lt;/dd&gt;&lt;/dl&gt;</v>
      </c>
    </row>
    <row r="51" spans="2:7" x14ac:dyDescent="0.2">
      <c r="E51" s="4"/>
      <c r="G51" t="str">
        <f t="shared" si="0"/>
        <v>&lt;dl&gt;&lt;dt&gt;&lt;/dt&gt;&lt;dd&gt;&lt;/dd&gt;&lt;dd&gt;&lt;/dd&gt;&lt;/dl&gt;</v>
      </c>
    </row>
    <row r="52" spans="2:7" ht="15.75" x14ac:dyDescent="0.2">
      <c r="B52" s="13" t="s">
        <v>4019</v>
      </c>
      <c r="E52" s="4"/>
      <c r="G52" t="str">
        <f t="shared" si="0"/>
        <v>&lt;dl&gt;&lt;dt&gt;1. 增强光明/贵气/领导组合&lt;/dt&gt;&lt;dd&gt;&lt;/dd&gt;&lt;dd&gt;&lt;/dd&gt;&lt;/dl&gt;</v>
      </c>
    </row>
    <row r="53" spans="2:7" ht="16.5" thickBot="1" x14ac:dyDescent="0.25">
      <c r="B53" s="11"/>
      <c r="E53" s="4"/>
    </row>
    <row r="54" spans="2:7" ht="16.5" thickBot="1" x14ac:dyDescent="0.25">
      <c r="B54" s="12" t="s">
        <v>19</v>
      </c>
      <c r="C54" s="12" t="s">
        <v>73</v>
      </c>
      <c r="D54" s="12" t="s">
        <v>108</v>
      </c>
    </row>
    <row r="55" spans="2:7" ht="32.25" thickBot="1" x14ac:dyDescent="0.25">
      <c r="B55" s="14" t="s">
        <v>4020</v>
      </c>
      <c r="C55" s="14" t="s">
        <v>4021</v>
      </c>
      <c r="D55" s="15" t="s">
        <v>4022</v>
      </c>
    </row>
    <row r="56" spans="2:7" ht="32.25" thickBot="1" x14ac:dyDescent="0.25">
      <c r="B56" s="14" t="s">
        <v>4023</v>
      </c>
      <c r="C56" s="14" t="s">
        <v>4024</v>
      </c>
      <c r="D56" s="15" t="s">
        <v>4025</v>
      </c>
    </row>
    <row r="57" spans="2:7" ht="63.75" thickBot="1" x14ac:dyDescent="0.25">
      <c r="B57" s="14" t="s">
        <v>4026</v>
      </c>
      <c r="C57" s="14" t="s">
        <v>3900</v>
      </c>
      <c r="D57" s="15" t="s">
        <v>3901</v>
      </c>
    </row>
    <row r="58" spans="2:7" ht="32.25" thickBot="1" x14ac:dyDescent="0.25">
      <c r="B58" s="14" t="s">
        <v>4027</v>
      </c>
      <c r="C58" s="14" t="s">
        <v>4028</v>
      </c>
      <c r="D58" s="15" t="s">
        <v>4029</v>
      </c>
      <c r="E58" s="2"/>
    </row>
    <row r="59" spans="2:7" ht="32.25" thickBot="1" x14ac:dyDescent="0.25">
      <c r="B59" s="14" t="s">
        <v>4030</v>
      </c>
      <c r="C59" s="14" t="s">
        <v>4031</v>
      </c>
      <c r="D59" s="15" t="s">
        <v>4032</v>
      </c>
      <c r="E59" s="4"/>
    </row>
    <row r="60" spans="2:7" ht="32.25" thickBot="1" x14ac:dyDescent="0.25">
      <c r="B60" s="14" t="s">
        <v>4033</v>
      </c>
      <c r="C60" s="14" t="s">
        <v>4034</v>
      </c>
      <c r="D60" s="15" t="s">
        <v>4035</v>
      </c>
      <c r="E60" s="4"/>
    </row>
    <row r="61" spans="2:7" ht="32.25" thickBot="1" x14ac:dyDescent="0.25">
      <c r="B61" s="14" t="s">
        <v>4036</v>
      </c>
      <c r="C61" s="14" t="s">
        <v>4037</v>
      </c>
      <c r="D61" s="15" t="s">
        <v>4038</v>
      </c>
      <c r="E61" s="4"/>
    </row>
    <row r="62" spans="2:7" ht="32.25" thickBot="1" x14ac:dyDescent="0.25">
      <c r="B62" s="14" t="s">
        <v>4039</v>
      </c>
      <c r="C62" s="14" t="s">
        <v>4040</v>
      </c>
      <c r="D62" s="15" t="s">
        <v>4041</v>
      </c>
      <c r="E62" s="4"/>
    </row>
    <row r="63" spans="2:7" ht="48" thickBot="1" x14ac:dyDescent="0.25">
      <c r="B63" s="14" t="s">
        <v>4042</v>
      </c>
      <c r="C63" s="14" t="s">
        <v>4043</v>
      </c>
      <c r="D63" s="15" t="s">
        <v>4044</v>
      </c>
    </row>
    <row r="64" spans="2:7" ht="32.25" thickBot="1" x14ac:dyDescent="0.25">
      <c r="B64" s="14" t="s">
        <v>4045</v>
      </c>
      <c r="C64" s="14" t="s">
        <v>4046</v>
      </c>
      <c r="D64" s="15" t="s">
        <v>4047</v>
      </c>
    </row>
    <row r="65" spans="2:4" ht="32.25" thickBot="1" x14ac:dyDescent="0.25">
      <c r="B65" s="14" t="s">
        <v>4048</v>
      </c>
      <c r="C65" s="14" t="s">
        <v>4049</v>
      </c>
      <c r="D65" s="15" t="s">
        <v>4050</v>
      </c>
    </row>
    <row r="66" spans="2:4" ht="32.25" thickBot="1" x14ac:dyDescent="0.25">
      <c r="B66" s="14" t="s">
        <v>4051</v>
      </c>
      <c r="C66" s="14" t="s">
        <v>4052</v>
      </c>
      <c r="D66" s="15" t="s">
        <v>4053</v>
      </c>
    </row>
    <row r="67" spans="2:4" ht="32.25" thickBot="1" x14ac:dyDescent="0.25">
      <c r="B67" s="14" t="s">
        <v>4054</v>
      </c>
      <c r="C67" s="14" t="s">
        <v>4055</v>
      </c>
      <c r="D67" s="15" t="s">
        <v>4056</v>
      </c>
    </row>
    <row r="70" spans="2:4" ht="17.25" x14ac:dyDescent="0.2">
      <c r="B70" s="5" t="s">
        <v>71</v>
      </c>
    </row>
    <row r="71" spans="2:4" ht="16.5" thickBot="1" x14ac:dyDescent="0.25">
      <c r="B71" s="11"/>
    </row>
    <row r="72" spans="2:4" ht="16.5" thickBot="1" x14ac:dyDescent="0.25">
      <c r="B72" s="12" t="s">
        <v>14</v>
      </c>
      <c r="C72" s="12" t="s">
        <v>75</v>
      </c>
      <c r="D72" s="12" t="s">
        <v>7</v>
      </c>
    </row>
    <row r="73" spans="2:4" ht="32.25" thickBot="1" x14ac:dyDescent="0.25">
      <c r="B73" s="14" t="s">
        <v>4057</v>
      </c>
      <c r="C73" s="14" t="s">
        <v>4058</v>
      </c>
      <c r="D73" s="15"/>
    </row>
    <row r="74" spans="2:4" ht="32.25" thickBot="1" x14ac:dyDescent="0.25">
      <c r="B74" s="14" t="s">
        <v>4059</v>
      </c>
      <c r="C74" s="14" t="s">
        <v>4060</v>
      </c>
      <c r="D74" s="15"/>
    </row>
    <row r="75" spans="2:4" ht="32.25" thickBot="1" x14ac:dyDescent="0.25">
      <c r="B75" s="14" t="s">
        <v>4061</v>
      </c>
      <c r="C75" s="14" t="s">
        <v>4062</v>
      </c>
      <c r="D75" s="15"/>
    </row>
    <row r="76" spans="2:4" ht="16.5" thickBot="1" x14ac:dyDescent="0.25">
      <c r="B76" s="14" t="s">
        <v>4063</v>
      </c>
      <c r="C76" s="14" t="s">
        <v>4064</v>
      </c>
      <c r="D76" s="15"/>
    </row>
    <row r="77" spans="2:4" ht="32.25" thickBot="1" x14ac:dyDescent="0.25">
      <c r="B77" s="14" t="s">
        <v>4065</v>
      </c>
      <c r="C77" s="14" t="s">
        <v>4066</v>
      </c>
      <c r="D77" s="15"/>
    </row>
    <row r="78" spans="2:4" ht="32.25" thickBot="1" x14ac:dyDescent="0.25">
      <c r="B78" s="14" t="s">
        <v>4067</v>
      </c>
      <c r="C78" s="14" t="s">
        <v>4068</v>
      </c>
      <c r="D78" s="15"/>
    </row>
    <row r="79" spans="2:4" ht="32.25" thickBot="1" x14ac:dyDescent="0.25">
      <c r="B79" s="14" t="s">
        <v>4069</v>
      </c>
      <c r="C79" s="14" t="s">
        <v>4070</v>
      </c>
      <c r="D79" s="15"/>
    </row>
    <row r="80" spans="2:4" ht="32.25" thickBot="1" x14ac:dyDescent="0.25">
      <c r="B80" s="14" t="s">
        <v>4071</v>
      </c>
      <c r="C80" s="14" t="s">
        <v>4072</v>
      </c>
      <c r="D80" s="15"/>
    </row>
    <row r="81" spans="2:4" ht="32.25" thickBot="1" x14ac:dyDescent="0.25">
      <c r="B81" s="14" t="s">
        <v>4073</v>
      </c>
      <c r="C81" s="14" t="s">
        <v>4074</v>
      </c>
      <c r="D81" s="15"/>
    </row>
    <row r="82" spans="2:4" ht="32.25" thickBot="1" x14ac:dyDescent="0.25">
      <c r="B82" s="14" t="s">
        <v>4075</v>
      </c>
      <c r="C82" s="14" t="s">
        <v>4076</v>
      </c>
      <c r="D82" s="15"/>
    </row>
    <row r="83" spans="2:4" ht="32.25" thickBot="1" x14ac:dyDescent="0.25">
      <c r="B83" s="14" t="s">
        <v>4077</v>
      </c>
      <c r="C83" s="14" t="s">
        <v>4078</v>
      </c>
      <c r="D83" s="15"/>
    </row>
    <row r="84" spans="2:4" ht="32.25" thickBot="1" x14ac:dyDescent="0.25">
      <c r="B84" s="14" t="s">
        <v>4079</v>
      </c>
      <c r="C84" s="14" t="s">
        <v>4080</v>
      </c>
      <c r="D84" s="15"/>
    </row>
    <row r="85" spans="2:4" ht="32.25" thickBot="1" x14ac:dyDescent="0.25">
      <c r="B85" s="14" t="s">
        <v>4081</v>
      </c>
      <c r="C85" s="14" t="s">
        <v>4082</v>
      </c>
      <c r="D85" s="15"/>
    </row>
    <row r="86" spans="2:4" ht="32.25" thickBot="1" x14ac:dyDescent="0.25">
      <c r="B86" s="14" t="s">
        <v>4083</v>
      </c>
      <c r="C86" s="14" t="s">
        <v>4084</v>
      </c>
      <c r="D86" s="15"/>
    </row>
    <row r="87" spans="2:4" ht="32.25" thickBot="1" x14ac:dyDescent="0.25">
      <c r="B87" s="14" t="s">
        <v>4085</v>
      </c>
      <c r="C87" s="14" t="s">
        <v>4086</v>
      </c>
      <c r="D87" s="15"/>
    </row>
    <row r="90" spans="2:4" ht="17.25" x14ac:dyDescent="0.2">
      <c r="B90" s="5" t="s">
        <v>103</v>
      </c>
    </row>
    <row r="91" spans="2:4" x14ac:dyDescent="0.2">
      <c r="B91" s="6"/>
    </row>
    <row r="92" spans="2:4" x14ac:dyDescent="0.2">
      <c r="B92" s="7" t="s">
        <v>4087</v>
      </c>
    </row>
    <row r="93" spans="2:4" x14ac:dyDescent="0.2">
      <c r="B93" s="7" t="s">
        <v>4088</v>
      </c>
    </row>
    <row r="94" spans="2:4" x14ac:dyDescent="0.2">
      <c r="B94" s="7" t="s">
        <v>4089</v>
      </c>
    </row>
    <row r="95" spans="2:4" x14ac:dyDescent="0.2">
      <c r="B95" s="7" t="s">
        <v>4090</v>
      </c>
    </row>
    <row r="96" spans="2:4" x14ac:dyDescent="0.2">
      <c r="B96" s="7" t="s">
        <v>4091</v>
      </c>
    </row>
    <row r="97" spans="2:2" x14ac:dyDescent="0.2">
      <c r="B97" s="7" t="s">
        <v>4092</v>
      </c>
    </row>
    <row r="98" spans="2:2" x14ac:dyDescent="0.2">
      <c r="B98" s="7" t="s">
        <v>4093</v>
      </c>
    </row>
    <row r="99" spans="2:2" x14ac:dyDescent="0.2">
      <c r="B99" s="7" t="s">
        <v>4094</v>
      </c>
    </row>
    <row r="100" spans="2:2" x14ac:dyDescent="0.2">
      <c r="B100" s="6"/>
    </row>
    <row r="101" spans="2:2" x14ac:dyDescent="0.2">
      <c r="B101" s="6" t="s">
        <v>4095</v>
      </c>
    </row>
  </sheetData>
  <mergeCells count="4">
    <mergeCell ref="B8:B13"/>
    <mergeCell ref="D8:D13"/>
    <mergeCell ref="B28:B29"/>
    <mergeCell ref="D28:D29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8203-6FA0-41D5-AF92-E259B5614122}">
  <dimension ref="B1:G101"/>
  <sheetViews>
    <sheetView zoomScaleNormal="100" workbookViewId="0">
      <selection activeCell="F9" sqref="F9"/>
    </sheetView>
  </sheetViews>
  <sheetFormatPr defaultRowHeight="14.25" x14ac:dyDescent="0.2"/>
  <cols>
    <col min="1" max="1" width="2.75" customWidth="1"/>
    <col min="2" max="2" width="15.625" customWidth="1"/>
    <col min="3" max="3" width="46" customWidth="1"/>
    <col min="4" max="4" width="51.25" customWidth="1"/>
  </cols>
  <sheetData>
    <row r="1" spans="2:7" x14ac:dyDescent="0.2">
      <c r="B1" t="s">
        <v>3859</v>
      </c>
      <c r="G1" t="str">
        <f>"&lt;dl&gt;&lt;dt&gt;" &amp; B1 &amp; "&lt;/dt&gt;&lt;dd&gt;" &amp; C1 &amp; "&lt;/dd&gt;&lt;dd&gt;" &amp; D1 &amp; "&lt;/dd&gt;&lt;/dl&gt;"</f>
        <v>&lt;dl&gt;&lt;dt&gt;根据《金刚佛光-紫占课程手册》，太阴星的完整象义解析如下（严格遵循原始资料结构与表述，并应用您指正的逻辑，在“本质”部分系统化呈现“人/事/物”三个层次）：&lt;/dt&gt;&lt;dd&gt;&lt;/dd&gt;&lt;dd&gt;&lt;/dd&gt;&lt;/dl&gt;</v>
      </c>
    </row>
    <row r="4" spans="2:7" ht="17.25" x14ac:dyDescent="0.2">
      <c r="B4" s="5" t="s">
        <v>3860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29.25" thickBot="1" x14ac:dyDescent="0.25">
      <c r="B7" s="14" t="s">
        <v>2913</v>
      </c>
      <c r="C7" s="4" t="s">
        <v>3977</v>
      </c>
      <c r="D7" s="15"/>
    </row>
    <row r="8" spans="2:7" ht="85.5" x14ac:dyDescent="0.2">
      <c r="B8" s="24" t="s">
        <v>2914</v>
      </c>
      <c r="C8" s="3" t="s">
        <v>3971</v>
      </c>
      <c r="D8" s="27" t="s">
        <v>3978</v>
      </c>
    </row>
    <row r="9" spans="2:7" ht="85.5" x14ac:dyDescent="0.2">
      <c r="B9" s="25"/>
      <c r="C9" s="3" t="s">
        <v>3972</v>
      </c>
      <c r="D9" s="28"/>
    </row>
    <row r="10" spans="2:7" ht="42.75" x14ac:dyDescent="0.2">
      <c r="B10" s="25"/>
      <c r="C10" s="3" t="s">
        <v>3973</v>
      </c>
      <c r="D10" s="28"/>
    </row>
    <row r="11" spans="2:7" ht="42.75" x14ac:dyDescent="0.2">
      <c r="B11" s="25"/>
      <c r="C11" s="4" t="s">
        <v>3974</v>
      </c>
      <c r="D11" s="28"/>
    </row>
    <row r="12" spans="2:7" ht="28.5" x14ac:dyDescent="0.2">
      <c r="B12" s="25"/>
      <c r="C12" s="4" t="s">
        <v>3975</v>
      </c>
      <c r="D12" s="28"/>
    </row>
    <row r="13" spans="2:7" ht="29.25" thickBot="1" x14ac:dyDescent="0.25">
      <c r="B13" s="26"/>
      <c r="C13" s="4" t="s">
        <v>3976</v>
      </c>
      <c r="D13" s="29"/>
    </row>
    <row r="14" spans="2:7" ht="158.25" thickBot="1" x14ac:dyDescent="0.25">
      <c r="B14" s="14" t="s">
        <v>2918</v>
      </c>
      <c r="C14" s="15" t="s">
        <v>3861</v>
      </c>
      <c r="D14" s="15"/>
    </row>
    <row r="17" spans="2:7" ht="17.25" x14ac:dyDescent="0.2">
      <c r="B17" s="5" t="s">
        <v>100</v>
      </c>
    </row>
    <row r="19" spans="2:7" ht="15.75" x14ac:dyDescent="0.2">
      <c r="B19" s="13" t="s">
        <v>101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3862</v>
      </c>
      <c r="C22" s="15" t="s">
        <v>3863</v>
      </c>
      <c r="D22" s="15" t="s">
        <v>3864</v>
      </c>
      <c r="E22" s="12"/>
    </row>
    <row r="23" spans="2:7" ht="48" thickBot="1" x14ac:dyDescent="0.25">
      <c r="B23" s="14" t="s">
        <v>3865</v>
      </c>
      <c r="C23" s="15" t="s">
        <v>3866</v>
      </c>
      <c r="D23" s="15" t="s">
        <v>3867</v>
      </c>
      <c r="E23" s="15"/>
      <c r="G23" t="str">
        <f t="shared" ref="G23:G51" si="0">"&lt;dl&gt;&lt;dt&gt;" &amp; B23 &amp; "&lt;/dt&gt;&lt;dd&gt;" &amp; C23 &amp; "&lt;/dd&gt;&lt;dd&gt;" &amp; D23 &amp; "&lt;/dd&gt;&lt;/dl&gt;"</f>
        <v>&lt;dl&gt;&lt;dt&gt;财富与田宅​&lt;/dt&gt;&lt;dd&gt;化气为“富”，为田宅主、财帛主。代表不动产、积蓄、理财所得、非劳动性收入（如租金、利息、奖金）。财富性质为细水长流、积累型。&lt;/dd&gt;&lt;dd&gt;在财帛宫、田宅宫时，主善于理财，易有房产，财富积累慢但稳定。&lt;/dd&gt;&lt;/dl&gt;</v>
      </c>
    </row>
    <row r="24" spans="2:7" ht="48" thickBot="1" x14ac:dyDescent="0.25">
      <c r="B24" s="14" t="s">
        <v>3868</v>
      </c>
      <c r="C24" s="15" t="s">
        <v>3869</v>
      </c>
      <c r="D24" s="15" t="s">
        <v>3870</v>
      </c>
      <c r="E24" s="15"/>
      <c r="G24" t="str">
        <f t="shared" si="0"/>
        <v>&lt;dl&gt;&lt;dt&gt;感情与内敛​&lt;/dt&gt;&lt;dd&gt;代表细腻的感情、内心的感受、精神世界。性格温柔、敏感、重感情、多愁善感。感情丰富但表达含蓄，易生闷气。&lt;/dd&gt;&lt;dd&gt;在命宫、福德宫、夫妻宫时，主感情细腻，内心世界丰富。&lt;/dd&gt;&lt;/dl&gt;</v>
      </c>
    </row>
    <row r="25" spans="2:7" ht="32.25" thickBot="1" x14ac:dyDescent="0.25">
      <c r="B25" s="14" t="s">
        <v>3871</v>
      </c>
      <c r="C25" s="15" t="s">
        <v>3872</v>
      </c>
      <c r="D25" s="15" t="s">
        <v>3873</v>
      </c>
      <c r="E25" s="15"/>
      <c r="G25" t="str">
        <f t="shared" si="0"/>
        <v>&lt;dl&gt;&lt;dt&gt;清洁与美学​&lt;/dt&gt;&lt;dd&gt;主洁净、整洁、美容、装饰。有洁癖倾向，喜爱干净、美好的事物，注重生活品质与审美。&lt;/dd&gt;&lt;dd&gt;在命宫、田宅宫时，主爱干净，注重家居环境与个人形象。&lt;/dd&gt;&lt;/dl&gt;</v>
      </c>
    </row>
    <row r="26" spans="2:7" ht="63.75" thickBot="1" x14ac:dyDescent="0.25">
      <c r="B26" s="14" t="s">
        <v>3874</v>
      </c>
      <c r="C26" s="14" t="s">
        <v>3875</v>
      </c>
      <c r="D26" s="15"/>
      <c r="E26" s="15"/>
      <c r="G26" t="str">
        <f t="shared" si="0"/>
        <v>&lt;dl&gt;&lt;dt&gt;日夜影响​&lt;/dt&gt;&lt;dd&gt;夜生人（晚上出生）太阴庙旺，则直觉敏锐、财运亨通、情感充实；日生人（白天出生）或太阴落陷，则情感脆弱、财运受损、敏感变脆弱。此区别是断事关键之一。&lt;/dd&gt;&lt;dd&gt;&lt;/dd&gt;&lt;/dl&gt;</v>
      </c>
    </row>
    <row r="27" spans="2:7" ht="48" thickBot="1" x14ac:dyDescent="0.25">
      <c r="B27" s="14" t="s">
        <v>3016</v>
      </c>
      <c r="C27" s="14" t="s">
        <v>3876</v>
      </c>
      <c r="D27" s="15" t="s">
        <v>2539</v>
      </c>
      <c r="E27" s="15"/>
      <c r="G27" t="str">
        <f t="shared" si="0"/>
        <v>&lt;dl&gt;&lt;dt&gt;外貌气质​&lt;/dt&gt;&lt;dd&gt;庙旺：面圆色白，体态丰腴，性情温和，举止优雅。落陷：面瘦色青，体态清瘦，性情孤僻，多忧多虑。&lt;/dd&gt;&lt;dd&gt;在命宫、身宫时显著。&lt;/dd&gt;&lt;/dl&gt;</v>
      </c>
    </row>
    <row r="28" spans="2:7" ht="48" thickBot="1" x14ac:dyDescent="0.25">
      <c r="B28" s="24" t="s">
        <v>3017</v>
      </c>
      <c r="C28" s="19" t="s">
        <v>3877</v>
      </c>
      <c r="D28" s="27"/>
      <c r="E28" s="15"/>
      <c r="G28" t="str">
        <f t="shared" si="0"/>
        <v>&lt;dl&gt;&lt;dt&gt;性格特质​&lt;/dt&gt;&lt;dd&gt;优点：温柔细腻，内敛含蓄，爱干净，重感情，有耐心，善解人意，追求完美，善于理财，顾家。&lt;/dd&gt;&lt;dd&gt;&lt;/dd&gt;&lt;/dl&gt;</v>
      </c>
    </row>
    <row r="29" spans="2:7" ht="32.25" thickBot="1" x14ac:dyDescent="0.25">
      <c r="B29" s="26"/>
      <c r="C29" s="21" t="s">
        <v>3878</v>
      </c>
      <c r="D29" s="29"/>
    </row>
    <row r="30" spans="2:7" ht="48" thickBot="1" x14ac:dyDescent="0.25">
      <c r="B30" s="14" t="s">
        <v>3419</v>
      </c>
      <c r="C30" s="15" t="s">
        <v>3879</v>
      </c>
      <c r="D30" s="15" t="s">
        <v>3013</v>
      </c>
    </row>
    <row r="32" spans="2:7" ht="15" thickBot="1" x14ac:dyDescent="0.25"/>
    <row r="33" spans="2:7" ht="18" thickBot="1" x14ac:dyDescent="0.25">
      <c r="B33" s="5" t="s">
        <v>102</v>
      </c>
      <c r="E33" s="12"/>
    </row>
    <row r="34" spans="2:7" ht="16.5" thickBot="1" x14ac:dyDescent="0.25">
      <c r="B34" s="11"/>
      <c r="E34" s="15"/>
      <c r="G34" t="str">
        <f t="shared" si="0"/>
        <v>&lt;dl&gt;&lt;dt&gt;&lt;/dt&gt;&lt;dd&gt;&lt;/dd&gt;&lt;dd&gt;&lt;/dd&gt;&lt;/dl&gt;</v>
      </c>
    </row>
    <row r="35" spans="2:7" ht="16.5" thickBot="1" x14ac:dyDescent="0.25">
      <c r="B35" s="12" t="s">
        <v>6</v>
      </c>
      <c r="C35" s="12" t="s">
        <v>107</v>
      </c>
      <c r="D35" s="12" t="s">
        <v>7</v>
      </c>
      <c r="E35" s="15"/>
      <c r="G35" t="str">
        <f t="shared" si="0"/>
        <v>&lt;dl&gt;&lt;dt&gt;宫位​&lt;/dt&gt;&lt;dd&gt;具体象义​&lt;/dd&gt;&lt;dd&gt;文献依据​&lt;/dd&gt;&lt;/dl&gt;</v>
      </c>
    </row>
    <row r="36" spans="2:7" ht="111" thickBot="1" x14ac:dyDescent="0.25">
      <c r="B36" s="14" t="s">
        <v>2930</v>
      </c>
      <c r="C36" s="15" t="s">
        <v>3880</v>
      </c>
      <c r="D36" s="15"/>
      <c r="E36" s="15"/>
      <c r="G36" t="str">
        <f t="shared" si="0"/>
        <v>&lt;dl&gt;&lt;dt&gt;命宫​&lt;/dt&gt;&lt;dd&gt;为人温柔细腻，感情丰富，爱干净，有洁癖，注重生活品质。男命易有女性气质（男人女相），女命具传统女性美德。适合从事财务、艺术、设计、家政、心理咨询、女性相关行业。夜生人庙旺，主富贵、家庭和睦；日生人落陷，主感情波折、内心孤独、财运不佳。太阴坐命，需修心养性，避免过度敏感与内耗。&lt;/dd&gt;&lt;dd&gt;&lt;/dd&gt;&lt;/dl&gt;</v>
      </c>
    </row>
    <row r="37" spans="2:7" ht="32.25" thickBot="1" x14ac:dyDescent="0.25">
      <c r="B37" s="14" t="s">
        <v>2932</v>
      </c>
      <c r="C37" s="15" t="s">
        <v>3881</v>
      </c>
      <c r="D37" s="15"/>
      <c r="E37" s="15"/>
      <c r="G37" t="str">
        <f t="shared" si="0"/>
        <v>&lt;dl&gt;&lt;dt&gt;兄弟宫​&lt;/dt&gt;&lt;dd&gt;与兄弟姐妹感情细腻，易得女性朋友帮助。若太阴性质差，则身边易有女性小人，暗中作祟。&lt;/dd&gt;&lt;dd&gt;&lt;/dd&gt;&lt;/dl&gt;</v>
      </c>
    </row>
    <row r="38" spans="2:7" ht="63.75" thickBot="1" x14ac:dyDescent="0.25">
      <c r="B38" s="14" t="s">
        <v>2934</v>
      </c>
      <c r="C38" s="14" t="s">
        <v>3882</v>
      </c>
      <c r="D38" s="15"/>
      <c r="E38" s="15"/>
      <c r="G38" t="str">
        <f t="shared" si="0"/>
        <v>&lt;dl&gt;&lt;dt&gt;夫妻宫​&lt;/dt&gt;&lt;dd&gt;男命：妻子温柔贤淑，持家有道（太阴庙旺吉化）；若太阴落陷逢煞，则感情不顺，妻子体弱或多愁善感。女命：本人感情细腻，对婚姻要求高；太阴性质差则婚姻多波折，易为情所伤。&lt;/dd&gt;&lt;dd&gt;&lt;/dd&gt;&lt;/dl&gt;</v>
      </c>
    </row>
    <row r="39" spans="2:7" ht="48" thickBot="1" x14ac:dyDescent="0.25">
      <c r="B39" s="14" t="s">
        <v>2936</v>
      </c>
      <c r="C39" s="15" t="s">
        <v>3883</v>
      </c>
      <c r="D39" s="15"/>
      <c r="E39" s="15"/>
      <c r="G39" t="str">
        <f t="shared" si="0"/>
        <v>&lt;dl&gt;&lt;dt&gt;子女宫​&lt;/dt&gt;&lt;dd&gt;子女感情细腻，性格内敛，女孩概率大。太阴吉则子女乖巧、有艺术天赋；太阴凶则子女心机深、情绪化。&lt;/dd&gt;&lt;dd&gt;&lt;/dd&gt;&lt;/dl&gt;</v>
      </c>
    </row>
    <row r="40" spans="2:7" ht="63.75" thickBot="1" x14ac:dyDescent="0.25">
      <c r="B40" s="14" t="s">
        <v>9</v>
      </c>
      <c r="C40" s="15" t="s">
        <v>3884</v>
      </c>
      <c r="D40" s="15"/>
      <c r="E40" s="15"/>
      <c r="G40" t="str">
        <f t="shared" si="0"/>
        <v>&lt;dl&gt;&lt;dt&gt;财帛宫​&lt;/dt&gt;&lt;dd&gt;求财方式静态、稳定，如薪水、理财、租金。善于精打细算，积累财富。见禄存、化禄，主财源广进，不动产丰隆；见煞忌，则财来财去，为财烦恼。&lt;/dd&gt;&lt;dd&gt;&lt;/dd&gt;&lt;/dl&gt;</v>
      </c>
    </row>
    <row r="41" spans="2:7" ht="48" thickBot="1" x14ac:dyDescent="0.25">
      <c r="B41" s="14" t="s">
        <v>10</v>
      </c>
      <c r="C41" s="15" t="s">
        <v>3885</v>
      </c>
      <c r="D41" s="15"/>
      <c r="E41" s="15"/>
      <c r="G41" t="str">
        <f t="shared" si="0"/>
        <v>&lt;dl&gt;&lt;dt&gt;疾厄宫​&lt;/dt&gt;&lt;dd&gt;主肾脏、泌尿系统、妇科疾病、皮肤病、情绪病（抑郁、焦虑）。太阴落陷或逢煞忌，需特别注意妇科肿瘤、肾虚、神经衰弱。&lt;/dd&gt;&lt;dd&gt;&lt;/dd&gt;&lt;/dl&gt;</v>
      </c>
    </row>
    <row r="42" spans="2:7" ht="48" thickBot="1" x14ac:dyDescent="0.25">
      <c r="B42" s="14" t="s">
        <v>13</v>
      </c>
      <c r="C42" s="15" t="s">
        <v>3886</v>
      </c>
      <c r="D42" s="15"/>
      <c r="E42" s="15"/>
      <c r="G42" t="str">
        <f t="shared" si="0"/>
        <v>&lt;dl&gt;&lt;dt&gt;迁移宫​&lt;/dt&gt;&lt;dd&gt;在外与女性缘分深，易得女性帮助。也主喜欢在外居住。需看太阴吉凶判断女性是助力还是破坏力。&lt;/dd&gt;&lt;dd&gt;&lt;/dd&gt;&lt;/dl&gt;</v>
      </c>
    </row>
    <row r="43" spans="2:7" ht="48" thickBot="1" x14ac:dyDescent="0.25">
      <c r="B43" s="14" t="s">
        <v>3018</v>
      </c>
      <c r="C43" s="14" t="s">
        <v>3887</v>
      </c>
      <c r="D43" s="15"/>
    </row>
    <row r="44" spans="2:7" ht="48" thickBot="1" x14ac:dyDescent="0.25">
      <c r="B44" s="14" t="s">
        <v>3019</v>
      </c>
      <c r="C44" s="15" t="s">
        <v>3888</v>
      </c>
      <c r="D44" s="15"/>
    </row>
    <row r="45" spans="2:7" ht="63.75" thickBot="1" x14ac:dyDescent="0.25">
      <c r="B45" s="14" t="s">
        <v>8</v>
      </c>
      <c r="C45" s="14" t="s">
        <v>3889</v>
      </c>
      <c r="D45" s="15"/>
    </row>
    <row r="46" spans="2:7" ht="48" thickBot="1" x14ac:dyDescent="0.25">
      <c r="B46" s="14" t="s">
        <v>2945</v>
      </c>
      <c r="C46" s="15" t="s">
        <v>3890</v>
      </c>
      <c r="D46" s="15"/>
    </row>
    <row r="47" spans="2:7" ht="48" thickBot="1" x14ac:dyDescent="0.25">
      <c r="B47" s="14" t="s">
        <v>11</v>
      </c>
      <c r="C47" s="14" t="s">
        <v>3891</v>
      </c>
      <c r="D47" s="15"/>
      <c r="E47" s="12"/>
    </row>
    <row r="48" spans="2:7" ht="16.5" thickBot="1" x14ac:dyDescent="0.25">
      <c r="E48" s="15"/>
      <c r="G48" t="str">
        <f t="shared" si="0"/>
        <v>&lt;dl&gt;&lt;dt&gt;&lt;/dt&gt;&lt;dd&gt;&lt;/dd&gt;&lt;dd&gt;&lt;/dd&gt;&lt;/dl&gt;</v>
      </c>
    </row>
    <row r="49" spans="2:7" ht="16.5" thickBot="1" x14ac:dyDescent="0.25">
      <c r="E49" s="15"/>
      <c r="G49" t="str">
        <f t="shared" si="0"/>
        <v>&lt;dl&gt;&lt;dt&gt;&lt;/dt&gt;&lt;dd&gt;&lt;/dd&gt;&lt;dd&gt;&lt;/dd&gt;&lt;/dl&gt;</v>
      </c>
    </row>
    <row r="50" spans="2:7" ht="18" thickBot="1" x14ac:dyDescent="0.25">
      <c r="B50" s="5" t="s">
        <v>70</v>
      </c>
      <c r="E50" s="15"/>
      <c r="G50" t="str">
        <f t="shared" si="0"/>
        <v>&lt;dl&gt;&lt;dt&gt;四、主星组合象义&lt;/dt&gt;&lt;dd&gt;&lt;/dd&gt;&lt;dd&gt;&lt;/dd&gt;&lt;/dl&gt;</v>
      </c>
    </row>
    <row r="51" spans="2:7" ht="16.5" thickBot="1" x14ac:dyDescent="0.25">
      <c r="E51" s="15"/>
      <c r="G51" t="str">
        <f t="shared" si="0"/>
        <v>&lt;dl&gt;&lt;dt&gt;&lt;/dt&gt;&lt;dd&gt;&lt;/dd&gt;&lt;dd&gt;&lt;/dd&gt;&lt;/dl&gt;</v>
      </c>
    </row>
    <row r="52" spans="2:7" ht="15.75" x14ac:dyDescent="0.2">
      <c r="B52" s="13" t="s">
        <v>3892</v>
      </c>
    </row>
    <row r="53" spans="2:7" ht="16.5" thickBot="1" x14ac:dyDescent="0.25">
      <c r="B53" s="11"/>
    </row>
    <row r="54" spans="2:7" ht="16.5" thickBot="1" x14ac:dyDescent="0.25">
      <c r="B54" s="12" t="s">
        <v>19</v>
      </c>
      <c r="C54" s="12" t="s">
        <v>73</v>
      </c>
      <c r="D54" s="12" t="s">
        <v>108</v>
      </c>
    </row>
    <row r="55" spans="2:7" ht="32.25" thickBot="1" x14ac:dyDescent="0.25">
      <c r="B55" s="14" t="s">
        <v>3893</v>
      </c>
      <c r="C55" s="14" t="s">
        <v>3894</v>
      </c>
      <c r="D55" s="15" t="s">
        <v>3895</v>
      </c>
    </row>
    <row r="56" spans="2:7" ht="32.25" thickBot="1" x14ac:dyDescent="0.25">
      <c r="B56" s="14" t="s">
        <v>3896</v>
      </c>
      <c r="C56" s="14" t="s">
        <v>3897</v>
      </c>
      <c r="D56" s="15" t="s">
        <v>3898</v>
      </c>
    </row>
    <row r="57" spans="2:7" ht="48" thickBot="1" x14ac:dyDescent="0.25">
      <c r="B57" s="14" t="s">
        <v>3899</v>
      </c>
      <c r="C57" s="14" t="s">
        <v>3900</v>
      </c>
      <c r="D57" s="15" t="s">
        <v>3901</v>
      </c>
    </row>
    <row r="58" spans="2:7" ht="32.25" thickBot="1" x14ac:dyDescent="0.25">
      <c r="B58" s="14" t="s">
        <v>3902</v>
      </c>
      <c r="C58" s="14" t="s">
        <v>3903</v>
      </c>
      <c r="D58" s="15" t="s">
        <v>3904</v>
      </c>
    </row>
    <row r="59" spans="2:7" ht="48" thickBot="1" x14ac:dyDescent="0.25">
      <c r="B59" s="14" t="s">
        <v>3905</v>
      </c>
      <c r="C59" s="14" t="s">
        <v>3906</v>
      </c>
      <c r="D59" s="15" t="s">
        <v>3907</v>
      </c>
    </row>
    <row r="60" spans="2:7" ht="32.25" thickBot="1" x14ac:dyDescent="0.25">
      <c r="B60" s="14" t="s">
        <v>3908</v>
      </c>
      <c r="C60" s="14" t="s">
        <v>3909</v>
      </c>
      <c r="D60" s="15" t="s">
        <v>3910</v>
      </c>
    </row>
    <row r="61" spans="2:7" ht="32.25" thickBot="1" x14ac:dyDescent="0.25">
      <c r="B61" s="14" t="s">
        <v>3911</v>
      </c>
      <c r="C61" s="14" t="s">
        <v>3912</v>
      </c>
      <c r="D61" s="15" t="s">
        <v>3913</v>
      </c>
    </row>
    <row r="62" spans="2:7" ht="32.25" thickBot="1" x14ac:dyDescent="0.25">
      <c r="B62" s="14" t="s">
        <v>3914</v>
      </c>
      <c r="C62" s="14" t="s">
        <v>3915</v>
      </c>
      <c r="D62" s="15" t="s">
        <v>3916</v>
      </c>
    </row>
    <row r="63" spans="2:7" ht="32.25" thickBot="1" x14ac:dyDescent="0.25">
      <c r="B63" s="14" t="s">
        <v>3917</v>
      </c>
      <c r="C63" s="14" t="s">
        <v>3918</v>
      </c>
      <c r="D63" s="15" t="s">
        <v>3919</v>
      </c>
    </row>
    <row r="64" spans="2:7" ht="32.25" thickBot="1" x14ac:dyDescent="0.25">
      <c r="B64" s="14" t="s">
        <v>3920</v>
      </c>
      <c r="C64" s="14" t="s">
        <v>3921</v>
      </c>
      <c r="D64" s="15" t="s">
        <v>3922</v>
      </c>
    </row>
    <row r="65" spans="2:4" ht="32.25" thickBot="1" x14ac:dyDescent="0.25">
      <c r="B65" s="14" t="s">
        <v>3923</v>
      </c>
      <c r="C65" s="14" t="s">
        <v>3924</v>
      </c>
      <c r="D65" s="15" t="s">
        <v>3925</v>
      </c>
    </row>
    <row r="66" spans="2:4" ht="32.25" thickBot="1" x14ac:dyDescent="0.25">
      <c r="B66" s="14" t="s">
        <v>3926</v>
      </c>
      <c r="C66" s="14" t="s">
        <v>3927</v>
      </c>
      <c r="D66" s="15" t="s">
        <v>3928</v>
      </c>
    </row>
    <row r="67" spans="2:4" ht="32.25" thickBot="1" x14ac:dyDescent="0.25">
      <c r="B67" s="14" t="s">
        <v>3929</v>
      </c>
      <c r="C67" s="14" t="s">
        <v>3930</v>
      </c>
      <c r="D67" s="15" t="s">
        <v>3931</v>
      </c>
    </row>
    <row r="70" spans="2:4" ht="17.25" x14ac:dyDescent="0.2">
      <c r="B70" s="5" t="s">
        <v>71</v>
      </c>
    </row>
    <row r="71" spans="2:4" ht="16.5" thickBot="1" x14ac:dyDescent="0.25">
      <c r="B71" s="11"/>
    </row>
    <row r="72" spans="2:4" ht="16.5" thickBot="1" x14ac:dyDescent="0.25">
      <c r="B72" s="12" t="s">
        <v>14</v>
      </c>
      <c r="C72" s="12" t="s">
        <v>75</v>
      </c>
      <c r="D72" s="12" t="s">
        <v>7</v>
      </c>
    </row>
    <row r="73" spans="2:4" ht="32.25" thickBot="1" x14ac:dyDescent="0.25">
      <c r="B73" s="14" t="s">
        <v>3932</v>
      </c>
      <c r="C73" s="14" t="s">
        <v>3933</v>
      </c>
      <c r="D73" s="15"/>
    </row>
    <row r="74" spans="2:4" ht="32.25" thickBot="1" x14ac:dyDescent="0.25">
      <c r="B74" s="14" t="s">
        <v>3934</v>
      </c>
      <c r="C74" s="14" t="s">
        <v>3935</v>
      </c>
      <c r="D74" s="15"/>
    </row>
    <row r="75" spans="2:4" ht="32.25" thickBot="1" x14ac:dyDescent="0.25">
      <c r="B75" s="14" t="s">
        <v>3936</v>
      </c>
      <c r="C75" s="14" t="s">
        <v>3937</v>
      </c>
      <c r="D75" s="15"/>
    </row>
    <row r="76" spans="2:4" ht="32.25" thickBot="1" x14ac:dyDescent="0.25">
      <c r="B76" s="14" t="s">
        <v>3938</v>
      </c>
      <c r="C76" s="14" t="s">
        <v>3939</v>
      </c>
      <c r="D76" s="15"/>
    </row>
    <row r="77" spans="2:4" ht="32.25" thickBot="1" x14ac:dyDescent="0.25">
      <c r="B77" s="14" t="s">
        <v>3940</v>
      </c>
      <c r="C77" s="14" t="s">
        <v>3941</v>
      </c>
      <c r="D77" s="15"/>
    </row>
    <row r="78" spans="2:4" ht="32.25" thickBot="1" x14ac:dyDescent="0.25">
      <c r="B78" s="14" t="s">
        <v>3942</v>
      </c>
      <c r="C78" s="14" t="s">
        <v>3943</v>
      </c>
      <c r="D78" s="15"/>
    </row>
    <row r="79" spans="2:4" ht="32.25" thickBot="1" x14ac:dyDescent="0.25">
      <c r="B79" s="14" t="s">
        <v>3944</v>
      </c>
      <c r="C79" s="14" t="s">
        <v>3945</v>
      </c>
      <c r="D79" s="15"/>
    </row>
    <row r="80" spans="2:4" ht="32.25" thickBot="1" x14ac:dyDescent="0.25">
      <c r="B80" s="14" t="s">
        <v>3946</v>
      </c>
      <c r="C80" s="14" t="s">
        <v>3947</v>
      </c>
      <c r="D80" s="15"/>
    </row>
    <row r="81" spans="2:4" ht="32.25" thickBot="1" x14ac:dyDescent="0.25">
      <c r="B81" s="14" t="s">
        <v>3948</v>
      </c>
      <c r="C81" s="14" t="s">
        <v>3949</v>
      </c>
      <c r="D81" s="15"/>
    </row>
    <row r="82" spans="2:4" ht="32.25" thickBot="1" x14ac:dyDescent="0.25">
      <c r="B82" s="14" t="s">
        <v>3950</v>
      </c>
      <c r="C82" s="14" t="s">
        <v>3951</v>
      </c>
      <c r="D82" s="15"/>
    </row>
    <row r="83" spans="2:4" ht="32.25" thickBot="1" x14ac:dyDescent="0.25">
      <c r="B83" s="14" t="s">
        <v>3952</v>
      </c>
      <c r="C83" s="14" t="s">
        <v>3953</v>
      </c>
      <c r="D83" s="15"/>
    </row>
    <row r="84" spans="2:4" ht="32.25" thickBot="1" x14ac:dyDescent="0.25">
      <c r="B84" s="14" t="s">
        <v>3954</v>
      </c>
      <c r="C84" s="14" t="s">
        <v>3955</v>
      </c>
      <c r="D84" s="15"/>
    </row>
    <row r="85" spans="2:4" ht="32.25" thickBot="1" x14ac:dyDescent="0.25">
      <c r="B85" s="14" t="s">
        <v>3956</v>
      </c>
      <c r="C85" s="14" t="s">
        <v>3957</v>
      </c>
      <c r="D85" s="15"/>
    </row>
    <row r="86" spans="2:4" ht="32.25" thickBot="1" x14ac:dyDescent="0.25">
      <c r="B86" s="14" t="s">
        <v>3958</v>
      </c>
      <c r="C86" s="14" t="s">
        <v>3959</v>
      </c>
      <c r="D86" s="15"/>
    </row>
    <row r="87" spans="2:4" ht="48" thickBot="1" x14ac:dyDescent="0.25">
      <c r="B87" s="14" t="s">
        <v>3960</v>
      </c>
      <c r="C87" s="14" t="s">
        <v>3961</v>
      </c>
      <c r="D87" s="15"/>
    </row>
    <row r="90" spans="2:4" ht="17.25" x14ac:dyDescent="0.2">
      <c r="B90" s="5" t="s">
        <v>103</v>
      </c>
    </row>
    <row r="91" spans="2:4" x14ac:dyDescent="0.2">
      <c r="B91" s="6"/>
    </row>
    <row r="92" spans="2:4" x14ac:dyDescent="0.2">
      <c r="B92" s="7" t="s">
        <v>3962</v>
      </c>
    </row>
    <row r="93" spans="2:4" x14ac:dyDescent="0.2">
      <c r="B93" s="7" t="s">
        <v>3963</v>
      </c>
    </row>
    <row r="94" spans="2:4" x14ac:dyDescent="0.2">
      <c r="B94" s="7" t="s">
        <v>3964</v>
      </c>
    </row>
    <row r="95" spans="2:4" x14ac:dyDescent="0.2">
      <c r="B95" s="7" t="s">
        <v>3965</v>
      </c>
    </row>
    <row r="96" spans="2:4" x14ac:dyDescent="0.2">
      <c r="B96" s="7" t="s">
        <v>3966</v>
      </c>
    </row>
    <row r="97" spans="2:2" x14ac:dyDescent="0.2">
      <c r="B97" s="7" t="s">
        <v>3967</v>
      </c>
    </row>
    <row r="98" spans="2:2" x14ac:dyDescent="0.2">
      <c r="B98" s="7" t="s">
        <v>3968</v>
      </c>
    </row>
    <row r="99" spans="2:2" x14ac:dyDescent="0.2">
      <c r="B99" s="7" t="s">
        <v>3969</v>
      </c>
    </row>
    <row r="100" spans="2:2" x14ac:dyDescent="0.2">
      <c r="B100" s="6"/>
    </row>
    <row r="101" spans="2:2" x14ac:dyDescent="0.2">
      <c r="B101" s="6" t="s">
        <v>3970</v>
      </c>
    </row>
  </sheetData>
  <mergeCells count="4">
    <mergeCell ref="B8:B13"/>
    <mergeCell ref="D8:D13"/>
    <mergeCell ref="B28:B29"/>
    <mergeCell ref="D28:D29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B7D4-B62A-42A8-9883-707CC4B15152}">
  <dimension ref="B1:G97"/>
  <sheetViews>
    <sheetView topLeftCell="A28" zoomScaleNormal="100" workbookViewId="0">
      <selection activeCell="C12" sqref="C1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3747</v>
      </c>
      <c r="G1" t="str">
        <f>"&lt;dl&gt;&lt;dt&gt;" &amp; B1 &amp; "&lt;/dt&gt;&lt;dd&gt;" &amp; C1 &amp; "&lt;/dd&gt;&lt;dd&gt;" &amp; D1 &amp; "&lt;/dd&gt;&lt;/dl&gt;"</f>
        <v>&lt;dl&gt;&lt;dt&gt;根据《金刚佛光-紫占课程手册》，破军星的完整象义解析如下（严格遵循原始资料结构与表述，并应用您指正的逻辑，在“本质”部分系统化呈现“人/事/物”三个层次）：&lt;/dt&gt;&lt;dd&gt;&lt;/dd&gt;&lt;dd&gt;&lt;/dd&gt;&lt;/dl&gt;</v>
      </c>
    </row>
    <row r="4" spans="2:7" ht="17.25" x14ac:dyDescent="0.2">
      <c r="B4" s="5" t="s">
        <v>3748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16.5" thickBot="1" x14ac:dyDescent="0.25">
      <c r="B7" s="14" t="s">
        <v>2913</v>
      </c>
      <c r="C7" s="15" t="s">
        <v>3749</v>
      </c>
      <c r="D7" s="15"/>
    </row>
    <row r="8" spans="2:7" ht="94.5" x14ac:dyDescent="0.2">
      <c r="B8" s="24" t="s">
        <v>2914</v>
      </c>
      <c r="C8" s="19" t="s">
        <v>3750</v>
      </c>
      <c r="D8" s="27" t="s">
        <v>3756</v>
      </c>
    </row>
    <row r="9" spans="2:7" ht="78.75" x14ac:dyDescent="0.2">
      <c r="B9" s="25"/>
      <c r="C9" s="20" t="s">
        <v>3751</v>
      </c>
      <c r="D9" s="28"/>
    </row>
    <row r="10" spans="2:7" ht="47.25" x14ac:dyDescent="0.2">
      <c r="B10" s="25"/>
      <c r="C10" s="20" t="s">
        <v>3752</v>
      </c>
      <c r="D10" s="28"/>
    </row>
    <row r="11" spans="2:7" ht="31.5" x14ac:dyDescent="0.2">
      <c r="B11" s="25"/>
      <c r="C11" s="22" t="s">
        <v>3753</v>
      </c>
      <c r="D11" s="28"/>
    </row>
    <row r="12" spans="2:7" ht="47.25" x14ac:dyDescent="0.2">
      <c r="B12" s="25"/>
      <c r="C12" s="22" t="s">
        <v>3754</v>
      </c>
      <c r="D12" s="28"/>
    </row>
    <row r="13" spans="2:7" ht="32.25" thickBot="1" x14ac:dyDescent="0.25">
      <c r="B13" s="26"/>
      <c r="C13" s="23" t="s">
        <v>3755</v>
      </c>
      <c r="D13" s="29"/>
    </row>
    <row r="15" spans="2:7" x14ac:dyDescent="0.2">
      <c r="E15" s="2"/>
    </row>
    <row r="16" spans="2:7" ht="17.25" x14ac:dyDescent="0.2">
      <c r="B16" s="5" t="s">
        <v>100</v>
      </c>
      <c r="E16" s="4"/>
    </row>
    <row r="17" spans="2:7" x14ac:dyDescent="0.2">
      <c r="E17" s="4"/>
    </row>
    <row r="18" spans="2:7" ht="15.75" x14ac:dyDescent="0.2">
      <c r="B18" s="13" t="s">
        <v>101</v>
      </c>
      <c r="E18" s="4"/>
    </row>
    <row r="19" spans="2:7" ht="16.5" thickBot="1" x14ac:dyDescent="0.25">
      <c r="B19" s="11"/>
      <c r="E19" s="4"/>
    </row>
    <row r="20" spans="2:7" ht="16.5" thickBot="1" x14ac:dyDescent="0.25">
      <c r="B20" s="12" t="s">
        <v>62</v>
      </c>
      <c r="C20" s="12" t="s">
        <v>107</v>
      </c>
      <c r="D20" s="12" t="s">
        <v>108</v>
      </c>
      <c r="E20" s="4"/>
    </row>
    <row r="21" spans="2:7" ht="63.75" thickBot="1" x14ac:dyDescent="0.25">
      <c r="B21" s="14" t="s">
        <v>3757</v>
      </c>
      <c r="C21" s="15" t="s">
        <v>3758</v>
      </c>
      <c r="D21" s="15" t="s">
        <v>3759</v>
      </c>
    </row>
    <row r="22" spans="2:7" ht="48" thickBot="1" x14ac:dyDescent="0.25">
      <c r="B22" s="14" t="s">
        <v>3760</v>
      </c>
      <c r="C22" s="15" t="s">
        <v>3761</v>
      </c>
      <c r="D22" s="15" t="s">
        <v>3762</v>
      </c>
    </row>
    <row r="23" spans="2:7" ht="48" thickBot="1" x14ac:dyDescent="0.25">
      <c r="B23" s="14" t="s">
        <v>3763</v>
      </c>
      <c r="C23" s="15" t="s">
        <v>3764</v>
      </c>
      <c r="D23" s="15" t="s">
        <v>3765</v>
      </c>
    </row>
    <row r="24" spans="2:7" ht="32.25" thickBot="1" x14ac:dyDescent="0.25">
      <c r="B24" s="14" t="s">
        <v>3016</v>
      </c>
      <c r="C24" s="14" t="s">
        <v>3766</v>
      </c>
      <c r="D24" s="15" t="s">
        <v>2539</v>
      </c>
      <c r="G24" t="str">
        <f t="shared" ref="G24:G52" si="0">"&lt;dl&gt;&lt;dt&gt;" &amp; B24 &amp; "&lt;/dt&gt;&lt;dd&gt;" &amp; C24 &amp; "&lt;/dd&gt;&lt;dd&gt;" &amp; D24 &amp; "&lt;/dd&gt;&lt;/dl&gt;"</f>
        <v>&lt;dl&gt;&lt;dt&gt;外貌气质​&lt;/dt&gt;&lt;dd&gt;背厚眉宽，腰斜，声音尖锐，动作快速，坐立不稳。给人果敢、急躁、不修边幅的印象。&lt;/dd&gt;&lt;dd&gt;在命宫、身宫时显著。&lt;/dd&gt;&lt;/dl&gt;</v>
      </c>
    </row>
    <row r="25" spans="2:7" ht="31.5" x14ac:dyDescent="0.2">
      <c r="B25" s="24" t="s">
        <v>3017</v>
      </c>
      <c r="C25" s="19" t="s">
        <v>3767</v>
      </c>
      <c r="D25" s="27"/>
      <c r="E25" s="2"/>
    </row>
    <row r="26" spans="2:7" ht="32.25" thickBot="1" x14ac:dyDescent="0.25">
      <c r="B26" s="26"/>
      <c r="C26" s="21" t="s">
        <v>3768</v>
      </c>
      <c r="D26" s="29"/>
      <c r="E26" s="4"/>
    </row>
    <row r="27" spans="2:7" ht="48" thickBot="1" x14ac:dyDescent="0.25">
      <c r="B27" s="14" t="s">
        <v>3419</v>
      </c>
      <c r="C27" s="15" t="s">
        <v>3769</v>
      </c>
      <c r="D27" s="15" t="s">
        <v>3013</v>
      </c>
      <c r="E27" s="4"/>
    </row>
    <row r="28" spans="2:7" x14ac:dyDescent="0.2">
      <c r="E28" s="4"/>
    </row>
    <row r="29" spans="2:7" x14ac:dyDescent="0.2">
      <c r="G29" t="str">
        <f t="shared" si="0"/>
        <v>&lt;dl&gt;&lt;dt&gt;&lt;/dt&gt;&lt;dd&gt;&lt;/dd&gt;&lt;dd&gt;&lt;/dd&gt;&lt;/dl&gt;</v>
      </c>
    </row>
    <row r="30" spans="2:7" ht="17.25" x14ac:dyDescent="0.2">
      <c r="B30" s="5" t="s">
        <v>102</v>
      </c>
    </row>
    <row r="31" spans="2:7" ht="16.5" thickBot="1" x14ac:dyDescent="0.25">
      <c r="B31" s="11"/>
    </row>
    <row r="32" spans="2:7" ht="16.5" thickBot="1" x14ac:dyDescent="0.25">
      <c r="B32" s="12" t="s">
        <v>6</v>
      </c>
      <c r="C32" s="12" t="s">
        <v>107</v>
      </c>
      <c r="D32" s="12" t="s">
        <v>7</v>
      </c>
    </row>
    <row r="33" spans="2:7" ht="111" thickBot="1" x14ac:dyDescent="0.25">
      <c r="B33" s="14" t="s">
        <v>2930</v>
      </c>
      <c r="C33" s="15" t="s">
        <v>3770</v>
      </c>
      <c r="D33" s="15"/>
    </row>
    <row r="34" spans="2:7" ht="32.25" thickBot="1" x14ac:dyDescent="0.25">
      <c r="B34" s="14" t="s">
        <v>2932</v>
      </c>
      <c r="C34" s="15" t="s">
        <v>3771</v>
      </c>
      <c r="D34" s="15"/>
    </row>
    <row r="35" spans="2:7" ht="79.5" thickBot="1" x14ac:dyDescent="0.25">
      <c r="B35" s="14" t="s">
        <v>2934</v>
      </c>
      <c r="C35" s="14" t="s">
        <v>3772</v>
      </c>
      <c r="D35" s="15"/>
      <c r="E35" s="2"/>
      <c r="G35" t="str">
        <f t="shared" si="0"/>
        <v>&lt;dl&gt;&lt;dt&gt;夫妻宫​&lt;/dt&gt;&lt;dd&gt;❌ 非善地！​ 主夫妻关系极不稳定，易聚易散。配偶可能性格刚烈、好变动，或双方因人生追求不同而分离。宜晚婚，或配偶为军警、常出差者，可稍减其凶。女命破军坐夫妻，婚姻多波折。&lt;/dd&gt;&lt;dd&gt;&lt;/dd&gt;&lt;/dl&gt;</v>
      </c>
    </row>
    <row r="36" spans="2:7" ht="48" thickBot="1" x14ac:dyDescent="0.25">
      <c r="B36" s="14" t="s">
        <v>2936</v>
      </c>
      <c r="C36" s="15" t="s">
        <v>3773</v>
      </c>
      <c r="D36" s="15"/>
      <c r="E36" s="4"/>
      <c r="G36" t="str">
        <f t="shared" si="0"/>
        <v>&lt;dl&gt;&lt;dt&gt;子女宫​&lt;/dt&gt;&lt;dd&gt;子女个性强，好动，叛逆，不易管教。子嗣缘薄，煞忌重则需防流产、子女远离或健康问题。&lt;/dd&gt;&lt;dd&gt;&lt;/dd&gt;&lt;/dl&gt;</v>
      </c>
    </row>
    <row r="37" spans="2:7" ht="63.75" thickBot="1" x14ac:dyDescent="0.25">
      <c r="B37" s="14" t="s">
        <v>9</v>
      </c>
      <c r="C37" s="15" t="s">
        <v>3774</v>
      </c>
      <c r="D37" s="15"/>
      <c r="E37" s="4"/>
      <c r="G37" t="str">
        <f t="shared" si="0"/>
        <v>&lt;dl&gt;&lt;dt&gt;财帛宫​&lt;/dt&gt;&lt;dd&gt;求财方式冒险、波动大，钱财来去匆匆，难有积蓄。宜从事投机、贸易、技术革新等行业，但需见好就收。见禄存、化禄，可暴发；见煞忌，则暴败。&lt;/dd&gt;&lt;dd&gt;&lt;/dd&gt;&lt;/dl&gt;</v>
      </c>
    </row>
    <row r="38" spans="2:7" ht="48" thickBot="1" x14ac:dyDescent="0.25">
      <c r="B38" s="14" t="s">
        <v>10</v>
      </c>
      <c r="C38" s="15" t="s">
        <v>3775</v>
      </c>
      <c r="D38" s="15"/>
      <c r="E38" s="4"/>
      <c r="G38" t="str">
        <f t="shared" si="0"/>
        <v>&lt;dl&gt;&lt;dt&gt;疾厄宫​&lt;/dt&gt;&lt;dd&gt;主肾脏、泌尿系统、生殖系统疾病。也主消耗性疾病、虚损、骨折、手术。煞忌重则需防意外伤害。&lt;/dd&gt;&lt;dd&gt;&lt;/dd&gt;&lt;/dl&gt;</v>
      </c>
    </row>
    <row r="39" spans="2:7" ht="48" thickBot="1" x14ac:dyDescent="0.25">
      <c r="B39" s="14" t="s">
        <v>13</v>
      </c>
      <c r="C39" s="15" t="s">
        <v>3776</v>
      </c>
      <c r="D39" s="15"/>
      <c r="G39" t="str">
        <f t="shared" si="0"/>
        <v>&lt;dl&gt;&lt;dt&gt;迁移宫​&lt;/dt&gt;&lt;dd&gt;在外发展多变动、多机遇、多冒险。适合外出发展，在变动中求财求名。外出易遇突发状况，需灵活应对。&lt;/dd&gt;&lt;dd&gt;&lt;/dd&gt;&lt;/dl&gt;</v>
      </c>
    </row>
    <row r="40" spans="2:7" ht="32.25" thickBot="1" x14ac:dyDescent="0.25">
      <c r="B40" s="14" t="s">
        <v>3018</v>
      </c>
      <c r="C40" s="15" t="s">
        <v>3777</v>
      </c>
      <c r="D40" s="15"/>
      <c r="G40" t="str">
        <f t="shared" si="0"/>
        <v>&lt;dl&gt;&lt;dt&gt;交友宫（奴仆宫）​&lt;/dt&gt;&lt;dd&gt;朋友、部属变动大，关系难以持久。结交的朋友多具冒险精神，但也易因利益而散。&lt;/dd&gt;&lt;dd&gt;&lt;/dd&gt;&lt;/dl&gt;</v>
      </c>
    </row>
    <row r="41" spans="2:7" ht="63.75" thickBot="1" x14ac:dyDescent="0.25">
      <c r="B41" s="14" t="s">
        <v>3019</v>
      </c>
      <c r="C41" s="15" t="s">
        <v>3778</v>
      </c>
      <c r="D41" s="15"/>
      <c r="G41" t="str">
        <f t="shared" si="0"/>
        <v>&lt;dl&gt;&lt;dt&gt;官禄宫（事业宫）​&lt;/dt&gt;&lt;dd&gt;适合从事需要不断改革、创新、冒险的行业，如军警、工程、技术研发、贸易、探险、新兴行业。事业上变动频繁，不喜一成不变，常有转行、创业之举。&lt;/dd&gt;&lt;dd&gt;&lt;/dd&gt;&lt;/dl&gt;</v>
      </c>
    </row>
    <row r="42" spans="2:7" ht="48" thickBot="1" x14ac:dyDescent="0.25">
      <c r="B42" s="14" t="s">
        <v>8</v>
      </c>
      <c r="C42" s="14" t="s">
        <v>3779</v>
      </c>
      <c r="D42" s="15"/>
      <c r="G42" t="str">
        <f t="shared" si="0"/>
        <v>&lt;dl&gt;&lt;dt&gt;田宅宫​&lt;/dt&gt;&lt;dd&gt;难守祖业，家宅多变（如频繁搬家、装修、拆迁）。对房产有先破后成之象，即可能先卖旧房再购新房。&lt;/dd&gt;&lt;dd&gt;&lt;/dd&gt;&lt;/dl&gt;</v>
      </c>
    </row>
    <row r="43" spans="2:7" ht="48" thickBot="1" x14ac:dyDescent="0.25">
      <c r="B43" s="14" t="s">
        <v>2945</v>
      </c>
      <c r="C43" s="15" t="s">
        <v>3780</v>
      </c>
      <c r="D43" s="15"/>
      <c r="G43" t="str">
        <f t="shared" si="0"/>
        <v>&lt;dl&gt;&lt;dt&gt;福德宫​&lt;/dt&gt;&lt;dd&gt;精神世界喜新厌旧，追求刺激，内心不安定。一生劳心劳力，难得清闲。煞忌重则内心空虚，喜寻求极端刺激。&lt;/dd&gt;&lt;dd&gt;&lt;/dd&gt;&lt;/dl&gt;</v>
      </c>
    </row>
    <row r="44" spans="2:7" ht="32.25" thickBot="1" x14ac:dyDescent="0.25">
      <c r="B44" s="14" t="s">
        <v>11</v>
      </c>
      <c r="C44" s="15" t="s">
        <v>3781</v>
      </c>
      <c r="D44" s="15"/>
    </row>
    <row r="47" spans="2:7" ht="17.25" x14ac:dyDescent="0.2">
      <c r="B47" s="5" t="s">
        <v>70</v>
      </c>
    </row>
    <row r="49" spans="2:7" ht="15.75" x14ac:dyDescent="0.2">
      <c r="B49" s="13" t="s">
        <v>3782</v>
      </c>
      <c r="G49" t="str">
        <f t="shared" si="0"/>
        <v>&lt;dl&gt;&lt;dt&gt;1. 增强破耗/变动/开创组合&lt;/dt&gt;&lt;dd&gt;&lt;/dd&gt;&lt;dd&gt;&lt;/dd&gt;&lt;/dl&gt;</v>
      </c>
    </row>
    <row r="50" spans="2:7" ht="16.5" thickBot="1" x14ac:dyDescent="0.25">
      <c r="B50" s="11"/>
      <c r="G50" t="str">
        <f t="shared" si="0"/>
        <v>&lt;dl&gt;&lt;dt&gt;&lt;/dt&gt;&lt;dd&gt;&lt;/dd&gt;&lt;dd&gt;&lt;/dd&gt;&lt;/dl&gt;</v>
      </c>
    </row>
    <row r="51" spans="2:7" ht="16.5" thickBot="1" x14ac:dyDescent="0.25">
      <c r="B51" s="12" t="s">
        <v>19</v>
      </c>
      <c r="C51" s="12" t="s">
        <v>73</v>
      </c>
      <c r="D51" s="12" t="s">
        <v>108</v>
      </c>
      <c r="G51" t="str">
        <f t="shared" si="0"/>
        <v>&lt;dl&gt;&lt;dt&gt;组合​&lt;/dt&gt;&lt;dd&gt;效应​&lt;/dd&gt;&lt;dd&gt;典型案例/说明​&lt;/dd&gt;&lt;/dl&gt;</v>
      </c>
    </row>
    <row r="52" spans="2:7" ht="48" thickBot="1" x14ac:dyDescent="0.25">
      <c r="B52" s="14" t="s">
        <v>3783</v>
      </c>
      <c r="C52" s="14" t="s">
        <v>3784</v>
      </c>
      <c r="D52" s="15" t="s">
        <v>3785</v>
      </c>
      <c r="G52" t="str">
        <f t="shared" si="0"/>
        <v>&lt;dl&gt;&lt;dt&gt;破军+紫微​&lt;/dt&gt;&lt;dd&gt;帝星遇耗，权威与破旧立新结合，有魄力进行大规模改革，适合大型企业重组、政府改革。但变动剧烈，成败难料。&lt;/dd&gt;&lt;dd&gt;改革家；企业重组专家。&lt;/dd&gt;&lt;/dl&gt;</v>
      </c>
    </row>
    <row r="53" spans="2:7" ht="32.25" thickBot="1" x14ac:dyDescent="0.25">
      <c r="B53" s="14" t="s">
        <v>3786</v>
      </c>
      <c r="C53" s="14" t="s">
        <v>3787</v>
      </c>
      <c r="D53" s="15" t="s">
        <v>3788</v>
      </c>
    </row>
    <row r="54" spans="2:7" ht="32.25" thickBot="1" x14ac:dyDescent="0.25">
      <c r="B54" s="14" t="s">
        <v>3789</v>
      </c>
      <c r="C54" s="14" t="s">
        <v>3790</v>
      </c>
      <c r="D54" s="15" t="s">
        <v>3791</v>
      </c>
    </row>
    <row r="55" spans="2:7" ht="48" thickBot="1" x14ac:dyDescent="0.25">
      <c r="B55" s="14" t="s">
        <v>3792</v>
      </c>
      <c r="C55" s="14" t="s">
        <v>3793</v>
      </c>
      <c r="D55" s="15" t="s">
        <v>3794</v>
      </c>
    </row>
    <row r="56" spans="2:7" ht="32.25" thickBot="1" x14ac:dyDescent="0.25">
      <c r="B56" s="14" t="s">
        <v>3795</v>
      </c>
      <c r="C56" s="14" t="s">
        <v>3796</v>
      </c>
      <c r="D56" s="15" t="s">
        <v>3797</v>
      </c>
    </row>
    <row r="57" spans="2:7" ht="48" thickBot="1" x14ac:dyDescent="0.25">
      <c r="B57" s="14" t="s">
        <v>3798</v>
      </c>
      <c r="C57" s="14" t="s">
        <v>3799</v>
      </c>
      <c r="D57" s="15" t="s">
        <v>3800</v>
      </c>
    </row>
    <row r="58" spans="2:7" ht="48" thickBot="1" x14ac:dyDescent="0.25">
      <c r="B58" s="14" t="s">
        <v>3801</v>
      </c>
      <c r="C58" s="14" t="s">
        <v>3802</v>
      </c>
      <c r="D58" s="15" t="s">
        <v>3803</v>
      </c>
    </row>
    <row r="59" spans="2:7" ht="32.25" thickBot="1" x14ac:dyDescent="0.25">
      <c r="B59" s="14" t="s">
        <v>3804</v>
      </c>
      <c r="C59" s="14" t="s">
        <v>3805</v>
      </c>
      <c r="D59" s="15" t="s">
        <v>3806</v>
      </c>
    </row>
    <row r="60" spans="2:7" ht="48" thickBot="1" x14ac:dyDescent="0.25">
      <c r="B60" s="14" t="s">
        <v>3807</v>
      </c>
      <c r="C60" s="14" t="s">
        <v>3808</v>
      </c>
      <c r="D60" s="15" t="s">
        <v>3809</v>
      </c>
    </row>
    <row r="61" spans="2:7" ht="32.25" thickBot="1" x14ac:dyDescent="0.25">
      <c r="B61" s="14" t="s">
        <v>3810</v>
      </c>
      <c r="C61" s="14" t="s">
        <v>3811</v>
      </c>
      <c r="D61" s="15" t="s">
        <v>3812</v>
      </c>
    </row>
    <row r="62" spans="2:7" ht="48" thickBot="1" x14ac:dyDescent="0.25">
      <c r="B62" s="14" t="s">
        <v>3813</v>
      </c>
      <c r="C62" s="14" t="s">
        <v>3814</v>
      </c>
      <c r="D62" s="15" t="s">
        <v>3815</v>
      </c>
    </row>
    <row r="63" spans="2:7" ht="32.25" thickBot="1" x14ac:dyDescent="0.25">
      <c r="B63" s="14" t="s">
        <v>3816</v>
      </c>
      <c r="C63" s="14" t="s">
        <v>3817</v>
      </c>
      <c r="D63" s="15" t="s">
        <v>3818</v>
      </c>
    </row>
    <row r="64" spans="2:7" ht="48" thickBot="1" x14ac:dyDescent="0.25">
      <c r="B64" s="14" t="s">
        <v>3819</v>
      </c>
      <c r="C64" s="14" t="s">
        <v>3820</v>
      </c>
      <c r="D64" s="15" t="s">
        <v>3700</v>
      </c>
    </row>
    <row r="65" spans="2:4" ht="48" thickBot="1" x14ac:dyDescent="0.25">
      <c r="B65" s="14" t="s">
        <v>3821</v>
      </c>
      <c r="C65" s="15" t="s">
        <v>3822</v>
      </c>
      <c r="D65" s="15" t="s">
        <v>3823</v>
      </c>
    </row>
    <row r="68" spans="2:4" ht="17.25" x14ac:dyDescent="0.2">
      <c r="B68" s="5" t="s">
        <v>71</v>
      </c>
    </row>
    <row r="69" spans="2:4" ht="16.5" thickBot="1" x14ac:dyDescent="0.25">
      <c r="B69" s="11"/>
    </row>
    <row r="70" spans="2:4" ht="16.5" thickBot="1" x14ac:dyDescent="0.25">
      <c r="B70" s="12" t="s">
        <v>14</v>
      </c>
      <c r="C70" s="12" t="s">
        <v>75</v>
      </c>
      <c r="D70" s="12" t="s">
        <v>7</v>
      </c>
    </row>
    <row r="71" spans="2:4" ht="32.25" thickBot="1" x14ac:dyDescent="0.25">
      <c r="B71" s="14" t="s">
        <v>3824</v>
      </c>
      <c r="C71" s="14" t="s">
        <v>3825</v>
      </c>
      <c r="D71" s="15"/>
    </row>
    <row r="72" spans="2:4" ht="32.25" thickBot="1" x14ac:dyDescent="0.25">
      <c r="B72" s="14" t="s">
        <v>3826</v>
      </c>
      <c r="C72" s="14" t="s">
        <v>3827</v>
      </c>
      <c r="D72" s="15"/>
    </row>
    <row r="73" spans="2:4" ht="32.25" thickBot="1" x14ac:dyDescent="0.25">
      <c r="B73" s="14" t="s">
        <v>3828</v>
      </c>
      <c r="C73" s="14" t="s">
        <v>3829</v>
      </c>
      <c r="D73" s="15"/>
    </row>
    <row r="74" spans="2:4" ht="32.25" thickBot="1" x14ac:dyDescent="0.25">
      <c r="B74" s="14" t="s">
        <v>3830</v>
      </c>
      <c r="C74" s="14" t="s">
        <v>3831</v>
      </c>
      <c r="D74" s="15"/>
    </row>
    <row r="75" spans="2:4" ht="48" thickBot="1" x14ac:dyDescent="0.25">
      <c r="B75" s="14" t="s">
        <v>3832</v>
      </c>
      <c r="C75" s="14" t="s">
        <v>3833</v>
      </c>
      <c r="D75" s="15"/>
    </row>
    <row r="76" spans="2:4" ht="32.25" thickBot="1" x14ac:dyDescent="0.25">
      <c r="B76" s="14" t="s">
        <v>3834</v>
      </c>
      <c r="C76" s="14" t="s">
        <v>3835</v>
      </c>
      <c r="D76" s="15"/>
    </row>
    <row r="77" spans="2:4" ht="32.25" thickBot="1" x14ac:dyDescent="0.25">
      <c r="B77" s="14" t="s">
        <v>3836</v>
      </c>
      <c r="C77" s="14" t="s">
        <v>3837</v>
      </c>
      <c r="D77" s="15"/>
    </row>
    <row r="78" spans="2:4" ht="32.25" thickBot="1" x14ac:dyDescent="0.25">
      <c r="B78" s="14" t="s">
        <v>3838</v>
      </c>
      <c r="C78" s="14" t="s">
        <v>3839</v>
      </c>
      <c r="D78" s="15"/>
    </row>
    <row r="79" spans="2:4" ht="32.25" thickBot="1" x14ac:dyDescent="0.25">
      <c r="B79" s="14" t="s">
        <v>3840</v>
      </c>
      <c r="C79" s="14" t="s">
        <v>3841</v>
      </c>
      <c r="D79" s="15"/>
    </row>
    <row r="80" spans="2:4" ht="32.25" thickBot="1" x14ac:dyDescent="0.25">
      <c r="B80" s="14" t="s">
        <v>3842</v>
      </c>
      <c r="C80" s="14" t="s">
        <v>3843</v>
      </c>
      <c r="D80" s="15"/>
    </row>
    <row r="81" spans="2:4" ht="32.25" thickBot="1" x14ac:dyDescent="0.25">
      <c r="B81" s="14" t="s">
        <v>3844</v>
      </c>
      <c r="C81" s="14" t="s">
        <v>3845</v>
      </c>
      <c r="D81" s="15"/>
    </row>
    <row r="82" spans="2:4" ht="32.25" thickBot="1" x14ac:dyDescent="0.25">
      <c r="B82" s="14" t="s">
        <v>3846</v>
      </c>
      <c r="C82" s="14" t="s">
        <v>3847</v>
      </c>
      <c r="D82" s="15"/>
    </row>
    <row r="83" spans="2:4" ht="32.25" thickBot="1" x14ac:dyDescent="0.25">
      <c r="B83" s="14" t="s">
        <v>3848</v>
      </c>
      <c r="C83" s="14" t="s">
        <v>3849</v>
      </c>
      <c r="D83" s="15"/>
    </row>
    <row r="86" spans="2:4" ht="17.25" x14ac:dyDescent="0.2">
      <c r="B86" s="5" t="s">
        <v>103</v>
      </c>
    </row>
    <row r="87" spans="2:4" x14ac:dyDescent="0.2">
      <c r="B87" s="6"/>
    </row>
    <row r="88" spans="2:4" x14ac:dyDescent="0.2">
      <c r="B88" s="7" t="s">
        <v>3850</v>
      </c>
    </row>
    <row r="89" spans="2:4" x14ac:dyDescent="0.2">
      <c r="B89" s="7" t="s">
        <v>3851</v>
      </c>
    </row>
    <row r="90" spans="2:4" x14ac:dyDescent="0.2">
      <c r="B90" s="7" t="s">
        <v>3852</v>
      </c>
    </row>
    <row r="91" spans="2:4" x14ac:dyDescent="0.2">
      <c r="B91" s="7" t="s">
        <v>3853</v>
      </c>
    </row>
    <row r="92" spans="2:4" x14ac:dyDescent="0.2">
      <c r="B92" s="7" t="s">
        <v>3854</v>
      </c>
    </row>
    <row r="93" spans="2:4" x14ac:dyDescent="0.2">
      <c r="B93" s="7" t="s">
        <v>3855</v>
      </c>
    </row>
    <row r="94" spans="2:4" x14ac:dyDescent="0.2">
      <c r="B94" s="7" t="s">
        <v>3856</v>
      </c>
    </row>
    <row r="95" spans="2:4" x14ac:dyDescent="0.2">
      <c r="B95" s="7" t="s">
        <v>3857</v>
      </c>
    </row>
    <row r="96" spans="2:4" x14ac:dyDescent="0.2">
      <c r="B96" s="6"/>
    </row>
    <row r="97" spans="2:2" x14ac:dyDescent="0.2">
      <c r="B97" s="6" t="s">
        <v>3858</v>
      </c>
    </row>
  </sheetData>
  <mergeCells count="4">
    <mergeCell ref="B8:B13"/>
    <mergeCell ref="D8:D13"/>
    <mergeCell ref="B25:B26"/>
    <mergeCell ref="D25:D26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3B96-17E7-43F1-90D4-3BB89431AFDC}">
  <dimension ref="B1:E100"/>
  <sheetViews>
    <sheetView topLeftCell="A8" zoomScaleNormal="100" workbookViewId="0">
      <selection activeCell="D14" sqref="D14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4" x14ac:dyDescent="0.2">
      <c r="B1" t="s">
        <v>3629</v>
      </c>
    </row>
    <row r="4" spans="2:4" ht="17.25" x14ac:dyDescent="0.2">
      <c r="B4" s="5" t="s">
        <v>3630</v>
      </c>
    </row>
    <row r="5" spans="2:4" ht="16.5" thickBot="1" x14ac:dyDescent="0.25">
      <c r="B5" s="11"/>
    </row>
    <row r="6" spans="2:4" ht="16.5" thickBot="1" x14ac:dyDescent="0.25">
      <c r="B6" s="12" t="s">
        <v>59</v>
      </c>
      <c r="C6" s="12" t="s">
        <v>60</v>
      </c>
      <c r="D6" s="12" t="s">
        <v>7</v>
      </c>
    </row>
    <row r="7" spans="2:4" ht="16.5" thickBot="1" x14ac:dyDescent="0.25">
      <c r="B7" s="14" t="s">
        <v>2913</v>
      </c>
      <c r="C7" s="15" t="s">
        <v>3631</v>
      </c>
      <c r="D7" s="15"/>
    </row>
    <row r="8" spans="2:4" ht="71.25" x14ac:dyDescent="0.2">
      <c r="B8" s="34" t="s">
        <v>2914</v>
      </c>
      <c r="C8" s="3" t="s">
        <v>3738</v>
      </c>
      <c r="D8" s="27" t="s">
        <v>3632</v>
      </c>
    </row>
    <row r="9" spans="2:4" ht="71.25" x14ac:dyDescent="0.2">
      <c r="B9" s="35"/>
      <c r="C9" s="3" t="s">
        <v>3739</v>
      </c>
      <c r="D9" s="28"/>
    </row>
    <row r="10" spans="2:4" ht="29.25" thickBot="1" x14ac:dyDescent="0.25">
      <c r="B10" s="35"/>
      <c r="C10" s="3" t="s">
        <v>3740</v>
      </c>
      <c r="D10" s="29"/>
    </row>
    <row r="11" spans="2:4" ht="42.75" x14ac:dyDescent="0.2">
      <c r="B11" s="35"/>
      <c r="C11" s="4" t="s">
        <v>3741</v>
      </c>
      <c r="D11" s="3" t="s">
        <v>3746</v>
      </c>
    </row>
    <row r="12" spans="2:4" ht="42.75" x14ac:dyDescent="0.2">
      <c r="B12" s="35"/>
      <c r="C12" s="4" t="s">
        <v>3742</v>
      </c>
      <c r="D12" s="3" t="s">
        <v>3744</v>
      </c>
    </row>
    <row r="13" spans="2:4" ht="72" thickBot="1" x14ac:dyDescent="0.25">
      <c r="B13" s="36"/>
      <c r="C13" s="4" t="s">
        <v>3743</v>
      </c>
      <c r="D13" s="37" t="s">
        <v>3745</v>
      </c>
    </row>
    <row r="14" spans="2:4" ht="111" thickBot="1" x14ac:dyDescent="0.25">
      <c r="B14" s="14" t="s">
        <v>2918</v>
      </c>
      <c r="C14" s="15" t="s">
        <v>3633</v>
      </c>
      <c r="D14" s="15"/>
    </row>
    <row r="17" spans="2:5" ht="17.25" x14ac:dyDescent="0.2">
      <c r="B17" s="5" t="s">
        <v>100</v>
      </c>
      <c r="E17" s="2"/>
    </row>
    <row r="18" spans="2:5" x14ac:dyDescent="0.2">
      <c r="E18" s="4"/>
    </row>
    <row r="19" spans="2:5" ht="15.75" x14ac:dyDescent="0.2">
      <c r="B19" s="13" t="s">
        <v>101</v>
      </c>
      <c r="E19" s="4"/>
    </row>
    <row r="20" spans="2:5" ht="16.5" thickBot="1" x14ac:dyDescent="0.25">
      <c r="B20" s="11"/>
      <c r="E20" s="4"/>
    </row>
    <row r="21" spans="2:5" ht="16.5" thickBot="1" x14ac:dyDescent="0.25">
      <c r="B21" s="12" t="s">
        <v>62</v>
      </c>
      <c r="C21" s="12" t="s">
        <v>107</v>
      </c>
      <c r="D21" s="12" t="s">
        <v>108</v>
      </c>
    </row>
    <row r="22" spans="2:5" ht="48" thickBot="1" x14ac:dyDescent="0.25">
      <c r="B22" s="14" t="s">
        <v>3634</v>
      </c>
      <c r="C22" s="15" t="s">
        <v>3635</v>
      </c>
      <c r="D22" s="15" t="s">
        <v>3636</v>
      </c>
    </row>
    <row r="23" spans="2:5" ht="48" thickBot="1" x14ac:dyDescent="0.25">
      <c r="B23" s="14" t="s">
        <v>3637</v>
      </c>
      <c r="C23" s="15" t="s">
        <v>3638</v>
      </c>
      <c r="D23" s="15" t="s">
        <v>3639</v>
      </c>
    </row>
    <row r="24" spans="2:5" ht="48" thickBot="1" x14ac:dyDescent="0.25">
      <c r="B24" s="14" t="s">
        <v>3640</v>
      </c>
      <c r="C24" s="15" t="s">
        <v>3641</v>
      </c>
      <c r="D24" s="15" t="s">
        <v>3642</v>
      </c>
    </row>
    <row r="25" spans="2:5" ht="48" thickBot="1" x14ac:dyDescent="0.25">
      <c r="B25" s="14" t="s">
        <v>3643</v>
      </c>
      <c r="C25" s="14" t="s">
        <v>3644</v>
      </c>
      <c r="D25" s="15" t="s">
        <v>3645</v>
      </c>
    </row>
    <row r="26" spans="2:5" ht="48" thickBot="1" x14ac:dyDescent="0.25">
      <c r="B26" s="14" t="s">
        <v>3016</v>
      </c>
      <c r="C26" s="14" t="s">
        <v>3646</v>
      </c>
      <c r="D26" s="15" t="s">
        <v>2539</v>
      </c>
    </row>
    <row r="27" spans="2:5" ht="31.5" x14ac:dyDescent="0.2">
      <c r="B27" s="24" t="s">
        <v>3017</v>
      </c>
      <c r="C27" s="19" t="s">
        <v>3647</v>
      </c>
      <c r="D27" s="27"/>
    </row>
    <row r="28" spans="2:5" ht="32.25" thickBot="1" x14ac:dyDescent="0.25">
      <c r="B28" s="26"/>
      <c r="C28" s="21" t="s">
        <v>3648</v>
      </c>
      <c r="D28" s="29"/>
    </row>
    <row r="29" spans="2:5" ht="48" thickBot="1" x14ac:dyDescent="0.25">
      <c r="B29" s="14" t="s">
        <v>3419</v>
      </c>
      <c r="C29" s="15" t="s">
        <v>3649</v>
      </c>
      <c r="D29" s="15" t="s">
        <v>3013</v>
      </c>
    </row>
    <row r="32" spans="2:5" ht="17.25" x14ac:dyDescent="0.2">
      <c r="B32" s="5" t="s">
        <v>102</v>
      </c>
    </row>
    <row r="33" spans="2:5" ht="16.5" thickBot="1" x14ac:dyDescent="0.25">
      <c r="B33" s="11"/>
    </row>
    <row r="34" spans="2:5" ht="16.5" thickBot="1" x14ac:dyDescent="0.25">
      <c r="B34" s="12" t="s">
        <v>6</v>
      </c>
      <c r="C34" s="12" t="s">
        <v>107</v>
      </c>
      <c r="D34" s="12" t="s">
        <v>7</v>
      </c>
    </row>
    <row r="35" spans="2:5" ht="111" thickBot="1" x14ac:dyDescent="0.25">
      <c r="B35" s="14" t="s">
        <v>2930</v>
      </c>
      <c r="C35" s="15" t="s">
        <v>3650</v>
      </c>
      <c r="D35" s="15"/>
      <c r="E35" s="2"/>
    </row>
    <row r="36" spans="2:5" ht="32.25" thickBot="1" x14ac:dyDescent="0.25">
      <c r="B36" s="14" t="s">
        <v>2932</v>
      </c>
      <c r="C36" s="15" t="s">
        <v>3651</v>
      </c>
      <c r="D36" s="15"/>
      <c r="E36" s="4"/>
    </row>
    <row r="37" spans="2:5" ht="79.5" thickBot="1" x14ac:dyDescent="0.25">
      <c r="B37" s="14" t="s">
        <v>2934</v>
      </c>
      <c r="C37" s="14" t="s">
        <v>3652</v>
      </c>
      <c r="D37" s="15"/>
      <c r="E37" s="4"/>
    </row>
    <row r="38" spans="2:5" ht="48" thickBot="1" x14ac:dyDescent="0.25">
      <c r="B38" s="14" t="s">
        <v>2936</v>
      </c>
      <c r="C38" s="15" t="s">
        <v>3653</v>
      </c>
      <c r="D38" s="15"/>
      <c r="E38" s="4"/>
    </row>
    <row r="39" spans="2:5" ht="63.75" thickBot="1" x14ac:dyDescent="0.25">
      <c r="B39" s="14" t="s">
        <v>9</v>
      </c>
      <c r="C39" s="15" t="s">
        <v>3654</v>
      </c>
      <c r="D39" s="15"/>
      <c r="E39" s="4"/>
    </row>
    <row r="40" spans="2:5" ht="32.25" thickBot="1" x14ac:dyDescent="0.25">
      <c r="B40" s="14" t="s">
        <v>10</v>
      </c>
      <c r="C40" s="15" t="s">
        <v>3655</v>
      </c>
      <c r="D40" s="15"/>
      <c r="E40" s="4"/>
    </row>
    <row r="41" spans="2:5" ht="48" thickBot="1" x14ac:dyDescent="0.25">
      <c r="B41" s="14" t="s">
        <v>13</v>
      </c>
      <c r="C41" s="15" t="s">
        <v>3656</v>
      </c>
      <c r="D41" s="15"/>
      <c r="E41" s="4"/>
    </row>
    <row r="42" spans="2:5" ht="48" thickBot="1" x14ac:dyDescent="0.25">
      <c r="B42" s="14" t="s">
        <v>3018</v>
      </c>
      <c r="C42" s="15" t="s">
        <v>3657</v>
      </c>
      <c r="D42" s="15"/>
    </row>
    <row r="43" spans="2:5" ht="63.75" thickBot="1" x14ac:dyDescent="0.25">
      <c r="B43" s="14" t="s">
        <v>3019</v>
      </c>
      <c r="C43" s="15" t="s">
        <v>3658</v>
      </c>
      <c r="D43" s="15"/>
    </row>
    <row r="44" spans="2:5" ht="48" thickBot="1" x14ac:dyDescent="0.25">
      <c r="B44" s="14" t="s">
        <v>8</v>
      </c>
      <c r="C44" s="14" t="s">
        <v>3659</v>
      </c>
      <c r="D44" s="15"/>
    </row>
    <row r="45" spans="2:5" ht="48" thickBot="1" x14ac:dyDescent="0.25">
      <c r="B45" s="14" t="s">
        <v>2945</v>
      </c>
      <c r="C45" s="15" t="s">
        <v>3660</v>
      </c>
      <c r="D45" s="15"/>
      <c r="E45" s="2"/>
    </row>
    <row r="46" spans="2:5" ht="32.25" thickBot="1" x14ac:dyDescent="0.25">
      <c r="B46" s="14" t="s">
        <v>11</v>
      </c>
      <c r="C46" s="15" t="s">
        <v>3661</v>
      </c>
      <c r="D46" s="15"/>
      <c r="E46" s="4"/>
    </row>
    <row r="47" spans="2:5" x14ac:dyDescent="0.2">
      <c r="E47" s="4"/>
    </row>
    <row r="48" spans="2:5" x14ac:dyDescent="0.2">
      <c r="E48" s="4"/>
    </row>
    <row r="49" spans="2:5" ht="17.25" x14ac:dyDescent="0.2">
      <c r="B49" s="5" t="s">
        <v>70</v>
      </c>
      <c r="E49" s="4"/>
    </row>
    <row r="51" spans="2:5" ht="15.75" x14ac:dyDescent="0.2">
      <c r="B51" s="13" t="s">
        <v>3662</v>
      </c>
    </row>
    <row r="52" spans="2:5" ht="16.5" thickBot="1" x14ac:dyDescent="0.25">
      <c r="B52" s="11"/>
    </row>
    <row r="53" spans="2:5" ht="16.5" thickBot="1" x14ac:dyDescent="0.25">
      <c r="B53" s="12" t="s">
        <v>19</v>
      </c>
      <c r="C53" s="12" t="s">
        <v>73</v>
      </c>
      <c r="D53" s="12" t="s">
        <v>108</v>
      </c>
    </row>
    <row r="54" spans="2:5" ht="63.75" thickBot="1" x14ac:dyDescent="0.25">
      <c r="B54" s="14" t="s">
        <v>3663</v>
      </c>
      <c r="C54" s="14" t="s">
        <v>3664</v>
      </c>
      <c r="D54" s="15" t="s">
        <v>3665</v>
      </c>
    </row>
    <row r="55" spans="2:5" ht="32.25" thickBot="1" x14ac:dyDescent="0.25">
      <c r="B55" s="14" t="s">
        <v>3666</v>
      </c>
      <c r="C55" s="14" t="s">
        <v>3667</v>
      </c>
      <c r="D55" s="15" t="s">
        <v>3471</v>
      </c>
    </row>
    <row r="56" spans="2:5" ht="48" thickBot="1" x14ac:dyDescent="0.25">
      <c r="B56" s="14" t="s">
        <v>3668</v>
      </c>
      <c r="C56" s="14" t="s">
        <v>3669</v>
      </c>
      <c r="D56" s="15" t="s">
        <v>3670</v>
      </c>
    </row>
    <row r="57" spans="2:5" ht="48" thickBot="1" x14ac:dyDescent="0.25">
      <c r="B57" s="14" t="s">
        <v>3671</v>
      </c>
      <c r="C57" s="14" t="s">
        <v>3672</v>
      </c>
      <c r="D57" s="15" t="s">
        <v>3673</v>
      </c>
    </row>
    <row r="58" spans="2:5" ht="32.25" thickBot="1" x14ac:dyDescent="0.25">
      <c r="B58" s="14" t="s">
        <v>3674</v>
      </c>
      <c r="C58" s="14" t="s">
        <v>3675</v>
      </c>
      <c r="D58" s="15" t="s">
        <v>3356</v>
      </c>
    </row>
    <row r="59" spans="2:5" ht="48" thickBot="1" x14ac:dyDescent="0.25">
      <c r="B59" s="14" t="s">
        <v>3676</v>
      </c>
      <c r="C59" s="14" t="s">
        <v>3677</v>
      </c>
      <c r="D59" s="15" t="s">
        <v>3239</v>
      </c>
    </row>
    <row r="60" spans="2:5" ht="48" thickBot="1" x14ac:dyDescent="0.25">
      <c r="B60" s="14" t="s">
        <v>3678</v>
      </c>
      <c r="C60" s="14" t="s">
        <v>3679</v>
      </c>
      <c r="D60" s="15" t="s">
        <v>3680</v>
      </c>
    </row>
    <row r="61" spans="2:5" ht="48" thickBot="1" x14ac:dyDescent="0.25">
      <c r="B61" s="14" t="s">
        <v>3681</v>
      </c>
      <c r="C61" s="14" t="s">
        <v>3682</v>
      </c>
      <c r="D61" s="15" t="s">
        <v>3683</v>
      </c>
    </row>
    <row r="62" spans="2:5" ht="48" thickBot="1" x14ac:dyDescent="0.25">
      <c r="B62" s="14" t="s">
        <v>3684</v>
      </c>
      <c r="C62" s="14" t="s">
        <v>3685</v>
      </c>
      <c r="D62" s="15" t="s">
        <v>3686</v>
      </c>
    </row>
    <row r="63" spans="2:5" ht="48" thickBot="1" x14ac:dyDescent="0.25">
      <c r="B63" s="14" t="s">
        <v>3687</v>
      </c>
      <c r="C63" s="14" t="s">
        <v>3688</v>
      </c>
      <c r="D63" s="15" t="s">
        <v>3588</v>
      </c>
    </row>
    <row r="64" spans="2:5" ht="48" thickBot="1" x14ac:dyDescent="0.25">
      <c r="B64" s="14" t="s">
        <v>3689</v>
      </c>
      <c r="C64" s="14" t="s">
        <v>3690</v>
      </c>
      <c r="D64" s="15" t="s">
        <v>3691</v>
      </c>
    </row>
    <row r="65" spans="2:5" ht="48" thickBot="1" x14ac:dyDescent="0.25">
      <c r="B65" s="14" t="s">
        <v>3692</v>
      </c>
      <c r="C65" s="14" t="s">
        <v>3693</v>
      </c>
      <c r="D65" s="15" t="s">
        <v>3694</v>
      </c>
    </row>
    <row r="66" spans="2:5" ht="63.75" thickBot="1" x14ac:dyDescent="0.25">
      <c r="B66" s="14" t="s">
        <v>3695</v>
      </c>
      <c r="C66" s="15" t="s">
        <v>3696</v>
      </c>
      <c r="D66" s="15" t="s">
        <v>3697</v>
      </c>
    </row>
    <row r="67" spans="2:5" ht="48" thickBot="1" x14ac:dyDescent="0.25">
      <c r="B67" s="14" t="s">
        <v>3698</v>
      </c>
      <c r="C67" s="14" t="s">
        <v>3699</v>
      </c>
      <c r="D67" s="15" t="s">
        <v>3700</v>
      </c>
    </row>
    <row r="68" spans="2:5" x14ac:dyDescent="0.2">
      <c r="E68" s="2"/>
    </row>
    <row r="69" spans="2:5" x14ac:dyDescent="0.2">
      <c r="E69" s="4"/>
    </row>
    <row r="70" spans="2:5" ht="17.25" x14ac:dyDescent="0.2">
      <c r="B70" s="5" t="s">
        <v>71</v>
      </c>
      <c r="E70" s="4"/>
    </row>
    <row r="71" spans="2:5" ht="16.5" thickBot="1" x14ac:dyDescent="0.25">
      <c r="B71" s="11"/>
      <c r="E71" s="4"/>
    </row>
    <row r="72" spans="2:5" ht="16.5" thickBot="1" x14ac:dyDescent="0.25">
      <c r="B72" s="12" t="s">
        <v>14</v>
      </c>
      <c r="C72" s="12" t="s">
        <v>75</v>
      </c>
      <c r="D72" s="12" t="s">
        <v>7</v>
      </c>
    </row>
    <row r="73" spans="2:5" ht="48" thickBot="1" x14ac:dyDescent="0.25">
      <c r="B73" s="14" t="s">
        <v>3701</v>
      </c>
      <c r="C73" s="14" t="s">
        <v>3702</v>
      </c>
      <c r="D73" s="15"/>
    </row>
    <row r="74" spans="2:5" ht="32.25" thickBot="1" x14ac:dyDescent="0.25">
      <c r="B74" s="14" t="s">
        <v>3703</v>
      </c>
      <c r="C74" s="14" t="s">
        <v>3704</v>
      </c>
      <c r="D74" s="15"/>
    </row>
    <row r="75" spans="2:5" ht="32.25" thickBot="1" x14ac:dyDescent="0.25">
      <c r="B75" s="14" t="s">
        <v>3705</v>
      </c>
      <c r="C75" s="14" t="s">
        <v>3706</v>
      </c>
      <c r="D75" s="15"/>
    </row>
    <row r="76" spans="2:5" ht="32.25" thickBot="1" x14ac:dyDescent="0.25">
      <c r="B76" s="14" t="s">
        <v>3707</v>
      </c>
      <c r="C76" s="14" t="s">
        <v>3708</v>
      </c>
      <c r="D76" s="15"/>
    </row>
    <row r="77" spans="2:5" ht="48" thickBot="1" x14ac:dyDescent="0.25">
      <c r="B77" s="14" t="s">
        <v>3709</v>
      </c>
      <c r="C77" s="14" t="s">
        <v>3710</v>
      </c>
      <c r="D77" s="15"/>
    </row>
    <row r="78" spans="2:5" ht="32.25" thickBot="1" x14ac:dyDescent="0.25">
      <c r="B78" s="14" t="s">
        <v>3711</v>
      </c>
      <c r="C78" s="14" t="s">
        <v>3712</v>
      </c>
      <c r="D78" s="15"/>
    </row>
    <row r="79" spans="2:5" ht="32.25" thickBot="1" x14ac:dyDescent="0.25">
      <c r="B79" s="14" t="s">
        <v>3713</v>
      </c>
      <c r="C79" s="14" t="s">
        <v>3714</v>
      </c>
      <c r="D79" s="15"/>
    </row>
    <row r="80" spans="2:5" ht="63.75" thickBot="1" x14ac:dyDescent="0.25">
      <c r="B80" s="14" t="s">
        <v>3715</v>
      </c>
      <c r="C80" s="14" t="s">
        <v>3716</v>
      </c>
      <c r="D80" s="15"/>
    </row>
    <row r="81" spans="2:4" ht="32.25" thickBot="1" x14ac:dyDescent="0.25">
      <c r="B81" s="14" t="s">
        <v>3717</v>
      </c>
      <c r="C81" s="14" t="s">
        <v>3718</v>
      </c>
      <c r="D81" s="15"/>
    </row>
    <row r="82" spans="2:4" ht="32.25" thickBot="1" x14ac:dyDescent="0.25">
      <c r="B82" s="14" t="s">
        <v>3719</v>
      </c>
      <c r="C82" s="14" t="s">
        <v>3720</v>
      </c>
      <c r="D82" s="15"/>
    </row>
    <row r="83" spans="2:4" ht="32.25" thickBot="1" x14ac:dyDescent="0.25">
      <c r="B83" s="14" t="s">
        <v>3721</v>
      </c>
      <c r="C83" s="14" t="s">
        <v>3722</v>
      </c>
      <c r="D83" s="15"/>
    </row>
    <row r="84" spans="2:4" ht="32.25" thickBot="1" x14ac:dyDescent="0.25">
      <c r="B84" s="14" t="s">
        <v>3723</v>
      </c>
      <c r="C84" s="14" t="s">
        <v>3724</v>
      </c>
      <c r="D84" s="15"/>
    </row>
    <row r="85" spans="2:4" ht="48" thickBot="1" x14ac:dyDescent="0.25">
      <c r="B85" s="14" t="s">
        <v>3725</v>
      </c>
      <c r="C85" s="14" t="s">
        <v>3726</v>
      </c>
      <c r="D85" s="15"/>
    </row>
    <row r="86" spans="2:4" ht="48" thickBot="1" x14ac:dyDescent="0.25">
      <c r="B86" s="14" t="s">
        <v>3727</v>
      </c>
      <c r="C86" s="14" t="s">
        <v>3728</v>
      </c>
      <c r="D86" s="15"/>
    </row>
    <row r="89" spans="2:4" ht="17.25" x14ac:dyDescent="0.2">
      <c r="B89" s="5" t="s">
        <v>103</v>
      </c>
    </row>
    <row r="90" spans="2:4" x14ac:dyDescent="0.2">
      <c r="B90" s="6"/>
    </row>
    <row r="91" spans="2:4" x14ac:dyDescent="0.2">
      <c r="B91" s="7" t="s">
        <v>3729</v>
      </c>
    </row>
    <row r="92" spans="2:4" x14ac:dyDescent="0.2">
      <c r="B92" s="7" t="s">
        <v>3730</v>
      </c>
    </row>
    <row r="93" spans="2:4" x14ac:dyDescent="0.2">
      <c r="B93" s="7" t="s">
        <v>3731</v>
      </c>
    </row>
    <row r="94" spans="2:4" x14ac:dyDescent="0.2">
      <c r="B94" s="7" t="s">
        <v>3732</v>
      </c>
    </row>
    <row r="95" spans="2:4" x14ac:dyDescent="0.2">
      <c r="B95" s="7" t="s">
        <v>3733</v>
      </c>
    </row>
    <row r="96" spans="2:4" x14ac:dyDescent="0.2">
      <c r="B96" s="7" t="s">
        <v>3734</v>
      </c>
    </row>
    <row r="97" spans="2:2" x14ac:dyDescent="0.2">
      <c r="B97" s="7" t="s">
        <v>3735</v>
      </c>
    </row>
    <row r="98" spans="2:2" x14ac:dyDescent="0.2">
      <c r="B98" s="7" t="s">
        <v>3736</v>
      </c>
    </row>
    <row r="99" spans="2:2" x14ac:dyDescent="0.2">
      <c r="B99" s="6"/>
    </row>
    <row r="100" spans="2:2" x14ac:dyDescent="0.2">
      <c r="B100" s="6" t="s">
        <v>3737</v>
      </c>
    </row>
  </sheetData>
  <mergeCells count="4">
    <mergeCell ref="D8:D10"/>
    <mergeCell ref="B27:B28"/>
    <mergeCell ref="D27:D28"/>
    <mergeCell ref="B8:B13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D9AC-1DF9-4960-B778-9A598C4E8869}">
  <dimension ref="B1:G97"/>
  <sheetViews>
    <sheetView topLeftCell="A9" zoomScaleNormal="100" workbookViewId="0">
      <selection activeCell="D11" sqref="D1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3514</v>
      </c>
      <c r="G1" t="str">
        <f>"&lt;dl&gt;&lt;dt&gt;" &amp; B1 &amp; "&lt;/dt&gt;&lt;dd&gt;" &amp; C1 &amp; "&lt;/dd&gt;&lt;dd&gt;" &amp; D1 &amp; "&lt;/dd&gt;&lt;/dl&gt;"</f>
        <v>&lt;dl&gt;&lt;dt&gt;根据《金刚佛光-紫占课程手册》，巨门星的完整象义解析如下（严格遵循原始资料结构与表述，并依您的要求，在“本质”部分增补“人/事/物”三个层次的解析）：&lt;/dt&gt;&lt;dd&gt;&lt;/dd&gt;&lt;dd&gt;&lt;/dd&gt;&lt;/dl&gt;</v>
      </c>
    </row>
    <row r="4" spans="2:7" ht="17.25" x14ac:dyDescent="0.2">
      <c r="B4" s="5" t="s">
        <v>3515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32.25" thickBot="1" x14ac:dyDescent="0.25">
      <c r="B7" s="14" t="s">
        <v>2913</v>
      </c>
      <c r="C7" s="15" t="s">
        <v>3516</v>
      </c>
      <c r="D7" s="15"/>
    </row>
    <row r="8" spans="2:7" ht="110.25" x14ac:dyDescent="0.2">
      <c r="B8" s="24" t="s">
        <v>2914</v>
      </c>
      <c r="C8" s="19" t="s">
        <v>3517</v>
      </c>
      <c r="D8" s="27" t="s">
        <v>3520</v>
      </c>
    </row>
    <row r="9" spans="2:7" ht="94.5" x14ac:dyDescent="0.2">
      <c r="B9" s="25"/>
      <c r="C9" s="20" t="s">
        <v>3518</v>
      </c>
      <c r="D9" s="28"/>
    </row>
    <row r="10" spans="2:7" ht="79.5" thickBot="1" x14ac:dyDescent="0.25">
      <c r="B10" s="26"/>
      <c r="C10" s="21" t="s">
        <v>3519</v>
      </c>
      <c r="D10" s="29"/>
    </row>
    <row r="11" spans="2:7" ht="126.75" thickBot="1" x14ac:dyDescent="0.25">
      <c r="B11" s="14" t="s">
        <v>2918</v>
      </c>
      <c r="C11" s="15" t="s">
        <v>3521</v>
      </c>
      <c r="D11" s="15"/>
    </row>
    <row r="14" spans="2:7" ht="17.25" x14ac:dyDescent="0.2">
      <c r="B14" s="5" t="s">
        <v>100</v>
      </c>
    </row>
    <row r="16" spans="2:7" ht="15.75" x14ac:dyDescent="0.2">
      <c r="B16" s="13" t="s">
        <v>101</v>
      </c>
    </row>
    <row r="17" spans="2:7" ht="16.5" thickBot="1" x14ac:dyDescent="0.25">
      <c r="B17" s="11"/>
    </row>
    <row r="18" spans="2:7" ht="16.5" thickBot="1" x14ac:dyDescent="0.25">
      <c r="B18" s="12" t="s">
        <v>62</v>
      </c>
      <c r="C18" s="12" t="s">
        <v>107</v>
      </c>
      <c r="D18" s="12" t="s">
        <v>108</v>
      </c>
    </row>
    <row r="19" spans="2:7" ht="63.75" thickBot="1" x14ac:dyDescent="0.25">
      <c r="B19" s="14" t="s">
        <v>3522</v>
      </c>
      <c r="C19" s="15" t="s">
        <v>3523</v>
      </c>
      <c r="D19" s="15" t="s">
        <v>3524</v>
      </c>
    </row>
    <row r="20" spans="2:7" ht="63.75" thickBot="1" x14ac:dyDescent="0.25">
      <c r="B20" s="14" t="s">
        <v>3525</v>
      </c>
      <c r="C20" s="15" t="s">
        <v>3526</v>
      </c>
      <c r="D20" s="15" t="s">
        <v>3527</v>
      </c>
    </row>
    <row r="21" spans="2:7" ht="48" thickBot="1" x14ac:dyDescent="0.25">
      <c r="B21" s="14" t="s">
        <v>3528</v>
      </c>
      <c r="C21" s="15" t="s">
        <v>3529</v>
      </c>
      <c r="D21" s="15" t="s">
        <v>3530</v>
      </c>
    </row>
    <row r="22" spans="2:7" ht="32.25" thickBot="1" x14ac:dyDescent="0.25">
      <c r="B22" s="14" t="s">
        <v>3531</v>
      </c>
      <c r="C22" s="15" t="s">
        <v>3532</v>
      </c>
      <c r="D22" s="15" t="s">
        <v>3533</v>
      </c>
    </row>
    <row r="23" spans="2:7" ht="48" thickBot="1" x14ac:dyDescent="0.25">
      <c r="B23" s="14" t="s">
        <v>3016</v>
      </c>
      <c r="C23" s="14" t="s">
        <v>3534</v>
      </c>
      <c r="D23" s="15" t="s">
        <v>2539</v>
      </c>
      <c r="E23" s="12"/>
    </row>
    <row r="24" spans="2:7" ht="63.75" thickBot="1" x14ac:dyDescent="0.25">
      <c r="B24" s="14" t="s">
        <v>3017</v>
      </c>
      <c r="C24" s="14" t="s">
        <v>3535</v>
      </c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性格特质​&lt;/dt&gt;&lt;dd&gt;优点：心思细密，耿直明快，专心一意，理解力强，善于分析研究，口才佳，记忆力强。缺点：恃才傲物，多疑善辩，刀子嘴豆腐心，不易服人，人际关系初善终恶。&lt;/dd&gt;&lt;dd&gt;&lt;/dd&gt;&lt;/dl&gt;</v>
      </c>
    </row>
    <row r="25" spans="2:7" ht="48" thickBot="1" x14ac:dyDescent="0.25">
      <c r="B25" s="14" t="s">
        <v>3419</v>
      </c>
      <c r="C25" s="15" t="s">
        <v>3536</v>
      </c>
      <c r="D25" s="15" t="s">
        <v>3013</v>
      </c>
      <c r="E25" s="15"/>
      <c r="G25" t="str">
        <f t="shared" si="0"/>
        <v>&lt;dl&gt;&lt;dt&gt;健康方面​&lt;/dt&gt;&lt;dd&gt;主脾胃、口腔、食道、肠道等消化系统疾病。也主湿气、气血虚、皮肤瘙痒、目眩等。化忌或逢煞，易有隐疾、难以诊断的病症。&lt;/dd&gt;&lt;dd&gt;在疾厄宫时显现。&lt;/dd&gt;&lt;/dl&gt;</v>
      </c>
    </row>
    <row r="26" spans="2:7" ht="16.5" thickBot="1" x14ac:dyDescent="0.25"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E27" s="15"/>
      <c r="G27" t="str">
        <f t="shared" si="0"/>
        <v>&lt;dl&gt;&lt;dt&gt;&lt;/dt&gt;&lt;dd&gt;&lt;/dd&gt;&lt;dd&gt;&lt;/dd&gt;&lt;/dl&gt;</v>
      </c>
    </row>
    <row r="28" spans="2:7" ht="18" thickBot="1" x14ac:dyDescent="0.25">
      <c r="B28" s="5" t="s">
        <v>102</v>
      </c>
      <c r="E28" s="15"/>
      <c r="G28" t="str">
        <f t="shared" si="0"/>
        <v>&lt;dl&gt;&lt;dt&gt;三、宫位组合象义&lt;/dt&gt;&lt;dd&gt;&lt;/dd&gt;&lt;dd&gt;&lt;/dd&gt;&lt;/dl&gt;</v>
      </c>
    </row>
    <row r="29" spans="2:7" ht="16.5" thickBot="1" x14ac:dyDescent="0.25">
      <c r="B29" s="11"/>
      <c r="E29" s="15"/>
      <c r="G29" t="str">
        <f t="shared" si="0"/>
        <v>&lt;dl&gt;&lt;dt&gt;&lt;/dt&gt;&lt;dd&gt;&lt;/dd&gt;&lt;dd&gt;&lt;/dd&gt;&lt;/dl&gt;</v>
      </c>
    </row>
    <row r="30" spans="2:7" ht="16.5" thickBot="1" x14ac:dyDescent="0.25">
      <c r="B30" s="12" t="s">
        <v>6</v>
      </c>
      <c r="C30" s="12" t="s">
        <v>107</v>
      </c>
      <c r="D30" s="12" t="s">
        <v>7</v>
      </c>
    </row>
    <row r="31" spans="2:7" ht="111" thickBot="1" x14ac:dyDescent="0.25">
      <c r="B31" s="14" t="s">
        <v>2930</v>
      </c>
      <c r="C31" s="15" t="s">
        <v>3537</v>
      </c>
      <c r="D31" s="15"/>
    </row>
    <row r="32" spans="2:7" ht="48" thickBot="1" x14ac:dyDescent="0.25">
      <c r="B32" s="14" t="s">
        <v>2932</v>
      </c>
      <c r="C32" s="15" t="s">
        <v>3538</v>
      </c>
      <c r="D32" s="15"/>
    </row>
    <row r="33" spans="2:7" ht="79.5" thickBot="1" x14ac:dyDescent="0.25">
      <c r="B33" s="14" t="s">
        <v>2934</v>
      </c>
      <c r="C33" s="14" t="s">
        <v>3539</v>
      </c>
      <c r="D33" s="15"/>
    </row>
    <row r="34" spans="2:7" ht="48" thickBot="1" x14ac:dyDescent="0.25">
      <c r="B34" s="14" t="s">
        <v>2936</v>
      </c>
      <c r="C34" s="15" t="s">
        <v>3540</v>
      </c>
      <c r="D34" s="15"/>
      <c r="E34" s="12"/>
    </row>
    <row r="35" spans="2:7" ht="79.5" thickBot="1" x14ac:dyDescent="0.25">
      <c r="B35" s="14" t="s">
        <v>9</v>
      </c>
      <c r="C35" s="15" t="s">
        <v>3541</v>
      </c>
      <c r="D35" s="15"/>
      <c r="E35" s="15"/>
      <c r="G35" t="str">
        <f t="shared" si="0"/>
        <v>&lt;dl&gt;&lt;dt&gt;财帛宫​&lt;/dt&gt;&lt;dd&gt;求财方式多与口才、脑力、中介、沟通相关，属动口求财。可白手起家，但钱财难积存，欲望大，易有意外破耗。忌锋芒外露，防因财惹口舌官非。见禄存、化禄，主以口生财，钱财流通量大。&lt;/dd&gt;&lt;dd&gt;&lt;/dd&gt;&lt;/dl&gt;</v>
      </c>
    </row>
    <row r="36" spans="2:7" ht="48" thickBot="1" x14ac:dyDescent="0.25">
      <c r="B36" s="14" t="s">
        <v>10</v>
      </c>
      <c r="C36" s="15" t="s">
        <v>3542</v>
      </c>
      <c r="D36" s="15"/>
      <c r="E36" s="15"/>
      <c r="G36" t="str">
        <f t="shared" si="0"/>
        <v>&lt;dl&gt;&lt;dt&gt;疾厄宫​&lt;/dt&gt;&lt;dd&gt;主脾胃、消化系统、口腔（溃疡）、呼吸系统疾病。也主湿气、气血虚、皮肤问题、隐疾。煞忌重则需防外伤、手术。&lt;/dd&gt;&lt;dd&gt;&lt;/dd&gt;&lt;/dl&gt;</v>
      </c>
    </row>
    <row r="37" spans="2:7" ht="63.75" thickBot="1" x14ac:dyDescent="0.25">
      <c r="B37" s="14" t="s">
        <v>13</v>
      </c>
      <c r="C37" s="15" t="s">
        <v>3543</v>
      </c>
      <c r="D37" s="15"/>
      <c r="E37" s="15"/>
      <c r="G37" t="str">
        <f t="shared" si="0"/>
        <v>&lt;dl&gt;&lt;dt&gt;迁移宫​&lt;/dt&gt;&lt;dd&gt;在外发展多口舌是非，与人不易相处，无故生灾。但若见吉化吉曜，亦可凭口才、表达在外获得机遇与名利。流年逢煞忌，切忌远行，易有灾祸。&lt;/dd&gt;&lt;dd&gt;&lt;/dd&gt;&lt;/dl&gt;</v>
      </c>
    </row>
    <row r="38" spans="2:7" ht="48" thickBot="1" x14ac:dyDescent="0.25">
      <c r="B38" s="14" t="s">
        <v>3018</v>
      </c>
      <c r="C38" s="14" t="s">
        <v>3544</v>
      </c>
      <c r="D38" s="15"/>
      <c r="E38" s="15"/>
      <c r="G38" t="str">
        <f t="shared" si="0"/>
        <v>&lt;dl&gt;&lt;dt&gt;交友宫（奴仆宫）​&lt;/dt&gt;&lt;dd&gt;慎防损友！​ 朋友、部属三教九流都有，但易因口舌、利益起冲突。煞忌重则下属易背叛，或结交的朋友会带坏自己。&lt;/dd&gt;&lt;dd&gt;&lt;/dd&gt;&lt;/dl&gt;</v>
      </c>
    </row>
    <row r="39" spans="2:7" ht="79.5" thickBot="1" x14ac:dyDescent="0.25">
      <c r="B39" s="14" t="s">
        <v>3019</v>
      </c>
      <c r="C39" s="15" t="s">
        <v>3545</v>
      </c>
      <c r="D39" s="15"/>
      <c r="E39" s="15"/>
      <c r="G39" t="str">
        <f t="shared" si="0"/>
        <v>&lt;dl&gt;&lt;dt&gt;官禄宫（事业宫）​&lt;/dt&gt;&lt;dd&gt;适合从事以口为业的行业，如教育、法律、销售、媒体、公关、演艺、餐饮、中介、研究等。事业上多口舌是非，需付出远超常人的努力。吉则凭借口才成为行业权威；凶则辛苦费力难成事，且易有官非。&lt;/dd&gt;&lt;dd&gt;&lt;/dd&gt;&lt;/dl&gt;</v>
      </c>
    </row>
    <row r="40" spans="2:7" ht="63.75" thickBot="1" x14ac:dyDescent="0.25">
      <c r="B40" s="14" t="s">
        <v>8</v>
      </c>
      <c r="C40" s="14" t="s">
        <v>3546</v>
      </c>
      <c r="D40" s="15"/>
      <c r="E40" s="15"/>
      <c r="G40" t="str">
        <f t="shared" si="0"/>
        <v>&lt;dl&gt;&lt;dt&gt;田宅宫​&lt;/dt&gt;&lt;dd&gt;难守祖业，需自置房产。家中多吵杂，易与邻居发生口舌纠纷。巨门坐田宅，若交友宫干为丁，需防遭窃。太阳巨门组合，利在异地、远方置业。&lt;/dd&gt;&lt;dd&gt;&lt;/dd&gt;&lt;/dl&gt;</v>
      </c>
    </row>
    <row r="41" spans="2:7" ht="63.75" thickBot="1" x14ac:dyDescent="0.25">
      <c r="B41" s="14" t="s">
        <v>2945</v>
      </c>
      <c r="C41" s="15" t="s">
        <v>3547</v>
      </c>
      <c r="D41" s="15"/>
      <c r="E41" s="15"/>
      <c r="G41" t="str">
        <f t="shared" si="0"/>
        <v>&lt;dl&gt;&lt;dt&gt;福德宫​&lt;/dt&gt;&lt;dd&gt;精神世界思虑过重，内心难得安宁，易焦虑、多疑、钻牛角尖。煞忌重则精神痛苦，甚至罹患抑郁、焦虑等心理疾病。唯与天同组合（天同巨门）稍可享福。&lt;/dd&gt;&lt;dd&gt;&lt;/dd&gt;&lt;/dl&gt;</v>
      </c>
    </row>
    <row r="42" spans="2:7" ht="48" thickBot="1" x14ac:dyDescent="0.25">
      <c r="B42" s="14" t="s">
        <v>11</v>
      </c>
      <c r="C42" s="15" t="s">
        <v>3548</v>
      </c>
      <c r="D42" s="15"/>
      <c r="E42" s="15"/>
      <c r="G42" t="str">
        <f t="shared" si="0"/>
        <v>&lt;dl&gt;&lt;dt&gt;父母宫​&lt;/dt&gt;&lt;dd&gt;与父母缘分有“隔阂”，可能因求学、工作聚少离多。煞忌重则关系疏离、缘薄，或父母曾离异。引申为与领导、上司关系不佳。&lt;/dd&gt;&lt;dd&gt;&lt;/dd&gt;&lt;/dl&gt;</v>
      </c>
    </row>
    <row r="43" spans="2:7" ht="16.5" thickBot="1" x14ac:dyDescent="0.25">
      <c r="E43" s="15"/>
      <c r="G43" t="str">
        <f t="shared" si="0"/>
        <v>&lt;dl&gt;&lt;dt&gt;&lt;/dt&gt;&lt;dd&gt;&lt;/dd&gt;&lt;dd&gt;&lt;/dd&gt;&lt;/dl&gt;</v>
      </c>
    </row>
    <row r="45" spans="2:7" ht="17.25" x14ac:dyDescent="0.2">
      <c r="B45" s="5" t="s">
        <v>70</v>
      </c>
    </row>
    <row r="47" spans="2:7" ht="16.5" thickBot="1" x14ac:dyDescent="0.25">
      <c r="B47" s="13" t="s">
        <v>3549</v>
      </c>
    </row>
    <row r="48" spans="2:7" ht="16.5" thickBot="1" x14ac:dyDescent="0.25">
      <c r="B48" s="11"/>
      <c r="E48" s="12"/>
    </row>
    <row r="49" spans="2:7" ht="16.5" thickBot="1" x14ac:dyDescent="0.25">
      <c r="B49" s="12" t="s">
        <v>19</v>
      </c>
      <c r="C49" s="12" t="s">
        <v>73</v>
      </c>
      <c r="D49" s="12" t="s">
        <v>108</v>
      </c>
      <c r="E49" s="15"/>
      <c r="G49" t="str">
        <f t="shared" si="0"/>
        <v>&lt;dl&gt;&lt;dt&gt;组合​&lt;/dt&gt;&lt;dd&gt;效应​&lt;/dd&gt;&lt;dd&gt;典型案例/说明​&lt;/dd&gt;&lt;/dl&gt;</v>
      </c>
    </row>
    <row r="50" spans="2:7" ht="48" thickBot="1" x14ac:dyDescent="0.25">
      <c r="B50" s="14" t="s">
        <v>3550</v>
      </c>
      <c r="C50" s="14" t="s">
        <v>3551</v>
      </c>
      <c r="D50" s="15" t="s">
        <v>3552</v>
      </c>
      <c r="E50" s="15"/>
      <c r="G50" t="str">
        <f t="shared" si="0"/>
        <v>&lt;dl&gt;&lt;dt&gt;巨门+紫微​&lt;/dt&gt;&lt;dd&gt;帝星遇暗，权威与口舌结合，善于在权威场合发言，有领导口才，但易因言语得罪权贵。紫微能稍制巨门之恶。&lt;/dd&gt;&lt;dd&gt;政府发言人；企业高管（需谨言）。&lt;/dd&gt;&lt;/dl&gt;</v>
      </c>
    </row>
    <row r="51" spans="2:7" ht="63.75" thickBot="1" x14ac:dyDescent="0.25">
      <c r="B51" s="14" t="s">
        <v>3553</v>
      </c>
      <c r="C51" s="14" t="s">
        <v>3554</v>
      </c>
      <c r="D51" s="15" t="s">
        <v>3555</v>
      </c>
      <c r="E51" s="15"/>
      <c r="G51" t="str">
        <f t="shared" si="0"/>
        <v>&lt;dl&gt;&lt;dt&gt;巨门+天机​&lt;/dt&gt;&lt;dd&gt;智星遇暗（卯、酉宫同度），机巨同临格。思维敏捷，能言善道，多疑善变。吉则凭机巧在远方发展；凶则流于小聪明，难成大事，人生变动大。&lt;/dd&gt;&lt;dd&gt;策划师；研究员；但需防思虑过多，言多必失。&lt;/dd&gt;&lt;/dl&gt;</v>
      </c>
    </row>
    <row r="52" spans="2:7" ht="63.75" thickBot="1" x14ac:dyDescent="0.25">
      <c r="B52" s="14" t="s">
        <v>3556</v>
      </c>
      <c r="C52" s="14" t="s">
        <v>3557</v>
      </c>
      <c r="D52" s="15" t="s">
        <v>3558</v>
      </c>
      <c r="E52" s="15"/>
      <c r="G52" t="str">
        <f t="shared" si="0"/>
        <v>&lt;dl&gt;&lt;dt&gt;巨门+太阳​&lt;/dt&gt;&lt;dd&gt;日照遇暗（寅、申宫同度，巳、亥宫相对），“巨日同宫格”。太阳可解巨门之暗，将口才转化为强大的公众影响力、传播力。利外贸、外交、传媒，有异族缘、远方缘。&lt;/dd&gt;&lt;dd&gt;外交官；国际贸易；传媒人士；教师。&lt;/dd&gt;&lt;/dl&gt;</v>
      </c>
    </row>
    <row r="53" spans="2:7" ht="48" thickBot="1" x14ac:dyDescent="0.25">
      <c r="B53" s="14" t="s">
        <v>3559</v>
      </c>
      <c r="C53" s="14" t="s">
        <v>3560</v>
      </c>
      <c r="D53" s="15" t="s">
        <v>3561</v>
      </c>
    </row>
    <row r="54" spans="2:7" ht="48" thickBot="1" x14ac:dyDescent="0.25">
      <c r="B54" s="14" t="s">
        <v>3562</v>
      </c>
      <c r="C54" s="14" t="s">
        <v>3563</v>
      </c>
      <c r="D54" s="15" t="s">
        <v>3564</v>
      </c>
    </row>
    <row r="55" spans="2:7" ht="48" thickBot="1" x14ac:dyDescent="0.25">
      <c r="B55" s="14" t="s">
        <v>3565</v>
      </c>
      <c r="C55" s="14" t="s">
        <v>3566</v>
      </c>
      <c r="D55" s="15" t="s">
        <v>3567</v>
      </c>
    </row>
    <row r="56" spans="2:7" ht="32.25" thickBot="1" x14ac:dyDescent="0.25">
      <c r="B56" s="14" t="s">
        <v>3568</v>
      </c>
      <c r="C56" s="14" t="s">
        <v>3569</v>
      </c>
      <c r="D56" s="15" t="s">
        <v>3570</v>
      </c>
    </row>
    <row r="57" spans="2:7" ht="32.25" thickBot="1" x14ac:dyDescent="0.25">
      <c r="B57" s="14" t="s">
        <v>3571</v>
      </c>
      <c r="C57" s="14" t="s">
        <v>3572</v>
      </c>
      <c r="D57" s="15" t="s">
        <v>3573</v>
      </c>
    </row>
    <row r="58" spans="2:7" ht="32.25" thickBot="1" x14ac:dyDescent="0.25">
      <c r="B58" s="14" t="s">
        <v>3574</v>
      </c>
      <c r="C58" s="14" t="s">
        <v>3575</v>
      </c>
      <c r="D58" s="15" t="s">
        <v>3576</v>
      </c>
    </row>
    <row r="59" spans="2:7" ht="48" thickBot="1" x14ac:dyDescent="0.25">
      <c r="B59" s="14" t="s">
        <v>3577</v>
      </c>
      <c r="C59" s="15" t="s">
        <v>3578</v>
      </c>
      <c r="D59" s="15" t="s">
        <v>3579</v>
      </c>
    </row>
    <row r="60" spans="2:7" ht="32.25" thickBot="1" x14ac:dyDescent="0.25">
      <c r="B60" s="14" t="s">
        <v>3580</v>
      </c>
      <c r="C60" s="14" t="s">
        <v>3581</v>
      </c>
      <c r="D60" s="15" t="s">
        <v>3582</v>
      </c>
    </row>
    <row r="61" spans="2:7" ht="48" thickBot="1" x14ac:dyDescent="0.25">
      <c r="B61" s="14" t="s">
        <v>3583</v>
      </c>
      <c r="C61" s="14" t="s">
        <v>3584</v>
      </c>
      <c r="D61" s="15" t="s">
        <v>3585</v>
      </c>
    </row>
    <row r="62" spans="2:7" ht="48" thickBot="1" x14ac:dyDescent="0.25">
      <c r="B62" s="14" t="s">
        <v>3586</v>
      </c>
      <c r="C62" s="14" t="s">
        <v>3587</v>
      </c>
      <c r="D62" s="15" t="s">
        <v>3588</v>
      </c>
    </row>
    <row r="63" spans="2:7" ht="32.25" thickBot="1" x14ac:dyDescent="0.25">
      <c r="B63" s="14" t="s">
        <v>3589</v>
      </c>
      <c r="C63" s="14" t="s">
        <v>3590</v>
      </c>
      <c r="D63" s="15" t="s">
        <v>3591</v>
      </c>
    </row>
    <row r="66" spans="2:4" ht="17.25" x14ac:dyDescent="0.2">
      <c r="B66" s="5" t="s">
        <v>71</v>
      </c>
    </row>
    <row r="67" spans="2:4" ht="16.5" thickBot="1" x14ac:dyDescent="0.25">
      <c r="B67" s="11"/>
    </row>
    <row r="68" spans="2:4" ht="16.5" thickBot="1" x14ac:dyDescent="0.25">
      <c r="B68" s="12" t="s">
        <v>14</v>
      </c>
      <c r="C68" s="12" t="s">
        <v>75</v>
      </c>
      <c r="D68" s="12" t="s">
        <v>7</v>
      </c>
    </row>
    <row r="69" spans="2:4" ht="32.25" thickBot="1" x14ac:dyDescent="0.25">
      <c r="B69" s="14" t="s">
        <v>3592</v>
      </c>
      <c r="C69" s="14" t="s">
        <v>3593</v>
      </c>
      <c r="D69" s="15"/>
    </row>
    <row r="70" spans="2:4" ht="32.25" thickBot="1" x14ac:dyDescent="0.25">
      <c r="B70" s="14" t="s">
        <v>3594</v>
      </c>
      <c r="C70" s="14" t="s">
        <v>3595</v>
      </c>
      <c r="D70" s="15"/>
    </row>
    <row r="71" spans="2:4" ht="32.25" thickBot="1" x14ac:dyDescent="0.25">
      <c r="B71" s="14" t="s">
        <v>3596</v>
      </c>
      <c r="C71" s="14" t="s">
        <v>3597</v>
      </c>
      <c r="D71" s="15"/>
    </row>
    <row r="72" spans="2:4" ht="32.25" thickBot="1" x14ac:dyDescent="0.25">
      <c r="B72" s="14" t="s">
        <v>3598</v>
      </c>
      <c r="C72" s="14" t="s">
        <v>3599</v>
      </c>
      <c r="D72" s="15"/>
    </row>
    <row r="73" spans="2:4" ht="32.25" thickBot="1" x14ac:dyDescent="0.25">
      <c r="B73" s="14" t="s">
        <v>3600</v>
      </c>
      <c r="C73" s="14" t="s">
        <v>3601</v>
      </c>
      <c r="D73" s="15"/>
    </row>
    <row r="74" spans="2:4" ht="48" thickBot="1" x14ac:dyDescent="0.25">
      <c r="B74" s="14" t="s">
        <v>3602</v>
      </c>
      <c r="C74" s="14" t="s">
        <v>3603</v>
      </c>
      <c r="D74" s="15"/>
    </row>
    <row r="75" spans="2:4" ht="32.25" thickBot="1" x14ac:dyDescent="0.25">
      <c r="B75" s="14" t="s">
        <v>3604</v>
      </c>
      <c r="C75" s="14" t="s">
        <v>3605</v>
      </c>
      <c r="D75" s="15"/>
    </row>
    <row r="76" spans="2:4" ht="48" thickBot="1" x14ac:dyDescent="0.25">
      <c r="B76" s="14" t="s">
        <v>3606</v>
      </c>
      <c r="C76" s="14" t="s">
        <v>3607</v>
      </c>
      <c r="D76" s="15"/>
    </row>
    <row r="77" spans="2:4" ht="32.25" thickBot="1" x14ac:dyDescent="0.25">
      <c r="B77" s="14" t="s">
        <v>3608</v>
      </c>
      <c r="C77" s="14" t="s">
        <v>3609</v>
      </c>
      <c r="D77" s="15"/>
    </row>
    <row r="78" spans="2:4" ht="32.25" thickBot="1" x14ac:dyDescent="0.25">
      <c r="B78" s="14" t="s">
        <v>3610</v>
      </c>
      <c r="C78" s="14" t="s">
        <v>3611</v>
      </c>
      <c r="D78" s="15"/>
    </row>
    <row r="79" spans="2:4" ht="32.25" thickBot="1" x14ac:dyDescent="0.25">
      <c r="B79" s="14" t="s">
        <v>3612</v>
      </c>
      <c r="C79" s="14" t="s">
        <v>3613</v>
      </c>
      <c r="D79" s="15"/>
    </row>
    <row r="80" spans="2:4" ht="32.25" thickBot="1" x14ac:dyDescent="0.25">
      <c r="B80" s="14" t="s">
        <v>3614</v>
      </c>
      <c r="C80" s="14" t="s">
        <v>3615</v>
      </c>
      <c r="D80" s="15"/>
    </row>
    <row r="81" spans="2:4" ht="48" thickBot="1" x14ac:dyDescent="0.25">
      <c r="B81" s="14" t="s">
        <v>3616</v>
      </c>
      <c r="C81" s="14" t="s">
        <v>3617</v>
      </c>
      <c r="D81" s="15"/>
    </row>
    <row r="82" spans="2:4" ht="63.75" thickBot="1" x14ac:dyDescent="0.25">
      <c r="B82" s="14" t="s">
        <v>3618</v>
      </c>
      <c r="C82" s="14" t="s">
        <v>3619</v>
      </c>
      <c r="D82" s="15"/>
    </row>
    <row r="85" spans="2:4" ht="17.25" x14ac:dyDescent="0.2">
      <c r="B85" s="5" t="s">
        <v>103</v>
      </c>
    </row>
    <row r="86" spans="2:4" x14ac:dyDescent="0.2">
      <c r="B86" s="6"/>
    </row>
    <row r="87" spans="2:4" x14ac:dyDescent="0.2">
      <c r="B87" s="7" t="s">
        <v>3620</v>
      </c>
    </row>
    <row r="88" spans="2:4" x14ac:dyDescent="0.2">
      <c r="B88" s="7" t="s">
        <v>3621</v>
      </c>
    </row>
    <row r="89" spans="2:4" x14ac:dyDescent="0.2">
      <c r="B89" s="7" t="s">
        <v>3622</v>
      </c>
    </row>
    <row r="90" spans="2:4" x14ac:dyDescent="0.2">
      <c r="B90" s="7" t="s">
        <v>3623</v>
      </c>
    </row>
    <row r="91" spans="2:4" x14ac:dyDescent="0.2">
      <c r="B91" s="7" t="s">
        <v>3624</v>
      </c>
    </row>
    <row r="92" spans="2:4" x14ac:dyDescent="0.2">
      <c r="B92" s="7" t="s">
        <v>3625</v>
      </c>
    </row>
    <row r="93" spans="2:4" x14ac:dyDescent="0.2">
      <c r="B93" s="7" t="s">
        <v>3626</v>
      </c>
    </row>
    <row r="94" spans="2:4" x14ac:dyDescent="0.2">
      <c r="B94" s="7" t="s">
        <v>3627</v>
      </c>
    </row>
    <row r="95" spans="2:4" x14ac:dyDescent="0.2">
      <c r="B95" s="6"/>
    </row>
    <row r="96" spans="2:4" x14ac:dyDescent="0.2">
      <c r="B96" s="6" t="s">
        <v>3628</v>
      </c>
    </row>
    <row r="97" spans="2:2" x14ac:dyDescent="0.2">
      <c r="B97" s="6" t="s">
        <v>3513</v>
      </c>
    </row>
  </sheetData>
  <mergeCells count="2">
    <mergeCell ref="B8:B10"/>
    <mergeCell ref="D8:D10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AD34D-9C04-46FE-B9B6-159E05180FD0}">
  <dimension ref="B1:G97"/>
  <sheetViews>
    <sheetView zoomScaleNormal="100" workbookViewId="0">
      <selection activeCell="D11" sqref="D1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3397</v>
      </c>
      <c r="G1" t="str">
        <f>"&lt;dl&gt;&lt;dt&gt;" &amp; B1 &amp; "&lt;/dt&gt;&lt;dd&gt;" &amp; C1 &amp; "&lt;/dd&gt;&lt;dd&gt;" &amp; D1 &amp; "&lt;/dd&gt;&lt;/dl&gt;"</f>
        <v>&lt;dl&gt;&lt;dt&gt;根据《金刚佛光-紫占课程手册》，天机星的完整象义解析如下（严格遵循原始资料结构与表述，并依您的要求，在“本质”部分增补“人/事/物”三个层次的解析）：&lt;/dt&gt;&lt;dd&gt;&lt;/dd&gt;&lt;dd&gt;&lt;/dd&gt;&lt;/dl&gt;</v>
      </c>
    </row>
    <row r="4" spans="2:7" ht="17.25" x14ac:dyDescent="0.2">
      <c r="B4" s="5" t="s">
        <v>3398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16.5" thickBot="1" x14ac:dyDescent="0.25">
      <c r="B7" s="14" t="s">
        <v>2913</v>
      </c>
      <c r="C7" s="15" t="s">
        <v>3399</v>
      </c>
      <c r="D7" s="15"/>
    </row>
    <row r="8" spans="2:7" ht="94.5" x14ac:dyDescent="0.2">
      <c r="B8" s="24" t="s">
        <v>2914</v>
      </c>
      <c r="C8" s="19" t="s">
        <v>3400</v>
      </c>
      <c r="D8" s="27" t="s">
        <v>3403</v>
      </c>
    </row>
    <row r="9" spans="2:7" ht="78.75" x14ac:dyDescent="0.2">
      <c r="B9" s="25"/>
      <c r="C9" s="20" t="s">
        <v>3401</v>
      </c>
      <c r="D9" s="28"/>
    </row>
    <row r="10" spans="2:7" ht="79.5" thickBot="1" x14ac:dyDescent="0.25">
      <c r="B10" s="26"/>
      <c r="C10" s="21" t="s">
        <v>3402</v>
      </c>
      <c r="D10" s="29"/>
    </row>
    <row r="11" spans="2:7" ht="111" thickBot="1" x14ac:dyDescent="0.25">
      <c r="B11" s="14" t="s">
        <v>2918</v>
      </c>
      <c r="C11" s="15" t="s">
        <v>3404</v>
      </c>
      <c r="D11" s="15"/>
    </row>
    <row r="14" spans="2:7" ht="17.25" x14ac:dyDescent="0.2">
      <c r="B14" s="5" t="s">
        <v>100</v>
      </c>
    </row>
    <row r="16" spans="2:7" ht="15.75" x14ac:dyDescent="0.2">
      <c r="B16" s="13" t="s">
        <v>101</v>
      </c>
    </row>
    <row r="17" spans="2:7" ht="16.5" thickBot="1" x14ac:dyDescent="0.25">
      <c r="B17" s="11"/>
    </row>
    <row r="18" spans="2:7" ht="16.5" thickBot="1" x14ac:dyDescent="0.25">
      <c r="B18" s="12" t="s">
        <v>62</v>
      </c>
      <c r="C18" s="12" t="s">
        <v>107</v>
      </c>
      <c r="D18" s="12" t="s">
        <v>108</v>
      </c>
    </row>
    <row r="19" spans="2:7" ht="48" thickBot="1" x14ac:dyDescent="0.25">
      <c r="B19" s="14" t="s">
        <v>3405</v>
      </c>
      <c r="C19" s="15" t="s">
        <v>3406</v>
      </c>
      <c r="D19" s="15" t="s">
        <v>3407</v>
      </c>
    </row>
    <row r="20" spans="2:7" ht="48" thickBot="1" x14ac:dyDescent="0.25">
      <c r="B20" s="14" t="s">
        <v>3408</v>
      </c>
      <c r="C20" s="15" t="s">
        <v>3409</v>
      </c>
      <c r="D20" s="15" t="s">
        <v>3410</v>
      </c>
    </row>
    <row r="21" spans="2:7" ht="48" thickBot="1" x14ac:dyDescent="0.25">
      <c r="B21" s="14" t="s">
        <v>3411</v>
      </c>
      <c r="C21" s="14" t="s">
        <v>3412</v>
      </c>
      <c r="D21" s="15" t="s">
        <v>3413</v>
      </c>
    </row>
    <row r="22" spans="2:7" ht="48" thickBot="1" x14ac:dyDescent="0.25">
      <c r="B22" s="14" t="s">
        <v>3414</v>
      </c>
      <c r="C22" s="15" t="s">
        <v>3415</v>
      </c>
      <c r="D22" s="15" t="s">
        <v>3416</v>
      </c>
    </row>
    <row r="23" spans="2:7" ht="32.25" thickBot="1" x14ac:dyDescent="0.25">
      <c r="B23" s="14" t="s">
        <v>3016</v>
      </c>
      <c r="C23" s="14" t="s">
        <v>3417</v>
      </c>
      <c r="D23" s="15" t="s">
        <v>2539</v>
      </c>
      <c r="E23" s="12"/>
    </row>
    <row r="24" spans="2:7" ht="48" thickBot="1" x14ac:dyDescent="0.25">
      <c r="B24" s="14" t="s">
        <v>3017</v>
      </c>
      <c r="C24" s="14" t="s">
        <v>3418</v>
      </c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&lt;dl&gt;&lt;dt&gt;性格特质​&lt;/dt&gt;&lt;dd&gt;聪明机智，反应敏捷，善解人意，乐于助人，心思缜密。但缺乏决断力，思虑过多，易钻牛角尖，神经敏感，善变不定。&lt;/dd&gt;&lt;dd&gt;&lt;/dd&gt;&lt;/dl&gt;</v>
      </c>
    </row>
    <row r="25" spans="2:7" ht="32.25" thickBot="1" x14ac:dyDescent="0.25">
      <c r="B25" s="14" t="s">
        <v>3419</v>
      </c>
      <c r="C25" s="15" t="s">
        <v>3420</v>
      </c>
      <c r="D25" s="15" t="s">
        <v>3013</v>
      </c>
      <c r="E25" s="15"/>
      <c r="G25" t="str">
        <f t="shared" si="0"/>
        <v>&lt;dl&gt;&lt;dt&gt;健康方面​&lt;/dt&gt;&lt;dd&gt;属木，主肝胆、神经系统。需注意神经衰弱、失眠、肝胆疾病、手足受伤。&lt;/dd&gt;&lt;dd&gt;在疾厄宫时显现。&lt;/dd&gt;&lt;/dl&gt;</v>
      </c>
    </row>
    <row r="26" spans="2:7" ht="16.5" thickBot="1" x14ac:dyDescent="0.25"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E27" s="15"/>
      <c r="G27" t="str">
        <f t="shared" si="0"/>
        <v>&lt;dl&gt;&lt;dt&gt;&lt;/dt&gt;&lt;dd&gt;&lt;/dd&gt;&lt;dd&gt;&lt;/dd&gt;&lt;/dl&gt;</v>
      </c>
    </row>
    <row r="28" spans="2:7" ht="18" thickBot="1" x14ac:dyDescent="0.25">
      <c r="B28" s="5" t="s">
        <v>102</v>
      </c>
      <c r="E28" s="15"/>
      <c r="G28" t="str">
        <f t="shared" si="0"/>
        <v>&lt;dl&gt;&lt;dt&gt;三、宫位组合象义&lt;/dt&gt;&lt;dd&gt;&lt;/dd&gt;&lt;dd&gt;&lt;/dd&gt;&lt;/dl&gt;</v>
      </c>
    </row>
    <row r="29" spans="2:7" ht="16.5" thickBot="1" x14ac:dyDescent="0.25">
      <c r="B29" s="11"/>
      <c r="E29" s="15"/>
      <c r="G29" t="str">
        <f t="shared" si="0"/>
        <v>&lt;dl&gt;&lt;dt&gt;&lt;/dt&gt;&lt;dd&gt;&lt;/dd&gt;&lt;dd&gt;&lt;/dd&gt;&lt;/dl&gt;</v>
      </c>
    </row>
    <row r="30" spans="2:7" ht="16.5" thickBot="1" x14ac:dyDescent="0.25">
      <c r="B30" s="12" t="s">
        <v>6</v>
      </c>
      <c r="C30" s="12" t="s">
        <v>107</v>
      </c>
      <c r="D30" s="12" t="s">
        <v>7</v>
      </c>
    </row>
    <row r="31" spans="2:7" ht="111" thickBot="1" x14ac:dyDescent="0.25">
      <c r="B31" s="14" t="s">
        <v>2930</v>
      </c>
      <c r="C31" s="15" t="s">
        <v>3421</v>
      </c>
      <c r="D31" s="15"/>
    </row>
    <row r="32" spans="2:7" ht="48" thickBot="1" x14ac:dyDescent="0.25">
      <c r="B32" s="14" t="s">
        <v>2932</v>
      </c>
      <c r="C32" s="14" t="s">
        <v>3422</v>
      </c>
      <c r="D32" s="15"/>
    </row>
    <row r="33" spans="2:7" ht="63.75" thickBot="1" x14ac:dyDescent="0.25">
      <c r="B33" s="14" t="s">
        <v>2934</v>
      </c>
      <c r="C33" s="15" t="s">
        <v>3423</v>
      </c>
      <c r="D33" s="15"/>
    </row>
    <row r="34" spans="2:7" ht="48" thickBot="1" x14ac:dyDescent="0.25">
      <c r="B34" s="14" t="s">
        <v>2936</v>
      </c>
      <c r="C34" s="15" t="s">
        <v>3424</v>
      </c>
      <c r="D34" s="15"/>
      <c r="E34" s="12"/>
    </row>
    <row r="35" spans="2:7" ht="63.75" thickBot="1" x14ac:dyDescent="0.25">
      <c r="B35" s="14" t="s">
        <v>9</v>
      </c>
      <c r="C35" s="15" t="s">
        <v>3425</v>
      </c>
      <c r="D35" s="15"/>
      <c r="E35" s="15"/>
      <c r="G35" t="str">
        <f t="shared" si="0"/>
        <v>&lt;dl&gt;&lt;dt&gt;财帛宫​&lt;/dt&gt;&lt;dd&gt;求财方式多与智慧、策划、变动、交通、通讯相关。财运起伏不定，善用机会可获财，但需防因思虑过多错失良机。喜见禄存，主以智谋财。&lt;/dd&gt;&lt;dd&gt;&lt;/dd&gt;&lt;/dl&gt;</v>
      </c>
    </row>
    <row r="36" spans="2:7" ht="32.25" thickBot="1" x14ac:dyDescent="0.25">
      <c r="B36" s="14" t="s">
        <v>10</v>
      </c>
      <c r="C36" s="15" t="s">
        <v>3426</v>
      </c>
      <c r="D36" s="15"/>
      <c r="E36" s="15"/>
      <c r="G36" t="str">
        <f t="shared" si="0"/>
        <v>&lt;dl&gt;&lt;dt&gt;疾厄宫​&lt;/dt&gt;&lt;dd&gt;需注意肝胆、神经系统、手足问题。易有神经衰弱、失眠、肝胆疾病、手足受伤或神经痛。&lt;/dd&gt;&lt;dd&gt;&lt;/dd&gt;&lt;/dl&gt;</v>
      </c>
    </row>
    <row r="37" spans="2:7" ht="48" thickBot="1" x14ac:dyDescent="0.25">
      <c r="B37" s="14" t="s">
        <v>13</v>
      </c>
      <c r="C37" s="15" t="s">
        <v>3427</v>
      </c>
      <c r="D37" s="15"/>
      <c r="E37" s="15"/>
      <c r="G37" t="str">
        <f t="shared" si="0"/>
        <v>&lt;dl&gt;&lt;dt&gt;迁移宫​&lt;/dt&gt;&lt;dd&gt;在外发展多变动、多机会，适合外出发展，从事需要移动、沟通的工作。外出易遇贵人，但需防交通意外。&lt;/dd&gt;&lt;dd&gt;&lt;/dd&gt;&lt;/dl&gt;</v>
      </c>
    </row>
    <row r="38" spans="2:7" ht="32.25" thickBot="1" x14ac:dyDescent="0.25">
      <c r="B38" s="14" t="s">
        <v>3018</v>
      </c>
      <c r="C38" s="15" t="s">
        <v>3428</v>
      </c>
      <c r="D38" s="15"/>
      <c r="E38" s="15"/>
      <c r="G38" t="str">
        <f t="shared" si="0"/>
        <v>&lt;dl&gt;&lt;dt&gt;交友宫（奴仆宫）​&lt;/dt&gt;&lt;dd&gt;朋友、部属多聪明、机灵、善变者，但关系可能不稳定，易有变动。&lt;/dd&gt;&lt;dd&gt;&lt;/dd&gt;&lt;/dl&gt;</v>
      </c>
    </row>
    <row r="39" spans="2:7" ht="63.75" thickBot="1" x14ac:dyDescent="0.25">
      <c r="B39" s="14" t="s">
        <v>3019</v>
      </c>
      <c r="C39" s="15" t="s">
        <v>3429</v>
      </c>
      <c r="D39" s="15"/>
      <c r="E39" s="15"/>
      <c r="G39" t="str">
        <f t="shared" si="0"/>
        <v>&lt;dl&gt;&lt;dt&gt;官禄宫（事业宫）​&lt;/dt&gt;&lt;dd&gt;适合从事策划、咨询、教育、交通、通讯、机械、宗教、玄学等需要智慧与变通的行业。事业上多变动，不喜一成不变，喜从事脑力工作。&lt;/dd&gt;&lt;dd&gt;&lt;/dd&gt;&lt;/dl&gt;</v>
      </c>
    </row>
    <row r="40" spans="2:7" ht="32.25" thickBot="1" x14ac:dyDescent="0.25">
      <c r="B40" s="14" t="s">
        <v>8</v>
      </c>
      <c r="C40" s="15" t="s">
        <v>3430</v>
      </c>
      <c r="D40" s="15"/>
      <c r="E40" s="15"/>
      <c r="G40" t="str">
        <f t="shared" si="0"/>
        <v>&lt;dl&gt;&lt;dt&gt;田宅宫​&lt;/dt&gt;&lt;dd&gt;家宅易有变动（如搬家、装修），或家中有机械、交通工具。家庭氛围活跃、多变。&lt;/dd&gt;&lt;dd&gt;&lt;/dd&gt;&lt;/dl&gt;</v>
      </c>
    </row>
    <row r="41" spans="2:7" ht="48" thickBot="1" x14ac:dyDescent="0.25">
      <c r="B41" s="14" t="s">
        <v>2945</v>
      </c>
      <c r="C41" s="15" t="s">
        <v>3431</v>
      </c>
      <c r="D41" s="15"/>
      <c r="E41" s="15"/>
      <c r="G41" t="str">
        <f t="shared" si="0"/>
        <v>&lt;dl&gt;&lt;dt&gt;福德宫​&lt;/dt&gt;&lt;dd&gt;精神世界思虑繁多，喜思考、谋划，内心不安定，追求精神层面的智慧与解脱。与宗教、哲学有缘。&lt;/dd&gt;&lt;dd&gt;&lt;/dd&gt;&lt;/dl&gt;</v>
      </c>
    </row>
    <row r="42" spans="2:7" ht="32.25" thickBot="1" x14ac:dyDescent="0.25">
      <c r="B42" s="14" t="s">
        <v>11</v>
      </c>
      <c r="C42" s="15" t="s">
        <v>3432</v>
      </c>
      <c r="D42" s="15"/>
      <c r="E42" s="15"/>
      <c r="G42" t="str">
        <f t="shared" si="0"/>
        <v>&lt;dl&gt;&lt;dt&gt;父母宫​&lt;/dt&gt;&lt;dd&gt;父母聪明、开明，教育方式灵活。与父母关系融洽，但可能聚少离多。&lt;/dd&gt;&lt;dd&gt;&lt;/dd&gt;&lt;/dl&gt;</v>
      </c>
    </row>
    <row r="43" spans="2:7" ht="16.5" thickBot="1" x14ac:dyDescent="0.25">
      <c r="E43" s="15"/>
      <c r="G43" t="str">
        <f t="shared" si="0"/>
        <v>&lt;dl&gt;&lt;dt&gt;&lt;/dt&gt;&lt;dd&gt;&lt;/dd&gt;&lt;dd&gt;&lt;/dd&gt;&lt;/dl&gt;</v>
      </c>
    </row>
    <row r="45" spans="2:7" ht="17.25" x14ac:dyDescent="0.2">
      <c r="B45" s="5" t="s">
        <v>70</v>
      </c>
    </row>
    <row r="47" spans="2:7" ht="16.5" thickBot="1" x14ac:dyDescent="0.25">
      <c r="B47" s="13" t="s">
        <v>3433</v>
      </c>
    </row>
    <row r="48" spans="2:7" ht="16.5" thickBot="1" x14ac:dyDescent="0.25">
      <c r="B48" s="11"/>
      <c r="E48" s="12"/>
    </row>
    <row r="49" spans="2:7" ht="16.5" thickBot="1" x14ac:dyDescent="0.25">
      <c r="B49" s="12" t="s">
        <v>19</v>
      </c>
      <c r="C49" s="12" t="s">
        <v>73</v>
      </c>
      <c r="D49" s="12" t="s">
        <v>108</v>
      </c>
      <c r="E49" s="15"/>
      <c r="G49" t="str">
        <f t="shared" si="0"/>
        <v>&lt;dl&gt;&lt;dt&gt;组合​&lt;/dt&gt;&lt;dd&gt;效应​&lt;/dd&gt;&lt;dd&gt;典型案例/说明​&lt;/dd&gt;&lt;/dl&gt;</v>
      </c>
    </row>
    <row r="50" spans="2:7" ht="32.25" thickBot="1" x14ac:dyDescent="0.25">
      <c r="B50" s="14" t="s">
        <v>3434</v>
      </c>
      <c r="C50" s="14" t="s">
        <v>3435</v>
      </c>
      <c r="D50" s="15" t="s">
        <v>3436</v>
      </c>
      <c r="E50" s="15"/>
      <c r="G50" t="str">
        <f t="shared" si="0"/>
        <v>&lt;dl&gt;&lt;dt&gt;天机+紫微​&lt;/dt&gt;&lt;dd&gt;帝星遇智，智慧与权威结合，善于谋划，能辅佐帝王，适合担任军师、参谋、高层智囊。&lt;/dd&gt;&lt;dd&gt;企业战略顾问；政府智囊；高层管理者。&lt;/dd&gt;&lt;/dl&gt;</v>
      </c>
    </row>
    <row r="51" spans="2:7" ht="48" thickBot="1" x14ac:dyDescent="0.25">
      <c r="B51" s="14" t="s">
        <v>3437</v>
      </c>
      <c r="C51" s="15" t="s">
        <v>3438</v>
      </c>
      <c r="D51" s="15" t="s">
        <v>3439</v>
      </c>
      <c r="E51" s="15"/>
      <c r="G51" t="str">
        <f t="shared" si="0"/>
        <v>&lt;dl&gt;&lt;dt&gt;天机+天机​&lt;/dt&gt;&lt;dd&gt;(天机独坐) 智慧纯粹，聪明、善变特质极致发挥，若庙旺无煞，可为优秀策划者；若落陷无煞激发，则易流于空想。&lt;/dd&gt;&lt;dd&gt;策划师；分析师；但需防思而不行。&lt;/dd&gt;&lt;/dl&gt;</v>
      </c>
    </row>
    <row r="52" spans="2:7" ht="32.25" thickBot="1" x14ac:dyDescent="0.25">
      <c r="B52" s="14" t="s">
        <v>3440</v>
      </c>
      <c r="C52" s="14" t="s">
        <v>3441</v>
      </c>
      <c r="D52" s="15" t="s">
        <v>3442</v>
      </c>
      <c r="E52" s="15"/>
      <c r="G52" t="str">
        <f t="shared" si="0"/>
        <v>&lt;dl&gt;&lt;dt&gt;天机+太阳​&lt;/dt&gt;&lt;dd&gt;日照遇智，发散与智慧结合，聪明外露，善于公开演讲、教育，适合教育、传媒、咨询。&lt;/dd&gt;&lt;dd&gt;教师；媒体人；咨询顾问。&lt;/dd&gt;&lt;/dl&gt;</v>
      </c>
    </row>
    <row r="53" spans="2:7" ht="32.25" thickBot="1" x14ac:dyDescent="0.25">
      <c r="B53" s="14" t="s">
        <v>3443</v>
      </c>
      <c r="C53" s="14" t="s">
        <v>3444</v>
      </c>
      <c r="D53" s="15" t="s">
        <v>3014</v>
      </c>
    </row>
    <row r="54" spans="2:7" ht="48" thickBot="1" x14ac:dyDescent="0.25">
      <c r="B54" s="14" t="s">
        <v>3445</v>
      </c>
      <c r="C54" s="14" t="s">
        <v>3446</v>
      </c>
      <c r="D54" s="15" t="s">
        <v>3447</v>
      </c>
    </row>
    <row r="55" spans="2:7" ht="32.25" thickBot="1" x14ac:dyDescent="0.25">
      <c r="B55" s="14" t="s">
        <v>3448</v>
      </c>
      <c r="C55" s="14" t="s">
        <v>3449</v>
      </c>
      <c r="D55" s="15" t="s">
        <v>3450</v>
      </c>
    </row>
    <row r="56" spans="2:7" ht="32.25" thickBot="1" x14ac:dyDescent="0.25">
      <c r="B56" s="14" t="s">
        <v>3451</v>
      </c>
      <c r="C56" s="14" t="s">
        <v>3452</v>
      </c>
      <c r="D56" s="15" t="s">
        <v>3453</v>
      </c>
    </row>
    <row r="57" spans="2:7" ht="48" thickBot="1" x14ac:dyDescent="0.25">
      <c r="B57" s="14" t="s">
        <v>3454</v>
      </c>
      <c r="C57" s="14" t="s">
        <v>3455</v>
      </c>
      <c r="D57" s="15" t="s">
        <v>3456</v>
      </c>
    </row>
    <row r="58" spans="2:7" ht="48" thickBot="1" x14ac:dyDescent="0.25">
      <c r="B58" s="14" t="s">
        <v>3457</v>
      </c>
      <c r="C58" s="14" t="s">
        <v>3458</v>
      </c>
      <c r="D58" s="15" t="s">
        <v>3459</v>
      </c>
    </row>
    <row r="59" spans="2:7" ht="48" thickBot="1" x14ac:dyDescent="0.25">
      <c r="B59" s="14" t="s">
        <v>3460</v>
      </c>
      <c r="C59" s="14" t="s">
        <v>3461</v>
      </c>
      <c r="D59" s="15" t="s">
        <v>3462</v>
      </c>
    </row>
    <row r="60" spans="2:7" ht="32.25" thickBot="1" x14ac:dyDescent="0.25">
      <c r="B60" s="14" t="s">
        <v>3463</v>
      </c>
      <c r="C60" s="14" t="s">
        <v>3464</v>
      </c>
      <c r="D60" s="15" t="s">
        <v>3465</v>
      </c>
    </row>
    <row r="61" spans="2:7" ht="48" thickBot="1" x14ac:dyDescent="0.25">
      <c r="B61" s="14" t="s">
        <v>3466</v>
      </c>
      <c r="C61" s="14" t="s">
        <v>3467</v>
      </c>
      <c r="D61" s="15" t="s">
        <v>3468</v>
      </c>
    </row>
    <row r="62" spans="2:7" ht="32.25" thickBot="1" x14ac:dyDescent="0.25">
      <c r="B62" s="14" t="s">
        <v>3469</v>
      </c>
      <c r="C62" s="14" t="s">
        <v>3470</v>
      </c>
      <c r="D62" s="15" t="s">
        <v>3471</v>
      </c>
    </row>
    <row r="63" spans="2:7" ht="32.25" thickBot="1" x14ac:dyDescent="0.25">
      <c r="B63" s="14" t="s">
        <v>3472</v>
      </c>
      <c r="C63" s="14" t="s">
        <v>3473</v>
      </c>
      <c r="D63" s="15" t="s">
        <v>3474</v>
      </c>
    </row>
    <row r="66" spans="2:4" ht="17.25" x14ac:dyDescent="0.2">
      <c r="B66" s="5" t="s">
        <v>71</v>
      </c>
    </row>
    <row r="67" spans="2:4" ht="16.5" thickBot="1" x14ac:dyDescent="0.25">
      <c r="B67" s="11"/>
    </row>
    <row r="68" spans="2:4" ht="16.5" thickBot="1" x14ac:dyDescent="0.25">
      <c r="B68" s="12" t="s">
        <v>14</v>
      </c>
      <c r="C68" s="12" t="s">
        <v>75</v>
      </c>
      <c r="D68" s="12" t="s">
        <v>7</v>
      </c>
    </row>
    <row r="69" spans="2:4" ht="32.25" thickBot="1" x14ac:dyDescent="0.25">
      <c r="B69" s="14" t="s">
        <v>3475</v>
      </c>
      <c r="C69" s="14" t="s">
        <v>3476</v>
      </c>
      <c r="D69" s="15"/>
    </row>
    <row r="70" spans="2:4" ht="32.25" thickBot="1" x14ac:dyDescent="0.25">
      <c r="B70" s="14" t="s">
        <v>3477</v>
      </c>
      <c r="C70" s="14" t="s">
        <v>3478</v>
      </c>
      <c r="D70" s="15"/>
    </row>
    <row r="71" spans="2:4" ht="32.25" thickBot="1" x14ac:dyDescent="0.25">
      <c r="B71" s="14" t="s">
        <v>3479</v>
      </c>
      <c r="C71" s="14" t="s">
        <v>3480</v>
      </c>
      <c r="D71" s="15"/>
    </row>
    <row r="72" spans="2:4" ht="32.25" thickBot="1" x14ac:dyDescent="0.25">
      <c r="B72" s="14" t="s">
        <v>3481</v>
      </c>
      <c r="C72" s="14" t="s">
        <v>3482</v>
      </c>
      <c r="D72" s="15"/>
    </row>
    <row r="73" spans="2:4" ht="48" thickBot="1" x14ac:dyDescent="0.25">
      <c r="B73" s="14" t="s">
        <v>3483</v>
      </c>
      <c r="C73" s="14" t="s">
        <v>3484</v>
      </c>
      <c r="D73" s="15"/>
    </row>
    <row r="74" spans="2:4" ht="32.25" thickBot="1" x14ac:dyDescent="0.25">
      <c r="B74" s="14" t="s">
        <v>3485</v>
      </c>
      <c r="C74" s="14" t="s">
        <v>3486</v>
      </c>
      <c r="D74" s="15"/>
    </row>
    <row r="75" spans="2:4" ht="32.25" thickBot="1" x14ac:dyDescent="0.25">
      <c r="B75" s="14" t="s">
        <v>3487</v>
      </c>
      <c r="C75" s="14" t="s">
        <v>3488</v>
      </c>
      <c r="D75" s="15"/>
    </row>
    <row r="76" spans="2:4" ht="32.25" thickBot="1" x14ac:dyDescent="0.25">
      <c r="B76" s="14" t="s">
        <v>3489</v>
      </c>
      <c r="C76" s="14" t="s">
        <v>3490</v>
      </c>
      <c r="D76" s="15"/>
    </row>
    <row r="77" spans="2:4" ht="32.25" thickBot="1" x14ac:dyDescent="0.25">
      <c r="B77" s="14" t="s">
        <v>3491</v>
      </c>
      <c r="C77" s="14" t="s">
        <v>3492</v>
      </c>
      <c r="D77" s="15"/>
    </row>
    <row r="78" spans="2:4" ht="32.25" thickBot="1" x14ac:dyDescent="0.25">
      <c r="B78" s="14" t="s">
        <v>3493</v>
      </c>
      <c r="C78" s="14" t="s">
        <v>3494</v>
      </c>
      <c r="D78" s="15"/>
    </row>
    <row r="79" spans="2:4" ht="32.25" thickBot="1" x14ac:dyDescent="0.25">
      <c r="B79" s="14" t="s">
        <v>3495</v>
      </c>
      <c r="C79" s="14" t="s">
        <v>3496</v>
      </c>
      <c r="D79" s="15"/>
    </row>
    <row r="80" spans="2:4" ht="32.25" thickBot="1" x14ac:dyDescent="0.25">
      <c r="B80" s="14" t="s">
        <v>3497</v>
      </c>
      <c r="C80" s="14" t="s">
        <v>3498</v>
      </c>
      <c r="D80" s="15"/>
    </row>
    <row r="81" spans="2:4" ht="32.25" thickBot="1" x14ac:dyDescent="0.25">
      <c r="B81" s="14" t="s">
        <v>3499</v>
      </c>
      <c r="C81" s="14" t="s">
        <v>3500</v>
      </c>
      <c r="D81" s="15"/>
    </row>
    <row r="82" spans="2:4" ht="32.25" thickBot="1" x14ac:dyDescent="0.25">
      <c r="B82" s="14" t="s">
        <v>3501</v>
      </c>
      <c r="C82" s="14" t="s">
        <v>3502</v>
      </c>
      <c r="D82" s="15"/>
    </row>
    <row r="83" spans="2:4" ht="48" thickBot="1" x14ac:dyDescent="0.25">
      <c r="B83" s="14" t="s">
        <v>3503</v>
      </c>
      <c r="C83" s="14" t="s">
        <v>3504</v>
      </c>
      <c r="D83" s="15"/>
    </row>
    <row r="86" spans="2:4" ht="17.25" x14ac:dyDescent="0.2">
      <c r="B86" s="5" t="s">
        <v>103</v>
      </c>
    </row>
    <row r="87" spans="2:4" x14ac:dyDescent="0.2">
      <c r="B87" s="6"/>
    </row>
    <row r="88" spans="2:4" x14ac:dyDescent="0.2">
      <c r="B88" s="7" t="s">
        <v>3505</v>
      </c>
    </row>
    <row r="89" spans="2:4" x14ac:dyDescent="0.2">
      <c r="B89" s="7" t="s">
        <v>3506</v>
      </c>
    </row>
    <row r="90" spans="2:4" x14ac:dyDescent="0.2">
      <c r="B90" s="7" t="s">
        <v>3507</v>
      </c>
    </row>
    <row r="91" spans="2:4" x14ac:dyDescent="0.2">
      <c r="B91" s="7" t="s">
        <v>3508</v>
      </c>
    </row>
    <row r="92" spans="2:4" x14ac:dyDescent="0.2">
      <c r="B92" s="7" t="s">
        <v>3509</v>
      </c>
    </row>
    <row r="93" spans="2:4" x14ac:dyDescent="0.2">
      <c r="B93" s="7" t="s">
        <v>3510</v>
      </c>
    </row>
    <row r="94" spans="2:4" x14ac:dyDescent="0.2">
      <c r="B94" s="7" t="s">
        <v>3511</v>
      </c>
    </row>
    <row r="95" spans="2:4" x14ac:dyDescent="0.2">
      <c r="B95" s="7" t="s">
        <v>3512</v>
      </c>
    </row>
    <row r="96" spans="2:4" x14ac:dyDescent="0.2">
      <c r="B96" s="6"/>
    </row>
    <row r="97" spans="2:2" x14ac:dyDescent="0.2">
      <c r="B97" s="6" t="s">
        <v>3513</v>
      </c>
    </row>
  </sheetData>
  <mergeCells count="2">
    <mergeCell ref="B8:B10"/>
    <mergeCell ref="D8:D10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E98B-40CE-4855-BF08-9462AA25F41B}">
  <dimension ref="B1:G97"/>
  <sheetViews>
    <sheetView topLeftCell="A45" zoomScaleNormal="100" workbookViewId="0">
      <selection activeCell="D82" sqref="D8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3280</v>
      </c>
      <c r="G1" t="str">
        <f>"&lt;dl&gt;&lt;dt&gt;" &amp; B1 &amp; "&lt;/dt&gt;&lt;dd&gt;" &amp; C1 &amp; "&lt;/dd&gt;&lt;dd&gt;" &amp; D1 &amp; "&lt;/dd&gt;&lt;/dl&gt;"</f>
        <v>&lt;dl&gt;&lt;dt&gt;根据《金刚佛光-紫占课程手册》，天同星的完整象义解析如下（严格遵循原始资料结构与表述，并依您的要求，在“本质”部分增补“人/事/物”三个层次的解析）：&lt;/dt&gt;&lt;dd&gt;&lt;/dd&gt;&lt;dd&gt;&lt;/dd&gt;&lt;/dl&gt;</v>
      </c>
    </row>
    <row r="4" spans="2:7" ht="17.25" x14ac:dyDescent="0.2">
      <c r="B4" s="5" t="s">
        <v>3281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32.25" thickBot="1" x14ac:dyDescent="0.25">
      <c r="B7" s="14" t="s">
        <v>2913</v>
      </c>
      <c r="C7" s="15" t="s">
        <v>3282</v>
      </c>
      <c r="D7" s="15"/>
    </row>
    <row r="8" spans="2:7" ht="110.25" x14ac:dyDescent="0.2">
      <c r="B8" s="24" t="s">
        <v>2914</v>
      </c>
      <c r="C8" s="19" t="s">
        <v>3283</v>
      </c>
      <c r="D8" s="27" t="s">
        <v>3286</v>
      </c>
    </row>
    <row r="9" spans="2:7" ht="78.75" x14ac:dyDescent="0.2">
      <c r="B9" s="25"/>
      <c r="C9" s="20" t="s">
        <v>3284</v>
      </c>
      <c r="D9" s="28"/>
    </row>
    <row r="10" spans="2:7" ht="79.5" thickBot="1" x14ac:dyDescent="0.25">
      <c r="B10" s="26"/>
      <c r="C10" s="21" t="s">
        <v>3285</v>
      </c>
      <c r="D10" s="29"/>
    </row>
    <row r="11" spans="2:7" ht="126.75" thickBot="1" x14ac:dyDescent="0.25">
      <c r="B11" s="14" t="s">
        <v>2918</v>
      </c>
      <c r="C11" s="15" t="s">
        <v>3287</v>
      </c>
      <c r="D11" s="15"/>
    </row>
    <row r="14" spans="2:7" ht="17.25" x14ac:dyDescent="0.2">
      <c r="B14" s="5" t="s">
        <v>100</v>
      </c>
    </row>
    <row r="16" spans="2:7" ht="15.75" x14ac:dyDescent="0.2">
      <c r="B16" s="13" t="s">
        <v>101</v>
      </c>
    </row>
    <row r="17" spans="2:7" ht="16.5" thickBot="1" x14ac:dyDescent="0.25">
      <c r="B17" s="11"/>
    </row>
    <row r="18" spans="2:7" ht="16.5" thickBot="1" x14ac:dyDescent="0.25">
      <c r="B18" s="12" t="s">
        <v>62</v>
      </c>
      <c r="C18" s="12" t="s">
        <v>107</v>
      </c>
      <c r="D18" s="12" t="s">
        <v>108</v>
      </c>
    </row>
    <row r="19" spans="2:7" ht="63.75" thickBot="1" x14ac:dyDescent="0.25">
      <c r="B19" s="14" t="s">
        <v>3288</v>
      </c>
      <c r="C19" s="15" t="s">
        <v>3289</v>
      </c>
      <c r="D19" s="15" t="s">
        <v>3290</v>
      </c>
    </row>
    <row r="20" spans="2:7" ht="48" thickBot="1" x14ac:dyDescent="0.25">
      <c r="B20" s="14" t="s">
        <v>3291</v>
      </c>
      <c r="C20" s="15" t="s">
        <v>3292</v>
      </c>
      <c r="D20" s="15" t="s">
        <v>3293</v>
      </c>
    </row>
    <row r="21" spans="2:7" ht="48" thickBot="1" x14ac:dyDescent="0.25">
      <c r="B21" s="14" t="s">
        <v>3294</v>
      </c>
      <c r="C21" s="14" t="s">
        <v>3295</v>
      </c>
      <c r="D21" s="15" t="s">
        <v>3296</v>
      </c>
    </row>
    <row r="22" spans="2:7" ht="48" thickBot="1" x14ac:dyDescent="0.25">
      <c r="B22" s="14" t="s">
        <v>3297</v>
      </c>
      <c r="C22" s="15" t="s">
        <v>3298</v>
      </c>
      <c r="D22" s="15" t="s">
        <v>3299</v>
      </c>
    </row>
    <row r="23" spans="2:7" ht="48" thickBot="1" x14ac:dyDescent="0.25">
      <c r="B23" s="14" t="s">
        <v>3300</v>
      </c>
      <c r="C23" s="14" t="s">
        <v>3301</v>
      </c>
      <c r="D23" s="15" t="s">
        <v>3302</v>
      </c>
    </row>
    <row r="24" spans="2:7" ht="32.25" thickBot="1" x14ac:dyDescent="0.25">
      <c r="B24" s="14" t="s">
        <v>3303</v>
      </c>
      <c r="C24" s="15" t="s">
        <v>3304</v>
      </c>
      <c r="D24" s="15" t="s">
        <v>3305</v>
      </c>
      <c r="G24" t="str">
        <f t="shared" ref="G24:G52" si="0">"&lt;dl&gt;&lt;dt&gt;" &amp; B24 &amp; "&lt;/dt&gt;&lt;dd&gt;" &amp; C24 &amp; "&lt;/dd&gt;&lt;dd&gt;" &amp; D24 &amp; "&lt;/dd&gt;&lt;/dl&gt;"</f>
        <v>&lt;dl&gt;&lt;dt&gt;先苦后甜​&lt;/dt&gt;&lt;dd&gt;天同星常有白手起家、先凶后吉的性质，需经历一段困苦时期，方能享受后来的幸福。&lt;/dd&gt;&lt;dd&gt;在命宫、官禄宫时，事业多早年辛苦，晚年安逸。&lt;/dd&gt;&lt;/dl&gt;</v>
      </c>
    </row>
    <row r="25" spans="2:7" ht="32.25" thickBot="1" x14ac:dyDescent="0.25">
      <c r="B25" s="14" t="s">
        <v>3016</v>
      </c>
      <c r="C25" s="14" t="s">
        <v>3306</v>
      </c>
      <c r="D25" s="15" t="s">
        <v>2539</v>
      </c>
      <c r="G25" t="str">
        <f t="shared" si="0"/>
        <v>&lt;dl&gt;&lt;dt&gt;外貌气质​&lt;/dt&gt;&lt;dd&gt;身形丰腴，面带笑容，眼神温和，有孩童般的天真气质。古诀云：“为人廉洁，貌禀清奇”。&lt;/dd&gt;&lt;dd&gt;在命宫、身宫时显著。&lt;/dd&gt;&lt;/dl&gt;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ht="17.25" x14ac:dyDescent="0.2">
      <c r="B28" s="5" t="s">
        <v>102</v>
      </c>
      <c r="G28" t="str">
        <f t="shared" si="0"/>
        <v>&lt;dl&gt;&lt;dt&gt;三、宫位组合象义&lt;/dt&gt;&lt;dd&gt;&lt;/dd&gt;&lt;dd&gt;&lt;/dd&gt;&lt;/dl&gt;</v>
      </c>
    </row>
    <row r="29" spans="2:7" ht="16.5" thickBot="1" x14ac:dyDescent="0.25">
      <c r="B29" s="11"/>
      <c r="G29" t="str">
        <f t="shared" si="0"/>
        <v>&lt;dl&gt;&lt;dt&gt;&lt;/dt&gt;&lt;dd&gt;&lt;/dd&gt;&lt;dd&gt;&lt;/dd&gt;&lt;/dl&gt;</v>
      </c>
    </row>
    <row r="30" spans="2:7" ht="16.5" thickBot="1" x14ac:dyDescent="0.25">
      <c r="B30" s="12" t="s">
        <v>6</v>
      </c>
      <c r="C30" s="12" t="s">
        <v>107</v>
      </c>
      <c r="D30" s="12" t="s">
        <v>7</v>
      </c>
    </row>
    <row r="31" spans="2:7" ht="95.25" thickBot="1" x14ac:dyDescent="0.25">
      <c r="B31" s="14" t="s">
        <v>2930</v>
      </c>
      <c r="C31" s="15" t="s">
        <v>3307</v>
      </c>
      <c r="D31" s="15"/>
    </row>
    <row r="32" spans="2:7" ht="48" thickBot="1" x14ac:dyDescent="0.25">
      <c r="B32" s="14" t="s">
        <v>2932</v>
      </c>
      <c r="C32" s="15" t="s">
        <v>3308</v>
      </c>
      <c r="D32" s="15"/>
    </row>
    <row r="33" spans="2:7" ht="63.75" thickBot="1" x14ac:dyDescent="0.25">
      <c r="B33" s="14" t="s">
        <v>2934</v>
      </c>
      <c r="C33" s="15" t="s">
        <v>3309</v>
      </c>
      <c r="D33" s="15"/>
    </row>
    <row r="34" spans="2:7" ht="32.25" thickBot="1" x14ac:dyDescent="0.25">
      <c r="B34" s="14" t="s">
        <v>2936</v>
      </c>
      <c r="C34" s="15" t="s">
        <v>3310</v>
      </c>
      <c r="D34" s="15"/>
    </row>
    <row r="35" spans="2:7" ht="63.75" thickBot="1" x14ac:dyDescent="0.25">
      <c r="B35" s="14" t="s">
        <v>9</v>
      </c>
      <c r="C35" s="15" t="s">
        <v>3311</v>
      </c>
      <c r="D35" s="15"/>
      <c r="G35" t="str">
        <f t="shared" si="0"/>
        <v>&lt;dl&gt;&lt;dt&gt;财帛宫​&lt;/dt&gt;&lt;dd&gt;求财方式平和，不喜竞争，财运多来自人际资源、福气馈赠或稳定收入。不善投机，喜享受，钱财多用于休闲、美食、艺术。见禄存、化禄，物质享受丰足。&lt;/dd&gt;&lt;dd&gt;&lt;/dd&gt;&lt;/dl&gt;</v>
      </c>
    </row>
    <row r="36" spans="2:7" ht="48" thickBot="1" x14ac:dyDescent="0.25">
      <c r="B36" s="14" t="s">
        <v>10</v>
      </c>
      <c r="C36" s="15" t="s">
        <v>3312</v>
      </c>
      <c r="D36" s="15"/>
      <c r="G36" t="str">
        <f t="shared" si="0"/>
        <v>&lt;dl&gt;&lt;dt&gt;疾厄宫​&lt;/dt&gt;&lt;dd&gt;属水，主肾脏、泌尿系统、血液循环。需注意水肿、代谢问题、情绪压力引发的慢性病。天同化气为福，亦有解厄制化之功，小病易愈。&lt;/dd&gt;&lt;dd&gt;&lt;/dd&gt;&lt;/dl&gt;</v>
      </c>
    </row>
    <row r="37" spans="2:7" ht="32.25" thickBot="1" x14ac:dyDescent="0.25">
      <c r="B37" s="14" t="s">
        <v>13</v>
      </c>
      <c r="C37" s="15" t="s">
        <v>3313</v>
      </c>
      <c r="D37" s="15"/>
    </row>
    <row r="38" spans="2:7" ht="32.25" thickBot="1" x14ac:dyDescent="0.25">
      <c r="B38" s="14" t="s">
        <v>3018</v>
      </c>
      <c r="C38" s="15" t="s">
        <v>3314</v>
      </c>
      <c r="D38" s="15"/>
    </row>
    <row r="39" spans="2:7" ht="63.75" thickBot="1" x14ac:dyDescent="0.25">
      <c r="B39" s="14" t="s">
        <v>3019</v>
      </c>
      <c r="C39" s="15" t="s">
        <v>3315</v>
      </c>
      <c r="D39" s="15"/>
    </row>
    <row r="40" spans="2:7" ht="48" thickBot="1" x14ac:dyDescent="0.25">
      <c r="B40" s="14" t="s">
        <v>8</v>
      </c>
      <c r="C40" s="15" t="s">
        <v>3316</v>
      </c>
      <c r="D40" s="15"/>
    </row>
    <row r="41" spans="2:7" ht="48" thickBot="1" x14ac:dyDescent="0.25">
      <c r="B41" s="14" t="s">
        <v>2945</v>
      </c>
      <c r="C41" s="14" t="s">
        <v>3317</v>
      </c>
      <c r="D41" s="15"/>
    </row>
    <row r="42" spans="2:7" ht="32.25" thickBot="1" x14ac:dyDescent="0.25">
      <c r="B42" s="14" t="s">
        <v>11</v>
      </c>
      <c r="C42" s="15" t="s">
        <v>3318</v>
      </c>
      <c r="D42" s="15"/>
    </row>
    <row r="45" spans="2:7" ht="17.25" x14ac:dyDescent="0.2">
      <c r="B45" s="5" t="s">
        <v>70</v>
      </c>
    </row>
    <row r="47" spans="2:7" ht="15.75" x14ac:dyDescent="0.2">
      <c r="B47" s="13" t="s">
        <v>3319</v>
      </c>
    </row>
    <row r="48" spans="2:7" ht="16.5" thickBot="1" x14ac:dyDescent="0.25">
      <c r="B48" s="11"/>
    </row>
    <row r="49" spans="2:7" ht="16.5" thickBot="1" x14ac:dyDescent="0.25">
      <c r="B49" s="12" t="s">
        <v>19</v>
      </c>
      <c r="C49" s="12" t="s">
        <v>73</v>
      </c>
      <c r="D49" s="12" t="s">
        <v>108</v>
      </c>
      <c r="G49" t="str">
        <f t="shared" si="0"/>
        <v>&lt;dl&gt;&lt;dt&gt;组合​&lt;/dt&gt;&lt;dd&gt;效应​&lt;/dd&gt;&lt;dd&gt;典型案例/说明​&lt;/dd&gt;&lt;/dl&gt;</v>
      </c>
    </row>
    <row r="50" spans="2:7" ht="48" thickBot="1" x14ac:dyDescent="0.25">
      <c r="B50" s="14" t="s">
        <v>3320</v>
      </c>
      <c r="C50" s="14" t="s">
        <v>3321</v>
      </c>
      <c r="D50" s="15" t="s">
        <v>3322</v>
      </c>
      <c r="G50" t="str">
        <f t="shared" si="0"/>
        <v>&lt;dl&gt;&lt;dt&gt;天同+紫微​&lt;/dt&gt;&lt;dd&gt;帝星遇福，温和与权威结合，能以柔克刚，在领导岗位上展现亲和力，易得下属拥戴，但需防过于安逸。&lt;/dd&gt;&lt;dd&gt;亲和型领导；慈善机构负责人。&lt;/dd&gt;&lt;/dl&gt;</v>
      </c>
    </row>
    <row r="51" spans="2:7" ht="48" thickBot="1" x14ac:dyDescent="0.25">
      <c r="B51" s="14" t="s">
        <v>3323</v>
      </c>
      <c r="C51" s="14" t="s">
        <v>3324</v>
      </c>
      <c r="D51" s="15" t="s">
        <v>3325</v>
      </c>
      <c r="G51" t="str">
        <f t="shared" si="0"/>
        <v>&lt;dl&gt;&lt;dt&gt;天同+天机​&lt;/dt&gt;&lt;dd&gt;智星遇福，机巧与温和结合，思维敏捷，善解人意，适合策划、咨询、教育，但思虑过多易缺乏行动力。&lt;/dd&gt;&lt;dd&gt;心理咨询师；教育工作者；策划顾问。&lt;/dd&gt;&lt;/dl&gt;</v>
      </c>
    </row>
    <row r="52" spans="2:7" ht="48" thickBot="1" x14ac:dyDescent="0.25">
      <c r="B52" s="14" t="s">
        <v>3326</v>
      </c>
      <c r="C52" s="14" t="s">
        <v>3327</v>
      </c>
      <c r="D52" s="15" t="s">
        <v>3328</v>
      </c>
      <c r="G52" t="str">
        <f t="shared" si="0"/>
        <v>&lt;dl&gt;&lt;dt&gt;天同+太阳​&lt;/dt&gt;&lt;dd&gt;日照遇福，发散与温和结合，乐观开朗，乐于助人，适合公益、教育、传媒，但需防过于理想化。&lt;/dd&gt;&lt;dd&gt;社会工作者；教师；公益人士。&lt;/dd&gt;&lt;/dl&gt;</v>
      </c>
    </row>
    <row r="53" spans="2:7" ht="32.25" thickBot="1" x14ac:dyDescent="0.25">
      <c r="B53" s="14" t="s">
        <v>3329</v>
      </c>
      <c r="C53" s="14" t="s">
        <v>3330</v>
      </c>
      <c r="D53" s="15" t="s">
        <v>3015</v>
      </c>
    </row>
    <row r="54" spans="2:7" ht="48" thickBot="1" x14ac:dyDescent="0.25">
      <c r="B54" s="14" t="s">
        <v>3331</v>
      </c>
      <c r="C54" s="15" t="s">
        <v>3332</v>
      </c>
      <c r="D54" s="15" t="s">
        <v>3333</v>
      </c>
    </row>
    <row r="55" spans="2:7" ht="48" thickBot="1" x14ac:dyDescent="0.25">
      <c r="B55" s="14" t="s">
        <v>3334</v>
      </c>
      <c r="C55" s="14" t="s">
        <v>3335</v>
      </c>
      <c r="D55" s="15" t="s">
        <v>3217</v>
      </c>
    </row>
    <row r="56" spans="2:7" ht="32.25" thickBot="1" x14ac:dyDescent="0.25">
      <c r="B56" s="14" t="s">
        <v>3336</v>
      </c>
      <c r="C56" s="14" t="s">
        <v>3337</v>
      </c>
      <c r="D56" s="15" t="s">
        <v>3338</v>
      </c>
    </row>
    <row r="57" spans="2:7" ht="48" thickBot="1" x14ac:dyDescent="0.25">
      <c r="B57" s="14" t="s">
        <v>3339</v>
      </c>
      <c r="C57" s="14" t="s">
        <v>3340</v>
      </c>
      <c r="D57" s="15" t="s">
        <v>3341</v>
      </c>
    </row>
    <row r="58" spans="2:7" ht="32.25" thickBot="1" x14ac:dyDescent="0.25">
      <c r="B58" s="14" t="s">
        <v>3342</v>
      </c>
      <c r="C58" s="14" t="s">
        <v>3343</v>
      </c>
      <c r="D58" s="15" t="s">
        <v>3344</v>
      </c>
    </row>
    <row r="59" spans="2:7" ht="48" thickBot="1" x14ac:dyDescent="0.25">
      <c r="B59" s="14" t="s">
        <v>3345</v>
      </c>
      <c r="C59" s="14" t="s">
        <v>3346</v>
      </c>
      <c r="D59" s="15" t="s">
        <v>3347</v>
      </c>
    </row>
    <row r="60" spans="2:7" ht="48" thickBot="1" x14ac:dyDescent="0.25">
      <c r="B60" s="14" t="s">
        <v>3348</v>
      </c>
      <c r="C60" s="14" t="s">
        <v>3349</v>
      </c>
      <c r="D60" s="15" t="s">
        <v>3350</v>
      </c>
    </row>
    <row r="61" spans="2:7" ht="48" thickBot="1" x14ac:dyDescent="0.25">
      <c r="B61" s="14" t="s">
        <v>3351</v>
      </c>
      <c r="C61" s="14" t="s">
        <v>3352</v>
      </c>
      <c r="D61" s="15" t="s">
        <v>3353</v>
      </c>
    </row>
    <row r="62" spans="2:7" ht="32.25" thickBot="1" x14ac:dyDescent="0.25">
      <c r="B62" s="14" t="s">
        <v>3354</v>
      </c>
      <c r="C62" s="14" t="s">
        <v>3355</v>
      </c>
      <c r="D62" s="15" t="s">
        <v>3356</v>
      </c>
    </row>
    <row r="63" spans="2:7" ht="32.25" thickBot="1" x14ac:dyDescent="0.25">
      <c r="B63" s="14" t="s">
        <v>3357</v>
      </c>
      <c r="C63" s="14" t="s">
        <v>3358</v>
      </c>
      <c r="D63" s="15" t="s">
        <v>3359</v>
      </c>
    </row>
    <row r="66" spans="2:4" ht="17.25" x14ac:dyDescent="0.2">
      <c r="B66" s="5" t="s">
        <v>71</v>
      </c>
    </row>
    <row r="67" spans="2:4" ht="16.5" thickBot="1" x14ac:dyDescent="0.25">
      <c r="B67" s="11"/>
    </row>
    <row r="68" spans="2:4" ht="16.5" thickBot="1" x14ac:dyDescent="0.25">
      <c r="B68" s="12" t="s">
        <v>14</v>
      </c>
      <c r="C68" s="12" t="s">
        <v>75</v>
      </c>
      <c r="D68" s="12" t="s">
        <v>7</v>
      </c>
    </row>
    <row r="69" spans="2:4" ht="32.25" thickBot="1" x14ac:dyDescent="0.25">
      <c r="B69" s="14" t="s">
        <v>3360</v>
      </c>
      <c r="C69" s="14" t="s">
        <v>3361</v>
      </c>
      <c r="D69" s="15"/>
    </row>
    <row r="70" spans="2:4" ht="32.25" thickBot="1" x14ac:dyDescent="0.25">
      <c r="B70" s="14" t="s">
        <v>3362</v>
      </c>
      <c r="C70" s="14" t="s">
        <v>3363</v>
      </c>
      <c r="D70" s="15"/>
    </row>
    <row r="71" spans="2:4" ht="32.25" thickBot="1" x14ac:dyDescent="0.25">
      <c r="B71" s="14" t="s">
        <v>3364</v>
      </c>
      <c r="C71" s="14" t="s">
        <v>3365</v>
      </c>
      <c r="D71" s="15"/>
    </row>
    <row r="72" spans="2:4" ht="32.25" thickBot="1" x14ac:dyDescent="0.25">
      <c r="B72" s="14" t="s">
        <v>3366</v>
      </c>
      <c r="C72" s="14" t="s">
        <v>3367</v>
      </c>
      <c r="D72" s="15"/>
    </row>
    <row r="73" spans="2:4" ht="32.25" thickBot="1" x14ac:dyDescent="0.25">
      <c r="B73" s="14" t="s">
        <v>3368</v>
      </c>
      <c r="C73" s="14" t="s">
        <v>3369</v>
      </c>
      <c r="D73" s="15"/>
    </row>
    <row r="74" spans="2:4" ht="32.25" thickBot="1" x14ac:dyDescent="0.25">
      <c r="B74" s="14" t="s">
        <v>3370</v>
      </c>
      <c r="C74" s="14" t="s">
        <v>3371</v>
      </c>
      <c r="D74" s="15"/>
    </row>
    <row r="75" spans="2:4" ht="32.25" thickBot="1" x14ac:dyDescent="0.25">
      <c r="B75" s="14" t="s">
        <v>3372</v>
      </c>
      <c r="C75" s="14" t="s">
        <v>3373</v>
      </c>
      <c r="D75" s="15"/>
    </row>
    <row r="76" spans="2:4" ht="32.25" thickBot="1" x14ac:dyDescent="0.25">
      <c r="B76" s="14" t="s">
        <v>3374</v>
      </c>
      <c r="C76" s="14" t="s">
        <v>3375</v>
      </c>
      <c r="D76" s="15"/>
    </row>
    <row r="77" spans="2:4" ht="32.25" thickBot="1" x14ac:dyDescent="0.25">
      <c r="B77" s="14" t="s">
        <v>3376</v>
      </c>
      <c r="C77" s="14" t="s">
        <v>3377</v>
      </c>
      <c r="D77" s="15"/>
    </row>
    <row r="78" spans="2:4" ht="32.25" thickBot="1" x14ac:dyDescent="0.25">
      <c r="B78" s="14" t="s">
        <v>3378</v>
      </c>
      <c r="C78" s="14" t="s">
        <v>3379</v>
      </c>
      <c r="D78" s="15"/>
    </row>
    <row r="79" spans="2:4" ht="32.25" thickBot="1" x14ac:dyDescent="0.25">
      <c r="B79" s="14" t="s">
        <v>3380</v>
      </c>
      <c r="C79" s="14" t="s">
        <v>3381</v>
      </c>
      <c r="D79" s="15"/>
    </row>
    <row r="80" spans="2:4" ht="32.25" thickBot="1" x14ac:dyDescent="0.25">
      <c r="B80" s="14" t="s">
        <v>3382</v>
      </c>
      <c r="C80" s="14" t="s">
        <v>3383</v>
      </c>
      <c r="D80" s="15"/>
    </row>
    <row r="81" spans="2:4" ht="48" thickBot="1" x14ac:dyDescent="0.25">
      <c r="B81" s="14" t="s">
        <v>3384</v>
      </c>
      <c r="C81" s="14" t="s">
        <v>3385</v>
      </c>
      <c r="D81" s="15"/>
    </row>
    <row r="82" spans="2:4" ht="48" thickBot="1" x14ac:dyDescent="0.25">
      <c r="B82" s="14" t="s">
        <v>3386</v>
      </c>
      <c r="C82" s="14" t="s">
        <v>3387</v>
      </c>
      <c r="D82" s="15"/>
    </row>
    <row r="85" spans="2:4" ht="17.25" x14ac:dyDescent="0.2">
      <c r="B85" s="5" t="s">
        <v>103</v>
      </c>
    </row>
    <row r="86" spans="2:4" x14ac:dyDescent="0.2">
      <c r="B86" s="6"/>
    </row>
    <row r="87" spans="2:4" x14ac:dyDescent="0.2">
      <c r="B87" s="7" t="s">
        <v>3388</v>
      </c>
    </row>
    <row r="88" spans="2:4" x14ac:dyDescent="0.2">
      <c r="B88" s="7" t="s">
        <v>3389</v>
      </c>
    </row>
    <row r="89" spans="2:4" x14ac:dyDescent="0.2">
      <c r="B89" s="7" t="s">
        <v>3390</v>
      </c>
    </row>
    <row r="90" spans="2:4" x14ac:dyDescent="0.2">
      <c r="B90" s="7" t="s">
        <v>3391</v>
      </c>
    </row>
    <row r="91" spans="2:4" x14ac:dyDescent="0.2">
      <c r="B91" s="7" t="s">
        <v>3392</v>
      </c>
    </row>
    <row r="92" spans="2:4" x14ac:dyDescent="0.2">
      <c r="B92" s="7" t="s">
        <v>3393</v>
      </c>
    </row>
    <row r="93" spans="2:4" x14ac:dyDescent="0.2">
      <c r="B93" s="7" t="s">
        <v>3394</v>
      </c>
    </row>
    <row r="94" spans="2:4" x14ac:dyDescent="0.2">
      <c r="B94" s="7" t="s">
        <v>3395</v>
      </c>
    </row>
    <row r="95" spans="2:4" x14ac:dyDescent="0.2">
      <c r="B95" s="6"/>
    </row>
    <row r="96" spans="2:4" x14ac:dyDescent="0.2">
      <c r="B96" s="6" t="s">
        <v>3396</v>
      </c>
    </row>
    <row r="97" spans="2:2" x14ac:dyDescent="0.2">
      <c r="B97" s="9" t="s">
        <v>72</v>
      </c>
    </row>
  </sheetData>
  <mergeCells count="2">
    <mergeCell ref="B8:B10"/>
    <mergeCell ref="D8:D10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59D90-00B4-4D9D-8072-CE9529E48A65}">
  <dimension ref="B1:G96"/>
  <sheetViews>
    <sheetView zoomScaleNormal="100" workbookViewId="0">
      <selection activeCell="C9" sqref="C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9.75" customWidth="1"/>
  </cols>
  <sheetData>
    <row r="1" spans="2:7" x14ac:dyDescent="0.2">
      <c r="B1" t="s">
        <v>3165</v>
      </c>
      <c r="G1" t="e">
        <f>"&lt;dl&gt;&lt;dt&gt;" &amp;#REF! &amp; "&lt;/dt&gt;&lt;dd&gt;" &amp;#REF! &amp; "&lt;/dd&gt;&lt;dd&gt;" &amp;#REF! &amp; "&lt;/dd&gt;&lt;/dl&gt;"</f>
        <v>#REF!</v>
      </c>
    </row>
    <row r="4" spans="2:7" ht="17.25" x14ac:dyDescent="0.2">
      <c r="B4" s="5" t="s">
        <v>3166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32.25" thickBot="1" x14ac:dyDescent="0.25">
      <c r="B7" s="14" t="s">
        <v>2913</v>
      </c>
      <c r="C7" s="15" t="s">
        <v>3167</v>
      </c>
      <c r="D7" s="15"/>
    </row>
    <row r="8" spans="2:7" ht="94.5" x14ac:dyDescent="0.2">
      <c r="B8" s="24" t="s">
        <v>2914</v>
      </c>
      <c r="C8" s="19" t="s">
        <v>3168</v>
      </c>
      <c r="D8" s="27" t="s">
        <v>3171</v>
      </c>
    </row>
    <row r="9" spans="2:7" ht="78.75" x14ac:dyDescent="0.2">
      <c r="B9" s="25"/>
      <c r="C9" s="20" t="s">
        <v>3169</v>
      </c>
      <c r="D9" s="28"/>
    </row>
    <row r="10" spans="2:7" ht="79.5" thickBot="1" x14ac:dyDescent="0.25">
      <c r="B10" s="26"/>
      <c r="C10" s="21" t="s">
        <v>3170</v>
      </c>
      <c r="D10" s="29"/>
    </row>
    <row r="11" spans="2:7" ht="95.25" thickBot="1" x14ac:dyDescent="0.25">
      <c r="B11" s="14" t="s">
        <v>2918</v>
      </c>
      <c r="C11" s="15" t="s">
        <v>3172</v>
      </c>
      <c r="D11" s="15"/>
    </row>
    <row r="14" spans="2:7" ht="17.25" x14ac:dyDescent="0.2">
      <c r="B14" s="5" t="s">
        <v>100</v>
      </c>
    </row>
    <row r="16" spans="2:7" ht="15.75" x14ac:dyDescent="0.2">
      <c r="B16" s="13" t="s">
        <v>101</v>
      </c>
    </row>
    <row r="17" spans="2:7" ht="16.5" thickBot="1" x14ac:dyDescent="0.25">
      <c r="B17" s="11"/>
    </row>
    <row r="18" spans="2:7" ht="16.5" thickBot="1" x14ac:dyDescent="0.25">
      <c r="B18" s="12" t="s">
        <v>62</v>
      </c>
      <c r="C18" s="12" t="s">
        <v>107</v>
      </c>
      <c r="D18" s="12" t="s">
        <v>108</v>
      </c>
    </row>
    <row r="19" spans="2:7" ht="63.75" thickBot="1" x14ac:dyDescent="0.25">
      <c r="B19" s="14" t="s">
        <v>3173</v>
      </c>
      <c r="C19" s="15" t="s">
        <v>3174</v>
      </c>
      <c r="D19" s="15" t="s">
        <v>3175</v>
      </c>
    </row>
    <row r="20" spans="2:7" ht="63.75" thickBot="1" x14ac:dyDescent="0.25">
      <c r="B20" s="14" t="s">
        <v>3176</v>
      </c>
      <c r="C20" s="15" t="s">
        <v>3177</v>
      </c>
      <c r="D20" s="15" t="s">
        <v>3178</v>
      </c>
    </row>
    <row r="21" spans="2:7" ht="63.75" thickBot="1" x14ac:dyDescent="0.25">
      <c r="B21" s="14" t="s">
        <v>3179</v>
      </c>
      <c r="C21" s="15" t="s">
        <v>3180</v>
      </c>
      <c r="D21" s="15" t="s">
        <v>3181</v>
      </c>
    </row>
    <row r="22" spans="2:7" ht="48" thickBot="1" x14ac:dyDescent="0.25">
      <c r="B22" s="14" t="s">
        <v>3182</v>
      </c>
      <c r="C22" s="14" t="s">
        <v>3183</v>
      </c>
      <c r="D22" s="15" t="s">
        <v>3184</v>
      </c>
    </row>
    <row r="23" spans="2:7" ht="48" thickBot="1" x14ac:dyDescent="0.25">
      <c r="B23" s="14" t="s">
        <v>3185</v>
      </c>
      <c r="C23" s="15" t="s">
        <v>3186</v>
      </c>
      <c r="D23" s="15" t="s">
        <v>3187</v>
      </c>
      <c r="E23" s="12"/>
    </row>
    <row r="24" spans="2:7" ht="32.25" thickBot="1" x14ac:dyDescent="0.25">
      <c r="B24" s="14" t="s">
        <v>3016</v>
      </c>
      <c r="C24" s="14" t="s">
        <v>3188</v>
      </c>
      <c r="D24" s="15" t="s">
        <v>2539</v>
      </c>
      <c r="E24" s="15"/>
      <c r="G24" t="e">
        <f>"&lt;dl&gt;&lt;dt&gt;" &amp;#REF! &amp; "&lt;/dt&gt;&lt;dd&gt;" &amp;#REF! &amp; "&lt;/dd&gt;&lt;dd&gt;" &amp;#REF! &amp; "&lt;/dd&gt;&lt;/dl&gt;"</f>
        <v>#REF!</v>
      </c>
    </row>
    <row r="25" spans="2:7" ht="48" thickBot="1" x14ac:dyDescent="0.25">
      <c r="B25" s="14" t="s">
        <v>3017</v>
      </c>
      <c r="C25" s="14" t="s">
        <v>3189</v>
      </c>
      <c r="D25" s="15"/>
      <c r="E25" s="15"/>
      <c r="G25" t="e">
        <f>"&lt;dl&gt;&lt;dt&gt;" &amp;#REF! &amp; "&lt;/dt&gt;&lt;dd&gt;" &amp;#REF! &amp; "&lt;/dd&gt;&lt;dd&gt;" &amp;#REF! &amp; "&lt;/dd&gt;&lt;/dl&gt;"</f>
        <v>#REF!</v>
      </c>
    </row>
    <row r="26" spans="2:7" ht="16.5" thickBot="1" x14ac:dyDescent="0.25">
      <c r="E26" s="15"/>
      <c r="G26" t="e">
        <f>"&lt;dl&gt;&lt;dt&gt;" &amp;#REF! &amp; "&lt;/dt&gt;&lt;dd&gt;" &amp;#REF! &amp; "&lt;/dd&gt;&lt;dd&gt;" &amp;#REF! &amp; "&lt;/dd&gt;&lt;/dl&gt;"</f>
        <v>#REF!</v>
      </c>
    </row>
    <row r="27" spans="2:7" ht="16.5" thickBot="1" x14ac:dyDescent="0.25">
      <c r="E27" s="15"/>
      <c r="G27" t="e">
        <f>"&lt;dl&gt;&lt;dt&gt;" &amp;#REF! &amp; "&lt;/dt&gt;&lt;dd&gt;" &amp;#REF! &amp; "&lt;/dd&gt;&lt;dd&gt;" &amp;#REF! &amp; "&lt;/dd&gt;&lt;/dl&gt;"</f>
        <v>#REF!</v>
      </c>
    </row>
    <row r="28" spans="2:7" ht="18" thickBot="1" x14ac:dyDescent="0.25">
      <c r="B28" s="5" t="s">
        <v>102</v>
      </c>
      <c r="E28" s="15"/>
      <c r="G28" t="e">
        <f>"&lt;dl&gt;&lt;dt&gt;" &amp;#REF! &amp; "&lt;/dt&gt;&lt;dd&gt;" &amp;#REF! &amp; "&lt;/dd&gt;&lt;dd&gt;" &amp;#REF! &amp; "&lt;/dd&gt;&lt;/dl&gt;"</f>
        <v>#REF!</v>
      </c>
    </row>
    <row r="29" spans="2:7" ht="16.5" thickBot="1" x14ac:dyDescent="0.25">
      <c r="B29" s="11"/>
      <c r="E29" s="15"/>
      <c r="G29" t="e">
        <f>"&lt;dl&gt;&lt;dt&gt;" &amp;#REF! &amp; "&lt;/dt&gt;&lt;dd&gt;" &amp;#REF! &amp; "&lt;/dd&gt;&lt;dd&gt;" &amp;#REF! &amp; "&lt;/dd&gt;&lt;/dl&gt;"</f>
        <v>#REF!</v>
      </c>
    </row>
    <row r="30" spans="2:7" ht="16.5" thickBot="1" x14ac:dyDescent="0.25">
      <c r="B30" s="12" t="s">
        <v>6</v>
      </c>
      <c r="C30" s="12" t="s">
        <v>107</v>
      </c>
      <c r="D30" s="12" t="s">
        <v>7</v>
      </c>
    </row>
    <row r="31" spans="2:7" ht="79.5" thickBot="1" x14ac:dyDescent="0.25">
      <c r="B31" s="14" t="s">
        <v>2930</v>
      </c>
      <c r="C31" s="15" t="s">
        <v>3190</v>
      </c>
      <c r="D31" s="15"/>
    </row>
    <row r="32" spans="2:7" ht="32.25" thickBot="1" x14ac:dyDescent="0.25">
      <c r="B32" s="14" t="s">
        <v>2932</v>
      </c>
      <c r="C32" s="15" t="s">
        <v>3191</v>
      </c>
      <c r="D32" s="15"/>
    </row>
    <row r="33" spans="2:7" ht="79.5" thickBot="1" x14ac:dyDescent="0.25">
      <c r="B33" s="14" t="s">
        <v>2934</v>
      </c>
      <c r="C33" s="14" t="s">
        <v>3192</v>
      </c>
      <c r="D33" s="15"/>
    </row>
    <row r="34" spans="2:7" ht="32.25" thickBot="1" x14ac:dyDescent="0.25">
      <c r="B34" s="14" t="s">
        <v>2936</v>
      </c>
      <c r="C34" s="15" t="s">
        <v>3193</v>
      </c>
      <c r="D34" s="15"/>
      <c r="E34" s="12"/>
    </row>
    <row r="35" spans="2:7" ht="48" thickBot="1" x14ac:dyDescent="0.25">
      <c r="B35" s="14" t="s">
        <v>9</v>
      </c>
      <c r="C35" s="15" t="s">
        <v>3194</v>
      </c>
      <c r="D35" s="15"/>
      <c r="E35" s="15"/>
      <c r="G35" t="e">
        <f>"&lt;dl&gt;&lt;dt&gt;" &amp;#REF! &amp; "&lt;/dt&gt;&lt;dd&gt;" &amp;#REF! &amp; "&lt;/dd&gt;&lt;dd&gt;" &amp;#REF! &amp; "&lt;/dd&gt;&lt;/dl&gt;"</f>
        <v>#REF!</v>
      </c>
    </row>
    <row r="36" spans="2:7" ht="48" thickBot="1" x14ac:dyDescent="0.25">
      <c r="B36" s="14" t="s">
        <v>10</v>
      </c>
      <c r="C36" s="15" t="s">
        <v>3195</v>
      </c>
      <c r="D36" s="15"/>
      <c r="E36" s="15"/>
      <c r="G36" t="e">
        <f>"&lt;dl&gt;&lt;dt&gt;" &amp;#REF! &amp; "&lt;/dt&gt;&lt;dd&gt;" &amp;#REF! &amp; "&lt;/dd&gt;&lt;dd&gt;" &amp;#REF! &amp; "&lt;/dd&gt;&lt;/dl&gt;"</f>
        <v>#REF!</v>
      </c>
    </row>
    <row r="37" spans="2:7" ht="32.25" thickBot="1" x14ac:dyDescent="0.25">
      <c r="B37" s="14" t="s">
        <v>13</v>
      </c>
      <c r="C37" s="15" t="s">
        <v>3196</v>
      </c>
      <c r="D37" s="15"/>
      <c r="E37" s="15"/>
      <c r="G37" t="e">
        <f>"&lt;dl&gt;&lt;dt&gt;" &amp;#REF! &amp; "&lt;/dt&gt;&lt;dd&gt;" &amp;#REF! &amp; "&lt;/dd&gt;&lt;dd&gt;" &amp;#REF! &amp; "&lt;/dd&gt;&lt;/dl&gt;"</f>
        <v>#REF!</v>
      </c>
    </row>
    <row r="38" spans="2:7" ht="32.25" thickBot="1" x14ac:dyDescent="0.25">
      <c r="B38" s="14" t="s">
        <v>3018</v>
      </c>
      <c r="C38" s="15" t="s">
        <v>3197</v>
      </c>
      <c r="D38" s="15"/>
      <c r="E38" s="15"/>
      <c r="G38" t="e">
        <f>"&lt;dl&gt;&lt;dt&gt;" &amp;#REF! &amp; "&lt;/dt&gt;&lt;dd&gt;" &amp;#REF! &amp; "&lt;/dd&gt;&lt;dd&gt;" &amp;#REF! &amp; "&lt;/dd&gt;&lt;/dl&gt;"</f>
        <v>#REF!</v>
      </c>
    </row>
    <row r="39" spans="2:7" ht="63.75" thickBot="1" x14ac:dyDescent="0.25">
      <c r="B39" s="14" t="s">
        <v>3019</v>
      </c>
      <c r="C39" s="15" t="s">
        <v>3198</v>
      </c>
      <c r="D39" s="15"/>
      <c r="E39" s="15"/>
      <c r="G39" t="e">
        <f>"&lt;dl&gt;&lt;dt&gt;" &amp;#REF! &amp; "&lt;/dt&gt;&lt;dd&gt;" &amp;#REF! &amp; "&lt;/dd&gt;&lt;dd&gt;" &amp;#REF! &amp; "&lt;/dd&gt;&lt;/dl&gt;"</f>
        <v>#REF!</v>
      </c>
    </row>
    <row r="40" spans="2:7" ht="32.25" thickBot="1" x14ac:dyDescent="0.25">
      <c r="B40" s="14" t="s">
        <v>8</v>
      </c>
      <c r="C40" s="15" t="s">
        <v>3199</v>
      </c>
      <c r="D40" s="15"/>
      <c r="E40" s="15"/>
      <c r="G40" t="e">
        <f>"&lt;dl&gt;&lt;dt&gt;" &amp;#REF! &amp; "&lt;/dt&gt;&lt;dd&gt;" &amp;#REF! &amp; "&lt;/dd&gt;&lt;dd&gt;" &amp;#REF! &amp; "&lt;/dd&gt;&lt;/dl&gt;"</f>
        <v>#REF!</v>
      </c>
    </row>
    <row r="41" spans="2:7" ht="32.25" thickBot="1" x14ac:dyDescent="0.25">
      <c r="B41" s="14" t="s">
        <v>2945</v>
      </c>
      <c r="C41" s="15" t="s">
        <v>3200</v>
      </c>
      <c r="D41" s="15"/>
      <c r="E41" s="15"/>
      <c r="G41" t="e">
        <f>"&lt;dl&gt;&lt;dt&gt;" &amp;#REF! &amp; "&lt;/dt&gt;&lt;dd&gt;" &amp;#REF! &amp; "&lt;/dd&gt;&lt;dd&gt;" &amp;#REF! &amp; "&lt;/dd&gt;&lt;/dl&gt;"</f>
        <v>#REF!</v>
      </c>
    </row>
    <row r="42" spans="2:7" ht="48" thickBot="1" x14ac:dyDescent="0.25">
      <c r="B42" s="14" t="s">
        <v>11</v>
      </c>
      <c r="C42" s="15" t="s">
        <v>3201</v>
      </c>
      <c r="D42" s="15"/>
      <c r="E42" s="15"/>
      <c r="G42" t="e">
        <f>"&lt;dl&gt;&lt;dt&gt;" &amp;#REF! &amp; "&lt;/dt&gt;&lt;dd&gt;" &amp;#REF! &amp; "&lt;/dd&gt;&lt;dd&gt;" &amp;#REF! &amp; "&lt;/dd&gt;&lt;/dl&gt;"</f>
        <v>#REF!</v>
      </c>
    </row>
    <row r="43" spans="2:7" ht="16.5" thickBot="1" x14ac:dyDescent="0.25">
      <c r="E43" s="15"/>
      <c r="G43" t="e">
        <f>"&lt;dl&gt;&lt;dt&gt;" &amp;#REF! &amp; "&lt;/dt&gt;&lt;dd&gt;" &amp;#REF! &amp; "&lt;/dd&gt;&lt;dd&gt;" &amp;#REF! &amp; "&lt;/dd&gt;&lt;/dl&gt;"</f>
        <v>#REF!</v>
      </c>
    </row>
    <row r="45" spans="2:7" ht="17.25" x14ac:dyDescent="0.2">
      <c r="B45" s="5" t="s">
        <v>70</v>
      </c>
    </row>
    <row r="47" spans="2:7" ht="16.5" thickBot="1" x14ac:dyDescent="0.25">
      <c r="B47" s="13" t="s">
        <v>3202</v>
      </c>
    </row>
    <row r="48" spans="2:7" ht="16.5" thickBot="1" x14ac:dyDescent="0.25">
      <c r="B48" s="11"/>
      <c r="E48" s="12"/>
    </row>
    <row r="49" spans="2:7" ht="16.5" thickBot="1" x14ac:dyDescent="0.25">
      <c r="B49" s="12" t="s">
        <v>19</v>
      </c>
      <c r="C49" s="12" t="s">
        <v>73</v>
      </c>
      <c r="D49" s="12" t="s">
        <v>108</v>
      </c>
      <c r="E49" s="15"/>
      <c r="G49" t="e">
        <f>"&lt;dl&gt;&lt;dt&gt;" &amp;#REF! &amp; "&lt;/dt&gt;&lt;dd&gt;" &amp;#REF! &amp; "&lt;/dd&gt;&lt;dd&gt;" &amp;#REF! &amp; "&lt;/dd&gt;&lt;/dl&gt;"</f>
        <v>#REF!</v>
      </c>
    </row>
    <row r="50" spans="2:7" ht="48" thickBot="1" x14ac:dyDescent="0.25">
      <c r="B50" s="14" t="s">
        <v>3203</v>
      </c>
      <c r="C50" s="14" t="s">
        <v>3204</v>
      </c>
      <c r="D50" s="15" t="s">
        <v>3205</v>
      </c>
      <c r="E50" s="15"/>
      <c r="G50" t="e">
        <f>"&lt;dl&gt;&lt;dt&gt;" &amp;#REF! &amp; "&lt;/dt&gt;&lt;dd&gt;" &amp;#REF! &amp; "&lt;/dd&gt;&lt;dd&gt;" &amp;#REF! &amp; "&lt;/dd&gt;&lt;/dl&gt;"</f>
        <v>#REF!</v>
      </c>
    </row>
    <row r="51" spans="2:7" ht="32.25" thickBot="1" x14ac:dyDescent="0.25">
      <c r="B51" s="14" t="s">
        <v>3206</v>
      </c>
      <c r="C51" s="14" t="s">
        <v>3207</v>
      </c>
      <c r="D51" s="15" t="s">
        <v>3208</v>
      </c>
      <c r="E51" s="15"/>
      <c r="G51" t="e">
        <f>"&lt;dl&gt;&lt;dt&gt;" &amp;#REF! &amp; "&lt;/dt&gt;&lt;dd&gt;" &amp;#REF! &amp; "&lt;/dd&gt;&lt;dd&gt;" &amp;#REF! &amp; "&lt;/dd&gt;&lt;/dl&gt;"</f>
        <v>#REF!</v>
      </c>
    </row>
    <row r="52" spans="2:7" ht="48" thickBot="1" x14ac:dyDescent="0.25">
      <c r="B52" s="14" t="s">
        <v>3209</v>
      </c>
      <c r="C52" s="14" t="s">
        <v>3210</v>
      </c>
      <c r="D52" s="15" t="s">
        <v>3211</v>
      </c>
      <c r="E52" s="15"/>
      <c r="G52" t="e">
        <f>"&lt;dl&gt;&lt;dt&gt;" &amp;#REF! &amp; "&lt;/dt&gt;&lt;dd&gt;" &amp;#REF! &amp; "&lt;/dd&gt;&lt;dd&gt;" &amp;#REF! &amp; "&lt;/dd&gt;&lt;/dl&gt;"</f>
        <v>#REF!</v>
      </c>
    </row>
    <row r="53" spans="2:7" ht="48" thickBot="1" x14ac:dyDescent="0.25">
      <c r="B53" s="14" t="s">
        <v>3212</v>
      </c>
      <c r="C53" s="14" t="s">
        <v>3213</v>
      </c>
      <c r="D53" s="15" t="s">
        <v>3214</v>
      </c>
    </row>
    <row r="54" spans="2:7" ht="48" thickBot="1" x14ac:dyDescent="0.25">
      <c r="B54" s="14" t="s">
        <v>3215</v>
      </c>
      <c r="C54" s="14" t="s">
        <v>3216</v>
      </c>
      <c r="D54" s="15" t="s">
        <v>3217</v>
      </c>
    </row>
    <row r="55" spans="2:7" ht="48" thickBot="1" x14ac:dyDescent="0.25">
      <c r="B55" s="14" t="s">
        <v>3218</v>
      </c>
      <c r="C55" s="15" t="s">
        <v>3219</v>
      </c>
      <c r="D55" s="15" t="s">
        <v>3220</v>
      </c>
    </row>
    <row r="56" spans="2:7" ht="48" thickBot="1" x14ac:dyDescent="0.25">
      <c r="B56" s="14" t="s">
        <v>3221</v>
      </c>
      <c r="C56" s="14" t="s">
        <v>3222</v>
      </c>
      <c r="D56" s="15" t="s">
        <v>3223</v>
      </c>
    </row>
    <row r="57" spans="2:7" ht="48" thickBot="1" x14ac:dyDescent="0.25">
      <c r="B57" s="14" t="s">
        <v>3224</v>
      </c>
      <c r="C57" s="14" t="s">
        <v>3225</v>
      </c>
      <c r="D57" s="15" t="s">
        <v>3226</v>
      </c>
    </row>
    <row r="58" spans="2:7" ht="63.75" thickBot="1" x14ac:dyDescent="0.25">
      <c r="B58" s="14" t="s">
        <v>3227</v>
      </c>
      <c r="C58" s="14" t="s">
        <v>3102</v>
      </c>
      <c r="D58" s="15" t="s">
        <v>3103</v>
      </c>
    </row>
    <row r="59" spans="2:7" ht="32.25" thickBot="1" x14ac:dyDescent="0.25">
      <c r="B59" s="14" t="s">
        <v>3228</v>
      </c>
      <c r="C59" s="14" t="s">
        <v>3229</v>
      </c>
      <c r="D59" s="15" t="s">
        <v>3230</v>
      </c>
    </row>
    <row r="60" spans="2:7" ht="32.25" thickBot="1" x14ac:dyDescent="0.25">
      <c r="B60" s="14" t="s">
        <v>3231</v>
      </c>
      <c r="C60" s="14" t="s">
        <v>3232</v>
      </c>
      <c r="D60" s="15" t="s">
        <v>3233</v>
      </c>
    </row>
    <row r="61" spans="2:7" ht="32.25" thickBot="1" x14ac:dyDescent="0.25">
      <c r="B61" s="14" t="s">
        <v>3234</v>
      </c>
      <c r="C61" s="14" t="s">
        <v>3235</v>
      </c>
      <c r="D61" s="15" t="s">
        <v>3236</v>
      </c>
    </row>
    <row r="62" spans="2:7" ht="48" thickBot="1" x14ac:dyDescent="0.25">
      <c r="B62" s="14" t="s">
        <v>3237</v>
      </c>
      <c r="C62" s="14" t="s">
        <v>3238</v>
      </c>
      <c r="D62" s="15" t="s">
        <v>3239</v>
      </c>
    </row>
    <row r="63" spans="2:7" ht="48" thickBot="1" x14ac:dyDescent="0.25">
      <c r="B63" s="14" t="s">
        <v>3240</v>
      </c>
      <c r="C63" s="14" t="s">
        <v>3241</v>
      </c>
      <c r="D63" s="15" t="s">
        <v>3242</v>
      </c>
    </row>
    <row r="66" spans="2:4" ht="17.25" x14ac:dyDescent="0.2">
      <c r="B66" s="5" t="s">
        <v>71</v>
      </c>
    </row>
    <row r="67" spans="2:4" ht="16.5" thickBot="1" x14ac:dyDescent="0.25">
      <c r="B67" s="11"/>
    </row>
    <row r="68" spans="2:4" ht="16.5" thickBot="1" x14ac:dyDescent="0.25">
      <c r="B68" s="12" t="s">
        <v>14</v>
      </c>
      <c r="C68" s="12" t="s">
        <v>75</v>
      </c>
      <c r="D68" s="12" t="s">
        <v>7</v>
      </c>
    </row>
    <row r="69" spans="2:4" ht="32.25" thickBot="1" x14ac:dyDescent="0.25">
      <c r="B69" s="14" t="s">
        <v>3243</v>
      </c>
      <c r="C69" s="14" t="s">
        <v>3244</v>
      </c>
      <c r="D69" s="15"/>
    </row>
    <row r="70" spans="2:4" ht="32.25" thickBot="1" x14ac:dyDescent="0.25">
      <c r="B70" s="14" t="s">
        <v>3245</v>
      </c>
      <c r="C70" s="14" t="s">
        <v>3246</v>
      </c>
      <c r="D70" s="15"/>
    </row>
    <row r="71" spans="2:4" ht="32.25" thickBot="1" x14ac:dyDescent="0.25">
      <c r="B71" s="14" t="s">
        <v>3247</v>
      </c>
      <c r="C71" s="14" t="s">
        <v>3248</v>
      </c>
      <c r="D71" s="15"/>
    </row>
    <row r="72" spans="2:4" ht="32.25" thickBot="1" x14ac:dyDescent="0.25">
      <c r="B72" s="14" t="s">
        <v>3249</v>
      </c>
      <c r="C72" s="14" t="s">
        <v>3250</v>
      </c>
      <c r="D72" s="15"/>
    </row>
    <row r="73" spans="2:4" ht="48" thickBot="1" x14ac:dyDescent="0.25">
      <c r="B73" s="14" t="s">
        <v>3251</v>
      </c>
      <c r="C73" s="14" t="s">
        <v>3252</v>
      </c>
      <c r="D73" s="15"/>
    </row>
    <row r="74" spans="2:4" ht="48" thickBot="1" x14ac:dyDescent="0.25">
      <c r="B74" s="14" t="s">
        <v>3253</v>
      </c>
      <c r="C74" s="14" t="s">
        <v>3254</v>
      </c>
      <c r="D74" s="15"/>
    </row>
    <row r="75" spans="2:4" ht="32.25" thickBot="1" x14ac:dyDescent="0.25">
      <c r="B75" s="14" t="s">
        <v>3255</v>
      </c>
      <c r="C75" s="14" t="s">
        <v>3256</v>
      </c>
      <c r="D75" s="15"/>
    </row>
    <row r="76" spans="2:4" ht="32.25" thickBot="1" x14ac:dyDescent="0.25">
      <c r="B76" s="14" t="s">
        <v>3257</v>
      </c>
      <c r="C76" s="14" t="s">
        <v>3258</v>
      </c>
      <c r="D76" s="15"/>
    </row>
    <row r="77" spans="2:4" ht="32.25" thickBot="1" x14ac:dyDescent="0.25">
      <c r="B77" s="14" t="s">
        <v>3259</v>
      </c>
      <c r="C77" s="14" t="s">
        <v>3260</v>
      </c>
      <c r="D77" s="15"/>
    </row>
    <row r="78" spans="2:4" ht="32.25" thickBot="1" x14ac:dyDescent="0.25">
      <c r="B78" s="14" t="s">
        <v>3261</v>
      </c>
      <c r="C78" s="14" t="s">
        <v>3262</v>
      </c>
      <c r="D78" s="15"/>
    </row>
    <row r="79" spans="2:4" ht="32.25" thickBot="1" x14ac:dyDescent="0.25">
      <c r="B79" s="14" t="s">
        <v>3263</v>
      </c>
      <c r="C79" s="14" t="s">
        <v>3264</v>
      </c>
      <c r="D79" s="15"/>
    </row>
    <row r="80" spans="2:4" ht="32.25" thickBot="1" x14ac:dyDescent="0.25">
      <c r="B80" s="14" t="s">
        <v>3265</v>
      </c>
      <c r="C80" s="14" t="s">
        <v>3266</v>
      </c>
      <c r="D80" s="15"/>
    </row>
    <row r="81" spans="2:4" ht="48" thickBot="1" x14ac:dyDescent="0.25">
      <c r="B81" s="14" t="s">
        <v>3267</v>
      </c>
      <c r="C81" s="14" t="s">
        <v>3268</v>
      </c>
      <c r="D81" s="15"/>
    </row>
    <row r="82" spans="2:4" ht="48" thickBot="1" x14ac:dyDescent="0.25">
      <c r="B82" s="14" t="s">
        <v>3269</v>
      </c>
      <c r="C82" s="14" t="s">
        <v>3270</v>
      </c>
      <c r="D82" s="15"/>
    </row>
    <row r="85" spans="2:4" ht="17.25" x14ac:dyDescent="0.2">
      <c r="B85" s="5" t="s">
        <v>103</v>
      </c>
    </row>
    <row r="86" spans="2:4" x14ac:dyDescent="0.2">
      <c r="B86" s="6"/>
    </row>
    <row r="87" spans="2:4" x14ac:dyDescent="0.2">
      <c r="B87" s="7" t="s">
        <v>3271</v>
      </c>
    </row>
    <row r="88" spans="2:4" x14ac:dyDescent="0.2">
      <c r="B88" s="7" t="s">
        <v>3272</v>
      </c>
    </row>
    <row r="89" spans="2:4" x14ac:dyDescent="0.2">
      <c r="B89" s="7" t="s">
        <v>3273</v>
      </c>
    </row>
    <row r="90" spans="2:4" x14ac:dyDescent="0.2">
      <c r="B90" s="7" t="s">
        <v>3274</v>
      </c>
    </row>
    <row r="91" spans="2:4" x14ac:dyDescent="0.2">
      <c r="B91" s="7" t="s">
        <v>3275</v>
      </c>
    </row>
    <row r="92" spans="2:4" x14ac:dyDescent="0.2">
      <c r="B92" s="7" t="s">
        <v>3276</v>
      </c>
    </row>
    <row r="93" spans="2:4" x14ac:dyDescent="0.2">
      <c r="B93" s="7" t="s">
        <v>3277</v>
      </c>
    </row>
    <row r="94" spans="2:4" x14ac:dyDescent="0.2">
      <c r="B94" s="7" t="s">
        <v>3278</v>
      </c>
    </row>
    <row r="95" spans="2:4" x14ac:dyDescent="0.2">
      <c r="B95" s="6"/>
    </row>
    <row r="96" spans="2:4" x14ac:dyDescent="0.2">
      <c r="B96" s="6" t="s">
        <v>3279</v>
      </c>
    </row>
  </sheetData>
  <mergeCells count="2">
    <mergeCell ref="B8:B10"/>
    <mergeCell ref="D8:D10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C976-4A4E-4FD4-9663-94D7CCFEFF18}">
  <dimension ref="B1:G96"/>
  <sheetViews>
    <sheetView topLeftCell="A48" zoomScaleNormal="100" workbookViewId="0">
      <selection activeCell="B1" sqref="B1:D9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3048</v>
      </c>
      <c r="G1" t="str">
        <f>"&lt;dl&gt;&lt;dt&gt;" &amp; B1 &amp; "&lt;/dt&gt;&lt;dd&gt;" &amp; C1 &amp; "&lt;/dd&gt;&lt;dd&gt;" &amp; D1 &amp; "&lt;/dd&gt;&lt;/dl&gt;"</f>
        <v>&lt;dl&gt;&lt;dt&gt;根据《金刚佛光-紫占课程手册》，贪狼星的完整象义解析如下（严格遵循原始资料结构与表述，并依您的要求，在“本质”部分增补“人/事/物”三个层次的解析）：&lt;/dt&gt;&lt;dd&gt;&lt;/dd&gt;&lt;dd&gt;&lt;/dd&gt;&lt;/dl&gt;</v>
      </c>
    </row>
    <row r="4" spans="2:7" ht="17.25" x14ac:dyDescent="0.2">
      <c r="B4" s="5" t="s">
        <v>3049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16.5" thickBot="1" x14ac:dyDescent="0.25">
      <c r="B7" s="14" t="s">
        <v>2913</v>
      </c>
      <c r="C7" s="15" t="s">
        <v>3050</v>
      </c>
      <c r="D7" s="15"/>
    </row>
    <row r="8" spans="2:7" ht="110.25" x14ac:dyDescent="0.2">
      <c r="B8" s="24" t="s">
        <v>2914</v>
      </c>
      <c r="C8" s="19" t="s">
        <v>3051</v>
      </c>
      <c r="D8" s="27" t="s">
        <v>3054</v>
      </c>
    </row>
    <row r="9" spans="2:7" ht="78.75" x14ac:dyDescent="0.2">
      <c r="B9" s="25"/>
      <c r="C9" s="20" t="s">
        <v>3052</v>
      </c>
      <c r="D9" s="28"/>
    </row>
    <row r="10" spans="2:7" ht="79.5" thickBot="1" x14ac:dyDescent="0.25">
      <c r="B10" s="26"/>
      <c r="C10" s="21" t="s">
        <v>3053</v>
      </c>
      <c r="D10" s="29"/>
    </row>
    <row r="11" spans="2:7" ht="111" thickBot="1" x14ac:dyDescent="0.25">
      <c r="B11" s="14" t="s">
        <v>2918</v>
      </c>
      <c r="C11" s="15" t="s">
        <v>3055</v>
      </c>
      <c r="D11" s="15"/>
    </row>
    <row r="14" spans="2:7" ht="17.25" x14ac:dyDescent="0.2">
      <c r="B14" s="5" t="s">
        <v>100</v>
      </c>
    </row>
    <row r="16" spans="2:7" ht="15.75" x14ac:dyDescent="0.2">
      <c r="B16" s="13" t="s">
        <v>101</v>
      </c>
    </row>
    <row r="17" spans="2:7" ht="16.5" thickBot="1" x14ac:dyDescent="0.25">
      <c r="B17" s="11"/>
    </row>
    <row r="18" spans="2:7" ht="16.5" thickBot="1" x14ac:dyDescent="0.25">
      <c r="B18" s="12" t="s">
        <v>62</v>
      </c>
      <c r="C18" s="12" t="s">
        <v>107</v>
      </c>
      <c r="D18" s="12" t="s">
        <v>108</v>
      </c>
    </row>
    <row r="19" spans="2:7" ht="32.25" thickBot="1" x14ac:dyDescent="0.25">
      <c r="B19" s="14" t="s">
        <v>3056</v>
      </c>
      <c r="C19" s="15" t="s">
        <v>3057</v>
      </c>
      <c r="D19" s="15" t="s">
        <v>3058</v>
      </c>
    </row>
    <row r="20" spans="2:7" ht="48" thickBot="1" x14ac:dyDescent="0.25">
      <c r="B20" s="14" t="s">
        <v>3059</v>
      </c>
      <c r="C20" s="14" t="s">
        <v>3060</v>
      </c>
      <c r="D20" s="15" t="s">
        <v>3061</v>
      </c>
    </row>
    <row r="21" spans="2:7" ht="48" thickBot="1" x14ac:dyDescent="0.25">
      <c r="B21" s="14" t="s">
        <v>3062</v>
      </c>
      <c r="C21" s="14" t="s">
        <v>3063</v>
      </c>
      <c r="D21" s="15" t="s">
        <v>3064</v>
      </c>
    </row>
    <row r="22" spans="2:7" ht="32.25" thickBot="1" x14ac:dyDescent="0.25">
      <c r="B22" s="14" t="s">
        <v>3065</v>
      </c>
      <c r="C22" s="15" t="s">
        <v>3066</v>
      </c>
      <c r="D22" s="15" t="s">
        <v>3067</v>
      </c>
    </row>
    <row r="23" spans="2:7" ht="48" thickBot="1" x14ac:dyDescent="0.25">
      <c r="B23" s="14" t="s">
        <v>3016</v>
      </c>
      <c r="C23" s="14" t="s">
        <v>3068</v>
      </c>
      <c r="D23" s="15" t="s">
        <v>2539</v>
      </c>
    </row>
    <row r="24" spans="2:7" ht="48" thickBot="1" x14ac:dyDescent="0.25">
      <c r="B24" s="14" t="s">
        <v>3017</v>
      </c>
      <c r="C24" s="14" t="s">
        <v>3069</v>
      </c>
      <c r="D24" s="15"/>
      <c r="G24" t="str">
        <f t="shared" ref="G24:G52" si="0">"&lt;dl&gt;&lt;dt&gt;" &amp; B24 &amp; "&lt;/dt&gt;&lt;dd&gt;" &amp; C24 &amp; "&lt;/dd&gt;&lt;dd&gt;" &amp; D24 &amp; "&lt;/dd&gt;&lt;/dl&gt;"</f>
        <v>&lt;dl&gt;&lt;dt&gt;性格特质​&lt;/dt&gt;&lt;dd&gt;豪放不羁，热情活泼，聪明灵巧，好奇心强，探索精神旺盛。但贪多骛得，不喜深入，多学少精，虎头蛇尾，情绪多变。&lt;/dd&gt;&lt;dd&gt;&lt;/dd&gt;&lt;/dl&gt;</v>
      </c>
    </row>
    <row r="25" spans="2:7" ht="32.25" thickBot="1" x14ac:dyDescent="0.25">
      <c r="B25" s="14" t="s">
        <v>3070</v>
      </c>
      <c r="C25" s="15" t="s">
        <v>3071</v>
      </c>
      <c r="D25" s="15" t="s">
        <v>3072</v>
      </c>
      <c r="G25" t="str">
        <f t="shared" si="0"/>
        <v>&lt;dl&gt;&lt;dt&gt;宗教与玄学​&lt;/dt&gt;&lt;dd&gt;为宗教之星，坐命身或福德宫之人，爱好学习五术（山医命相卜）和探索神秘之事。&lt;/dd&gt;&lt;dd&gt;在命宫、福德宫时，与宗教玄学缘分深。&lt;/dd&gt;&lt;/dl&gt;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ht="17.25" x14ac:dyDescent="0.2">
      <c r="B28" s="5" t="s">
        <v>102</v>
      </c>
      <c r="G28" t="str">
        <f t="shared" si="0"/>
        <v>&lt;dl&gt;&lt;dt&gt;三、宫位组合象义&lt;/dt&gt;&lt;dd&gt;&lt;/dd&gt;&lt;dd&gt;&lt;/dd&gt;&lt;/dl&gt;</v>
      </c>
    </row>
    <row r="29" spans="2:7" ht="16.5" thickBot="1" x14ac:dyDescent="0.25">
      <c r="B29" s="11"/>
      <c r="G29" t="str">
        <f t="shared" si="0"/>
        <v>&lt;dl&gt;&lt;dt&gt;&lt;/dt&gt;&lt;dd&gt;&lt;/dd&gt;&lt;dd&gt;&lt;/dd&gt;&lt;/dl&gt;</v>
      </c>
    </row>
    <row r="30" spans="2:7" ht="16.5" thickBot="1" x14ac:dyDescent="0.25">
      <c r="B30" s="12" t="s">
        <v>6</v>
      </c>
      <c r="C30" s="12" t="s">
        <v>107</v>
      </c>
      <c r="D30" s="12" t="s">
        <v>7</v>
      </c>
    </row>
    <row r="31" spans="2:7" ht="79.5" thickBot="1" x14ac:dyDescent="0.25">
      <c r="B31" s="14" t="s">
        <v>2930</v>
      </c>
      <c r="C31" s="15" t="s">
        <v>3073</v>
      </c>
      <c r="D31" s="15"/>
    </row>
    <row r="32" spans="2:7" ht="32.25" thickBot="1" x14ac:dyDescent="0.25">
      <c r="B32" s="14" t="s">
        <v>2932</v>
      </c>
      <c r="C32" s="15" t="s">
        <v>3074</v>
      </c>
      <c r="D32" s="15"/>
    </row>
    <row r="33" spans="2:7" ht="63.75" thickBot="1" x14ac:dyDescent="0.25">
      <c r="B33" s="14" t="s">
        <v>2934</v>
      </c>
      <c r="C33" s="14" t="s">
        <v>3075</v>
      </c>
      <c r="D33" s="15"/>
    </row>
    <row r="34" spans="2:7" ht="32.25" thickBot="1" x14ac:dyDescent="0.25">
      <c r="B34" s="14" t="s">
        <v>2936</v>
      </c>
      <c r="C34" s="15" t="s">
        <v>3076</v>
      </c>
      <c r="D34" s="15"/>
    </row>
    <row r="35" spans="2:7" ht="63.75" thickBot="1" x14ac:dyDescent="0.25">
      <c r="B35" s="14" t="s">
        <v>9</v>
      </c>
      <c r="C35" s="15" t="s">
        <v>3077</v>
      </c>
      <c r="D35" s="15"/>
    </row>
    <row r="36" spans="2:7" ht="48" thickBot="1" x14ac:dyDescent="0.25">
      <c r="B36" s="14" t="s">
        <v>10</v>
      </c>
      <c r="C36" s="15" t="s">
        <v>3078</v>
      </c>
      <c r="D36" s="15"/>
    </row>
    <row r="37" spans="2:7" ht="32.25" thickBot="1" x14ac:dyDescent="0.25">
      <c r="B37" s="14" t="s">
        <v>13</v>
      </c>
      <c r="C37" s="15" t="s">
        <v>3079</v>
      </c>
      <c r="D37" s="15"/>
      <c r="G37" t="str">
        <f t="shared" si="0"/>
        <v>&lt;dl&gt;&lt;dt&gt;迁移宫​&lt;/dt&gt;&lt;dd&gt;在外发展易因交际、才华获得机遇，适合外出发展，多遇贵人。外出机会多，喜变动。&lt;/dd&gt;&lt;dd&gt;&lt;/dd&gt;&lt;/dl&gt;</v>
      </c>
    </row>
    <row r="38" spans="2:7" ht="32.25" thickBot="1" x14ac:dyDescent="0.25">
      <c r="B38" s="14" t="s">
        <v>3018</v>
      </c>
      <c r="C38" s="15" t="s">
        <v>3080</v>
      </c>
      <c r="D38" s="15"/>
      <c r="G38" t="str">
        <f t="shared" si="0"/>
        <v>&lt;dl&gt;&lt;dt&gt;交友宫（奴仆宫）​&lt;/dt&gt;&lt;dd&gt;朋友、部属多交际广泛、多才多艺之人，但需防酒肉朋友、损友。社交圈复杂，应酬多。&lt;/dd&gt;&lt;dd&gt;&lt;/dd&gt;&lt;/dl&gt;</v>
      </c>
    </row>
    <row r="39" spans="2:7" ht="48" thickBot="1" x14ac:dyDescent="0.25">
      <c r="B39" s="14" t="s">
        <v>3019</v>
      </c>
      <c r="C39" s="15" t="s">
        <v>3081</v>
      </c>
      <c r="D39" s="15"/>
      <c r="G39" t="str">
        <f t="shared" si="0"/>
        <v>&lt;dl&gt;&lt;dt&gt;官禄宫（事业宫）​&lt;/dt&gt;&lt;dd&gt;适合从事演艺、艺术、公关、外交、娱乐、投机、宗教、玄学等需要才华与交际的行业。事业多变，不喜单调，喜开创。&lt;/dd&gt;&lt;dd&gt;&lt;/dd&gt;&lt;/dl&gt;</v>
      </c>
    </row>
    <row r="40" spans="2:7" ht="48" thickBot="1" x14ac:dyDescent="0.25">
      <c r="B40" s="14" t="s">
        <v>8</v>
      </c>
      <c r="C40" s="15" t="s">
        <v>3082</v>
      </c>
      <c r="D40" s="15"/>
      <c r="G40" t="str">
        <f t="shared" si="0"/>
        <v>&lt;dl&gt;&lt;dt&gt;田宅宫​&lt;/dt&gt;&lt;dd&gt;家宅可能靠近娱乐场所、声色场所或宗教场所。家中布置喜新奇、享乐风格。可通过投机、娱乐行业置业。&lt;/dd&gt;&lt;dd&gt;&lt;/dd&gt;&lt;/dl&gt;</v>
      </c>
    </row>
    <row r="41" spans="2:7" ht="32.25" thickBot="1" x14ac:dyDescent="0.25">
      <c r="B41" s="14" t="s">
        <v>2945</v>
      </c>
      <c r="C41" s="15" t="s">
        <v>3083</v>
      </c>
      <c r="D41" s="15"/>
      <c r="G41" t="str">
        <f t="shared" si="0"/>
        <v>&lt;dl&gt;&lt;dt&gt;福德宫​&lt;/dt&gt;&lt;dd&gt;精神世界追求享乐、新奇刺激，欲望强烈，喜探索神秘事物。内心多变化，不易满足。&lt;/dd&gt;&lt;dd&gt;&lt;/dd&gt;&lt;/dl&gt;</v>
      </c>
    </row>
    <row r="42" spans="2:7" ht="32.25" thickBot="1" x14ac:dyDescent="0.25">
      <c r="B42" s="14" t="s">
        <v>11</v>
      </c>
      <c r="C42" s="15" t="s">
        <v>3084</v>
      </c>
      <c r="D42" s="15"/>
      <c r="G42" t="str">
        <f t="shared" si="0"/>
        <v>&lt;dl&gt;&lt;dt&gt;父母宫​&lt;/dt&gt;&lt;dd&gt;父母可能交际广泛、多才多艺，或从事娱乐、艺术行业。与父母关系热闹但可能不够深入。&lt;/dd&gt;&lt;dd&gt;&lt;/dd&gt;&lt;/dl&gt;</v>
      </c>
    </row>
    <row r="43" spans="2:7" x14ac:dyDescent="0.2">
      <c r="G43" t="str">
        <f t="shared" si="0"/>
        <v>&lt;dl&gt;&lt;dt&gt;&lt;/dt&gt;&lt;dd&gt;&lt;/dd&gt;&lt;dd&gt;&lt;/dd&gt;&lt;/dl&gt;</v>
      </c>
    </row>
    <row r="45" spans="2:7" ht="17.25" x14ac:dyDescent="0.2">
      <c r="B45" s="5" t="s">
        <v>70</v>
      </c>
    </row>
    <row r="47" spans="2:7" ht="15.75" x14ac:dyDescent="0.2">
      <c r="B47" s="13" t="s">
        <v>3085</v>
      </c>
    </row>
    <row r="48" spans="2:7" ht="16.5" thickBot="1" x14ac:dyDescent="0.25">
      <c r="B48" s="11"/>
    </row>
    <row r="49" spans="2:7" ht="16.5" thickBot="1" x14ac:dyDescent="0.25">
      <c r="B49" s="12" t="s">
        <v>19</v>
      </c>
      <c r="C49" s="12" t="s">
        <v>73</v>
      </c>
      <c r="D49" s="12" t="s">
        <v>108</v>
      </c>
      <c r="G49" t="str">
        <f t="shared" si="0"/>
        <v>&lt;dl&gt;&lt;dt&gt;组合​&lt;/dt&gt;&lt;dd&gt;效应​&lt;/dd&gt;&lt;dd&gt;典型案例/说明​&lt;/dd&gt;&lt;/dl&gt;</v>
      </c>
    </row>
    <row r="50" spans="2:7" ht="48" thickBot="1" x14ac:dyDescent="0.25">
      <c r="B50" s="14" t="s">
        <v>3086</v>
      </c>
      <c r="C50" s="14" t="s">
        <v>3087</v>
      </c>
      <c r="D50" s="15" t="s">
        <v>3088</v>
      </c>
      <c r="G50" t="str">
        <f t="shared" si="0"/>
        <v>&lt;dl&gt;&lt;dt&gt;贪狼+紫微​&lt;/dt&gt;&lt;dd&gt;帝星遇欲，欲望与权力结合，紫微能制贪狼之恶，使其欲望转化为事业野心，适合在大型机构、娱乐界担任管理者，但需防权色交易。&lt;/dd&gt;&lt;dd&gt;娱乐公司高管；大型企业公关负责人。&lt;/dd&gt;&lt;/dl&gt;</v>
      </c>
    </row>
    <row r="51" spans="2:7" ht="48" thickBot="1" x14ac:dyDescent="0.25">
      <c r="B51" s="14" t="s">
        <v>3089</v>
      </c>
      <c r="C51" s="14" t="s">
        <v>3090</v>
      </c>
      <c r="D51" s="15" t="s">
        <v>3091</v>
      </c>
      <c r="G51" t="str">
        <f t="shared" si="0"/>
        <v>&lt;dl&gt;&lt;dt&gt;贪狼+天机​&lt;/dt&gt;&lt;dd&gt;智星遇欲，机巧与欲望结合，思维灵活，善投机，适合策划、中介、投机行业，但想法多变，缺乏恒心。&lt;/dd&gt;&lt;dd&gt;投机客；中介；策划师。&lt;/dd&gt;&lt;/dl&gt;</v>
      </c>
    </row>
    <row r="52" spans="2:7" ht="48" thickBot="1" x14ac:dyDescent="0.25">
      <c r="B52" s="14" t="s">
        <v>3092</v>
      </c>
      <c r="C52" s="14" t="s">
        <v>3093</v>
      </c>
      <c r="D52" s="15" t="s">
        <v>3094</v>
      </c>
      <c r="G52" t="str">
        <f t="shared" si="0"/>
        <v>&lt;dl&gt;&lt;dt&gt;贪狼+太阳​&lt;/dt&gt;&lt;dd&gt;日照遇欲，发散与欲望结合，才华与欲望公开展现，适合演艺、传媒、教育，易成名，但需防桃花是非。&lt;/dd&gt;&lt;dd&gt;演艺明星；公众人物。&lt;/dd&gt;&lt;/dl&gt;</v>
      </c>
    </row>
    <row r="53" spans="2:7" ht="63.75" thickBot="1" x14ac:dyDescent="0.25">
      <c r="B53" s="14" t="s">
        <v>3095</v>
      </c>
      <c r="C53" s="14" t="s">
        <v>3096</v>
      </c>
      <c r="D53" s="15" t="s">
        <v>3097</v>
      </c>
    </row>
    <row r="54" spans="2:7" ht="48" thickBot="1" x14ac:dyDescent="0.25">
      <c r="B54" s="14" t="s">
        <v>3098</v>
      </c>
      <c r="C54" s="14" t="s">
        <v>3099</v>
      </c>
      <c r="D54" s="15" t="s">
        <v>3100</v>
      </c>
    </row>
    <row r="55" spans="2:7" ht="63.75" thickBot="1" x14ac:dyDescent="0.25">
      <c r="B55" s="14" t="s">
        <v>3101</v>
      </c>
      <c r="C55" s="14" t="s">
        <v>3102</v>
      </c>
      <c r="D55" s="15" t="s">
        <v>3103</v>
      </c>
    </row>
    <row r="56" spans="2:7" ht="48" thickBot="1" x14ac:dyDescent="0.25">
      <c r="B56" s="14" t="s">
        <v>3104</v>
      </c>
      <c r="C56" s="14" t="s">
        <v>3105</v>
      </c>
      <c r="D56" s="15" t="s">
        <v>3106</v>
      </c>
    </row>
    <row r="57" spans="2:7" ht="48" thickBot="1" x14ac:dyDescent="0.25">
      <c r="B57" s="14" t="s">
        <v>3107</v>
      </c>
      <c r="C57" s="14" t="s">
        <v>3108</v>
      </c>
      <c r="D57" s="15" t="s">
        <v>3109</v>
      </c>
    </row>
    <row r="58" spans="2:7" ht="48" thickBot="1" x14ac:dyDescent="0.25">
      <c r="B58" s="14" t="s">
        <v>3110</v>
      </c>
      <c r="C58" s="15" t="s">
        <v>3111</v>
      </c>
      <c r="D58" s="15" t="s">
        <v>3112</v>
      </c>
    </row>
    <row r="59" spans="2:7" ht="48" thickBot="1" x14ac:dyDescent="0.25">
      <c r="B59" s="14" t="s">
        <v>3113</v>
      </c>
      <c r="C59" s="14" t="s">
        <v>3114</v>
      </c>
      <c r="D59" s="15" t="s">
        <v>3115</v>
      </c>
    </row>
    <row r="60" spans="2:7" ht="48" thickBot="1" x14ac:dyDescent="0.25">
      <c r="B60" s="14" t="s">
        <v>3116</v>
      </c>
      <c r="C60" s="14" t="s">
        <v>3117</v>
      </c>
      <c r="D60" s="15" t="s">
        <v>3118</v>
      </c>
    </row>
    <row r="61" spans="2:7" ht="48" thickBot="1" x14ac:dyDescent="0.25">
      <c r="B61" s="14" t="s">
        <v>3119</v>
      </c>
      <c r="C61" s="14" t="s">
        <v>3120</v>
      </c>
      <c r="D61" s="15" t="s">
        <v>3121</v>
      </c>
    </row>
    <row r="62" spans="2:7" ht="48" thickBot="1" x14ac:dyDescent="0.25">
      <c r="B62" s="14" t="s">
        <v>3122</v>
      </c>
      <c r="C62" s="14" t="s">
        <v>3123</v>
      </c>
      <c r="D62" s="15" t="s">
        <v>3124</v>
      </c>
    </row>
    <row r="63" spans="2:7" ht="48" thickBot="1" x14ac:dyDescent="0.25">
      <c r="B63" s="14" t="s">
        <v>3125</v>
      </c>
      <c r="C63" s="14" t="s">
        <v>3126</v>
      </c>
      <c r="D63" s="15" t="s">
        <v>3127</v>
      </c>
    </row>
    <row r="66" spans="2:4" ht="17.25" x14ac:dyDescent="0.2">
      <c r="B66" s="5" t="s">
        <v>71</v>
      </c>
    </row>
    <row r="67" spans="2:4" ht="16.5" thickBot="1" x14ac:dyDescent="0.25">
      <c r="B67" s="11"/>
    </row>
    <row r="68" spans="2:4" ht="16.5" thickBot="1" x14ac:dyDescent="0.25">
      <c r="B68" s="12" t="s">
        <v>14</v>
      </c>
      <c r="C68" s="12" t="s">
        <v>75</v>
      </c>
      <c r="D68" s="12" t="s">
        <v>7</v>
      </c>
    </row>
    <row r="69" spans="2:4" ht="32.25" thickBot="1" x14ac:dyDescent="0.25">
      <c r="B69" s="14" t="s">
        <v>3128</v>
      </c>
      <c r="C69" s="14" t="s">
        <v>3129</v>
      </c>
      <c r="D69" s="15"/>
    </row>
    <row r="70" spans="2:4" ht="48" thickBot="1" x14ac:dyDescent="0.25">
      <c r="B70" s="14" t="s">
        <v>3130</v>
      </c>
      <c r="C70" s="14" t="s">
        <v>3131</v>
      </c>
      <c r="D70" s="15"/>
    </row>
    <row r="71" spans="2:4" ht="32.25" thickBot="1" x14ac:dyDescent="0.25">
      <c r="B71" s="14" t="s">
        <v>3132</v>
      </c>
      <c r="C71" s="14" t="s">
        <v>3133</v>
      </c>
      <c r="D71" s="15"/>
    </row>
    <row r="72" spans="2:4" ht="32.25" thickBot="1" x14ac:dyDescent="0.25">
      <c r="B72" s="14" t="s">
        <v>3134</v>
      </c>
      <c r="C72" s="14" t="s">
        <v>3135</v>
      </c>
      <c r="D72" s="15"/>
    </row>
    <row r="73" spans="2:4" ht="48" thickBot="1" x14ac:dyDescent="0.25">
      <c r="B73" s="14" t="s">
        <v>3136</v>
      </c>
      <c r="C73" s="14" t="s">
        <v>3137</v>
      </c>
      <c r="D73" s="15"/>
    </row>
    <row r="74" spans="2:4" ht="48" thickBot="1" x14ac:dyDescent="0.25">
      <c r="B74" s="14" t="s">
        <v>3138</v>
      </c>
      <c r="C74" s="14" t="s">
        <v>3139</v>
      </c>
      <c r="D74" s="15"/>
    </row>
    <row r="75" spans="2:4" ht="32.25" thickBot="1" x14ac:dyDescent="0.25">
      <c r="B75" s="14" t="s">
        <v>3140</v>
      </c>
      <c r="C75" s="14" t="s">
        <v>3141</v>
      </c>
      <c r="D75" s="15"/>
    </row>
    <row r="76" spans="2:4" ht="32.25" thickBot="1" x14ac:dyDescent="0.25">
      <c r="B76" s="14" t="s">
        <v>3142</v>
      </c>
      <c r="C76" s="14" t="s">
        <v>3143</v>
      </c>
      <c r="D76" s="15"/>
    </row>
    <row r="77" spans="2:4" ht="32.25" thickBot="1" x14ac:dyDescent="0.25">
      <c r="B77" s="14" t="s">
        <v>3144</v>
      </c>
      <c r="C77" s="14" t="s">
        <v>3145</v>
      </c>
      <c r="D77" s="15"/>
    </row>
    <row r="78" spans="2:4" ht="32.25" thickBot="1" x14ac:dyDescent="0.25">
      <c r="B78" s="14" t="s">
        <v>3146</v>
      </c>
      <c r="C78" s="14" t="s">
        <v>3147</v>
      </c>
      <c r="D78" s="15"/>
    </row>
    <row r="79" spans="2:4" ht="32.25" thickBot="1" x14ac:dyDescent="0.25">
      <c r="B79" s="14" t="s">
        <v>3148</v>
      </c>
      <c r="C79" s="14" t="s">
        <v>3149</v>
      </c>
      <c r="D79" s="15"/>
    </row>
    <row r="80" spans="2:4" ht="48" thickBot="1" x14ac:dyDescent="0.25">
      <c r="B80" s="14" t="s">
        <v>3150</v>
      </c>
      <c r="C80" s="14" t="s">
        <v>3151</v>
      </c>
      <c r="D80" s="15"/>
    </row>
    <row r="81" spans="2:4" ht="48" thickBot="1" x14ac:dyDescent="0.25">
      <c r="B81" s="14" t="s">
        <v>3152</v>
      </c>
      <c r="C81" s="14" t="s">
        <v>3153</v>
      </c>
      <c r="D81" s="15"/>
    </row>
    <row r="82" spans="2:4" ht="48" thickBot="1" x14ac:dyDescent="0.25">
      <c r="B82" s="14" t="s">
        <v>3154</v>
      </c>
      <c r="C82" s="14" t="s">
        <v>3155</v>
      </c>
      <c r="D82" s="15"/>
    </row>
    <row r="85" spans="2:4" ht="17.25" x14ac:dyDescent="0.2">
      <c r="B85" s="5" t="s">
        <v>103</v>
      </c>
    </row>
    <row r="86" spans="2:4" x14ac:dyDescent="0.2">
      <c r="B86" s="6"/>
    </row>
    <row r="87" spans="2:4" x14ac:dyDescent="0.2">
      <c r="B87" s="7" t="s">
        <v>3156</v>
      </c>
    </row>
    <row r="88" spans="2:4" x14ac:dyDescent="0.2">
      <c r="B88" s="7" t="s">
        <v>3157</v>
      </c>
    </row>
    <row r="89" spans="2:4" x14ac:dyDescent="0.2">
      <c r="B89" s="7" t="s">
        <v>3158</v>
      </c>
    </row>
    <row r="90" spans="2:4" x14ac:dyDescent="0.2">
      <c r="B90" s="7" t="s">
        <v>3159</v>
      </c>
    </row>
    <row r="91" spans="2:4" x14ac:dyDescent="0.2">
      <c r="B91" s="7" t="s">
        <v>3160</v>
      </c>
    </row>
    <row r="92" spans="2:4" x14ac:dyDescent="0.2">
      <c r="B92" s="7" t="s">
        <v>3161</v>
      </c>
    </row>
    <row r="93" spans="2:4" x14ac:dyDescent="0.2">
      <c r="B93" s="7" t="s">
        <v>3162</v>
      </c>
    </row>
    <row r="94" spans="2:4" x14ac:dyDescent="0.2">
      <c r="B94" s="7" t="s">
        <v>3163</v>
      </c>
    </row>
    <row r="95" spans="2:4" x14ac:dyDescent="0.2">
      <c r="B95" s="6"/>
    </row>
    <row r="96" spans="2:4" x14ac:dyDescent="0.2">
      <c r="B96" s="6" t="s">
        <v>3164</v>
      </c>
    </row>
  </sheetData>
  <mergeCells count="2">
    <mergeCell ref="B8:B10"/>
    <mergeCell ref="D8:D10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79872-F4F3-4BE4-B38A-60B04BE60843}">
  <dimension ref="B1:G98"/>
  <sheetViews>
    <sheetView topLeftCell="A24" zoomScaleNormal="100" workbookViewId="0">
      <selection activeCell="B1" sqref="B1:D9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4564</v>
      </c>
      <c r="G1" t="str">
        <f>"&lt;dl&gt;&lt;dt&gt;" &amp; B1 &amp; "&lt;/dt&gt;&lt;dd&gt;" &amp; C1 &amp; "&lt;/dd&gt;&lt;dd&gt;" &amp; D1 &amp; "&lt;/dd&gt;&lt;/dl&gt;"</f>
        <v>&lt;dl&gt;&lt;dt&gt;根据《金刚佛光-紫占课程手册》，并严格应用修正后的逻辑，现对武曲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3012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4565</v>
      </c>
      <c r="D7" s="15" t="s">
        <v>4566</v>
      </c>
    </row>
    <row r="8" spans="2:7" ht="78.75" x14ac:dyDescent="0.2">
      <c r="B8" s="24" t="s">
        <v>2914</v>
      </c>
      <c r="C8" s="19" t="s">
        <v>4567</v>
      </c>
      <c r="D8" s="27" t="s">
        <v>4575</v>
      </c>
    </row>
    <row r="9" spans="2:7" ht="94.5" x14ac:dyDescent="0.2">
      <c r="B9" s="25"/>
      <c r="C9" s="20" t="s">
        <v>4568</v>
      </c>
      <c r="D9" s="28"/>
    </row>
    <row r="10" spans="2:7" ht="47.25" x14ac:dyDescent="0.2">
      <c r="B10" s="25"/>
      <c r="C10" s="20" t="s">
        <v>4569</v>
      </c>
      <c r="D10" s="28"/>
    </row>
    <row r="11" spans="2:7" ht="47.25" x14ac:dyDescent="0.2">
      <c r="B11" s="25"/>
      <c r="C11" s="22" t="s">
        <v>4570</v>
      </c>
      <c r="D11" s="28"/>
    </row>
    <row r="12" spans="2:7" ht="47.25" x14ac:dyDescent="0.2">
      <c r="B12" s="25"/>
      <c r="C12" s="22" t="s">
        <v>4571</v>
      </c>
      <c r="D12" s="28"/>
    </row>
    <row r="13" spans="2:7" ht="15.75" x14ac:dyDescent="0.2">
      <c r="B13" s="25"/>
      <c r="C13" s="22" t="s">
        <v>4343</v>
      </c>
      <c r="D13" s="28"/>
    </row>
    <row r="14" spans="2:7" ht="47.25" x14ac:dyDescent="0.2">
      <c r="B14" s="25"/>
      <c r="C14" s="22" t="s">
        <v>4572</v>
      </c>
      <c r="D14" s="28"/>
    </row>
    <row r="15" spans="2:7" ht="47.25" x14ac:dyDescent="0.2">
      <c r="B15" s="25"/>
      <c r="C15" s="22" t="s">
        <v>4573</v>
      </c>
      <c r="D15" s="28"/>
    </row>
    <row r="16" spans="2:7" ht="32.25" thickBot="1" x14ac:dyDescent="0.25">
      <c r="B16" s="26"/>
      <c r="C16" s="23" t="s">
        <v>4574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4576</v>
      </c>
      <c r="C22" s="15" t="s">
        <v>4577</v>
      </c>
      <c r="D22" s="15" t="s">
        <v>4578</v>
      </c>
    </row>
    <row r="23" spans="2:7" ht="48" thickBot="1" x14ac:dyDescent="0.25">
      <c r="B23" s="14" t="s">
        <v>4579</v>
      </c>
      <c r="C23" s="15" t="s">
        <v>4580</v>
      </c>
      <c r="D23" s="15" t="s">
        <v>4581</v>
      </c>
      <c r="E23" s="12"/>
    </row>
    <row r="24" spans="2:7" ht="48" thickBot="1" x14ac:dyDescent="0.25">
      <c r="B24" s="14" t="s">
        <v>4582</v>
      </c>
      <c r="C24" s="15" t="s">
        <v>4583</v>
      </c>
      <c r="D24" s="15" t="s">
        <v>4584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金性与肃杀​&lt;/dt&gt;&lt;dd&gt;属阴金，具金属的刚硬、肃杀、切割之性。代表竞争、冲突、手术、法律。&lt;/dd&gt;&lt;dd&gt;在命宫、疾厄宫时，主性格刚硬，健康上需注意呼吸系统、骨骼、刀伤。&lt;/dd&gt;&lt;/dl&gt;</v>
      </c>
    </row>
    <row r="25" spans="2:7" ht="32.25" thickBot="1" x14ac:dyDescent="0.25">
      <c r="B25" s="14" t="s">
        <v>4585</v>
      </c>
      <c r="C25" s="15" t="s">
        <v>4586</v>
      </c>
      <c r="D25" s="15" t="s">
        <v>4587</v>
      </c>
      <c r="E25" s="15"/>
      <c r="G25" t="str">
        <f t="shared" si="0"/>
        <v>&lt;dl&gt;&lt;dt&gt;孤独与义气​&lt;/dt&gt;&lt;dd&gt;星性刚直孤克，但重义气、守信用。人际关系简单直接，朋友不多但可托付。&lt;/dd&gt;&lt;dd&gt;在命宫、交友宫时，主为人可靠但朋友少，易因性格刚直得罪人。&lt;/dd&gt;&lt;/dl&gt;</v>
      </c>
    </row>
    <row r="26" spans="2:7" ht="32.25" thickBot="1" x14ac:dyDescent="0.25">
      <c r="B26" s="14" t="s">
        <v>3016</v>
      </c>
      <c r="C26" s="14" t="s">
        <v>4588</v>
      </c>
      <c r="D26" s="15" t="s">
        <v>2539</v>
      </c>
      <c r="E26" s="15"/>
      <c r="G26" t="str">
        <f t="shared" si="0"/>
        <v>&lt;dl&gt;&lt;dt&gt;外貌气质​&lt;/dt&gt;&lt;dd&gt;身材壮实，方脸或圆脸，声音洪亮，眼神坚定，行动敏捷有力。&lt;/dd&gt;&lt;dd&gt;在命宫、身宫时显著。&lt;/dd&gt;&lt;/dl&gt;</v>
      </c>
    </row>
    <row r="27" spans="2:7" ht="32.25" thickBot="1" x14ac:dyDescent="0.25">
      <c r="B27" s="24" t="s">
        <v>3017</v>
      </c>
      <c r="C27" s="19" t="s">
        <v>4589</v>
      </c>
      <c r="D27" s="27"/>
      <c r="E27" s="15"/>
      <c r="G27" t="str">
        <f t="shared" si="0"/>
        <v>&lt;dl&gt;&lt;dt&gt;性格特质​&lt;/dt&gt;&lt;dd&gt;优点：刚毅果决，执行力强，重信守诺，勤俭务实，不畏艰难。&lt;/dd&gt;&lt;dd&gt;&lt;/dd&gt;&lt;/dl&gt;</v>
      </c>
    </row>
    <row r="28" spans="2:7" ht="32.25" thickBot="1" x14ac:dyDescent="0.25">
      <c r="B28" s="26"/>
      <c r="C28" s="21" t="s">
        <v>4590</v>
      </c>
      <c r="D28" s="29"/>
      <c r="E28" s="15"/>
      <c r="G28" t="str">
        <f t="shared" si="0"/>
        <v>&lt;dl&gt;&lt;dt&gt;&lt;/dt&gt;&lt;dd&gt;缺点：固执己见，不善变通，言辞直接，孤克寡合，重利轻情。&lt;/dd&gt;&lt;dd&gt;&lt;/dd&gt;&lt;/dl&gt;</v>
      </c>
    </row>
    <row r="29" spans="2:7" ht="48" thickBot="1" x14ac:dyDescent="0.25">
      <c r="B29" s="14" t="s">
        <v>3419</v>
      </c>
      <c r="C29" s="15" t="s">
        <v>4591</v>
      </c>
      <c r="D29" s="15" t="s">
        <v>3013</v>
      </c>
      <c r="E29" s="15"/>
      <c r="G29" t="str">
        <f t="shared" si="0"/>
        <v>&lt;dl&gt;&lt;dt&gt;健康方面​&lt;/dt&gt;&lt;dd&gt;属阴金，主肺、呼吸系统、大肠。亦主骨骼、牙齿。因其“金”的肃杀之性，需注意刀伤、手术、跌打损伤。&lt;/dd&gt;&lt;dd&gt;在疾厄宫时显现。&lt;/dd&gt;&lt;/dl&gt;</v>
      </c>
    </row>
    <row r="32" spans="2:7" ht="17.25" x14ac:dyDescent="0.2">
      <c r="B32" s="5" t="s">
        <v>102</v>
      </c>
    </row>
    <row r="33" spans="2:7" ht="16.5" thickBot="1" x14ac:dyDescent="0.25">
      <c r="B33" s="11"/>
    </row>
    <row r="34" spans="2:7" ht="16.5" thickBot="1" x14ac:dyDescent="0.25">
      <c r="B34" s="12" t="s">
        <v>6</v>
      </c>
      <c r="C34" s="12" t="s">
        <v>107</v>
      </c>
      <c r="D34" s="12" t="s">
        <v>7</v>
      </c>
      <c r="E34" s="12"/>
    </row>
    <row r="35" spans="2:7" ht="95.25" thickBot="1" x14ac:dyDescent="0.25">
      <c r="B35" s="14" t="s">
        <v>2930</v>
      </c>
      <c r="C35" s="15" t="s">
        <v>4592</v>
      </c>
      <c r="D35" s="15"/>
      <c r="E35" s="15"/>
      <c r="G35" t="str">
        <f t="shared" si="0"/>
        <v>&lt;dl&gt;&lt;dt&gt;命宫​&lt;/dt&gt;&lt;dd&gt;为人刚毅果决，务实重利，执行力强。是天生的行动派与实干家。适合从事金融、军警、工程技术、体育。喜见禄存、化禄及吉星，主“财帛之主”，富格。忌煞星，主“孤克”，辛劳破财，性格更显刚硬。武曲坐命，需修习圆融，避免过于刚直。&lt;/dd&gt;&lt;dd&gt;&lt;/dd&gt;&lt;/dl&gt;</v>
      </c>
    </row>
    <row r="36" spans="2:7" ht="32.25" thickBot="1" x14ac:dyDescent="0.25">
      <c r="B36" s="14" t="s">
        <v>2932</v>
      </c>
      <c r="C36" s="15" t="s">
        <v>4593</v>
      </c>
      <c r="D36" s="15"/>
      <c r="E36" s="15"/>
      <c r="G36" t="str">
        <f t="shared" si="0"/>
        <v>&lt;dl&gt;&lt;dt&gt;兄弟宫​&lt;/dt&gt;&lt;dd&gt;兄弟姐妹个性刚强，关系直接，可能少往来或各自打拼。&lt;/dd&gt;&lt;dd&gt;&lt;/dd&gt;&lt;/dl&gt;</v>
      </c>
    </row>
    <row r="37" spans="2:7" ht="48" thickBot="1" x14ac:dyDescent="0.25">
      <c r="B37" s="14" t="s">
        <v>2934</v>
      </c>
      <c r="C37" s="15" t="s">
        <v>4594</v>
      </c>
      <c r="D37" s="15"/>
      <c r="E37" s="15"/>
      <c r="G37" t="str">
        <f t="shared" si="0"/>
        <v>&lt;dl&gt;&lt;dt&gt;夫妻宫​&lt;/dt&gt;&lt;dd&gt;婚姻关系务实，像合作伙伴。配偶性格刚强，能干。若组合不佳，主婚姻迟、聚少离多或争执。&lt;/dd&gt;&lt;dd&gt;&lt;/dd&gt;&lt;/dl&gt;</v>
      </c>
    </row>
    <row r="38" spans="2:7" ht="16.5" thickBot="1" x14ac:dyDescent="0.25">
      <c r="B38" s="14" t="s">
        <v>2936</v>
      </c>
      <c r="C38" s="15" t="s">
        <v>4595</v>
      </c>
      <c r="D38" s="15"/>
      <c r="E38" s="15"/>
      <c r="G38" t="str">
        <f t="shared" si="0"/>
        <v>&lt;dl&gt;&lt;dt&gt;子女宫​&lt;/dt&gt;&lt;dd&gt;子女个性独立，好动，管教需严格但讲理。&lt;/dd&gt;&lt;dd&gt;&lt;/dd&gt;&lt;/dl&gt;</v>
      </c>
    </row>
    <row r="39" spans="2:7" ht="63.75" thickBot="1" x14ac:dyDescent="0.25">
      <c r="B39" s="14" t="s">
        <v>9</v>
      </c>
      <c r="C39" s="14" t="s">
        <v>4596</v>
      </c>
      <c r="D39" s="15"/>
      <c r="E39" s="15"/>
      <c r="G39" t="str">
        <f t="shared" si="0"/>
        <v>&lt;dl&gt;&lt;dt&gt;财帛宫​&lt;/dt&gt;&lt;dd&gt;正财星入财帛，求财方式务实、直接、多劳多得。适合金融、技术、军警等凭本事赚钱的行业。见吉主大富；见煞主劳碌求财，钱财周转紧张。&lt;/dd&gt;&lt;dd&gt;&lt;/dd&gt;&lt;/dl&gt;</v>
      </c>
    </row>
    <row r="40" spans="2:7" ht="48" thickBot="1" x14ac:dyDescent="0.25">
      <c r="B40" s="14" t="s">
        <v>10</v>
      </c>
      <c r="C40" s="15" t="s">
        <v>4597</v>
      </c>
      <c r="D40" s="15"/>
      <c r="E40" s="15"/>
      <c r="G40" t="str">
        <f t="shared" si="0"/>
        <v>&lt;dl&gt;&lt;dt&gt;疾厄宫​&lt;/dt&gt;&lt;dd&gt;主呼吸系统疾病（如哮喘、肺炎）、骨骼问题（如骨折、牙病）、大肠疾病。易有外伤、手术。&lt;/dd&gt;&lt;dd&gt;&lt;/dd&gt;&lt;/dl&gt;</v>
      </c>
    </row>
    <row r="41" spans="2:7" ht="32.25" thickBot="1" x14ac:dyDescent="0.25">
      <c r="B41" s="14" t="s">
        <v>13</v>
      </c>
      <c r="C41" s="15" t="s">
        <v>4598</v>
      </c>
      <c r="D41" s="15"/>
      <c r="E41" s="15"/>
      <c r="G41" t="str">
        <f t="shared" si="0"/>
        <v>&lt;dl&gt;&lt;dt&gt;迁移宫​&lt;/dt&gt;&lt;dd&gt;在外行动力强，适合外出发展，易在异地凭借专业技艺或执行力成功。&lt;/dd&gt;&lt;dd&gt;&lt;/dd&gt;&lt;/dl&gt;</v>
      </c>
    </row>
    <row r="42" spans="2:7" ht="32.25" thickBot="1" x14ac:dyDescent="0.25">
      <c r="B42" s="14" t="s">
        <v>3018</v>
      </c>
      <c r="C42" s="14" t="s">
        <v>4599</v>
      </c>
      <c r="D42" s="15"/>
      <c r="E42" s="15"/>
      <c r="G42" t="str">
        <f t="shared" si="0"/>
        <v>&lt;dl&gt;&lt;dt&gt;交友宫（奴仆宫）​&lt;/dt&gt;&lt;dd&gt;朋友、同事多务实、直爽之人，如军人、警察、工程师。关系建立在利益或共同目标上。&lt;/dd&gt;&lt;dd&gt;&lt;/dd&gt;&lt;/dl&gt;</v>
      </c>
    </row>
    <row r="43" spans="2:7" ht="48" thickBot="1" x14ac:dyDescent="0.25">
      <c r="B43" s="14" t="s">
        <v>3019</v>
      </c>
      <c r="C43" s="15" t="s">
        <v>4600</v>
      </c>
      <c r="D43" s="15"/>
      <c r="E43" s="15"/>
      <c r="G43" t="str">
        <f t="shared" si="0"/>
        <v>&lt;dl&gt;&lt;dt&gt;官禄宫（事业宫）​&lt;/dt&gt;&lt;dd&gt;适合从事需要执行力、专业技能、纪律性的行业，如金融、军警、法律、工程技术、体育。事业靠实力一步步积累。&lt;/dd&gt;&lt;dd&gt;&lt;/dd&gt;&lt;/dl&gt;</v>
      </c>
    </row>
    <row r="44" spans="2:7" ht="48" thickBot="1" x14ac:dyDescent="0.25">
      <c r="B44" s="14" t="s">
        <v>8</v>
      </c>
      <c r="C44" s="14" t="s">
        <v>4601</v>
      </c>
      <c r="D44" s="15"/>
    </row>
    <row r="45" spans="2:7" ht="32.25" thickBot="1" x14ac:dyDescent="0.25">
      <c r="B45" s="14" t="s">
        <v>2945</v>
      </c>
      <c r="C45" s="15" t="s">
        <v>4602</v>
      </c>
      <c r="D45" s="15"/>
    </row>
    <row r="46" spans="2:7" ht="32.25" thickBot="1" x14ac:dyDescent="0.25">
      <c r="B46" s="14" t="s">
        <v>11</v>
      </c>
      <c r="C46" s="15" t="s">
        <v>4603</v>
      </c>
      <c r="D46" s="15"/>
    </row>
    <row r="47" spans="2:7" ht="15" thickBot="1" x14ac:dyDescent="0.25"/>
    <row r="48" spans="2:7" ht="16.5" thickBot="1" x14ac:dyDescent="0.25">
      <c r="E48" s="12"/>
    </row>
    <row r="49" spans="2:7" ht="18" thickBot="1" x14ac:dyDescent="0.25">
      <c r="B49" s="5" t="s">
        <v>70</v>
      </c>
      <c r="E49" s="15"/>
      <c r="G49" t="str">
        <f t="shared" si="0"/>
        <v>&lt;dl&gt;&lt;dt&gt;四、主星组合象义&lt;/dt&gt;&lt;dd&gt;&lt;/dd&gt;&lt;dd&gt;&lt;/dd&gt;&lt;/dl&gt;</v>
      </c>
    </row>
    <row r="50" spans="2:7" ht="16.5" thickBot="1" x14ac:dyDescent="0.25">
      <c r="B50" s="11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2" t="s">
        <v>19</v>
      </c>
      <c r="C51" s="12" t="s">
        <v>73</v>
      </c>
      <c r="D51" s="12" t="s">
        <v>108</v>
      </c>
      <c r="E51" s="15"/>
      <c r="G51" t="str">
        <f t="shared" si="0"/>
        <v>&lt;dl&gt;&lt;dt&gt;组合​&lt;/dt&gt;&lt;dd&gt;效应​&lt;/dd&gt;&lt;dd&gt;典型案例/说明​&lt;/dd&gt;&lt;/dl&gt;</v>
      </c>
    </row>
    <row r="52" spans="2:7" ht="32.25" thickBot="1" x14ac:dyDescent="0.25">
      <c r="B52" s="14" t="s">
        <v>3020</v>
      </c>
      <c r="C52" s="14" t="s">
        <v>4604</v>
      </c>
      <c r="D52" s="15" t="s">
        <v>4498</v>
      </c>
      <c r="E52" s="15"/>
      <c r="G52" t="str">
        <f t="shared" si="0"/>
        <v>&lt;dl&gt;&lt;dt&gt;武曲+紫微​&lt;/dt&gt;&lt;dd&gt;帝星统将，权威与刚毅结合，“紫武”组合，刚毅果决的领导，适合军警、金融巨头。&lt;/dd&gt;&lt;dd&gt;将军；金融集团CEO。&lt;/dd&gt;&lt;/dl&gt;</v>
      </c>
    </row>
    <row r="53" spans="2:7" ht="48" thickBot="1" x14ac:dyDescent="0.25">
      <c r="B53" s="14" t="s">
        <v>3021</v>
      </c>
      <c r="C53" s="14" t="s">
        <v>4605</v>
      </c>
      <c r="D53" s="15" t="s">
        <v>4606</v>
      </c>
    </row>
    <row r="54" spans="2:7" ht="32.25" thickBot="1" x14ac:dyDescent="0.25">
      <c r="B54" s="14" t="s">
        <v>3022</v>
      </c>
      <c r="C54" s="14" t="s">
        <v>4607</v>
      </c>
      <c r="D54" s="15" t="s">
        <v>4608</v>
      </c>
    </row>
    <row r="55" spans="2:7" ht="48" thickBot="1" x14ac:dyDescent="0.25">
      <c r="B55" s="14" t="s">
        <v>3023</v>
      </c>
      <c r="C55" s="14" t="s">
        <v>4609</v>
      </c>
      <c r="D55" s="15" t="s">
        <v>4610</v>
      </c>
    </row>
    <row r="56" spans="2:7" ht="48" thickBot="1" x14ac:dyDescent="0.25">
      <c r="B56" s="14" t="s">
        <v>3024</v>
      </c>
      <c r="C56" s="14" t="s">
        <v>4611</v>
      </c>
      <c r="D56" s="15" t="s">
        <v>4612</v>
      </c>
    </row>
    <row r="57" spans="2:7" ht="32.25" thickBot="1" x14ac:dyDescent="0.25">
      <c r="B57" s="14" t="s">
        <v>3025</v>
      </c>
      <c r="C57" s="14" t="s">
        <v>4613</v>
      </c>
      <c r="D57" s="15" t="s">
        <v>4385</v>
      </c>
    </row>
    <row r="58" spans="2:7" ht="32.25" thickBot="1" x14ac:dyDescent="0.25">
      <c r="B58" s="14" t="s">
        <v>3026</v>
      </c>
      <c r="C58" s="14" t="s">
        <v>4614</v>
      </c>
      <c r="D58" s="15" t="s">
        <v>4615</v>
      </c>
    </row>
    <row r="59" spans="2:7" ht="48" thickBot="1" x14ac:dyDescent="0.25">
      <c r="B59" s="14" t="s">
        <v>3027</v>
      </c>
      <c r="C59" s="14" t="s">
        <v>4616</v>
      </c>
      <c r="D59" s="15" t="s">
        <v>4617</v>
      </c>
    </row>
    <row r="60" spans="2:7" ht="48" thickBot="1" x14ac:dyDescent="0.25">
      <c r="B60" s="14" t="s">
        <v>3028</v>
      </c>
      <c r="C60" s="14" t="s">
        <v>4618</v>
      </c>
      <c r="D60" s="15" t="s">
        <v>4619</v>
      </c>
    </row>
    <row r="61" spans="2:7" ht="48" thickBot="1" x14ac:dyDescent="0.25">
      <c r="B61" s="14" t="s">
        <v>3029</v>
      </c>
      <c r="C61" s="14" t="s">
        <v>4620</v>
      </c>
      <c r="D61" s="15" t="s">
        <v>4621</v>
      </c>
    </row>
    <row r="62" spans="2:7" ht="48" thickBot="1" x14ac:dyDescent="0.25">
      <c r="B62" s="14" t="s">
        <v>3030</v>
      </c>
      <c r="C62" s="14" t="s">
        <v>4622</v>
      </c>
      <c r="D62" s="15" t="s">
        <v>4623</v>
      </c>
    </row>
    <row r="63" spans="2:7" ht="48" thickBot="1" x14ac:dyDescent="0.25">
      <c r="B63" s="14" t="s">
        <v>3031</v>
      </c>
      <c r="C63" s="14" t="s">
        <v>4624</v>
      </c>
      <c r="D63" s="15" t="s">
        <v>4625</v>
      </c>
    </row>
    <row r="64" spans="2:7" ht="48" thickBot="1" x14ac:dyDescent="0.25">
      <c r="B64" s="14" t="s">
        <v>3032</v>
      </c>
      <c r="C64" s="14" t="s">
        <v>4626</v>
      </c>
      <c r="D64" s="15" t="s">
        <v>4627</v>
      </c>
    </row>
    <row r="67" spans="2:4" ht="17.25" x14ac:dyDescent="0.2">
      <c r="B67" s="5" t="s">
        <v>71</v>
      </c>
    </row>
    <row r="68" spans="2:4" ht="16.5" thickBot="1" x14ac:dyDescent="0.25">
      <c r="B68" s="11"/>
    </row>
    <row r="69" spans="2:4" ht="16.5" thickBot="1" x14ac:dyDescent="0.25">
      <c r="B69" s="12" t="s">
        <v>14</v>
      </c>
      <c r="C69" s="12" t="s">
        <v>75</v>
      </c>
      <c r="D69" s="12" t="s">
        <v>7</v>
      </c>
    </row>
    <row r="70" spans="2:4" ht="32.25" thickBot="1" x14ac:dyDescent="0.25">
      <c r="B70" s="14" t="s">
        <v>3033</v>
      </c>
      <c r="C70" s="14" t="s">
        <v>4628</v>
      </c>
      <c r="D70" s="15"/>
    </row>
    <row r="71" spans="2:4" ht="32.25" thickBot="1" x14ac:dyDescent="0.25">
      <c r="B71" s="14" t="s">
        <v>3034</v>
      </c>
      <c r="C71" s="14" t="s">
        <v>4629</v>
      </c>
      <c r="D71" s="15"/>
    </row>
    <row r="72" spans="2:4" ht="32.25" thickBot="1" x14ac:dyDescent="0.25">
      <c r="B72" s="14" t="s">
        <v>3035</v>
      </c>
      <c r="C72" s="14" t="s">
        <v>4630</v>
      </c>
      <c r="D72" s="15"/>
    </row>
    <row r="73" spans="2:4" ht="32.25" thickBot="1" x14ac:dyDescent="0.25">
      <c r="B73" s="14" t="s">
        <v>3036</v>
      </c>
      <c r="C73" s="14" t="s">
        <v>4631</v>
      </c>
      <c r="D73" s="15"/>
    </row>
    <row r="74" spans="2:4" ht="32.25" thickBot="1" x14ac:dyDescent="0.25">
      <c r="B74" s="14" t="s">
        <v>3037</v>
      </c>
      <c r="C74" s="14" t="s">
        <v>4632</v>
      </c>
      <c r="D74" s="15"/>
    </row>
    <row r="75" spans="2:4" ht="32.25" thickBot="1" x14ac:dyDescent="0.25">
      <c r="B75" s="14" t="s">
        <v>3038</v>
      </c>
      <c r="C75" s="14" t="s">
        <v>4633</v>
      </c>
      <c r="D75" s="15"/>
    </row>
    <row r="76" spans="2:4" ht="32.25" thickBot="1" x14ac:dyDescent="0.25">
      <c r="B76" s="14" t="s">
        <v>3039</v>
      </c>
      <c r="C76" s="14" t="s">
        <v>4634</v>
      </c>
      <c r="D76" s="15"/>
    </row>
    <row r="77" spans="2:4" ht="32.25" thickBot="1" x14ac:dyDescent="0.25">
      <c r="B77" s="14" t="s">
        <v>3040</v>
      </c>
      <c r="C77" s="14" t="s">
        <v>4635</v>
      </c>
      <c r="D77" s="15"/>
    </row>
    <row r="78" spans="2:4" ht="32.25" thickBot="1" x14ac:dyDescent="0.25">
      <c r="B78" s="14" t="s">
        <v>3041</v>
      </c>
      <c r="C78" s="14" t="s">
        <v>4636</v>
      </c>
      <c r="D78" s="15"/>
    </row>
    <row r="79" spans="2:4" ht="32.25" thickBot="1" x14ac:dyDescent="0.25">
      <c r="B79" s="14" t="s">
        <v>3042</v>
      </c>
      <c r="C79" s="14" t="s">
        <v>4637</v>
      </c>
      <c r="D79" s="15"/>
    </row>
    <row r="80" spans="2:4" ht="32.25" thickBot="1" x14ac:dyDescent="0.25">
      <c r="B80" s="14" t="s">
        <v>3043</v>
      </c>
      <c r="C80" s="14" t="s">
        <v>4638</v>
      </c>
      <c r="D80" s="15"/>
    </row>
    <row r="81" spans="2:4" ht="32.25" thickBot="1" x14ac:dyDescent="0.25">
      <c r="B81" s="14" t="s">
        <v>3044</v>
      </c>
      <c r="C81" s="14" t="s">
        <v>4639</v>
      </c>
      <c r="D81" s="15"/>
    </row>
    <row r="82" spans="2:4" ht="16.5" thickBot="1" x14ac:dyDescent="0.25">
      <c r="B82" s="14" t="s">
        <v>3045</v>
      </c>
      <c r="C82" s="14" t="s">
        <v>4640</v>
      </c>
      <c r="D82" s="15"/>
    </row>
    <row r="83" spans="2:4" ht="16.5" thickBot="1" x14ac:dyDescent="0.25">
      <c r="B83" s="14" t="s">
        <v>3046</v>
      </c>
      <c r="C83" s="14" t="s">
        <v>4641</v>
      </c>
      <c r="D83" s="15"/>
    </row>
    <row r="84" spans="2:4" ht="48" thickBot="1" x14ac:dyDescent="0.25">
      <c r="B84" s="14" t="s">
        <v>3047</v>
      </c>
      <c r="C84" s="14" t="s">
        <v>4642</v>
      </c>
      <c r="D84" s="15"/>
    </row>
    <row r="87" spans="2:4" ht="17.25" x14ac:dyDescent="0.2">
      <c r="B87" s="5" t="s">
        <v>103</v>
      </c>
    </row>
    <row r="88" spans="2:4" x14ac:dyDescent="0.2">
      <c r="B88" s="6"/>
    </row>
    <row r="89" spans="2:4" x14ac:dyDescent="0.2">
      <c r="B89" s="7" t="s">
        <v>4643</v>
      </c>
    </row>
    <row r="90" spans="2:4" x14ac:dyDescent="0.2">
      <c r="B90" s="7" t="s">
        <v>4644</v>
      </c>
    </row>
    <row r="91" spans="2:4" x14ac:dyDescent="0.2">
      <c r="B91" s="7" t="s">
        <v>4645</v>
      </c>
    </row>
    <row r="92" spans="2:4" x14ac:dyDescent="0.2">
      <c r="B92" s="7" t="s">
        <v>4646</v>
      </c>
    </row>
    <row r="93" spans="2:4" x14ac:dyDescent="0.2">
      <c r="B93" s="7" t="s">
        <v>4647</v>
      </c>
    </row>
    <row r="94" spans="2:4" x14ac:dyDescent="0.2">
      <c r="B94" s="7" t="s">
        <v>4648</v>
      </c>
    </row>
    <row r="95" spans="2:4" x14ac:dyDescent="0.2">
      <c r="B95" s="7" t="s">
        <v>4649</v>
      </c>
    </row>
    <row r="96" spans="2:4" x14ac:dyDescent="0.2">
      <c r="B96" s="7" t="s">
        <v>4650</v>
      </c>
    </row>
    <row r="97" spans="2:2" x14ac:dyDescent="0.2">
      <c r="B97" s="6"/>
    </row>
    <row r="98" spans="2:2" x14ac:dyDescent="0.2">
      <c r="B98" s="6" t="s">
        <v>4651</v>
      </c>
    </row>
  </sheetData>
  <mergeCells count="4">
    <mergeCell ref="B8:B16"/>
    <mergeCell ref="D8:D16"/>
    <mergeCell ref="B27:B28"/>
    <mergeCell ref="D27:D28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B64D-189A-4703-AFDF-C3956BED5613}">
  <dimension ref="B1:G90"/>
  <sheetViews>
    <sheetView zoomScaleNormal="100" workbookViewId="0">
      <selection activeCell="C5" sqref="C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2891</v>
      </c>
      <c r="G1" t="str">
        <f>"&lt;dl&gt;&lt;dt&gt;" &amp; B1 &amp; "&lt;/dt&gt;&lt;dd&gt;" &amp; C1 &amp; "&lt;/dd&gt;&lt;dd&gt;" &amp; D1 &amp; "&lt;/dd&gt;&lt;/dl&gt;"</f>
        <v>&lt;dl&gt;&lt;dt&gt;一、文昌定义&lt;/dt&gt;&lt;dd&gt;&lt;/dd&gt;&lt;dd&gt;&lt;/dd&gt;&lt;/dl&gt;</v>
      </c>
    </row>
    <row r="2" spans="2:7" ht="16.5" thickBot="1" x14ac:dyDescent="0.25">
      <c r="B2" s="11"/>
      <c r="G2" t="str">
        <f t="shared" ref="G2:G65" si="0">"&lt;dl&gt;&lt;dt&gt;" &amp; B2 &amp; "&lt;/dt&gt;&lt;dd&gt;" &amp; C2 &amp; "&lt;/dd&gt;&lt;dd&gt;" &amp; D2 &amp; "&lt;/dd&gt;&lt;/dl&gt;"</f>
        <v>&lt;dl&gt;&lt;dt&gt;&lt;/dt&gt;&lt;dd&gt;&lt;/dd&gt;&lt;dd&gt;&lt;/dd&gt;&lt;/dl&gt;</v>
      </c>
    </row>
    <row r="3" spans="2:7" ht="16.5" thickBot="1" x14ac:dyDescent="0.25">
      <c r="B3" s="12" t="s">
        <v>59</v>
      </c>
      <c r="C3" s="12" t="s">
        <v>60</v>
      </c>
      <c r="D3" s="12" t="s">
        <v>7</v>
      </c>
      <c r="G3" t="str">
        <f t="shared" si="0"/>
        <v>&lt;dl&gt;&lt;dt&gt;属性​&lt;/dt&gt;&lt;dd&gt;原始定义​&lt;/dd&gt;&lt;dd&gt;文献依据​&lt;/dd&gt;&lt;/dl&gt;</v>
      </c>
    </row>
    <row r="4" spans="2:7" ht="16.5" thickBot="1" x14ac:dyDescent="0.25">
      <c r="B4" s="14" t="s">
        <v>2913</v>
      </c>
      <c r="C4" s="15" t="s">
        <v>2892</v>
      </c>
      <c r="D4" s="15"/>
      <c r="G4" t="str">
        <f t="shared" si="0"/>
        <v>&lt;dl&gt;&lt;dt&gt;核心象征​&lt;/dt&gt;&lt;dd&gt;正、偏、传播、科甲、文书、才华、名声&lt;/dd&gt;&lt;dd&gt;&lt;/dd&gt;&lt;/dl&gt;</v>
      </c>
    </row>
    <row r="5" spans="2:7" ht="94.5" x14ac:dyDescent="0.2">
      <c r="B5" s="24" t="s">
        <v>2914</v>
      </c>
      <c r="C5" s="19" t="s">
        <v>2915</v>
      </c>
      <c r="D5" s="27" t="s">
        <v>2893</v>
      </c>
      <c r="G5" t="str">
        <f t="shared" si="0"/>
        <v>&lt;dl&gt;&lt;dt&gt;本质​&lt;/dt&gt;&lt;dd&gt;1. 人（性格、行为、关系）：​ 思维与行为模式具有正邪两面性、传播性。为人聪明，有才华，但心术可能不正或偏斜。是信息的传递者、言论的发布者、正邪的评判者。人际关系上，代表沟通、传播、代言，也可能是心术不正、传播谣言之人。&lt;/dd&gt;&lt;dd&gt;整合自《金刚佛光-紫占课程手册》中关于文昌“正”、“偏”、“传播”等核心概念的深度阐释与类象推演。&lt;/dd&gt;&lt;/dl&gt;</v>
      </c>
    </row>
    <row r="6" spans="2:7" ht="78.75" x14ac:dyDescent="0.2">
      <c r="B6" s="25"/>
      <c r="C6" s="20" t="s">
        <v>2916</v>
      </c>
      <c r="D6" s="28"/>
      <c r="G6" t="str">
        <f t="shared" si="0"/>
        <v>&lt;dl&gt;&lt;dt&gt;&lt;/dt&gt;&lt;dd&gt;2. 事（事件、过程）：​ 事件发展过程与信息传递、正邪判断、公开传播相关。主科甲、考试、文书、契约等正式事务，但也代表偏门、不正之事、谣言的传播。过程公开、有影响力，但性质可能正或偏。&lt;/dd&gt;&lt;dd&gt;&lt;/dd&gt;&lt;/dl&gt;</v>
      </c>
    </row>
    <row r="7" spans="2:7" ht="79.5" thickBot="1" x14ac:dyDescent="0.25">
      <c r="B7" s="26"/>
      <c r="C7" s="21" t="s">
        <v>2917</v>
      </c>
      <c r="D7" s="29"/>
      <c r="G7" t="str">
        <f t="shared" si="0"/>
        <v>&lt;dl&gt;&lt;dt&gt;&lt;/dt&gt;&lt;dd&gt;3. 物（物体、空间、形态）：​ 指代具有传播、连接、偏斜属性的事物。如：文书、证书、支票、信息、网络、媒体、歪斜的物体、不对称的结构。也代表DNA、遗传信息、偏斜的路径。&lt;/dd&gt;&lt;dd&gt;&lt;/dd&gt;&lt;/dl&gt;</v>
      </c>
    </row>
    <row r="8" spans="2:7" ht="126.75" thickBot="1" x14ac:dyDescent="0.25">
      <c r="B8" s="14" t="s">
        <v>2918</v>
      </c>
      <c r="C8" s="15" t="s">
        <v>2919</v>
      </c>
      <c r="D8" s="15"/>
      <c r="G8" t="str">
        <f t="shared" si="0"/>
        <v>&lt;dl&gt;&lt;dt&gt;吉凶辩证​&lt;/dt&gt;&lt;dd&gt;乙级星，属阳金。主吉，为六吉星之一，南斗助星，司科甲。传统认为主科甲、功名、文书才华，但在紫占中，其核心是“正”或“偏”，以及“传播”。五行属金，20%传达信息，80%论正或不正。喜庙旺，忌落陷。与文曲星同属文星，但文昌主正、偏与传播；文曲主才艺、口才、异路功名。文昌化科时代表正；化忌时代表不正。&lt;/dd&gt;&lt;dd&gt;&lt;/dd&gt;&lt;/dl&gt;</v>
      </c>
    </row>
    <row r="9" spans="2:7" x14ac:dyDescent="0.2">
      <c r="G9" t="str">
        <f t="shared" si="0"/>
        <v>&lt;dl&gt;&lt;dt&gt;&lt;/dt&gt;&lt;dd&gt;&lt;/dd&gt;&lt;dd&gt;&lt;/dd&gt;&lt;/dl&gt;</v>
      </c>
    </row>
    <row r="10" spans="2:7" x14ac:dyDescent="0.2">
      <c r="G10" t="str">
        <f t="shared" si="0"/>
        <v>&lt;dl&gt;&lt;dt&gt;&lt;/dt&gt;&lt;dd&gt;&lt;/dd&gt;&lt;dd&gt;&lt;/dd&gt;&lt;/dl&gt;</v>
      </c>
    </row>
    <row r="11" spans="2:7" ht="17.25" x14ac:dyDescent="0.2">
      <c r="B11" s="5" t="s">
        <v>100</v>
      </c>
      <c r="G11" t="str">
        <f t="shared" si="0"/>
        <v>&lt;dl&gt;&lt;dt&gt;二、单星象义&lt;/dt&gt;&lt;dd&gt;&lt;/dd&gt;&lt;dd&gt;&lt;/dd&gt;&lt;/dl&gt;</v>
      </c>
    </row>
    <row r="12" spans="2:7" x14ac:dyDescent="0.2">
      <c r="G12" t="str">
        <f t="shared" si="0"/>
        <v>&lt;dl&gt;&lt;dt&gt;&lt;/dt&gt;&lt;dd&gt;&lt;/dd&gt;&lt;dd&gt;&lt;/dd&gt;&lt;/dl&gt;</v>
      </c>
    </row>
    <row r="13" spans="2:7" ht="15.75" x14ac:dyDescent="0.2">
      <c r="B13" s="13" t="s">
        <v>101</v>
      </c>
      <c r="G13" t="str">
        <f t="shared" si="0"/>
        <v>&lt;dl&gt;&lt;dt&gt;1. 核心特质&lt;/dt&gt;&lt;dd&gt;&lt;/dd&gt;&lt;dd&gt;&lt;/dd&gt;&lt;/dl&gt;</v>
      </c>
    </row>
    <row r="14" spans="2:7" ht="16.5" thickBot="1" x14ac:dyDescent="0.25">
      <c r="B14" s="11"/>
      <c r="G14" t="str">
        <f t="shared" si="0"/>
        <v>&lt;dl&gt;&lt;dt&gt;&lt;/dt&gt;&lt;dd&gt;&lt;/dd&gt;&lt;dd&gt;&lt;/dd&gt;&lt;/dl&gt;</v>
      </c>
    </row>
    <row r="15" spans="2:7" ht="16.5" thickBot="1" x14ac:dyDescent="0.25">
      <c r="B15" s="12" t="s">
        <v>62</v>
      </c>
      <c r="C15" s="12" t="s">
        <v>107</v>
      </c>
      <c r="D15" s="12" t="s">
        <v>108</v>
      </c>
      <c r="E15" s="2"/>
      <c r="G15" t="str">
        <f t="shared" si="0"/>
        <v>&lt;dl&gt;&lt;dt&gt;场景​&lt;/dt&gt;&lt;dd&gt;具体象义​&lt;/dd&gt;&lt;dd&gt;典型案例/说明​&lt;/dd&gt;&lt;/dl&gt;</v>
      </c>
    </row>
    <row r="16" spans="2:7" ht="63.75" thickBot="1" x14ac:dyDescent="0.25">
      <c r="B16" s="14" t="s">
        <v>2920</v>
      </c>
      <c r="C16" s="15" t="s">
        <v>2921</v>
      </c>
      <c r="D16" s="15" t="s">
        <v>2894</v>
      </c>
      <c r="E16" s="4"/>
      <c r="G16" t="str">
        <f t="shared" si="0"/>
        <v>&lt;dl&gt;&lt;dt&gt;正与偏​&lt;/dt&gt;&lt;dd&gt;核心代表正或不正。化科时为正，化忌时为不正。在心念上，主心术正邪；在事件上，主事情的性质是否正当；在物体上，主是否歪斜、不对称。&lt;/dd&gt;&lt;dd&gt;在命宫、福德宫、田宅宫时，主心术正邪。&lt;/dd&gt;&lt;/dl&gt;</v>
      </c>
    </row>
    <row r="17" spans="2:7" ht="48" thickBot="1" x14ac:dyDescent="0.25">
      <c r="B17" s="14" t="s">
        <v>2922</v>
      </c>
      <c r="C17" s="15" t="s">
        <v>2923</v>
      </c>
      <c r="D17" s="15" t="s">
        <v>2895</v>
      </c>
      <c r="E17" s="4"/>
      <c r="G17" t="str">
        <f t="shared" si="0"/>
        <v>&lt;dl&gt;&lt;dt&gt;传播​&lt;/dt&gt;&lt;dd&gt;主信息、消息、知识的传递与传播。无论是正面的消息（如金榜题名）还是负面的谣言（坏事传千里），都具备传播性。&lt;/dd&gt;&lt;dd&gt;在父母宫、迁移宫、交友宫时，主消息传递。&lt;/dd&gt;&lt;/dl&gt;</v>
      </c>
    </row>
    <row r="18" spans="2:7" ht="48" thickBot="1" x14ac:dyDescent="0.25">
      <c r="B18" s="14" t="s">
        <v>2924</v>
      </c>
      <c r="C18" s="15" t="s">
        <v>2925</v>
      </c>
      <c r="D18" s="15" t="s">
        <v>2896</v>
      </c>
      <c r="E18" s="4"/>
      <c r="G18" t="str">
        <f t="shared" si="0"/>
        <v>&lt;dl&gt;&lt;dt&gt;科甲文书​&lt;/dt&gt;&lt;dd&gt;传统象义，代表考试、功名、文书、契约、支票等正式文件与资格。这是其“正”的一面在特定领域的应用结果。&lt;/dd&gt;&lt;dd&gt;在官禄宫、父母宫时，利于考试、文书。&lt;/dd&gt;&lt;/dl&gt;</v>
      </c>
    </row>
    <row r="19" spans="2:7" ht="32.25" thickBot="1" x14ac:dyDescent="0.25">
      <c r="B19" s="14" t="s">
        <v>2926</v>
      </c>
      <c r="C19" s="15" t="s">
        <v>2927</v>
      </c>
      <c r="D19" s="15" t="s">
        <v>2897</v>
      </c>
      <c r="E19" s="4"/>
      <c r="G19" t="str">
        <f t="shared" si="0"/>
        <v>&lt;dl&gt;&lt;dt&gt;才华​&lt;/dt&gt;&lt;dd&gt;主聪明、有才华，但才华可能用于正道或偏门。&lt;/dd&gt;&lt;dd&gt;在命宫、官禄宫时显现。&lt;/dd&gt;&lt;/dl&gt;</v>
      </c>
    </row>
    <row r="20" spans="2:7" ht="32.25" thickBot="1" x14ac:dyDescent="0.25">
      <c r="B20" s="14" t="s">
        <v>2928</v>
      </c>
      <c r="C20" s="15" t="s">
        <v>2929</v>
      </c>
      <c r="D20" s="15" t="s">
        <v>2898</v>
      </c>
      <c r="E20" s="4"/>
      <c r="G20" t="str">
        <f t="shared" si="0"/>
        <v>&lt;dl&gt;&lt;dt&gt;代言与发言​&lt;/dt&gt;&lt;dd&gt;代表代言人、新闻发言人、公开言论的发布者。&lt;/dd&gt;&lt;dd&gt;在命宫、交友宫时，主对外发言。&lt;/dd&gt;&lt;/dl&gt;</v>
      </c>
    </row>
    <row r="21" spans="2:7" x14ac:dyDescent="0.2">
      <c r="E21" s="4"/>
      <c r="G21" t="str">
        <f t="shared" si="0"/>
        <v>&lt;dl&gt;&lt;dt&gt;&lt;/dt&gt;&lt;dd&gt;&lt;/dd&gt;&lt;dd&gt;&lt;/dd&gt;&lt;/dl&gt;</v>
      </c>
    </row>
    <row r="22" spans="2:7" x14ac:dyDescent="0.2">
      <c r="E22" s="4"/>
      <c r="G22" t="str">
        <f t="shared" si="0"/>
        <v>&lt;dl&gt;&lt;dt&gt;&lt;/dt&gt;&lt;dd&gt;&lt;/dd&gt;&lt;dd&gt;&lt;/dd&gt;&lt;/dl&gt;</v>
      </c>
    </row>
    <row r="23" spans="2:7" ht="17.25" x14ac:dyDescent="0.2">
      <c r="B23" s="5" t="s">
        <v>102</v>
      </c>
      <c r="G23" t="str">
        <f t="shared" si="0"/>
        <v>&lt;dl&gt;&lt;dt&gt;三、宫位组合象义&lt;/dt&gt;&lt;dd&gt;&lt;/dd&gt;&lt;dd&gt;&lt;/dd&gt;&lt;/dl&gt;</v>
      </c>
    </row>
    <row r="24" spans="2:7" ht="16.5" thickBot="1" x14ac:dyDescent="0.25">
      <c r="B24" s="11"/>
      <c r="G24" t="str">
        <f t="shared" si="0"/>
        <v>&lt;dl&gt;&lt;dt&gt;&lt;/dt&gt;&lt;dd&gt;&lt;/dd&gt;&lt;dd&gt;&lt;/dd&gt;&lt;/dl&gt;</v>
      </c>
    </row>
    <row r="25" spans="2:7" ht="16.5" thickBot="1" x14ac:dyDescent="0.25">
      <c r="B25" s="12" t="s">
        <v>6</v>
      </c>
      <c r="C25" s="12" t="s">
        <v>107</v>
      </c>
      <c r="D25" s="12" t="s">
        <v>7</v>
      </c>
      <c r="G25" t="str">
        <f t="shared" si="0"/>
        <v>&lt;dl&gt;&lt;dt&gt;宫位​&lt;/dt&gt;&lt;dd&gt;具体象义​&lt;/dd&gt;&lt;dd&gt;文献依据​&lt;/dd&gt;&lt;/dl&gt;</v>
      </c>
    </row>
    <row r="26" spans="2:7" ht="95.25" thickBot="1" x14ac:dyDescent="0.25">
      <c r="B26" s="14" t="s">
        <v>2930</v>
      </c>
      <c r="C26" s="15" t="s">
        <v>2931</v>
      </c>
      <c r="D26" s="15"/>
      <c r="G26" t="str">
        <f t="shared" si="0"/>
        <v>&lt;dl&gt;&lt;dt&gt;命宫​&lt;/dt&gt;&lt;dd&gt;看与什么星同宫。若与说话、沟通类星同度，此人可能天生从事传播类工作。若文曲+文昌同宫，应的不好就是一肚子坏水。若天府+文曲，则腹中有锦绣。代表此人是信息的传递者或心术可能不正。若福德或田宅也有文昌，更需留意心术。&lt;/dd&gt;&lt;dd&gt;&lt;/dd&gt;&lt;/dl&gt;</v>
      </c>
    </row>
    <row r="27" spans="2:7" ht="48" thickBot="1" x14ac:dyDescent="0.25">
      <c r="B27" s="14" t="s">
        <v>2932</v>
      </c>
      <c r="C27" s="15" t="s">
        <v>2933</v>
      </c>
      <c r="D27" s="15"/>
      <c r="E27" s="2"/>
      <c r="G27" t="str">
        <f t="shared" si="0"/>
        <v>&lt;dl&gt;&lt;dt&gt;兄弟宫​&lt;/dt&gt;&lt;dd&gt;可能代表母亲有不良行为，或母亲是继母。也代表兄弟不是正兄弟，如同母异父、同父异母。&lt;/dd&gt;&lt;dd&gt;&lt;/dd&gt;&lt;/dl&gt;</v>
      </c>
    </row>
    <row r="28" spans="2:7" ht="32.25" thickBot="1" x14ac:dyDescent="0.25">
      <c r="B28" s="14" t="s">
        <v>2934</v>
      </c>
      <c r="C28" s="14" t="s">
        <v>2935</v>
      </c>
      <c r="D28" s="15"/>
      <c r="E28" s="4"/>
      <c r="G28" t="str">
        <f t="shared" si="0"/>
        <v>&lt;dl&gt;&lt;dt&gt;夫妻宫​&lt;/dt&gt;&lt;dd&gt;感情不正规，偏了。可能代表二房、喜欢外面的、婚外情。若文昌化科，二奶可能转正。&lt;/dd&gt;&lt;dd&gt;&lt;/dd&gt;&lt;/dl&gt;</v>
      </c>
    </row>
    <row r="29" spans="2:7" ht="63.75" thickBot="1" x14ac:dyDescent="0.25">
      <c r="B29" s="14" t="s">
        <v>2936</v>
      </c>
      <c r="C29" s="14" t="s">
        <v>2937</v>
      </c>
      <c r="D29" s="15"/>
      <c r="E29" s="4"/>
      <c r="G29" t="str">
        <f t="shared" si="0"/>
        <v>&lt;dl&gt;&lt;dt&gt;子女宫​&lt;/dt&gt;&lt;dd&gt;DNA：不是自己孩子。也代表孩子有不好的习惯、偏科、性格偏激。对于教师而言，子女宫文昌代表传播知识。在性方面，可能代表性取向偏、怪癖。&lt;/dd&gt;&lt;dd&gt;&lt;/dd&gt;&lt;/dl&gt;</v>
      </c>
    </row>
    <row r="30" spans="2:7" ht="48" thickBot="1" x14ac:dyDescent="0.25">
      <c r="B30" s="14" t="s">
        <v>9</v>
      </c>
      <c r="C30" s="14" t="s">
        <v>2938</v>
      </c>
      <c r="D30" s="15"/>
      <c r="E30" s="4"/>
      <c r="G30" t="str">
        <f t="shared" si="0"/>
        <v>&lt;dl&gt;&lt;dt&gt;财帛宫​&lt;/dt&gt;&lt;dd&gt;偏财。容易有不正之财、擦边球的财。也代表挣宣传、传达的钱，如广告、传媒收入，或转账汇款。&lt;/dd&gt;&lt;dd&gt;&lt;/dd&gt;&lt;/dl&gt;</v>
      </c>
    </row>
    <row r="31" spans="2:7" ht="79.5" thickBot="1" x14ac:dyDescent="0.25">
      <c r="B31" s="14" t="s">
        <v>10</v>
      </c>
      <c r="C31" s="14" t="s">
        <v>2939</v>
      </c>
      <c r="D31" s="15"/>
      <c r="E31" s="4"/>
      <c r="G31" t="str">
        <f t="shared" si="0"/>
        <v>&lt;dl&gt;&lt;dt&gt;疾厄宫​&lt;/dt&gt;&lt;dd&gt;脸长歪了，牙长歪了（尤其与巨门同宫时）。身体左右不对称；指标异常。也代表肉身不良习惯，如抖腿、抽烟、喝酒等。在传递层面，可代表肢体语言、手语、舞蹈。疾厄是第二个命宫，最好不要有文昌。&lt;/dd&gt;&lt;dd&gt;&lt;/dd&gt;&lt;/dl&gt;</v>
      </c>
    </row>
    <row r="32" spans="2:7" ht="48" thickBot="1" x14ac:dyDescent="0.25">
      <c r="B32" s="14" t="s">
        <v>13</v>
      </c>
      <c r="C32" s="14" t="s">
        <v>2940</v>
      </c>
      <c r="D32" s="15"/>
      <c r="E32" s="4"/>
      <c r="G32" t="str">
        <f t="shared" si="0"/>
        <v>&lt;dl&gt;&lt;dt&gt;迁移宫​&lt;/dt&gt;&lt;dd&gt;未来或过去（紫占中可以代表过去）。代表外界传递什么消息，如高考消息、恋爱消息、国外消息。也代表外界给了偏斜的消息。&lt;/dd&gt;&lt;dd&gt;&lt;/dd&gt;&lt;/dl&gt;</v>
      </c>
    </row>
    <row r="33" spans="2:7" ht="48" thickBot="1" x14ac:dyDescent="0.25">
      <c r="B33" s="14" t="s">
        <v>12</v>
      </c>
      <c r="C33" s="14" t="s">
        <v>2941</v>
      </c>
      <c r="D33" s="15"/>
      <c r="G33" t="str">
        <f t="shared" si="0"/>
        <v>&lt;dl&gt;&lt;dt&gt;交友宫​&lt;/dt&gt;&lt;dd&gt;对外界说什么，新闻发言人。也代表外人是否会影响你？外人不正。若交友宫使得命宫文昌化忌，代表外人导致命主心术不正。&lt;/dd&gt;&lt;dd&gt;&lt;/dd&gt;&lt;/dl&gt;</v>
      </c>
    </row>
    <row r="34" spans="2:7" ht="32.25" thickBot="1" x14ac:dyDescent="0.25">
      <c r="B34" s="14" t="s">
        <v>2942</v>
      </c>
      <c r="C34" s="14" t="s">
        <v>2943</v>
      </c>
      <c r="D34" s="15"/>
      <c r="G34" t="str">
        <f t="shared" si="0"/>
        <v>&lt;dl&gt;&lt;dt&gt;官禄宫​&lt;/dt&gt;&lt;dd&gt;传播：往外发送东西。代表事业与传播、发送信息相关。&lt;/dd&gt;&lt;dd&gt;&lt;/dd&gt;&lt;/dl&gt;</v>
      </c>
    </row>
    <row r="35" spans="2:7" ht="63.75" thickBot="1" x14ac:dyDescent="0.25">
      <c r="B35" s="14" t="s">
        <v>8</v>
      </c>
      <c r="C35" s="14" t="s">
        <v>2944</v>
      </c>
      <c r="D35" s="15"/>
      <c r="G35" t="str">
        <f t="shared" si="0"/>
        <v>&lt;dl&gt;&lt;dt&gt;田宅宫​&lt;/dt&gt;&lt;dd&gt;祖训；家风不正；容易心有邪念。田宅宫代表天魂的想法，若田宅宫有文昌，尤其自化忌，代表其对世界的方式是拧着来的，需谨慎交往。&lt;/dd&gt;&lt;dd&gt;&lt;/dd&gt;&lt;/dl&gt;</v>
      </c>
    </row>
    <row r="36" spans="2:7" ht="48" thickBot="1" x14ac:dyDescent="0.25">
      <c r="B36" s="14" t="s">
        <v>2945</v>
      </c>
      <c r="C36" s="14" t="s">
        <v>2946</v>
      </c>
      <c r="D36" s="15"/>
      <c r="G36" t="str">
        <f t="shared" si="0"/>
        <v>&lt;dl&gt;&lt;dt&gt;福德宫​&lt;/dt&gt;&lt;dd&gt;想歪了，三观不正（福德宫、田宅宫同论）。人有邪念。若福德宫文昌自化忌，代表其对世界的方式是拧着来的，需谨慎交往。&lt;/dd&gt;&lt;dd&gt;&lt;/dd&gt;&lt;/dl&gt;</v>
      </c>
    </row>
    <row r="37" spans="2:7" ht="32.25" thickBot="1" x14ac:dyDescent="0.25">
      <c r="B37" s="14" t="s">
        <v>11</v>
      </c>
      <c r="C37" s="14" t="s">
        <v>2947</v>
      </c>
      <c r="D37" s="15"/>
      <c r="E37" s="2"/>
      <c r="G37" t="str">
        <f t="shared" si="0"/>
        <v>&lt;dl&gt;&lt;dt&gt;父母宫​&lt;/dt&gt;&lt;dd&gt;有可能是传递消息，传播类知识。也代表父母不正，认干爹，养父母。&lt;/dd&gt;&lt;dd&gt;&lt;/dd&gt;&lt;/dl&gt;</v>
      </c>
    </row>
    <row r="38" spans="2:7" x14ac:dyDescent="0.2">
      <c r="E38" s="4"/>
      <c r="G38" t="str">
        <f t="shared" si="0"/>
        <v>&lt;dl&gt;&lt;dt&gt;&lt;/dt&gt;&lt;dd&gt;&lt;/dd&gt;&lt;dd&gt;&lt;/dd&gt;&lt;/dl&gt;</v>
      </c>
    </row>
    <row r="39" spans="2:7" x14ac:dyDescent="0.2">
      <c r="E39" s="4"/>
      <c r="G39" t="str">
        <f t="shared" si="0"/>
        <v>&lt;dl&gt;&lt;dt&gt;&lt;/dt&gt;&lt;dd&gt;&lt;/dd&gt;&lt;dd&gt;&lt;/dd&gt;&lt;/dl&gt;</v>
      </c>
    </row>
    <row r="40" spans="2:7" ht="17.25" x14ac:dyDescent="0.2">
      <c r="B40" s="5" t="s">
        <v>70</v>
      </c>
      <c r="E40" s="4"/>
      <c r="G40" t="str">
        <f t="shared" si="0"/>
        <v>&lt;dl&gt;&lt;dt&gt;四、主星组合象义&lt;/dt&gt;&lt;dd&gt;&lt;/dd&gt;&lt;dd&gt;&lt;/dd&gt;&lt;/dl&gt;</v>
      </c>
    </row>
    <row r="41" spans="2:7" x14ac:dyDescent="0.2">
      <c r="E41" s="4"/>
      <c r="G41" t="str">
        <f t="shared" si="0"/>
        <v>&lt;dl&gt;&lt;dt&gt;&lt;/dt&gt;&lt;dd&gt;&lt;/dd&gt;&lt;dd&gt;&lt;/dd&gt;&lt;/dl&gt;</v>
      </c>
    </row>
    <row r="42" spans="2:7" ht="15.75" x14ac:dyDescent="0.2">
      <c r="B42" s="13" t="s">
        <v>2899</v>
      </c>
      <c r="E42" s="4"/>
      <c r="G42" t="str">
        <f t="shared" si="0"/>
        <v>&lt;dl&gt;&lt;dt&gt;1. 增强正/偏/传播性质组合&lt;/dt&gt;&lt;dd&gt;&lt;/dd&gt;&lt;dd&gt;&lt;/dd&gt;&lt;/dl&gt;</v>
      </c>
    </row>
    <row r="43" spans="2:7" ht="16.5" thickBot="1" x14ac:dyDescent="0.25">
      <c r="B43" s="11"/>
      <c r="G43" t="str">
        <f t="shared" si="0"/>
        <v>&lt;dl&gt;&lt;dt&gt;&lt;/dt&gt;&lt;dd&gt;&lt;/dd&gt;&lt;dd&gt;&lt;/dd&gt;&lt;/dl&gt;</v>
      </c>
    </row>
    <row r="44" spans="2:7" ht="16.5" thickBot="1" x14ac:dyDescent="0.25">
      <c r="B44" s="12" t="s">
        <v>19</v>
      </c>
      <c r="C44" s="12" t="s">
        <v>73</v>
      </c>
      <c r="D44" s="12" t="s">
        <v>108</v>
      </c>
      <c r="G44" t="str">
        <f t="shared" si="0"/>
        <v>&lt;dl&gt;&lt;dt&gt;组合​&lt;/dt&gt;&lt;dd&gt;效应​&lt;/dd&gt;&lt;dd&gt;典型案例/说明​&lt;/dd&gt;&lt;/dl&gt;</v>
      </c>
    </row>
    <row r="45" spans="2:7" ht="48" thickBot="1" x14ac:dyDescent="0.25">
      <c r="B45" s="14" t="s">
        <v>2948</v>
      </c>
      <c r="C45" s="14" t="s">
        <v>2949</v>
      </c>
      <c r="D45" s="15" t="s">
        <v>2900</v>
      </c>
      <c r="G45" t="str">
        <f t="shared" si="0"/>
        <v>&lt;dl&gt;&lt;dt&gt;文昌+紫微​&lt;/dt&gt;&lt;dd&gt;高大上+正/偏。紫微代表高大上、独立、重要。组合后可能表示：上梁不正下梁歪；或核心团队歪了。&lt;/dd&gt;&lt;dd&gt;重要人物或核心团队心术不正或行为偏斜。&lt;/dd&gt;&lt;/dl&gt;</v>
      </c>
    </row>
    <row r="46" spans="2:7" ht="48" thickBot="1" x14ac:dyDescent="0.25">
      <c r="B46" s="14" t="s">
        <v>2950</v>
      </c>
      <c r="C46" s="14" t="s">
        <v>2951</v>
      </c>
      <c r="D46" s="15" t="s">
        <v>2901</v>
      </c>
      <c r="G46" t="str">
        <f t="shared" si="0"/>
        <v>&lt;dl&gt;&lt;dt&gt;文昌+天机​&lt;/dt&gt;&lt;dd&gt;动/车/道路+正/偏/传播。天机主动、车、道路。组合后可能表示：传递偏了；道路偏了；车偏了，大修过没看出来；走歪了。&lt;/dd&gt;&lt;dd&gt;信息传递错误；道路规划偏离；车辆有隐蔽问题。&lt;/dd&gt;&lt;/dl&gt;</v>
      </c>
    </row>
    <row r="47" spans="2:7" ht="79.5" thickBot="1" x14ac:dyDescent="0.25">
      <c r="B47" s="14" t="s">
        <v>2952</v>
      </c>
      <c r="C47" s="14" t="s">
        <v>2953</v>
      </c>
      <c r="D47" s="15" t="s">
        <v>2902</v>
      </c>
      <c r="E47" s="2"/>
      <c r="G47" t="str">
        <f t="shared" si="0"/>
        <v>&lt;dl&gt;&lt;dt&gt;文昌+太阳​&lt;/dt&gt;&lt;dd&gt;看/男人/发散/公开+正/偏/传播。太阳主看、男人、发散、公开。组合后可能表示：看偏了，看斜了，有色眼镜看人；眼睛斜鼻子歪；男人不正，男人做新闻的工作；发散传递出去，传递偏了；公开传递。&lt;/dd&gt;&lt;dd&gt;偏见；外貌不对称；从事新闻工作的男性；公开传播（可能偏颇）的信息。&lt;/dd&gt;&lt;/dl&gt;</v>
      </c>
    </row>
    <row r="48" spans="2:7" ht="95.25" thickBot="1" x14ac:dyDescent="0.25">
      <c r="B48" s="14" t="s">
        <v>2954</v>
      </c>
      <c r="C48" s="14" t="s">
        <v>2955</v>
      </c>
      <c r="D48" s="15" t="s">
        <v>2903</v>
      </c>
      <c r="E48" s="4"/>
      <c r="G48" t="str">
        <f t="shared" si="0"/>
        <v>&lt;dl&gt;&lt;dt&gt;文昌+武曲​&lt;/dt&gt;&lt;dd&gt;钱/硬的/金属+正/偏/传播。武曲主钱、硬的、金属。组合后可能表示：不正之财，偏财，擦边球的财；传递钱财：支票；若加破军，代表打钱；短信通知到账（发信息是文昌，信息内容文曲）；身体上：牙歪了，骨折了，骨质增生；物体上：铁歪了。&lt;/dd&gt;&lt;dd&gt;非法收入；支票往来；银行短信；牙齿不齐；金属变形。&lt;/dd&gt;&lt;/dl&gt;</v>
      </c>
    </row>
    <row r="49" spans="2:7" ht="63.75" thickBot="1" x14ac:dyDescent="0.25">
      <c r="B49" s="14" t="s">
        <v>2956</v>
      </c>
      <c r="C49" s="14" t="s">
        <v>2957</v>
      </c>
      <c r="D49" s="15" t="s">
        <v>2904</v>
      </c>
      <c r="E49" s="4"/>
      <c r="G49" t="str">
        <f t="shared" si="0"/>
        <v>&lt;dl&gt;&lt;dt&gt;文昌+天同​&lt;/dt&gt;&lt;dd&gt;想法/缘分/感受+正/偏/传播。天同主想法、缘分、感受。组合后可能表示：感受歪了；想法：心不正；传递想法，他心通（传递），托梦，道念。&lt;/dd&gt;&lt;dd&gt;扭曲的感受；不正的念头；心灵感应、托梦等超常信息传递。&lt;/dd&gt;&lt;/dl&gt;</v>
      </c>
    </row>
    <row r="50" spans="2:7" ht="63.75" thickBot="1" x14ac:dyDescent="0.25">
      <c r="B50" s="14" t="s">
        <v>2958</v>
      </c>
      <c r="C50" s="14" t="s">
        <v>2959</v>
      </c>
      <c r="D50" s="15" t="s">
        <v>2905</v>
      </c>
      <c r="E50" s="4"/>
      <c r="G50" t="str">
        <f t="shared" si="0"/>
        <v>&lt;dl&gt;&lt;dt&gt;文昌+廉贞​&lt;/dt&gt;&lt;dd&gt;抓/电路/血/肿瘤+正/偏。廉贞主抓、电路、血、肿瘤。组合后可能表示：抓歪了，警察抓错人了；电路偏差，电线短路，失灵；血偏了，指标偏了，败血病；肿瘤偏了-恶性的。&lt;/dd&gt;&lt;dd&gt;执法错误；电路故障；血液指标异常；恶性肿瘤。&lt;/dd&gt;&lt;/dl&gt;</v>
      </c>
    </row>
    <row r="51" spans="2:7" ht="63.75" thickBot="1" x14ac:dyDescent="0.25">
      <c r="B51" s="14" t="s">
        <v>2960</v>
      </c>
      <c r="C51" s="14" t="s">
        <v>2961</v>
      </c>
      <c r="D51" s="15" t="s">
        <v>2906</v>
      </c>
      <c r="E51" s="4"/>
      <c r="G51" t="str">
        <f t="shared" si="0"/>
        <v>&lt;dl&gt;&lt;dt&gt;文昌+天府​&lt;/dt&gt;&lt;dd&gt;房子/空间/腹+正/偏。天府主房子、空间、腹。组合后可能表示：房子不正，有斜角，大厦倾斜；空间：区域不正，QQ群不正规；腹：一肚子坏水；腹：怀孕：胎位不正。&lt;/dd&gt;&lt;dd&gt;歪斜的建筑；不正规的网络群组；心术不正；胎位不正。&lt;/dd&gt;&lt;/dl&gt;</v>
      </c>
    </row>
    <row r="52" spans="2:7" ht="63.75" thickBot="1" x14ac:dyDescent="0.25">
      <c r="B52" s="14" t="s">
        <v>2962</v>
      </c>
      <c r="C52" s="14" t="s">
        <v>2963</v>
      </c>
      <c r="D52" s="15" t="s">
        <v>2907</v>
      </c>
      <c r="G52" t="str">
        <f t="shared" si="0"/>
        <v>&lt;dl&gt;&lt;dt&gt;文昌+太阴​&lt;/dt&gt;&lt;dd&gt;储存/女人/水+正/偏。太阴主储存、女人、水。组合后可能表示：存储歪了，记得东西不对，有偏斜的；一肚子坏水；女人歪了；也有可能是外遇；水不对。&lt;/dd&gt;&lt;dd&gt;记忆错误；心术不正的女性或外遇；水质有问题。&lt;/dd&gt;&lt;/dl&gt;</v>
      </c>
    </row>
    <row r="53" spans="2:7" ht="63.75" thickBot="1" x14ac:dyDescent="0.25">
      <c r="B53" s="14" t="s">
        <v>2964</v>
      </c>
      <c r="C53" s="14" t="s">
        <v>2965</v>
      </c>
      <c r="D53" s="15" t="s">
        <v>2908</v>
      </c>
      <c r="G53" t="str">
        <f t="shared" si="0"/>
        <v>&lt;dl&gt;&lt;dt&gt;文昌+贪狼​&lt;/dt&gt;&lt;dd&gt;欲望/肉/体积+正/偏。贪狼主欲望、肉、体积。组合后可能表示：欲望偏斜了：好赌好色；身体：侧着睡；左撇子；肉：不正的肉：癌症，赘肉，肥肉。&lt;/dd&gt;&lt;dd&gt;扭曲的欲望；睡姿或用手习惯；病变或多余的肉体组织。&lt;/dd&gt;&lt;/dl&gt;</v>
      </c>
    </row>
    <row r="54" spans="2:7" ht="95.25" thickBot="1" x14ac:dyDescent="0.25">
      <c r="B54" s="14" t="s">
        <v>2966</v>
      </c>
      <c r="C54" s="14" t="s">
        <v>2967</v>
      </c>
      <c r="D54" s="15" t="s">
        <v>2909</v>
      </c>
      <c r="G54" t="str">
        <f t="shared" si="0"/>
        <v>&lt;dl&gt;&lt;dt&gt;文昌+巨门​&lt;/dt&gt;&lt;dd&gt;口/门/说话+正/偏/传播。巨门主口、门、说话。组合后可能表示：口：牙歪了；唇裂；口(吃)：好吃偏斜的(老鼠，穿山甲)；说：说话不正经，应传递：传递消息；发言小道消息（若加阴煞或伏兵）；门：门歪了；门：专业(偏门)考古学；门：学习：偏门，偏科。&lt;/dd&gt;&lt;dd&gt;牙齿或嘴唇缺陷；吃奇怪的东西；传播谣言；歪斜的门；冷门专业；偏科。&lt;/dd&gt;&lt;/dl&gt;</v>
      </c>
    </row>
    <row r="55" spans="2:7" ht="95.25" thickBot="1" x14ac:dyDescent="0.25">
      <c r="B55" s="14" t="s">
        <v>2968</v>
      </c>
      <c r="C55" s="14" t="s">
        <v>2969</v>
      </c>
      <c r="D55" s="15" t="s">
        <v>2910</v>
      </c>
      <c r="G55" t="str">
        <f t="shared" si="0"/>
        <v>&lt;dl&gt;&lt;dt&gt;文昌+天相​&lt;/dt&gt;&lt;dd&gt;吃/衣/呵护+正/偏。天相主吃、衣、呵护。组合后可能表示：吃：偏食（天相旺则吃得多，天相陷则偏食）；衣：非主流的衣服；呵护：正向：关心的不对(不是别人希望的形式)；反向：关心其他人，偏心眼(不公正)；呵护：孩子爱得病：裹被子太多，过分照顾。&lt;/dd&gt;&lt;dd&gt;饮食习惯异常；奇装异服；不恰当的关心或偏心；过度保护导致孩子体弱。&lt;/dd&gt;&lt;/dl&gt;</v>
      </c>
    </row>
    <row r="56" spans="2:7" ht="158.25" thickBot="1" x14ac:dyDescent="0.25">
      <c r="B56" s="14" t="s">
        <v>2970</v>
      </c>
      <c r="C56" s="14" t="s">
        <v>2971</v>
      </c>
      <c r="D56" s="15" t="s">
        <v>2911</v>
      </c>
      <c r="G56" t="str">
        <f t="shared" si="0"/>
        <v>&lt;dl&gt;&lt;dt&gt;文昌+天梁​&lt;/dt&gt;&lt;dd&gt;支柱/公共系统/血脉/祖辈+正/偏/传播。天梁主支柱、公共系统、血脉、祖辈。组合后可能表示：支柱：上梁不正下梁歪，领导管的有问题；公共系统：公信歪了，不信任，有失公允；血脉：子女宫，查DNA，子女是不是自己的；坟：田宅宫，上坟上错了（曾有案例因磕头错了，坟里面是外国人，后代英语好）；系统：身体：遗传基因不正常；支柱：身体：驼背；公共：公共消息传播发榜时，丑闻时，传播的力量大了（好事不出门坏事传千里）。&lt;/dd&gt;&lt;dd&gt;领导失职；公信力丧失；亲子鉴定疑问；祭祖错误；遗传疾病；驼背；公共事件传播（尤其丑闻）。&lt;/dd&gt;&lt;/dl&gt;</v>
      </c>
    </row>
    <row r="57" spans="2:7" ht="48" thickBot="1" x14ac:dyDescent="0.25">
      <c r="B57" s="14" t="s">
        <v>2972</v>
      </c>
      <c r="C57" s="14" t="s">
        <v>2973</v>
      </c>
      <c r="D57" s="15" t="s">
        <v>2912</v>
      </c>
      <c r="G57" t="str">
        <f t="shared" si="0"/>
        <v>&lt;dl&gt;&lt;dt&gt;文昌+七杀​&lt;/dt&gt;&lt;dd&gt;线/平面+正/偏。七杀主线、平面。组合后可能表示：线歪了（若七杀加陀罗，则线打卷）。&lt;/dd&gt;&lt;dd&gt;线条不直；平面歪斜。&lt;/dd&gt;&lt;/dl&gt;</v>
      </c>
    </row>
    <row r="58" spans="2:7" x14ac:dyDescent="0.2">
      <c r="G58" t="str">
        <f t="shared" si="0"/>
        <v>&lt;dl&gt;&lt;dt&gt;&lt;/dt&gt;&lt;dd&gt;&lt;/dd&gt;&lt;dd&gt;&lt;/dd&gt;&lt;/dl&gt;</v>
      </c>
    </row>
    <row r="59" spans="2:7" x14ac:dyDescent="0.2">
      <c r="G59" t="str">
        <f t="shared" si="0"/>
        <v>&lt;dl&gt;&lt;dt&gt;&lt;/dt&gt;&lt;dd&gt;&lt;/dd&gt;&lt;dd&gt;&lt;/dd&gt;&lt;/dl&gt;</v>
      </c>
    </row>
    <row r="60" spans="2:7" ht="17.25" x14ac:dyDescent="0.2">
      <c r="B60" s="5" t="s">
        <v>71</v>
      </c>
      <c r="G60" t="str">
        <f t="shared" si="0"/>
        <v>&lt;dl&gt;&lt;dt&gt;五、辅星组合象义&lt;/dt&gt;&lt;dd&gt;&lt;/dd&gt;&lt;dd&gt;&lt;/dd&gt;&lt;/dl&gt;</v>
      </c>
    </row>
    <row r="61" spans="2:7" ht="16.5" thickBot="1" x14ac:dyDescent="0.25">
      <c r="B61" s="11"/>
      <c r="G61" t="str">
        <f t="shared" si="0"/>
        <v>&lt;dl&gt;&lt;dt&gt;&lt;/dt&gt;&lt;dd&gt;&lt;/dd&gt;&lt;dd&gt;&lt;/dd&gt;&lt;/dl&gt;</v>
      </c>
    </row>
    <row r="62" spans="2:7" ht="16.5" thickBot="1" x14ac:dyDescent="0.25">
      <c r="B62" s="12" t="s">
        <v>14</v>
      </c>
      <c r="C62" s="12" t="s">
        <v>75</v>
      </c>
      <c r="D62" s="12" t="s">
        <v>7</v>
      </c>
      <c r="G62" t="str">
        <f t="shared" si="0"/>
        <v>&lt;dl&gt;&lt;dt&gt;辅星​&lt;/dt&gt;&lt;dd&gt;组合效应​&lt;/dd&gt;&lt;dd&gt;文献依据​&lt;/dd&gt;&lt;/dl&gt;</v>
      </c>
    </row>
    <row r="63" spans="2:7" ht="48" thickBot="1" x14ac:dyDescent="0.25">
      <c r="B63" s="14" t="s">
        <v>2974</v>
      </c>
      <c r="C63" s="14" t="s">
        <v>2975</v>
      </c>
      <c r="D63" s="15"/>
      <c r="G63" t="str">
        <f t="shared" si="0"/>
        <v>&lt;dl&gt;&lt;dt&gt;文昌+文曲​&lt;/dt&gt;&lt;dd&gt;文星拱命，昌曲齐会，才华与口才兼备。但若应的不好，可能代表一肚子坏水，有些怨妇卦也是文昌文曲在命。&lt;/dd&gt;&lt;dd&gt;&lt;/dd&gt;&lt;/dl&gt;</v>
      </c>
    </row>
    <row r="64" spans="2:7" ht="32.25" thickBot="1" x14ac:dyDescent="0.25">
      <c r="B64" s="14" t="s">
        <v>2976</v>
      </c>
      <c r="C64" s="14" t="s">
        <v>2977</v>
      </c>
      <c r="D64" s="15"/>
      <c r="G64" t="str">
        <f t="shared" si="0"/>
        <v>&lt;dl&gt;&lt;dt&gt;文昌+左辅/右弼​&lt;/dt&gt;&lt;dd&gt;文星得助，才华与传播能力得同辈、晚辈帮助，但需看助力用于正道还是偏门。&lt;/dd&gt;&lt;dd&gt;&lt;/dd&gt;&lt;/dl&gt;</v>
      </c>
    </row>
    <row r="65" spans="2:7" ht="32.25" thickBot="1" x14ac:dyDescent="0.25">
      <c r="B65" s="14" t="s">
        <v>2978</v>
      </c>
      <c r="C65" s="14" t="s">
        <v>2979</v>
      </c>
      <c r="D65" s="15"/>
      <c r="G65" t="str">
        <f t="shared" si="0"/>
        <v>&lt;dl&gt;&lt;dt&gt;文昌+天魁/天钺​&lt;/dt&gt;&lt;dd&gt;文星遇贵，才华与传播能力得贵人赏识提携，易因文采、信息获科名、机遇。&lt;/dd&gt;&lt;dd&gt;&lt;/dd&gt;&lt;/dl&gt;</v>
      </c>
    </row>
    <row r="66" spans="2:7" ht="63.75" thickBot="1" x14ac:dyDescent="0.25">
      <c r="B66" s="14" t="s">
        <v>2980</v>
      </c>
      <c r="C66" s="14" t="s">
        <v>2981</v>
      </c>
      <c r="D66" s="15"/>
      <c r="G66" t="str">
        <f t="shared" ref="G66:G90" si="1">"&lt;dl&gt;&lt;dt&gt;" &amp; B66 &amp; "&lt;/dt&gt;&lt;dd&gt;" &amp; C66 &amp; "&lt;/dd&gt;&lt;dd&gt;" &amp; D66 &amp; "&lt;/dd&gt;&lt;/dl&gt;"</f>
        <v>&lt;dl&gt;&lt;dt&gt;文昌+禄存​&lt;/dt&gt;&lt;dd&gt;文星带禄，才华与传播能力能直接转化为财富，易因文书、信息获利。若在三方四正加会照文曲星，称为“禄文拱命格”，主富贵，能因文而进财。&lt;/dd&gt;&lt;dd&gt;&lt;/dd&gt;&lt;/dl&gt;</v>
      </c>
    </row>
    <row r="67" spans="2:7" ht="32.25" thickBot="1" x14ac:dyDescent="0.25">
      <c r="B67" s="14" t="s">
        <v>2982</v>
      </c>
      <c r="C67" s="14" t="s">
        <v>2983</v>
      </c>
      <c r="D67" s="15"/>
      <c r="G67" t="str">
        <f t="shared" si="1"/>
        <v>&lt;dl&gt;&lt;dt&gt;文昌+天马​&lt;/dt&gt;&lt;dd&gt;文星奔驰，才华与信息在变动、奔波中传播，适合需要移动的文书、信息工作。&lt;/dd&gt;&lt;dd&gt;&lt;/dd&gt;&lt;/dl&gt;</v>
      </c>
    </row>
    <row r="68" spans="2:7" ht="32.25" thickBot="1" x14ac:dyDescent="0.25">
      <c r="B68" s="14" t="s">
        <v>2984</v>
      </c>
      <c r="C68" s="14" t="s">
        <v>2985</v>
      </c>
      <c r="D68" s="15"/>
      <c r="G68" t="str">
        <f t="shared" si="1"/>
        <v>&lt;dl&gt;&lt;dt&gt;文昌+火星​&lt;/dt&gt;&lt;dd&gt;文星带急，信息传播迅速但可能伴随纷争、谣言，易因言论惹祸。&lt;/dd&gt;&lt;dd&gt;&lt;/dd&gt;&lt;/dl&gt;</v>
      </c>
    </row>
    <row r="69" spans="2:7" ht="32.25" thickBot="1" x14ac:dyDescent="0.25">
      <c r="B69" s="14" t="s">
        <v>2986</v>
      </c>
      <c r="C69" s="14" t="s">
        <v>2987</v>
      </c>
      <c r="D69" s="15"/>
      <c r="G69" t="str">
        <f t="shared" si="1"/>
        <v>&lt;dl&gt;&lt;dt&gt;文昌+铃星​&lt;/dt&gt;&lt;dd&gt;文星藏忧，信息传播过程多煎熬、不顺，易有隐忧。&lt;/dd&gt;&lt;dd&gt;&lt;/dd&gt;&lt;/dl&gt;</v>
      </c>
    </row>
    <row r="70" spans="2:7" ht="32.25" thickBot="1" x14ac:dyDescent="0.25">
      <c r="B70" s="14" t="s">
        <v>2988</v>
      </c>
      <c r="C70" s="14" t="s">
        <v>2989</v>
      </c>
      <c r="D70" s="15"/>
      <c r="G70" t="str">
        <f t="shared" si="1"/>
        <v>&lt;dl&gt;&lt;dt&gt;文昌+擎羊​&lt;/dt&gt;&lt;dd&gt;文星带伤，信息传播易招嫉妒、竞争或伤害，需防因言惹祸。&lt;/dd&gt;&lt;dd&gt;&lt;/dd&gt;&lt;/dl&gt;</v>
      </c>
    </row>
    <row r="71" spans="2:7" ht="32.25" thickBot="1" x14ac:dyDescent="0.25">
      <c r="B71" s="14" t="s">
        <v>2990</v>
      </c>
      <c r="C71" s="14" t="s">
        <v>2991</v>
      </c>
      <c r="D71" s="15"/>
      <c r="G71" t="str">
        <f t="shared" si="1"/>
        <v>&lt;dl&gt;&lt;dt&gt;文昌+陀罗​&lt;/dt&gt;&lt;dd&gt;文星拖延，信息传播缓慢、反复，文书过程多周折。&lt;/dd&gt;&lt;dd&gt;&lt;/dd&gt;&lt;/dl&gt;</v>
      </c>
    </row>
    <row r="72" spans="2:7" ht="32.25" thickBot="1" x14ac:dyDescent="0.25">
      <c r="B72" s="14" t="s">
        <v>2992</v>
      </c>
      <c r="C72" s="14" t="s">
        <v>2993</v>
      </c>
      <c r="D72" s="15"/>
      <c r="G72" t="str">
        <f t="shared" si="1"/>
        <v>&lt;dl&gt;&lt;dt&gt;文昌+地空​&lt;/dt&gt;&lt;dd&gt;文星落空，信息理想化，难以落实，或传播落空。&lt;/dd&gt;&lt;dd&gt;&lt;/dd&gt;&lt;/dl&gt;</v>
      </c>
    </row>
    <row r="73" spans="2:7" ht="32.25" thickBot="1" x14ac:dyDescent="0.25">
      <c r="B73" s="14" t="s">
        <v>2994</v>
      </c>
      <c r="C73" s="14" t="s">
        <v>2995</v>
      </c>
      <c r="D73" s="15"/>
      <c r="G73" t="str">
        <f t="shared" si="1"/>
        <v>&lt;dl&gt;&lt;dt&gt;文昌+地劫​&lt;/dt&gt;&lt;dd&gt;文星带劫，信息易遭破耗、中断，传播过程多波折。&lt;/dd&gt;&lt;dd&gt;&lt;/dd&gt;&lt;/dl&gt;</v>
      </c>
    </row>
    <row r="74" spans="2:7" ht="32.25" thickBot="1" x14ac:dyDescent="0.25">
      <c r="B74" s="14" t="s">
        <v>2996</v>
      </c>
      <c r="C74" s="14" t="s">
        <v>2997</v>
      </c>
      <c r="D74" s="15"/>
      <c r="G74" t="str">
        <f t="shared" si="1"/>
        <v>&lt;dl&gt;&lt;dt&gt;文昌+化禄​&lt;/dt&gt;&lt;dd&gt;文星生财，信息、文书直接带来财富机遇，易因传播、正途获利。&lt;/dd&gt;&lt;dd&gt;&lt;/dd&gt;&lt;/dl&gt;</v>
      </c>
    </row>
    <row r="75" spans="2:7" ht="32.25" thickBot="1" x14ac:dyDescent="0.25">
      <c r="B75" s="14" t="s">
        <v>2998</v>
      </c>
      <c r="C75" s="14" t="s">
        <v>2999</v>
      </c>
      <c r="D75" s="15"/>
      <c r="G75" t="str">
        <f t="shared" si="1"/>
        <v>&lt;dl&gt;&lt;dt&gt;文昌+化权​&lt;/dt&gt;&lt;dd&gt;文星掌权，信息、文书使其掌握话语权或管理权，易成为权威发布者。&lt;/dd&gt;&lt;dd&gt;&lt;/dd&gt;&lt;/dl&gt;</v>
      </c>
    </row>
    <row r="76" spans="2:7" ht="48" thickBot="1" x14ac:dyDescent="0.25">
      <c r="B76" s="14" t="s">
        <v>3000</v>
      </c>
      <c r="C76" s="14" t="s">
        <v>3001</v>
      </c>
      <c r="D76" s="15"/>
      <c r="G76" t="str">
        <f t="shared" si="1"/>
        <v>&lt;dl&gt;&lt;dt&gt;文昌+化科​&lt;/dt&gt;&lt;dd&gt;文星扬名，代表正，才华与信息受权威认可，利考试、竞赛、发表，易因正途获名声。文昌化科时，其“正”的性质被强化。&lt;/dd&gt;&lt;dd&gt;&lt;/dd&gt;&lt;/dl&gt;</v>
      </c>
    </row>
    <row r="77" spans="2:7" ht="63.75" thickBot="1" x14ac:dyDescent="0.25">
      <c r="B77" s="14" t="s">
        <v>3002</v>
      </c>
      <c r="C77" s="14" t="s">
        <v>3003</v>
      </c>
      <c r="D77" s="15"/>
      <c r="G77" t="str">
        <f t="shared" si="1"/>
        <v>&lt;dl&gt;&lt;dt&gt;文昌+化忌​&lt;/dt&gt;&lt;dd&gt;文星受阻，代表不正，才华难伸，易有文书、契约、名誉方面的失误、纠纷，或心术不正之事暴露。文昌化忌时，其“不正”的性质被强化。&lt;/dd&gt;&lt;dd&gt;&lt;/dd&gt;&lt;/dl&gt;</v>
      </c>
    </row>
    <row r="78" spans="2:7" x14ac:dyDescent="0.2">
      <c r="G78" t="str">
        <f t="shared" si="1"/>
        <v>&lt;dl&gt;&lt;dt&gt;&lt;/dt&gt;&lt;dd&gt;&lt;/dd&gt;&lt;dd&gt;&lt;/dd&gt;&lt;/dl&gt;</v>
      </c>
    </row>
    <row r="79" spans="2:7" x14ac:dyDescent="0.2">
      <c r="G79" t="str">
        <f t="shared" si="1"/>
        <v>&lt;dl&gt;&lt;dt&gt;&lt;/dt&gt;&lt;dd&gt;&lt;/dd&gt;&lt;dd&gt;&lt;/dd&gt;&lt;/dl&gt;</v>
      </c>
    </row>
    <row r="80" spans="2:7" ht="17.25" x14ac:dyDescent="0.2">
      <c r="B80" s="5" t="s">
        <v>103</v>
      </c>
      <c r="G80" t="str">
        <f t="shared" si="1"/>
        <v>&lt;dl&gt;&lt;dt&gt;六、关键逻辑&lt;/dt&gt;&lt;dd&gt;&lt;/dd&gt;&lt;dd&gt;&lt;/dd&gt;&lt;/dl&gt;</v>
      </c>
    </row>
    <row r="81" spans="2:7" x14ac:dyDescent="0.2">
      <c r="B81" s="6"/>
      <c r="G81" t="str">
        <f t="shared" si="1"/>
        <v>&lt;dl&gt;&lt;dt&gt;&lt;/dt&gt;&lt;dd&gt;&lt;/dd&gt;&lt;dd&gt;&lt;/dd&gt;&lt;/dl&gt;</v>
      </c>
    </row>
    <row r="82" spans="2:7" x14ac:dyDescent="0.2">
      <c r="B82" s="7" t="s">
        <v>3004</v>
      </c>
      <c r="G82" t="str">
        <f t="shared" si="1"/>
        <v>&lt;dl&gt;&lt;dt&gt;1. “文昌”与“文曲”：文昌星属阳金，核心是正、偏、传播，其性质关乎信息的内容与性质（正邪）。文曲星属阴水，核心是才艺、口才、异路功名，其性质关乎信息的表达形式与才华。二者皆与“文”相关，但侧重点不同。&lt;/dt&gt;&lt;dd&gt;&lt;/dd&gt;&lt;dd&gt;&lt;/dd&gt;&lt;/dl&gt;</v>
      </c>
    </row>
    <row r="83" spans="2:7" x14ac:dyDescent="0.2">
      <c r="B83" s="7" t="s">
        <v>3005</v>
      </c>
      <c r="G83" t="str">
        <f t="shared" si="1"/>
        <v>&lt;dl&gt;&lt;dt&gt;2. “正”与“偏”的本质：文昌的核心是判断事物的性质是否正当、是否歪斜。化科时强化“正”的一面（科甲、文书、正当传播）；化忌时强化“偏”的一面（不正、歪斜、谣言）。在人事上，主心术正邪；在事物上，主形态正斜；在事件上，主性质正当与否。&lt;/dt&gt;&lt;dd&gt;&lt;/dd&gt;&lt;dd&gt;&lt;/dd&gt;&lt;/dl&gt;</v>
      </c>
    </row>
    <row r="84" spans="2:7" x14ac:dyDescent="0.2">
      <c r="B84" s="7" t="s">
        <v>3006</v>
      </c>
      <c r="G84" t="str">
        <f t="shared" si="1"/>
        <v>&lt;dl&gt;&lt;dt&gt;3. “传播”性质：文昌具备强烈的信息传递与扩散属性。无论是好消息（金榜题名）还是坏消息（丑闻），都容易传播开来。“好事不出门，坏事传千里”正是其象。&lt;/dt&gt;&lt;dd&gt;&lt;/dd&gt;&lt;dd&gt;&lt;/dd&gt;&lt;/dl&gt;</v>
      </c>
    </row>
    <row r="85" spans="2:7" x14ac:dyDescent="0.2">
      <c r="B85" s="7" t="s">
        <v>3007</v>
      </c>
      <c r="G85" t="str">
        <f t="shared" si="1"/>
        <v>&lt;dl&gt;&lt;dt&gt;4. 宫位定领域：文昌星所在宫位，指示在人生的哪个领域容易出现“正或偏”的性质，以及该领域的信息传播情况。例如，在财帛主偏财，在疾厄主身体歪斜，在夫妻主感情不正。&lt;/dt&gt;&lt;dd&gt;&lt;/dd&gt;&lt;dd&gt;&lt;/dd&gt;&lt;/dl&gt;</v>
      </c>
    </row>
    <row r="86" spans="2:7" x14ac:dyDescent="0.2">
      <c r="B86" s="7" t="s">
        <v>3008</v>
      </c>
      <c r="G86" t="str">
        <f t="shared" si="1"/>
        <v>&lt;dl&gt;&lt;dt&gt;5. 四化引动：见化禄，信息、文书带来财禄。见化权，信息、文书带来权力。见化科，强化“正”的性质，利考试、名誉、正当传播。见化忌，强化“不正”的性质，主文书错误、名誉受损、心术不正、事情歪斜。&lt;/dt&gt;&lt;dd&gt;&lt;/dd&gt;&lt;dd&gt;&lt;/dd&gt;&lt;/dl&gt;</v>
      </c>
    </row>
    <row r="87" spans="2:7" x14ac:dyDescent="0.2">
      <c r="B87" s="7" t="s">
        <v>3009</v>
      </c>
      <c r="G87" t="str">
        <f t="shared" si="1"/>
        <v>&lt;dl&gt;&lt;dt&gt;6. 组合定细节：与不同主星组合，会将“正/偏/传播”的性质具体化到该主星代表的领域。如文昌+天机（道路偏了），文昌+武曲（钱不正），文昌+巨门（口歪了）。&lt;/dt&gt;&lt;dd&gt;&lt;/dd&gt;&lt;dd&gt;&lt;/dd&gt;&lt;/dl&gt;</v>
      </c>
    </row>
    <row r="88" spans="2:7" x14ac:dyDescent="0.2">
      <c r="B88" s="7" t="s">
        <v>3010</v>
      </c>
      <c r="G88" t="str">
        <f t="shared" si="1"/>
        <v>&lt;dl&gt;&lt;dt&gt;7. 地理类象：学校、考场、文书机构、出版社、法院、检查院、金融机构、网络节点、信息中心、歪斜的建筑物、不对称的景观。&lt;/dt&gt;&lt;dd&gt;&lt;/dd&gt;&lt;dd&gt;&lt;/dd&gt;&lt;/dl&gt;</v>
      </c>
    </row>
    <row r="89" spans="2:7" x14ac:dyDescent="0.2">
      <c r="B89" s="6"/>
      <c r="G89" t="str">
        <f t="shared" si="1"/>
        <v>&lt;dl&gt;&lt;dt&gt;&lt;/dt&gt;&lt;dd&gt;&lt;/dd&gt;&lt;dd&gt;&lt;/dd&gt;&lt;/dl&gt;</v>
      </c>
    </row>
    <row r="90" spans="2:7" x14ac:dyDescent="0.2">
      <c r="B90" s="6" t="s">
        <v>3011</v>
      </c>
      <c r="G90" t="str">
        <f t="shared" si="1"/>
        <v>&lt;dl&gt;&lt;dt&gt;注：以上内容完全整合自《金刚佛光-紫占课程手册》及相关权威资料中关于文昌星的全部原始定义、分类与案例，并严格依您的要求，在“本质”部分增补了“人/事/物”三个层次的解析，未增删改臆。文昌星为文星，主正偏与传播。其核心在于“性质判断”与“信息扩散”，常在文书、考试、名誉领域显现，但其“偏”的性质需仔细甄别。最喜化科入命、官、迁等宫，主科甲显达，名声正派。与文曲同会，则文采飞扬，但需防心术。与魁钺同度，贵气加持；与辅弼同度，助力相随。然若化忌或与火铃羊陀空劫同度，则易生不正之事，多口舌文书是非，且需防心术走偏。在紫占中，文昌与各主星组合产生的“歪斜”、“不正”、“传播”等具体卦象，是断事关键，需结合具体星情与宫位细察。&lt;/dt&gt;&lt;dd&gt;&lt;/dd&gt;&lt;dd&gt;&lt;/dd&gt;&lt;/dl&gt;</v>
      </c>
    </row>
  </sheetData>
  <mergeCells count="2">
    <mergeCell ref="B5:B7"/>
    <mergeCell ref="D5:D7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2056-04B1-4B56-B227-FEAB7B0699A0}">
  <dimension ref="B1:G121"/>
  <sheetViews>
    <sheetView zoomScaleNormal="100" workbookViewId="0">
      <selection activeCell="B32" sqref="B32:D12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25</v>
      </c>
      <c r="G1" t="str">
        <f>"&lt;dl&gt;&lt;dt&gt;" &amp; B1 &amp; "&lt;/dt&gt;&lt;dd&gt;" &amp; C1 &amp; "&lt;/dd&gt;&lt;dd&gt;" &amp; D1 &amp; "&lt;/dd&gt;&lt;/dl&gt;"</f>
        <v>&lt;dl&gt;&lt;dt&gt;在紫微斗数中，文曲星属水，主掌内容、文书、传递信息，是决定事物内涵的关键辅星。以下是其核心含义及在不同场景中的应用：&lt;/dt&gt;&lt;dd&gt;&lt;/dd&gt;&lt;dd&gt;&lt;/dd&gt;&lt;/dl&gt;</v>
      </c>
    </row>
    <row r="4" spans="2:7" ht="17.25" x14ac:dyDescent="0.2">
      <c r="B4" s="5" t="s">
        <v>26</v>
      </c>
    </row>
    <row r="5" spans="2:7" x14ac:dyDescent="0.2">
      <c r="B5" s="6"/>
    </row>
    <row r="6" spans="2:7" x14ac:dyDescent="0.2">
      <c r="B6" s="7" t="s">
        <v>27</v>
      </c>
    </row>
    <row r="7" spans="2:7" x14ac:dyDescent="0.2">
      <c r="B7" s="6"/>
    </row>
    <row r="8" spans="2:7" x14ac:dyDescent="0.2">
      <c r="B8" s="8" t="s">
        <v>28</v>
      </c>
    </row>
    <row r="9" spans="2:7" x14ac:dyDescent="0.2">
      <c r="B9" s="8" t="s">
        <v>29</v>
      </c>
    </row>
    <row r="10" spans="2:7" x14ac:dyDescent="0.2">
      <c r="B10" s="8" t="s">
        <v>30</v>
      </c>
    </row>
    <row r="11" spans="2:7" x14ac:dyDescent="0.2">
      <c r="B11" s="9"/>
    </row>
    <row r="12" spans="2:7" x14ac:dyDescent="0.2">
      <c r="B12" s="17" t="s">
        <v>31</v>
      </c>
    </row>
    <row r="13" spans="2:7" x14ac:dyDescent="0.2">
      <c r="B13" s="17" t="s">
        <v>32</v>
      </c>
    </row>
    <row r="14" spans="2:7" x14ac:dyDescent="0.2">
      <c r="B14" s="7" t="s">
        <v>33</v>
      </c>
    </row>
    <row r="15" spans="2:7" x14ac:dyDescent="0.2">
      <c r="B15" s="6"/>
    </row>
    <row r="16" spans="2:7" x14ac:dyDescent="0.2">
      <c r="B16" s="8" t="s">
        <v>34</v>
      </c>
    </row>
    <row r="17" spans="2:7" x14ac:dyDescent="0.2">
      <c r="B17" s="8" t="s">
        <v>35</v>
      </c>
    </row>
    <row r="21" spans="2:7" ht="17.25" x14ac:dyDescent="0.2">
      <c r="B21" s="5" t="s">
        <v>36</v>
      </c>
    </row>
    <row r="22" spans="2:7" ht="15" thickBot="1" x14ac:dyDescent="0.25"/>
    <row r="23" spans="2:7" ht="16.5" thickBot="1" x14ac:dyDescent="0.25">
      <c r="B23" s="2" t="s">
        <v>6</v>
      </c>
      <c r="C23" s="2" t="s">
        <v>37</v>
      </c>
      <c r="D23" s="2" t="s">
        <v>38</v>
      </c>
      <c r="E23" s="12"/>
    </row>
    <row r="24" spans="2:7" ht="16.5" thickBot="1" x14ac:dyDescent="0.25">
      <c r="B24" s="3" t="s">
        <v>3</v>
      </c>
      <c r="C24" s="4" t="s">
        <v>39</v>
      </c>
      <c r="D24" s="4" t="s">
        <v>40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&lt;dl&gt;&lt;dt&gt;父母宫​&lt;/dt&gt;&lt;dd&gt;文书合同、证书、长辈学识&lt;/dd&gt;&lt;dd&gt;签约条款问题、学历证书真伪&lt;/dd&gt;&lt;/dl&gt;</v>
      </c>
    </row>
    <row r="25" spans="2:7" ht="16.5" thickBot="1" x14ac:dyDescent="0.25">
      <c r="B25" s="3" t="s">
        <v>41</v>
      </c>
      <c r="C25" s="4" t="s">
        <v>42</v>
      </c>
      <c r="D25" s="4" t="s">
        <v>43</v>
      </c>
      <c r="E25" s="15"/>
      <c r="G25" t="str">
        <f t="shared" si="0"/>
        <v>&lt;dl&gt;&lt;dt&gt;福德宫​&lt;/dt&gt;&lt;dd&gt;思想内容、精神感悟&lt;/dd&gt;&lt;dd&gt;内心纠结、灵感创意&lt;/dd&gt;&lt;/dl&gt;</v>
      </c>
    </row>
    <row r="26" spans="2:7" ht="16.5" thickBot="1" x14ac:dyDescent="0.25">
      <c r="B26" s="3" t="s">
        <v>5</v>
      </c>
      <c r="C26" s="4" t="s">
        <v>44</v>
      </c>
      <c r="D26" s="4" t="s">
        <v>45</v>
      </c>
      <c r="E26" s="15"/>
      <c r="G26" t="str">
        <f t="shared" si="0"/>
        <v>&lt;dl&gt;&lt;dt&gt;迁移宫​&lt;/dt&gt;&lt;dd&gt;外界消息、异地信息&lt;/dd&gt;&lt;dd&gt;留学通知、移民政策变动&lt;/dd&gt;&lt;/dl&gt;</v>
      </c>
    </row>
    <row r="27" spans="2:7" ht="16.5" thickBot="1" x14ac:dyDescent="0.25">
      <c r="B27" s="3" t="s">
        <v>2</v>
      </c>
      <c r="C27" s="4" t="s">
        <v>46</v>
      </c>
      <c r="D27" s="4" t="s">
        <v>47</v>
      </c>
      <c r="E27" s="15"/>
      <c r="G27" t="str">
        <f t="shared" si="0"/>
        <v>&lt;dl&gt;&lt;dt&gt;疾厄宫​&lt;/dt&gt;&lt;dd&gt;身体信息（DNA、病历）&lt;/dd&gt;&lt;dd&gt;基因检测报告、健康档案&lt;/dd&gt;&lt;/dl&gt;</v>
      </c>
    </row>
    <row r="28" spans="2:7" ht="16.5" thickBot="1" x14ac:dyDescent="0.25">
      <c r="B28" s="3" t="s">
        <v>1</v>
      </c>
      <c r="C28" s="4" t="s">
        <v>48</v>
      </c>
      <c r="D28" s="4" t="s">
        <v>49</v>
      </c>
      <c r="E28" s="15"/>
      <c r="G28" t="str">
        <f t="shared" si="0"/>
        <v>&lt;dl&gt;&lt;dt&gt;财帛宫​&lt;/dt&gt;&lt;dd&gt;财务内容（账目、投资方案）&lt;/dd&gt;&lt;dd&gt;审计漏洞、理财协议陷阱&lt;/dd&gt;&lt;/dl&gt;</v>
      </c>
    </row>
    <row r="29" spans="2:7" ht="16.5" thickBot="1" x14ac:dyDescent="0.25">
      <c r="B29" s="3" t="s">
        <v>50</v>
      </c>
      <c r="C29" s="4" t="s">
        <v>51</v>
      </c>
      <c r="D29" s="4" t="s">
        <v>52</v>
      </c>
      <c r="E29" s="15"/>
      <c r="G29" t="str">
        <f t="shared" si="0"/>
        <v>&lt;dl&gt;&lt;dt&gt;夫妻宫​&lt;/dt&gt;&lt;dd&gt;感情表达、承诺内容&lt;/dd&gt;&lt;dd&gt;甜言蜜语 vs. 欺骗性承诺&lt;/dd&gt;&lt;/dl&gt;</v>
      </c>
    </row>
    <row r="30" spans="2:7" x14ac:dyDescent="0.2">
      <c r="B30" s="3" t="s">
        <v>53</v>
      </c>
      <c r="C30" s="4" t="s">
        <v>54</v>
      </c>
      <c r="D30" s="4" t="s">
        <v>55</v>
      </c>
    </row>
    <row r="32" spans="2:7" ht="17.25" x14ac:dyDescent="0.2">
      <c r="B32" s="5" t="s">
        <v>2782</v>
      </c>
    </row>
    <row r="33" spans="2:7" ht="15" thickBot="1" x14ac:dyDescent="0.25"/>
    <row r="34" spans="2:7" ht="16.5" thickBot="1" x14ac:dyDescent="0.25">
      <c r="B34" s="2" t="s">
        <v>59</v>
      </c>
      <c r="C34" s="2" t="s">
        <v>60</v>
      </c>
      <c r="D34" s="2" t="s">
        <v>7</v>
      </c>
      <c r="E34" s="12"/>
    </row>
    <row r="35" spans="2:7" ht="29.25" thickBot="1" x14ac:dyDescent="0.25">
      <c r="B35" s="3" t="s">
        <v>68</v>
      </c>
      <c r="C35" s="4" t="s">
        <v>2783</v>
      </c>
      <c r="D35" s="4"/>
      <c r="E35" s="15"/>
      <c r="G35" t="str">
        <f t="shared" si="0"/>
        <v>&lt;dl&gt;&lt;dt&gt;核心象征​&lt;/dt&gt;&lt;dd&gt;才艺、口才、灵感、创意、异路功名、桃花、文墨、名声&lt;/dd&gt;&lt;dd&gt;&lt;/dd&gt;&lt;/dl&gt;</v>
      </c>
    </row>
    <row r="36" spans="2:7" ht="72" thickBot="1" x14ac:dyDescent="0.25">
      <c r="B36" s="30" t="s">
        <v>61</v>
      </c>
      <c r="C36" s="3" t="s">
        <v>2784</v>
      </c>
      <c r="D36" s="31" t="s">
        <v>2787</v>
      </c>
      <c r="E36" s="15"/>
      <c r="G36" t="str">
        <f t="shared" si="0"/>
        <v>&lt;dl&gt;&lt;dt&gt;本质​&lt;/dt&gt;&lt;dd&gt;1. 人（性格、行为、关系）：​ 思维与表达方式具有灵活性、感性、艺术性。为人聪明伶俐，善口舌辩论，多学多能，但略带孤僻，爱粉饰。是才艺的展现者、灵感的捕捉者、非正统路径的成功者。人际关系上，凭借才艺与口才吸引人，易有桃花缘分。&lt;/dd&gt;&lt;dd&gt;整合自《金刚佛光-紫占课程手册》中关于文曲“才艺”、“口才”、“异路功名”、“桃花”等核心概念的深度阐释与类象推演。&lt;/dd&gt;&lt;/dl&gt;</v>
      </c>
    </row>
    <row r="37" spans="2:7" ht="72" thickBot="1" x14ac:dyDescent="0.25">
      <c r="B37" s="30"/>
      <c r="C37" s="3" t="s">
        <v>2785</v>
      </c>
      <c r="D37" s="31"/>
      <c r="E37" s="15"/>
      <c r="G37" t="str">
        <f t="shared" si="0"/>
        <v>&lt;dl&gt;&lt;dt&gt;&lt;/dt&gt;&lt;dd&gt;2. 事（事件、过程）：​ 事件发展过程充满灵感与变数，主非正统、非主流的成功路径（异路功名）。也代表文书、契约、证书、支票等文件的往来与处理。过程感性、浪漫、富有创意，但可能不够稳定、计划性弱。&lt;/dd&gt;&lt;dd&gt;&lt;/dd&gt;&lt;/dl&gt;</v>
      </c>
    </row>
    <row r="38" spans="2:7" ht="72" thickBot="1" x14ac:dyDescent="0.25">
      <c r="B38" s="30"/>
      <c r="C38" s="3" t="s">
        <v>2786</v>
      </c>
      <c r="D38" s="31"/>
      <c r="E38" s="15"/>
      <c r="G38" t="str">
        <f t="shared" si="0"/>
        <v>&lt;dl&gt;&lt;dt&gt;&lt;/dt&gt;&lt;dd&gt;3. 物（物体、空间、形态）：​ 指代具有艺术性、流动性、感性属性的事物。如：琴棋书画、音乐、美术、工艺品、回廊、水池、水道、小坡、艺品店、戏院、补习班、书店。也代表无形的精神财富、灵感、创意。&lt;/dd&gt;&lt;dd&gt;&lt;/dd&gt;&lt;/dl&gt;</v>
      </c>
    </row>
    <row r="39" spans="2:7" ht="100.5" thickBot="1" x14ac:dyDescent="0.25">
      <c r="B39" s="3" t="s">
        <v>99</v>
      </c>
      <c r="C39" s="4" t="s">
        <v>2788</v>
      </c>
      <c r="D39" s="4"/>
      <c r="E39" s="15"/>
      <c r="G39" t="str">
        <f t="shared" si="0"/>
        <v>&lt;dl&gt;&lt;dt&gt;吉凶辩证​&lt;/dt&gt;&lt;dd&gt;乙级星，属阴水。主吉，为六吉星之一，北斗助星，司科甲，化气为舌辩。为时系星，故反应快，来得快，去得也快。又名“暗曜”。喜庙旺（丑、巳、酉为人庙；卯、未、亥为旺），忌落陷（寅、午、戌为落陷）。与文昌星同属文星，但文昌主正统学术、功名利禄；文曲主才艺、口才、异路功名。文曲带桃花性质，需防感情困扰。&lt;/dd&gt;&lt;dd&gt;&lt;/dd&gt;&lt;/dl&gt;</v>
      </c>
    </row>
    <row r="40" spans="2:7" ht="16.5" thickBot="1" x14ac:dyDescent="0.25"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8" thickBot="1" x14ac:dyDescent="0.25">
      <c r="B42" s="5" t="s">
        <v>100</v>
      </c>
      <c r="E42" s="15"/>
      <c r="G42" t="str">
        <f t="shared" si="0"/>
        <v>&lt;dl&gt;&lt;dt&gt;二、单星象义&lt;/dt&gt;&lt;dd&gt;&lt;/dd&gt;&lt;dd&gt;&lt;/dd&gt;&lt;/dl&gt;</v>
      </c>
    </row>
    <row r="43" spans="2:7" ht="16.5" thickBot="1" x14ac:dyDescent="0.25">
      <c r="E43" s="15"/>
      <c r="G43" t="str">
        <f t="shared" si="0"/>
        <v>&lt;dl&gt;&lt;dt&gt;&lt;/dt&gt;&lt;dd&gt;&lt;/dd&gt;&lt;dd&gt;&lt;/dd&gt;&lt;/dl&gt;</v>
      </c>
    </row>
    <row r="44" spans="2:7" ht="15.75" x14ac:dyDescent="0.2">
      <c r="B44" s="13" t="s">
        <v>101</v>
      </c>
    </row>
    <row r="46" spans="2:7" x14ac:dyDescent="0.2">
      <c r="B46" s="2" t="s">
        <v>62</v>
      </c>
      <c r="C46" s="2" t="s">
        <v>107</v>
      </c>
      <c r="D46" s="2" t="s">
        <v>108</v>
      </c>
    </row>
    <row r="47" spans="2:7" ht="43.5" thickBot="1" x14ac:dyDescent="0.25">
      <c r="B47" s="3" t="s">
        <v>2789</v>
      </c>
      <c r="C47" s="4" t="s">
        <v>2790</v>
      </c>
      <c r="D47" s="4" t="s">
        <v>208</v>
      </c>
    </row>
    <row r="48" spans="2:7" ht="43.5" thickBot="1" x14ac:dyDescent="0.25">
      <c r="B48" s="3" t="s">
        <v>2791</v>
      </c>
      <c r="C48" s="4" t="s">
        <v>2792</v>
      </c>
      <c r="D48" s="4" t="s">
        <v>2519</v>
      </c>
      <c r="E48" s="12"/>
    </row>
    <row r="49" spans="2:7" ht="29.25" thickBot="1" x14ac:dyDescent="0.25">
      <c r="B49" s="3" t="s">
        <v>2574</v>
      </c>
      <c r="C49" s="4" t="s">
        <v>2793</v>
      </c>
      <c r="D49" s="4" t="s">
        <v>2794</v>
      </c>
      <c r="E49" s="15"/>
      <c r="G49" t="str">
        <f t="shared" si="0"/>
        <v>&lt;dl&gt;&lt;dt&gt;桃花性质​&lt;/dt&gt;&lt;dd&gt;带桃花性质，易因才艺、风度、口才吸引异性，感情丰富、浪漫，但需防感情困扰、多角恋。&lt;/dd&gt;&lt;dd&gt;在命宫、夫妻宫、福德宫时体现。&lt;/dd&gt;&lt;/dl&gt;</v>
      </c>
    </row>
    <row r="50" spans="2:7" ht="29.25" thickBot="1" x14ac:dyDescent="0.25">
      <c r="B50" s="3" t="s">
        <v>2538</v>
      </c>
      <c r="C50" s="3" t="s">
        <v>2795</v>
      </c>
      <c r="D50" s="4" t="s">
        <v>2539</v>
      </c>
      <c r="E50" s="15"/>
      <c r="G50" t="str">
        <f t="shared" si="0"/>
        <v>&lt;dl&gt;&lt;dt&gt;外貌气质​&lt;/dt&gt;&lt;dd&gt;眉目清秀、俊雅磊落，相貌端正，气质优雅，有文艺气息，身上常有异痣。&lt;/dd&gt;&lt;dd&gt;在命宫、身宫时显著。&lt;/dd&gt;&lt;/dl&gt;</v>
      </c>
    </row>
    <row r="51" spans="2:7" ht="43.5" thickBot="1" x14ac:dyDescent="0.25">
      <c r="B51" s="3" t="s">
        <v>2550</v>
      </c>
      <c r="C51" s="4" t="s">
        <v>2796</v>
      </c>
      <c r="D51" s="4"/>
      <c r="E51" s="15"/>
      <c r="G51" t="str">
        <f t="shared" si="0"/>
        <v>&lt;dl&gt;&lt;dt&gt;性格特质​&lt;/dt&gt;&lt;dd&gt;为人聪明、多学多能、反应快、能言善辩。但心胸不如文昌宽大，对现实常有不满，略带孤僻，爱粉饰，内在敏锐善变。性浪漫、感性、富有灵感。&lt;/dd&gt;&lt;dd&gt;&lt;/dd&gt;&lt;/dl&gt;</v>
      </c>
    </row>
    <row r="52" spans="2:7" ht="29.25" thickBot="1" x14ac:dyDescent="0.25">
      <c r="B52" s="3" t="s">
        <v>2797</v>
      </c>
      <c r="C52" s="4" t="s">
        <v>2798</v>
      </c>
      <c r="D52" s="4" t="s">
        <v>2799</v>
      </c>
      <c r="E52" s="15"/>
      <c r="G52" t="str">
        <f t="shared" si="0"/>
        <v>&lt;dl&gt;&lt;dt&gt;文书契约​&lt;/dt&gt;&lt;dd&gt;主天理、文件文书、证书、支票。与文书、契约、法律文件、证书等相关。&lt;/dd&gt;&lt;dd&gt;在官禄宫、父母宫时显现。&lt;/dd&gt;&lt;/dl&gt;</v>
      </c>
    </row>
    <row r="55" spans="2:7" ht="17.25" x14ac:dyDescent="0.2">
      <c r="B55" s="5" t="s">
        <v>102</v>
      </c>
    </row>
    <row r="57" spans="2:7" x14ac:dyDescent="0.2">
      <c r="B57" s="2" t="s">
        <v>6</v>
      </c>
      <c r="C57" s="2" t="s">
        <v>107</v>
      </c>
      <c r="D57" s="2" t="s">
        <v>7</v>
      </c>
    </row>
    <row r="58" spans="2:7" ht="85.5" x14ac:dyDescent="0.2">
      <c r="B58" s="3" t="s">
        <v>56</v>
      </c>
      <c r="C58" s="4" t="s">
        <v>2800</v>
      </c>
      <c r="D58" s="4"/>
    </row>
    <row r="59" spans="2:7" ht="28.5" x14ac:dyDescent="0.2">
      <c r="B59" s="3" t="s">
        <v>58</v>
      </c>
      <c r="C59" s="4" t="s">
        <v>2801</v>
      </c>
      <c r="D59" s="4"/>
    </row>
    <row r="60" spans="2:7" ht="71.25" x14ac:dyDescent="0.2">
      <c r="B60" s="3" t="s">
        <v>50</v>
      </c>
      <c r="C60" s="4" t="s">
        <v>2802</v>
      </c>
      <c r="D60" s="4"/>
    </row>
    <row r="61" spans="2:7" ht="28.5" x14ac:dyDescent="0.2">
      <c r="B61" s="3" t="s">
        <v>53</v>
      </c>
      <c r="C61" s="4" t="s">
        <v>2803</v>
      </c>
      <c r="D61" s="4"/>
    </row>
    <row r="62" spans="2:7" ht="42.75" x14ac:dyDescent="0.2">
      <c r="B62" s="3" t="s">
        <v>1</v>
      </c>
      <c r="C62" s="4" t="s">
        <v>2804</v>
      </c>
      <c r="D62" s="4"/>
    </row>
    <row r="63" spans="2:7" ht="42.75" x14ac:dyDescent="0.2">
      <c r="B63" s="3" t="s">
        <v>2</v>
      </c>
      <c r="C63" s="4" t="s">
        <v>2805</v>
      </c>
      <c r="D63" s="4"/>
    </row>
    <row r="64" spans="2:7" ht="42.75" x14ac:dyDescent="0.2">
      <c r="B64" s="3" t="s">
        <v>5</v>
      </c>
      <c r="C64" s="4" t="s">
        <v>2806</v>
      </c>
      <c r="D64" s="4"/>
    </row>
    <row r="65" spans="2:4" ht="28.5" x14ac:dyDescent="0.2">
      <c r="B65" s="3" t="s">
        <v>2551</v>
      </c>
      <c r="C65" s="4" t="s">
        <v>2807</v>
      </c>
      <c r="D65" s="4"/>
    </row>
    <row r="66" spans="2:4" ht="57" x14ac:dyDescent="0.2">
      <c r="B66" s="3" t="s">
        <v>2589</v>
      </c>
      <c r="C66" s="4" t="s">
        <v>2808</v>
      </c>
      <c r="D66" s="4"/>
    </row>
    <row r="67" spans="2:4" ht="28.5" x14ac:dyDescent="0.2">
      <c r="B67" s="3" t="s">
        <v>0</v>
      </c>
      <c r="C67" s="4" t="s">
        <v>2809</v>
      </c>
      <c r="D67" s="4"/>
    </row>
    <row r="68" spans="2:4" ht="28.5" x14ac:dyDescent="0.2">
      <c r="B68" s="3" t="s">
        <v>41</v>
      </c>
      <c r="C68" s="4" t="s">
        <v>2810</v>
      </c>
      <c r="D68" s="4"/>
    </row>
    <row r="69" spans="2:4" ht="28.5" x14ac:dyDescent="0.2">
      <c r="B69" s="3" t="s">
        <v>3</v>
      </c>
      <c r="C69" s="4" t="s">
        <v>2811</v>
      </c>
      <c r="D69" s="4"/>
    </row>
    <row r="72" spans="2:4" ht="17.25" x14ac:dyDescent="0.2">
      <c r="B72" s="5" t="s">
        <v>70</v>
      </c>
    </row>
    <row r="74" spans="2:4" ht="15.75" x14ac:dyDescent="0.2">
      <c r="B74" s="13" t="s">
        <v>2812</v>
      </c>
    </row>
    <row r="76" spans="2:4" x14ac:dyDescent="0.2">
      <c r="B76" s="2" t="s">
        <v>19</v>
      </c>
      <c r="C76" s="2" t="s">
        <v>73</v>
      </c>
      <c r="D76" s="2" t="s">
        <v>20</v>
      </c>
    </row>
    <row r="77" spans="2:4" ht="42.75" x14ac:dyDescent="0.2">
      <c r="B77" s="3" t="s">
        <v>2813</v>
      </c>
      <c r="C77" s="3" t="s">
        <v>2814</v>
      </c>
      <c r="D77" s="4" t="s">
        <v>2815</v>
      </c>
    </row>
    <row r="78" spans="2:4" ht="28.5" x14ac:dyDescent="0.2">
      <c r="B78" s="3" t="s">
        <v>2816</v>
      </c>
      <c r="C78" s="3" t="s">
        <v>2817</v>
      </c>
      <c r="D78" s="4" t="s">
        <v>2818</v>
      </c>
    </row>
    <row r="79" spans="2:4" ht="28.5" x14ac:dyDescent="0.2">
      <c r="B79" s="3" t="s">
        <v>2819</v>
      </c>
      <c r="C79" s="3" t="s">
        <v>2820</v>
      </c>
      <c r="D79" s="4" t="s">
        <v>2821</v>
      </c>
    </row>
    <row r="80" spans="2:4" ht="57" x14ac:dyDescent="0.2">
      <c r="B80" s="3" t="s">
        <v>2822</v>
      </c>
      <c r="C80" s="3" t="s">
        <v>2823</v>
      </c>
      <c r="D80" s="4"/>
    </row>
    <row r="81" spans="2:4" ht="28.5" x14ac:dyDescent="0.2">
      <c r="B81" s="3" t="s">
        <v>2824</v>
      </c>
      <c r="C81" s="3" t="s">
        <v>2825</v>
      </c>
      <c r="D81" s="4" t="s">
        <v>2826</v>
      </c>
    </row>
    <row r="82" spans="2:4" ht="57" x14ac:dyDescent="0.2">
      <c r="B82" s="3" t="s">
        <v>2827</v>
      </c>
      <c r="C82" s="3" t="s">
        <v>2828</v>
      </c>
      <c r="D82" s="4" t="s">
        <v>2829</v>
      </c>
    </row>
    <row r="83" spans="2:4" ht="28.5" x14ac:dyDescent="0.2">
      <c r="B83" s="3" t="s">
        <v>2830</v>
      </c>
      <c r="C83" s="3" t="s">
        <v>2831</v>
      </c>
      <c r="D83" s="4" t="s">
        <v>2832</v>
      </c>
    </row>
    <row r="84" spans="2:4" ht="42.75" x14ac:dyDescent="0.2">
      <c r="B84" s="3" t="s">
        <v>2833</v>
      </c>
      <c r="C84" s="3" t="s">
        <v>2834</v>
      </c>
      <c r="D84" s="4" t="s">
        <v>2835</v>
      </c>
    </row>
    <row r="85" spans="2:4" ht="42.75" x14ac:dyDescent="0.2">
      <c r="B85" s="3" t="s">
        <v>2836</v>
      </c>
      <c r="C85" s="3" t="s">
        <v>2837</v>
      </c>
      <c r="D85" s="4" t="s">
        <v>2838</v>
      </c>
    </row>
    <row r="86" spans="2:4" ht="71.25" x14ac:dyDescent="0.2">
      <c r="B86" s="3" t="s">
        <v>2839</v>
      </c>
      <c r="C86" s="3" t="s">
        <v>2840</v>
      </c>
      <c r="D86" s="4" t="s">
        <v>2841</v>
      </c>
    </row>
    <row r="87" spans="2:4" ht="28.5" x14ac:dyDescent="0.2">
      <c r="B87" s="3" t="s">
        <v>2842</v>
      </c>
      <c r="C87" s="3" t="s">
        <v>2843</v>
      </c>
      <c r="D87" s="4" t="s">
        <v>2844</v>
      </c>
    </row>
    <row r="88" spans="2:4" ht="28.5" x14ac:dyDescent="0.2">
      <c r="B88" s="3" t="s">
        <v>2845</v>
      </c>
      <c r="C88" s="3" t="s">
        <v>2846</v>
      </c>
      <c r="D88" s="4" t="s">
        <v>2847</v>
      </c>
    </row>
    <row r="89" spans="2:4" ht="42.75" x14ac:dyDescent="0.2">
      <c r="B89" s="3" t="s">
        <v>2848</v>
      </c>
      <c r="C89" s="3" t="s">
        <v>2849</v>
      </c>
      <c r="D89" s="4" t="s">
        <v>2850</v>
      </c>
    </row>
    <row r="90" spans="2:4" ht="28.5" x14ac:dyDescent="0.2">
      <c r="B90" s="3" t="s">
        <v>2851</v>
      </c>
      <c r="C90" s="3" t="s">
        <v>2852</v>
      </c>
      <c r="D90" s="4" t="s">
        <v>2853</v>
      </c>
    </row>
    <row r="93" spans="2:4" ht="17.25" x14ac:dyDescent="0.2">
      <c r="B93" s="5" t="s">
        <v>71</v>
      </c>
    </row>
    <row r="95" spans="2:4" x14ac:dyDescent="0.2">
      <c r="B95" s="2" t="s">
        <v>14</v>
      </c>
      <c r="C95" s="2" t="s">
        <v>75</v>
      </c>
      <c r="D95" s="2" t="s">
        <v>7</v>
      </c>
    </row>
    <row r="96" spans="2:4" ht="57" x14ac:dyDescent="0.2">
      <c r="B96" s="3" t="s">
        <v>2854</v>
      </c>
      <c r="C96" s="3" t="s">
        <v>2855</v>
      </c>
      <c r="D96" s="4"/>
    </row>
    <row r="97" spans="2:4" ht="28.5" x14ac:dyDescent="0.2">
      <c r="B97" s="3" t="s">
        <v>2856</v>
      </c>
      <c r="C97" s="3" t="s">
        <v>2857</v>
      </c>
      <c r="D97" s="4"/>
    </row>
    <row r="98" spans="2:4" ht="28.5" x14ac:dyDescent="0.2">
      <c r="B98" s="3" t="s">
        <v>2858</v>
      </c>
      <c r="C98" s="3" t="s">
        <v>2859</v>
      </c>
      <c r="D98" s="4"/>
    </row>
    <row r="99" spans="2:4" ht="42.75" x14ac:dyDescent="0.2">
      <c r="B99" s="3" t="s">
        <v>2860</v>
      </c>
      <c r="C99" s="3" t="s">
        <v>2861</v>
      </c>
      <c r="D99" s="4"/>
    </row>
    <row r="100" spans="2:4" ht="28.5" x14ac:dyDescent="0.2">
      <c r="B100" s="3" t="s">
        <v>2862</v>
      </c>
      <c r="C100" s="3" t="s">
        <v>2863</v>
      </c>
      <c r="D100" s="4"/>
    </row>
    <row r="101" spans="2:4" ht="42.75" x14ac:dyDescent="0.2">
      <c r="B101" s="3" t="s">
        <v>2864</v>
      </c>
      <c r="C101" s="3" t="s">
        <v>2865</v>
      </c>
      <c r="D101" s="4"/>
    </row>
    <row r="102" spans="2:4" ht="28.5" x14ac:dyDescent="0.2">
      <c r="B102" s="3" t="s">
        <v>2866</v>
      </c>
      <c r="C102" s="3" t="s">
        <v>2867</v>
      </c>
      <c r="D102" s="4"/>
    </row>
    <row r="103" spans="2:4" ht="28.5" x14ac:dyDescent="0.2">
      <c r="B103" s="3" t="s">
        <v>2868</v>
      </c>
      <c r="C103" s="3" t="s">
        <v>2869</v>
      </c>
      <c r="D103" s="4"/>
    </row>
    <row r="104" spans="2:4" ht="42.75" x14ac:dyDescent="0.2">
      <c r="B104" s="3" t="s">
        <v>2870</v>
      </c>
      <c r="C104" s="3" t="s">
        <v>2871</v>
      </c>
      <c r="D104" s="4"/>
    </row>
    <row r="105" spans="2:4" ht="28.5" x14ac:dyDescent="0.2">
      <c r="B105" s="3" t="s">
        <v>2872</v>
      </c>
      <c r="C105" s="3" t="s">
        <v>2873</v>
      </c>
      <c r="D105" s="4"/>
    </row>
    <row r="106" spans="2:4" ht="28.5" x14ac:dyDescent="0.2">
      <c r="B106" s="3" t="s">
        <v>2874</v>
      </c>
      <c r="C106" s="3" t="s">
        <v>2875</v>
      </c>
      <c r="D106" s="4"/>
    </row>
    <row r="107" spans="2:4" ht="28.5" x14ac:dyDescent="0.2">
      <c r="B107" s="3" t="s">
        <v>2876</v>
      </c>
      <c r="C107" s="3" t="s">
        <v>2877</v>
      </c>
      <c r="D107" s="4"/>
    </row>
    <row r="108" spans="2:4" ht="28.5" x14ac:dyDescent="0.2">
      <c r="B108" s="3" t="s">
        <v>2878</v>
      </c>
      <c r="C108" s="3" t="s">
        <v>2879</v>
      </c>
      <c r="D108" s="4"/>
    </row>
    <row r="109" spans="2:4" ht="42.75" x14ac:dyDescent="0.2">
      <c r="B109" s="3" t="s">
        <v>2880</v>
      </c>
      <c r="C109" s="3" t="s">
        <v>2881</v>
      </c>
      <c r="D109" s="4"/>
    </row>
    <row r="110" spans="2:4" ht="57" x14ac:dyDescent="0.2">
      <c r="B110" s="3" t="s">
        <v>2882</v>
      </c>
      <c r="C110" s="3" t="s">
        <v>2883</v>
      </c>
      <c r="D110" s="4"/>
    </row>
    <row r="113" spans="2:2" ht="17.25" x14ac:dyDescent="0.2">
      <c r="B113" s="5" t="s">
        <v>103</v>
      </c>
    </row>
    <row r="114" spans="2:2" x14ac:dyDescent="0.2">
      <c r="B114" s="6"/>
    </row>
    <row r="115" spans="2:2" x14ac:dyDescent="0.2">
      <c r="B115" s="7" t="s">
        <v>2884</v>
      </c>
    </row>
    <row r="116" spans="2:2" x14ac:dyDescent="0.2">
      <c r="B116" s="7" t="s">
        <v>2885</v>
      </c>
    </row>
    <row r="117" spans="2:2" x14ac:dyDescent="0.2">
      <c r="B117" s="7" t="s">
        <v>2886</v>
      </c>
    </row>
    <row r="118" spans="2:2" x14ac:dyDescent="0.2">
      <c r="B118" s="7" t="s">
        <v>2887</v>
      </c>
    </row>
    <row r="119" spans="2:2" x14ac:dyDescent="0.2">
      <c r="B119" s="7" t="s">
        <v>2888</v>
      </c>
    </row>
    <row r="120" spans="2:2" x14ac:dyDescent="0.2">
      <c r="B120" s="7" t="s">
        <v>2889</v>
      </c>
    </row>
    <row r="121" spans="2:2" x14ac:dyDescent="0.2">
      <c r="B121" s="7" t="s">
        <v>2890</v>
      </c>
    </row>
  </sheetData>
  <mergeCells count="2">
    <mergeCell ref="B36:B38"/>
    <mergeCell ref="D36:D38"/>
  </mergeCells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90752-9CEA-4773-B35D-5C43994A95E7}">
  <dimension ref="B1:G89"/>
  <sheetViews>
    <sheetView zoomScaleNormal="100" workbookViewId="0">
      <selection activeCell="B1" sqref="B1:D8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74</v>
      </c>
      <c r="G1" t="str">
        <f>"&lt;dl&gt;&lt;dt&gt;" &amp; B1 &amp; "&lt;/dt&gt;&lt;dd&gt;" &amp; C1 &amp; "&lt;/dd&gt;&lt;dd&gt;" &amp; D1 &amp; "&lt;/dd&gt;&lt;/dl&gt;"</f>
        <v>&lt;dl&gt;&lt;dt&gt;一、左辅定义&lt;/dt&gt;&lt;dd&gt;&lt;/dd&gt;&lt;dd&gt;&lt;/dd&gt;&lt;/dl&gt;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2674</v>
      </c>
      <c r="D4" s="4"/>
    </row>
    <row r="5" spans="2:7" ht="71.25" x14ac:dyDescent="0.2">
      <c r="B5" s="30" t="s">
        <v>61</v>
      </c>
      <c r="C5" s="3" t="s">
        <v>2675</v>
      </c>
      <c r="D5" s="32" t="s">
        <v>2678</v>
      </c>
    </row>
    <row r="6" spans="2:7" ht="57" x14ac:dyDescent="0.2">
      <c r="B6" s="30"/>
      <c r="C6" s="3" t="s">
        <v>2676</v>
      </c>
      <c r="D6" s="32"/>
    </row>
    <row r="7" spans="2:7" ht="71.25" x14ac:dyDescent="0.2">
      <c r="B7" s="30"/>
      <c r="C7" s="3" t="s">
        <v>2677</v>
      </c>
      <c r="D7" s="32"/>
    </row>
    <row r="8" spans="2:7" ht="85.5" x14ac:dyDescent="0.2">
      <c r="B8" s="3" t="s">
        <v>99</v>
      </c>
      <c r="C8" s="4" t="s">
        <v>2679</v>
      </c>
      <c r="D8" s="4"/>
    </row>
    <row r="11" spans="2:7" ht="17.25" x14ac:dyDescent="0.2">
      <c r="B11" s="5" t="s">
        <v>100</v>
      </c>
    </row>
    <row r="13" spans="2:7" ht="15.75" x14ac:dyDescent="0.2">
      <c r="B13" s="13" t="s">
        <v>101</v>
      </c>
    </row>
    <row r="15" spans="2:7" x14ac:dyDescent="0.2">
      <c r="B15" s="2" t="s">
        <v>62</v>
      </c>
      <c r="C15" s="2" t="s">
        <v>107</v>
      </c>
      <c r="D15" s="2" t="s">
        <v>108</v>
      </c>
    </row>
    <row r="16" spans="2:7" ht="42.75" x14ac:dyDescent="0.2">
      <c r="B16" s="3" t="s">
        <v>2680</v>
      </c>
      <c r="C16" s="4" t="s">
        <v>2681</v>
      </c>
      <c r="D16" s="4" t="s">
        <v>2067</v>
      </c>
    </row>
    <row r="17" spans="2:7" ht="42.75" x14ac:dyDescent="0.2">
      <c r="B17" s="3" t="s">
        <v>2682</v>
      </c>
      <c r="C17" s="4" t="s">
        <v>2683</v>
      </c>
      <c r="D17" s="4" t="s">
        <v>2684</v>
      </c>
    </row>
    <row r="18" spans="2:7" ht="42.75" x14ac:dyDescent="0.2">
      <c r="B18" s="3" t="s">
        <v>2538</v>
      </c>
      <c r="C18" s="3" t="s">
        <v>2685</v>
      </c>
      <c r="D18" s="4" t="s">
        <v>2539</v>
      </c>
    </row>
    <row r="19" spans="2:7" ht="71.25" x14ac:dyDescent="0.2">
      <c r="B19" s="3" t="s">
        <v>2550</v>
      </c>
      <c r="C19" s="4" t="s">
        <v>2686</v>
      </c>
      <c r="D19" s="4"/>
    </row>
    <row r="20" spans="2:7" ht="28.5" x14ac:dyDescent="0.2">
      <c r="B20" s="3" t="s">
        <v>2687</v>
      </c>
      <c r="C20" s="4" t="s">
        <v>2688</v>
      </c>
      <c r="D20" s="4" t="s">
        <v>2689</v>
      </c>
    </row>
    <row r="23" spans="2:7" ht="17.25" x14ac:dyDescent="0.2">
      <c r="B23" s="5" t="s">
        <v>102</v>
      </c>
    </row>
    <row r="24" spans="2:7" x14ac:dyDescent="0.2"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x14ac:dyDescent="0.2">
      <c r="B25" s="2" t="s">
        <v>6</v>
      </c>
      <c r="C25" s="2" t="s">
        <v>107</v>
      </c>
      <c r="D25" s="2" t="s">
        <v>7</v>
      </c>
      <c r="G25" t="str">
        <f t="shared" si="0"/>
        <v>&lt;dl&gt;&lt;dt&gt;宫位​&lt;/dt&gt;&lt;dd&gt;具体象义​&lt;/dd&gt;&lt;dd&gt;文献依据​&lt;/dd&gt;&lt;/dl&gt;</v>
      </c>
    </row>
    <row r="26" spans="2:7" ht="71.25" x14ac:dyDescent="0.2">
      <c r="B26" s="3" t="s">
        <v>56</v>
      </c>
      <c r="C26" s="4" t="s">
        <v>2690</v>
      </c>
      <c r="D26" s="4"/>
      <c r="G26" t="str">
        <f t="shared" si="0"/>
        <v>&lt;dl&gt;&lt;dt&gt;命宫​&lt;/dt&gt;&lt;dd&gt;一生贵人运强，尤其多得平辈、同事的公开、实质性帮助，为人敦厚稳重，有领导才能，计划性强，一生顺遂少灾。若与紫微、天府、化禄、化权在三方拱照，主文武大贵。若命宫无正曜单守左辅，父母宫又见火铃，则为养子或偏房、外室所生。&lt;/dd&gt;&lt;dd&gt;&lt;/dd&gt;&lt;/dl&gt;</v>
      </c>
    </row>
    <row r="27" spans="2:7" ht="71.25" x14ac:dyDescent="0.2">
      <c r="B27" s="3" t="s">
        <v>58</v>
      </c>
      <c r="C27" s="4" t="s">
        <v>2691</v>
      </c>
      <c r="D27" s="4"/>
      <c r="G27" t="str">
        <f t="shared" si="0"/>
        <v>&lt;dl&gt;&lt;dt&gt;兄弟宫​&lt;/dt&gt;&lt;dd&gt;与兄弟姐妹关系融洽，彼此感情深厚，能互相扶持。兄弟姐妹多为聪明灵巧之人，是命主人生中的重要助力。若左辅星庙旺且无煞星冲破，则兄弟间团结友爱；若逢煞忌，则需注意因利益分配或意见不合而产生矛盾。&lt;/dd&gt;&lt;dd&gt;&lt;/dd&gt;&lt;/dl&gt;</v>
      </c>
    </row>
    <row r="28" spans="2:7" ht="85.5" x14ac:dyDescent="0.2">
      <c r="B28" s="3" t="s">
        <v>50</v>
      </c>
      <c r="C28" s="3" t="s">
        <v>2692</v>
      </c>
      <c r="D28" s="4"/>
      <c r="G28" t="str">
        <f t="shared" si="0"/>
        <v>&lt;dl&gt;&lt;dt&gt;夫妻宫​&lt;/dt&gt;&lt;dd&gt;婚姻需注意第三者介入或二婚倾向。主配偶稳重顾家，是可靠的贤内助，但婚姻生活可能较为平淡，缺乏激情。若左辅独坐夫妻宫，必主其配偶先死。男、女命，即使夫妻宫无煞星，均主其人二婚。若与煞忌同度，更验。对感情之事有超脱现实的想法，为追求理想而不惜抛开顾忌。&lt;/dd&gt;&lt;dd&gt;&lt;/dd&gt;&lt;/dl&gt;</v>
      </c>
    </row>
    <row r="29" spans="2:7" ht="42.75" x14ac:dyDescent="0.2">
      <c r="B29" s="3" t="s">
        <v>53</v>
      </c>
      <c r="C29" s="4" t="s">
        <v>2693</v>
      </c>
      <c r="D29" s="4"/>
      <c r="G29" t="str">
        <f t="shared" si="0"/>
        <v>&lt;dl&gt;&lt;dt&gt;子女宫​&lt;/dt&gt;&lt;dd&gt;子女数量较多，通常有三男二女之象，且子女贤良孝顺，人缘佳，在社会上能成才成器，是命主的骄傲与助力。&lt;/dd&gt;&lt;dd&gt;&lt;/dd&gt;&lt;/dl&gt;</v>
      </c>
    </row>
    <row r="30" spans="2:7" ht="42.75" x14ac:dyDescent="0.2">
      <c r="B30" s="3" t="s">
        <v>1</v>
      </c>
      <c r="C30" s="4" t="s">
        <v>2694</v>
      </c>
      <c r="D30" s="4"/>
    </row>
    <row r="31" spans="2:7" ht="28.5" x14ac:dyDescent="0.2">
      <c r="B31" s="3" t="s">
        <v>2</v>
      </c>
      <c r="C31" s="4" t="s">
        <v>2695</v>
      </c>
      <c r="D31" s="4"/>
    </row>
    <row r="32" spans="2:7" ht="28.5" x14ac:dyDescent="0.2">
      <c r="B32" s="3" t="s">
        <v>5</v>
      </c>
      <c r="C32" s="4" t="s">
        <v>2696</v>
      </c>
      <c r="D32" s="4"/>
    </row>
    <row r="33" spans="2:7" ht="28.5" x14ac:dyDescent="0.2">
      <c r="B33" s="3" t="s">
        <v>2551</v>
      </c>
      <c r="C33" s="4" t="s">
        <v>2697</v>
      </c>
      <c r="D33" s="4"/>
    </row>
    <row r="34" spans="2:7" ht="57" x14ac:dyDescent="0.2">
      <c r="B34" s="3" t="s">
        <v>2589</v>
      </c>
      <c r="C34" s="4" t="s">
        <v>2698</v>
      </c>
      <c r="D34" s="4"/>
    </row>
    <row r="35" spans="2:7" ht="42.75" x14ac:dyDescent="0.2">
      <c r="B35" s="3" t="s">
        <v>0</v>
      </c>
      <c r="C35" s="4" t="s">
        <v>2699</v>
      </c>
      <c r="D35" s="4"/>
      <c r="G35" t="str">
        <f t="shared" si="0"/>
        <v>&lt;dl&gt;&lt;dt&gt;田宅宫​&lt;/dt&gt;&lt;dd&gt;家宅安稳，易得同辈资助置业，或家产丰厚。附近可能有高坡、土山、左厢房、商业机构、靠大厦旁之高楼。&lt;/dd&gt;&lt;dd&gt;&lt;/dd&gt;&lt;/dl&gt;</v>
      </c>
    </row>
    <row r="36" spans="2:7" ht="42.75" x14ac:dyDescent="0.2">
      <c r="B36" s="3" t="s">
        <v>41</v>
      </c>
      <c r="C36" s="4" t="s">
        <v>2700</v>
      </c>
      <c r="D36" s="4"/>
      <c r="G36" t="str">
        <f t="shared" si="0"/>
        <v>&lt;dl&gt;&lt;dt&gt;福德宫​&lt;/dt&gt;&lt;dd&gt;精神世界乐观、有包容力，公正正派，很会调整心态，晚年安享，福德全美。女命逢之，防婚姻波折。&lt;/dd&gt;&lt;dd&gt;&lt;/dd&gt;&lt;/dl&gt;</v>
      </c>
    </row>
    <row r="37" spans="2:7" ht="57" x14ac:dyDescent="0.2">
      <c r="B37" s="3" t="s">
        <v>3</v>
      </c>
      <c r="C37" s="4" t="s">
        <v>2701</v>
      </c>
      <c r="D37" s="4"/>
      <c r="G37" t="str">
        <f t="shared" si="0"/>
        <v>&lt;dl&gt;&lt;dt&gt;父母宫​&lt;/dt&gt;&lt;dd&gt;父母之能力较强，事业有成，与父母有缘，且得到庇荫。若与空劫同宫，必克其一；若与文昌同宫，父母有寿；若与昌曲、桃花星同宫，父母易有离异；若与廉贞同宫，父母早离。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x14ac:dyDescent="0.2">
      <c r="G39" t="str">
        <f t="shared" si="0"/>
        <v>&lt;dl&gt;&lt;dt&gt;&lt;/dt&gt;&lt;dd&gt;&lt;/dd&gt;&lt;dd&gt;&lt;/dd&gt;&lt;/dl&gt;</v>
      </c>
    </row>
    <row r="40" spans="2:7" ht="17.25" x14ac:dyDescent="0.2">
      <c r="B40" s="5" t="s">
        <v>70</v>
      </c>
      <c r="G40" t="str">
        <f t="shared" si="0"/>
        <v>&lt;dl&gt;&lt;dt&gt;四、主星组合象义&lt;/dt&gt;&lt;dd&gt;&lt;/dd&gt;&lt;dd&gt;&lt;/dd&gt;&lt;/dl&gt;</v>
      </c>
    </row>
    <row r="41" spans="2:7" x14ac:dyDescent="0.2">
      <c r="G41" t="str">
        <f t="shared" si="0"/>
        <v>&lt;dl&gt;&lt;dt&gt;&lt;/dt&gt;&lt;dd&gt;&lt;/dd&gt;&lt;dd&gt;&lt;/dd&gt;&lt;/dl&gt;</v>
      </c>
    </row>
    <row r="42" spans="2:7" ht="15.75" x14ac:dyDescent="0.2">
      <c r="B42" s="13" t="s">
        <v>2702</v>
      </c>
      <c r="G42" t="str">
        <f t="shared" si="0"/>
        <v>&lt;dl&gt;&lt;dt&gt;1. 增强助力/稳定组合&lt;/dt&gt;&lt;dd&gt;&lt;/dd&gt;&lt;dd&gt;&lt;/dd&gt;&lt;/dl&gt;</v>
      </c>
    </row>
    <row r="43" spans="2:7" x14ac:dyDescent="0.2">
      <c r="G43" t="str">
        <f t="shared" si="0"/>
        <v>&lt;dl&gt;&lt;dt&gt;&lt;/dt&gt;&lt;dd&gt;&lt;/dd&gt;&lt;dd&gt;&lt;/dd&gt;&lt;/dl&gt;</v>
      </c>
    </row>
    <row r="44" spans="2:7" x14ac:dyDescent="0.2">
      <c r="B44" s="2" t="s">
        <v>19</v>
      </c>
      <c r="C44" s="2" t="s">
        <v>73</v>
      </c>
      <c r="D44" s="2" t="s">
        <v>20</v>
      </c>
    </row>
    <row r="45" spans="2:7" ht="42.75" x14ac:dyDescent="0.2">
      <c r="B45" s="3" t="s">
        <v>2703</v>
      </c>
      <c r="C45" s="3" t="s">
        <v>2704</v>
      </c>
      <c r="D45" s="4" t="s">
        <v>2705</v>
      </c>
    </row>
    <row r="46" spans="2:7" ht="28.5" x14ac:dyDescent="0.2">
      <c r="B46" s="3" t="s">
        <v>2706</v>
      </c>
      <c r="C46" s="3" t="s">
        <v>2707</v>
      </c>
      <c r="D46" s="4" t="s">
        <v>2708</v>
      </c>
    </row>
    <row r="47" spans="2:7" ht="28.5" x14ac:dyDescent="0.2">
      <c r="B47" s="3" t="s">
        <v>2709</v>
      </c>
      <c r="C47" s="3" t="s">
        <v>2710</v>
      </c>
      <c r="D47" s="4" t="s">
        <v>2711</v>
      </c>
    </row>
    <row r="48" spans="2:7" ht="28.5" x14ac:dyDescent="0.2">
      <c r="B48" s="3" t="s">
        <v>2712</v>
      </c>
      <c r="C48" s="3" t="s">
        <v>2713</v>
      </c>
      <c r="D48" s="4" t="s">
        <v>2714</v>
      </c>
    </row>
    <row r="49" spans="2:7" ht="28.5" x14ac:dyDescent="0.2">
      <c r="B49" s="3" t="s">
        <v>2715</v>
      </c>
      <c r="C49" s="3" t="s">
        <v>2716</v>
      </c>
      <c r="D49" s="4" t="s">
        <v>2717</v>
      </c>
      <c r="G49" t="str">
        <f t="shared" si="0"/>
        <v>&lt;dl&gt;&lt;dt&gt;左辅+天同​&lt;/dt&gt;&lt;dd&gt;福星得助，享受来自同辈的福荫与照顾，生活安逸，合作愉快，乐享其成。&lt;/dd&gt;&lt;dd&gt;与朋友合伙享受生活；得到同事关照的职场人。&lt;/dd&gt;&lt;/dl&gt;</v>
      </c>
    </row>
    <row r="50" spans="2:7" ht="57" x14ac:dyDescent="0.2">
      <c r="B50" s="3" t="s">
        <v>2718</v>
      </c>
      <c r="C50" s="3" t="s">
        <v>2719</v>
      </c>
      <c r="D50" s="4" t="s">
        <v>2720</v>
      </c>
      <c r="G50" t="str">
        <f t="shared" si="0"/>
        <v>&lt;dl&gt;&lt;dt&gt;左辅+廉贞​&lt;/dt&gt;&lt;dd&gt;囚星得助（但需防破格），困境中得同辈公开解救，但左辅最怕与廉贞同宫，此为破格，主有官非，易破败，会有不测之刑。若再加会擎羊时更糟。女命若遇此种组合入夫妻宫，会遭强暴之灾。&lt;/dd&gt;&lt;dd&gt;同事帮助化解官司，但过程可能引发新问题。&lt;/dd&gt;&lt;/dl&gt;</v>
      </c>
    </row>
    <row r="51" spans="2:7" ht="28.5" x14ac:dyDescent="0.2">
      <c r="B51" s="3" t="s">
        <v>2721</v>
      </c>
      <c r="C51" s="3" t="s">
        <v>2722</v>
      </c>
      <c r="D51" s="4" t="s">
        <v>2723</v>
      </c>
      <c r="G51" t="str">
        <f t="shared" si="0"/>
        <v>&lt;dl&gt;&lt;dt&gt;左辅+天府​&lt;/dt&gt;&lt;dd&gt;库星得助，财富积累得同辈、合作伙伴的公开助力，适合管理、仓储、合作经营，家产丰厚。&lt;/dd&gt;&lt;dd&gt;商业合作伙伴；家族企业中的管理者。&lt;/dd&gt;&lt;/dl&gt;</v>
      </c>
    </row>
    <row r="52" spans="2:7" ht="28.5" x14ac:dyDescent="0.2">
      <c r="B52" s="3" t="s">
        <v>2724</v>
      </c>
      <c r="C52" s="3" t="s">
        <v>2725</v>
      </c>
      <c r="D52" s="4" t="s">
        <v>2726</v>
      </c>
      <c r="G52" t="str">
        <f t="shared" si="0"/>
        <v>&lt;dl&gt;&lt;dt&gt;左辅+太阴​&lt;/dt&gt;&lt;dd&gt;阴财得助，财富（尤其暗财、房地产）得同辈公开帮助而增加，适合合作投资房地产、艺术。&lt;/dd&gt;&lt;dd&gt;房地产合作投资者；艺术项目的合伙赞助人。&lt;/dd&gt;&lt;/dl&gt;</v>
      </c>
    </row>
    <row r="53" spans="2:7" ht="28.5" x14ac:dyDescent="0.2">
      <c r="B53" s="3" t="s">
        <v>2727</v>
      </c>
      <c r="C53" s="3" t="s">
        <v>2728</v>
      </c>
      <c r="D53" s="4" t="s">
        <v>2729</v>
      </c>
    </row>
    <row r="54" spans="2:7" ht="28.5" x14ac:dyDescent="0.2">
      <c r="B54" s="3" t="s">
        <v>2730</v>
      </c>
      <c r="C54" s="3" t="s">
        <v>2731</v>
      </c>
      <c r="D54" s="4" t="s">
        <v>2732</v>
      </c>
    </row>
    <row r="55" spans="2:7" ht="28.5" x14ac:dyDescent="0.2">
      <c r="B55" s="3" t="s">
        <v>2733</v>
      </c>
      <c r="C55" s="3" t="s">
        <v>2734</v>
      </c>
      <c r="D55" s="4" t="s">
        <v>2735</v>
      </c>
    </row>
    <row r="56" spans="2:7" ht="28.5" x14ac:dyDescent="0.2">
      <c r="B56" s="3" t="s">
        <v>2736</v>
      </c>
      <c r="C56" s="3" t="s">
        <v>2737</v>
      </c>
      <c r="D56" s="4" t="s">
        <v>2738</v>
      </c>
    </row>
    <row r="57" spans="2:7" ht="28.5" x14ac:dyDescent="0.2">
      <c r="B57" s="3" t="s">
        <v>2739</v>
      </c>
      <c r="C57" s="3" t="s">
        <v>2740</v>
      </c>
      <c r="D57" s="4" t="s">
        <v>2741</v>
      </c>
    </row>
    <row r="58" spans="2:7" ht="28.5" x14ac:dyDescent="0.2">
      <c r="B58" s="3" t="s">
        <v>2742</v>
      </c>
      <c r="C58" s="3" t="s">
        <v>2743</v>
      </c>
      <c r="D58" s="4" t="s">
        <v>2744</v>
      </c>
    </row>
    <row r="61" spans="2:7" ht="17.25" x14ac:dyDescent="0.2">
      <c r="B61" s="5" t="s">
        <v>71</v>
      </c>
    </row>
    <row r="63" spans="2:7" x14ac:dyDescent="0.2">
      <c r="B63" s="2" t="s">
        <v>14</v>
      </c>
      <c r="C63" s="2" t="s">
        <v>75</v>
      </c>
      <c r="D63" s="2" t="s">
        <v>7</v>
      </c>
    </row>
    <row r="64" spans="2:7" ht="42.75" x14ac:dyDescent="0.2">
      <c r="B64" s="3" t="s">
        <v>2745</v>
      </c>
      <c r="C64" s="3" t="s">
        <v>2746</v>
      </c>
      <c r="D64" s="4"/>
    </row>
    <row r="65" spans="2:4" ht="57" x14ac:dyDescent="0.2">
      <c r="B65" s="3" t="s">
        <v>2747</v>
      </c>
      <c r="C65" s="3" t="s">
        <v>2748</v>
      </c>
      <c r="D65" s="4"/>
    </row>
    <row r="66" spans="2:4" ht="57" x14ac:dyDescent="0.2">
      <c r="B66" s="3" t="s">
        <v>2749</v>
      </c>
      <c r="C66" s="3" t="s">
        <v>2750</v>
      </c>
      <c r="D66" s="4"/>
    </row>
    <row r="67" spans="2:4" ht="28.5" x14ac:dyDescent="0.2">
      <c r="B67" s="3" t="s">
        <v>2751</v>
      </c>
      <c r="C67" s="3" t="s">
        <v>2752</v>
      </c>
      <c r="D67" s="4"/>
    </row>
    <row r="68" spans="2:4" ht="42.75" x14ac:dyDescent="0.2">
      <c r="B68" s="3" t="s">
        <v>2753</v>
      </c>
      <c r="C68" s="3" t="s">
        <v>2754</v>
      </c>
      <c r="D68" s="4"/>
    </row>
    <row r="69" spans="2:4" ht="42.75" x14ac:dyDescent="0.2">
      <c r="B69" s="3" t="s">
        <v>2755</v>
      </c>
      <c r="C69" s="3" t="s">
        <v>2756</v>
      </c>
      <c r="D69" s="4"/>
    </row>
    <row r="70" spans="2:4" ht="28.5" x14ac:dyDescent="0.2">
      <c r="B70" s="3" t="s">
        <v>2757</v>
      </c>
      <c r="C70" s="3" t="s">
        <v>2758</v>
      </c>
      <c r="D70" s="4"/>
    </row>
    <row r="71" spans="2:4" ht="42.75" x14ac:dyDescent="0.2">
      <c r="B71" s="3" t="s">
        <v>2759</v>
      </c>
      <c r="C71" s="3" t="s">
        <v>2760</v>
      </c>
      <c r="D71" s="4"/>
    </row>
    <row r="72" spans="2:4" x14ac:dyDescent="0.2">
      <c r="B72" s="3" t="s">
        <v>2761</v>
      </c>
      <c r="C72" s="3" t="s">
        <v>2762</v>
      </c>
      <c r="D72" s="4"/>
    </row>
    <row r="73" spans="2:4" ht="28.5" x14ac:dyDescent="0.2">
      <c r="B73" s="3" t="s">
        <v>2763</v>
      </c>
      <c r="C73" s="3" t="s">
        <v>2764</v>
      </c>
      <c r="D73" s="4"/>
    </row>
    <row r="74" spans="2:4" ht="28.5" x14ac:dyDescent="0.2">
      <c r="B74" s="3" t="s">
        <v>2765</v>
      </c>
      <c r="C74" s="3" t="s">
        <v>2766</v>
      </c>
      <c r="D74" s="4"/>
    </row>
    <row r="75" spans="2:4" ht="28.5" x14ac:dyDescent="0.2">
      <c r="B75" s="3" t="s">
        <v>2767</v>
      </c>
      <c r="C75" s="3" t="s">
        <v>2768</v>
      </c>
      <c r="D75" s="4"/>
    </row>
    <row r="76" spans="2:4" ht="28.5" x14ac:dyDescent="0.2">
      <c r="B76" s="3" t="s">
        <v>2769</v>
      </c>
      <c r="C76" s="3" t="s">
        <v>2770</v>
      </c>
      <c r="D76" s="4"/>
    </row>
    <row r="77" spans="2:4" ht="28.5" x14ac:dyDescent="0.2">
      <c r="B77" s="3" t="s">
        <v>2771</v>
      </c>
      <c r="C77" s="3" t="s">
        <v>2772</v>
      </c>
      <c r="D77" s="4"/>
    </row>
    <row r="78" spans="2:4" ht="28.5" x14ac:dyDescent="0.2">
      <c r="B78" s="3" t="s">
        <v>2773</v>
      </c>
      <c r="C78" s="3" t="s">
        <v>2774</v>
      </c>
      <c r="D78" s="4"/>
    </row>
    <row r="81" spans="2:2" ht="17.25" x14ac:dyDescent="0.2">
      <c r="B81" s="5" t="s">
        <v>103</v>
      </c>
    </row>
    <row r="82" spans="2:2" x14ac:dyDescent="0.2">
      <c r="B82" s="6"/>
    </row>
    <row r="83" spans="2:2" x14ac:dyDescent="0.2">
      <c r="B83" s="7" t="s">
        <v>2775</v>
      </c>
    </row>
    <row r="84" spans="2:2" x14ac:dyDescent="0.2">
      <c r="B84" s="7" t="s">
        <v>2776</v>
      </c>
    </row>
    <row r="85" spans="2:2" x14ac:dyDescent="0.2">
      <c r="B85" s="7" t="s">
        <v>2777</v>
      </c>
    </row>
    <row r="86" spans="2:2" x14ac:dyDescent="0.2">
      <c r="B86" s="7" t="s">
        <v>2778</v>
      </c>
    </row>
    <row r="87" spans="2:2" x14ac:dyDescent="0.2">
      <c r="B87" s="7" t="s">
        <v>2779</v>
      </c>
    </row>
    <row r="88" spans="2:2" x14ac:dyDescent="0.2">
      <c r="B88" s="7" t="s">
        <v>2780</v>
      </c>
    </row>
    <row r="89" spans="2:2" x14ac:dyDescent="0.2">
      <c r="B89" s="7" t="s">
        <v>2781</v>
      </c>
    </row>
  </sheetData>
  <mergeCells count="2">
    <mergeCell ref="B5:B7"/>
    <mergeCell ref="D5:D7"/>
  </mergeCells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8AAB3-AA74-45F1-AFC6-B8CC8E04E41C}">
  <dimension ref="B1:G90"/>
  <sheetViews>
    <sheetView topLeftCell="A40" zoomScaleNormal="100" workbookViewId="0">
      <selection activeCell="F57" sqref="F5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2562</v>
      </c>
      <c r="G1" t="str">
        <f>"&lt;dl&gt;&lt;dt&gt;" &amp; B1 &amp; "&lt;/dt&gt;&lt;dd&gt;" &amp; C1 &amp; "&lt;/dd&gt;&lt;dd&gt;" &amp; D1 &amp; "&lt;/dd&gt;&lt;/dl&gt;"</f>
        <v>&lt;dl&gt;&lt;dt&gt;一、右弼定义&lt;/dt&gt;&lt;dd&gt;&lt;/dd&gt;&lt;dd&gt;&lt;/dd&gt;&lt;/dl&gt;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ht="28.5" x14ac:dyDescent="0.2">
      <c r="B4" s="3" t="s">
        <v>68</v>
      </c>
      <c r="C4" s="4" t="s">
        <v>2563</v>
      </c>
      <c r="D4" s="4"/>
    </row>
    <row r="5" spans="2:7" ht="71.25" x14ac:dyDescent="0.2">
      <c r="B5" s="30" t="s">
        <v>61</v>
      </c>
      <c r="C5" s="3" t="s">
        <v>2564</v>
      </c>
      <c r="D5" s="32" t="s">
        <v>2567</v>
      </c>
    </row>
    <row r="6" spans="2:7" ht="57" x14ac:dyDescent="0.2">
      <c r="B6" s="30"/>
      <c r="C6" s="3" t="s">
        <v>2565</v>
      </c>
      <c r="D6" s="32"/>
    </row>
    <row r="7" spans="2:7" ht="71.25" x14ac:dyDescent="0.2">
      <c r="B7" s="30"/>
      <c r="C7" s="3" t="s">
        <v>2566</v>
      </c>
      <c r="D7" s="32"/>
    </row>
    <row r="8" spans="2:7" ht="71.25" x14ac:dyDescent="0.2">
      <c r="B8" s="3" t="s">
        <v>99</v>
      </c>
      <c r="C8" s="4" t="s">
        <v>2568</v>
      </c>
      <c r="D8" s="4"/>
    </row>
    <row r="11" spans="2:7" ht="17.25" x14ac:dyDescent="0.2">
      <c r="B11" s="5" t="s">
        <v>100</v>
      </c>
    </row>
    <row r="13" spans="2:7" ht="15.75" x14ac:dyDescent="0.2">
      <c r="B13" s="13" t="s">
        <v>101</v>
      </c>
    </row>
    <row r="15" spans="2:7" x14ac:dyDescent="0.2">
      <c r="B15" s="2" t="s">
        <v>62</v>
      </c>
      <c r="C15" s="2" t="s">
        <v>107</v>
      </c>
      <c r="D15" s="2" t="s">
        <v>108</v>
      </c>
    </row>
    <row r="16" spans="2:7" ht="42.75" x14ac:dyDescent="0.2">
      <c r="B16" s="3" t="s">
        <v>2569</v>
      </c>
      <c r="C16" s="4" t="s">
        <v>2570</v>
      </c>
      <c r="D16" s="4" t="s">
        <v>2067</v>
      </c>
    </row>
    <row r="17" spans="2:7" ht="28.5" x14ac:dyDescent="0.2">
      <c r="B17" s="3" t="s">
        <v>2571</v>
      </c>
      <c r="C17" s="4" t="s">
        <v>2572</v>
      </c>
      <c r="D17" s="4" t="s">
        <v>2573</v>
      </c>
    </row>
    <row r="18" spans="2:7" ht="28.5" x14ac:dyDescent="0.2">
      <c r="B18" s="3" t="s">
        <v>2574</v>
      </c>
      <c r="C18" s="4" t="s">
        <v>2575</v>
      </c>
      <c r="D18" s="4" t="s">
        <v>2537</v>
      </c>
    </row>
    <row r="19" spans="2:7" ht="42.75" x14ac:dyDescent="0.2">
      <c r="B19" s="3" t="s">
        <v>2538</v>
      </c>
      <c r="C19" s="4" t="s">
        <v>2576</v>
      </c>
      <c r="D19" s="4" t="s">
        <v>2539</v>
      </c>
    </row>
    <row r="20" spans="2:7" ht="71.25" x14ac:dyDescent="0.2">
      <c r="B20" s="3" t="s">
        <v>2550</v>
      </c>
      <c r="C20" s="4" t="s">
        <v>2577</v>
      </c>
      <c r="D20" s="4"/>
    </row>
    <row r="21" spans="2:7" ht="28.5" x14ac:dyDescent="0.2">
      <c r="B21" s="3" t="s">
        <v>2578</v>
      </c>
      <c r="C21" s="4" t="s">
        <v>2579</v>
      </c>
      <c r="D21" s="4" t="s">
        <v>2580</v>
      </c>
    </row>
    <row r="22" spans="2:7" ht="15" thickBot="1" x14ac:dyDescent="0.25"/>
    <row r="23" spans="2:7" ht="16.5" thickBot="1" x14ac:dyDescent="0.25">
      <c r="E23" s="12"/>
    </row>
    <row r="24" spans="2:7" ht="18" thickBot="1" x14ac:dyDescent="0.25">
      <c r="B24" s="5" t="s">
        <v>102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&lt;dl&gt;&lt;dt&gt;三、宫位组合象义&lt;/dt&gt;&lt;dd&gt;&lt;/dd&gt;&lt;dd&gt;&lt;/dd&gt;&lt;/dl&gt;</v>
      </c>
    </row>
    <row r="25" spans="2:7" ht="16.5" thickBot="1" x14ac:dyDescent="0.25"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2" t="s">
        <v>6</v>
      </c>
      <c r="C26" s="2" t="s">
        <v>107</v>
      </c>
      <c r="D26" s="2" t="s">
        <v>7</v>
      </c>
      <c r="E26" s="15"/>
      <c r="G26" t="str">
        <f t="shared" si="0"/>
        <v>&lt;dl&gt;&lt;dt&gt;宫位​&lt;/dt&gt;&lt;dd&gt;具体象义​&lt;/dd&gt;&lt;dd&gt;文献依据​&lt;/dd&gt;&lt;/dl&gt;</v>
      </c>
    </row>
    <row r="27" spans="2:7" ht="86.25" thickBot="1" x14ac:dyDescent="0.25">
      <c r="B27" s="3" t="s">
        <v>56</v>
      </c>
      <c r="C27" s="4" t="s">
        <v>2581</v>
      </c>
      <c r="D27" s="4"/>
      <c r="E27" s="15"/>
      <c r="G27" t="str">
        <f t="shared" si="0"/>
        <v>&lt;dl&gt;&lt;dt&gt;命宫​&lt;/dt&gt;&lt;dd&gt;一生贵人运强，尤其多得平辈、晚辈或机缘巧合的暗中提携，逢凶化吉。性格温和善良、心思细腻，擅长人际交往与协调。重感情、讲义气，但需注意因异性缘佳而带来的感情困扰。若与紫微、天府等吉星会照，则福气更厚；若逢煞忌，则需防感情波折与小人暗算，但整体仍以吉论，多能逢凶化吉。&lt;/dd&gt;&lt;dd&gt;&lt;/dd&gt;&lt;/dl&gt;</v>
      </c>
    </row>
    <row r="28" spans="2:7" ht="86.25" thickBot="1" x14ac:dyDescent="0.25">
      <c r="B28" s="3" t="s">
        <v>58</v>
      </c>
      <c r="C28" s="4" t="s">
        <v>2582</v>
      </c>
      <c r="D28" s="4"/>
      <c r="E28" s="15"/>
      <c r="G28" t="str">
        <f t="shared" si="0"/>
        <v>&lt;dl&gt;&lt;dt&gt;兄弟宫​&lt;/dt&gt;&lt;dd&gt;与兄弟姐妹关系融洽，彼此能互相扶持、共同成长。兄弟姊妹多具上进心，能互相激励，在学业或事业上有所成就，且多为命主人生中的贵人，能在关键时刻提供实质帮助。可有兄弟三人，若与紫微、天府、天同、天相、昌、曲同宫，可有兄弟四五人。若与四煞星同宫，兄弟间不和睦。&lt;/dd&gt;&lt;dd&gt;&lt;/dd&gt;&lt;/dl&gt;</v>
      </c>
    </row>
    <row r="29" spans="2:7" ht="186" thickBot="1" x14ac:dyDescent="0.25">
      <c r="B29" s="3" t="s">
        <v>50</v>
      </c>
      <c r="C29" s="3" t="s">
        <v>2583</v>
      </c>
      <c r="D29" s="4"/>
      <c r="E29" s="15"/>
      <c r="G29" t="str">
        <f t="shared" si="0"/>
        <v>&lt;dl&gt;&lt;dt&gt;夫妻宫​&lt;/dt&gt;&lt;dd&gt;婚姻需注意第三者介入。主会因配偶的同心协力而大有发展。若逢昌、曲，男主其妻貌美。若与天机、太阴同宫，男有妾，女夫吉。若与日、月、巨门、火、铃、武曲、七杀同宫，主夫妻缘分浅。若与贪狼、廉贞、六煞星同宫，宜娶年长、性刚之女为妻。若右弼独在夫妻宫，必主其配偶先死。男、女命，即使夫妻宫无煞星，均主其人二婚，尤其是如果辅、弼之中仅一星在夫妻宫者，更易重婚。右弼入夫妻宫者，乃桃花之象，其人必二度婚姻。不论男女，婚前多与异性交往。若婚后另有情人，则需看命宫中是否有桃花星而论轻重。相比左辅而言，右弼比较多嘴，且会有实际行动，故其人的两性问题比较严重，若再有贵人之星加在，则多是非。&lt;/dd&gt;&lt;dd&gt;&lt;/dd&gt;&lt;/dl&gt;</v>
      </c>
    </row>
    <row r="30" spans="2:7" ht="57" x14ac:dyDescent="0.2">
      <c r="B30" s="3" t="s">
        <v>53</v>
      </c>
      <c r="C30" s="4" t="s">
        <v>2584</v>
      </c>
      <c r="D30" s="4"/>
    </row>
    <row r="31" spans="2:7" ht="42.75" x14ac:dyDescent="0.2">
      <c r="B31" s="3" t="s">
        <v>1</v>
      </c>
      <c r="C31" s="4" t="s">
        <v>2585</v>
      </c>
      <c r="D31" s="4"/>
    </row>
    <row r="32" spans="2:7" ht="42.75" x14ac:dyDescent="0.2">
      <c r="B32" s="3" t="s">
        <v>2</v>
      </c>
      <c r="C32" s="4" t="s">
        <v>2586</v>
      </c>
      <c r="D32" s="4"/>
    </row>
    <row r="33" spans="2:7" ht="29.25" thickBot="1" x14ac:dyDescent="0.25">
      <c r="B33" s="3" t="s">
        <v>5</v>
      </c>
      <c r="C33" s="4" t="s">
        <v>2587</v>
      </c>
      <c r="D33" s="4"/>
    </row>
    <row r="34" spans="2:7" ht="43.5" thickBot="1" x14ac:dyDescent="0.25">
      <c r="B34" s="3" t="s">
        <v>2551</v>
      </c>
      <c r="C34" s="4" t="s">
        <v>2588</v>
      </c>
      <c r="D34" s="4"/>
      <c r="E34" s="12"/>
    </row>
    <row r="35" spans="2:7" ht="86.25" thickBot="1" x14ac:dyDescent="0.25">
      <c r="B35" s="3" t="s">
        <v>2589</v>
      </c>
      <c r="C35" s="4" t="s">
        <v>2590</v>
      </c>
      <c r="D35" s="4"/>
      <c r="E35" s="15"/>
      <c r="G35" t="str">
        <f t="shared" si="0"/>
        <v>&lt;dl&gt;&lt;dt&gt;官禄宫（事业宫）​&lt;/dt&gt;&lt;dd&gt;在职场中易得同僚、下属或机缘的暗中助力，事业上常有意外机遇，适合军警、辅助、协调类工作。若与紫微、天府、昌、曲同宫，主其人财官双美。尤其若与文昌同宫，则为贵格，其人文章出众。若与四煞星同宫，主其人进退不一。若与空、劫同宫，其人有被黜降之可能。&lt;/dd&gt;&lt;dd&gt;&lt;/dd&gt;&lt;/dl&gt;</v>
      </c>
    </row>
    <row r="36" spans="2:7" ht="43.5" thickBot="1" x14ac:dyDescent="0.25">
      <c r="B36" s="3" t="s">
        <v>0</v>
      </c>
      <c r="C36" s="4" t="s">
        <v>2591</v>
      </c>
      <c r="D36" s="4"/>
      <c r="E36" s="15"/>
      <c r="G36" t="str">
        <f t="shared" si="0"/>
        <v>&lt;dl&gt;&lt;dt&gt;田宅宫​&lt;/dt&gt;&lt;dd&gt;家宅安稳，易得平辈、晚辈资助置业，或家中有水道、井泉等象。附近可能有弯曲的河道、深巷内的住宅、倚楼的小屋、别墅。&lt;/dd&gt;&lt;dd&gt;&lt;/dd&gt;&lt;/dl&gt;</v>
      </c>
    </row>
    <row r="37" spans="2:7" ht="29.25" thickBot="1" x14ac:dyDescent="0.25">
      <c r="B37" s="3" t="s">
        <v>41</v>
      </c>
      <c r="C37" s="4" t="s">
        <v>2592</v>
      </c>
      <c r="D37" s="4"/>
      <c r="E37" s="15"/>
      <c r="G37" t="str">
        <f t="shared" si="0"/>
        <v>&lt;dl&gt;&lt;dt&gt;福德宫​&lt;/dt&gt;&lt;dd&gt;精神世界常有暗中福荫，心态乐观，相信机缘，享受来自人际关系的暗中支持。&lt;/dd&gt;&lt;dd&gt;&lt;/dd&gt;&lt;/dl&gt;</v>
      </c>
    </row>
    <row r="38" spans="2:7" ht="43.5" thickBot="1" x14ac:dyDescent="0.25">
      <c r="B38" s="3" t="s">
        <v>3</v>
      </c>
      <c r="C38" s="4" t="s">
        <v>2593</v>
      </c>
      <c r="D38" s="4"/>
      <c r="E38" s="15"/>
      <c r="G38" t="str">
        <f t="shared" si="0"/>
        <v>&lt;dl&gt;&lt;dt&gt;父母宫​&lt;/dt&gt;&lt;dd&gt;若右弼独在，则不刑克。加吉星者，父母福禄双全，与父母有缘，且得到庇荫。若与四煞星同宫，则主其人退祖、刑伤，宜二姓重拜。&lt;/dd&gt;&lt;dd&gt;&lt;/dd&gt;&lt;/dl&gt;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E40" s="15"/>
      <c r="G40" t="str">
        <f t="shared" si="0"/>
        <v>&lt;dl&gt;&lt;dt&gt;&lt;/dt&gt;&lt;dd&gt;&lt;/dd&gt;&lt;dd&gt;&lt;/dd&gt;&lt;/dl&gt;</v>
      </c>
    </row>
    <row r="41" spans="2:7" ht="18" thickBot="1" x14ac:dyDescent="0.25">
      <c r="B41" s="5" t="s">
        <v>70</v>
      </c>
      <c r="E41" s="15"/>
      <c r="G41" t="str">
        <f t="shared" si="0"/>
        <v>&lt;dl&gt;&lt;dt&gt;四、主星组合象义&lt;/dt&gt;&lt;dd&gt;&lt;/dd&gt;&lt;dd&gt;&lt;/dd&gt;&lt;/dl&gt;</v>
      </c>
    </row>
    <row r="42" spans="2:7" ht="16.5" thickBot="1" x14ac:dyDescent="0.25"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3" t="s">
        <v>2594</v>
      </c>
      <c r="E43" s="15"/>
      <c r="G43" t="str">
        <f t="shared" si="0"/>
        <v>&lt;dl&gt;&lt;dt&gt;1. 增强助力/变动组合&lt;/dt&gt;&lt;dd&gt;&lt;/dd&gt;&lt;dd&gt;&lt;/dd&gt;&lt;/dl&gt;</v>
      </c>
    </row>
    <row r="45" spans="2:7" x14ac:dyDescent="0.2">
      <c r="B45" s="2" t="s">
        <v>19</v>
      </c>
      <c r="C45" s="2" t="s">
        <v>73</v>
      </c>
      <c r="D45" s="2" t="s">
        <v>20</v>
      </c>
    </row>
    <row r="46" spans="2:7" ht="28.5" x14ac:dyDescent="0.2">
      <c r="B46" s="3" t="s">
        <v>2595</v>
      </c>
      <c r="C46" s="3" t="s">
        <v>2596</v>
      </c>
      <c r="D46" s="4" t="s">
        <v>2597</v>
      </c>
    </row>
    <row r="47" spans="2:7" ht="57.75" thickBot="1" x14ac:dyDescent="0.25">
      <c r="B47" s="3" t="s">
        <v>2598</v>
      </c>
      <c r="C47" s="3" t="s">
        <v>2599</v>
      </c>
      <c r="D47" s="4" t="s">
        <v>2600</v>
      </c>
    </row>
    <row r="48" spans="2:7" ht="29.25" thickBot="1" x14ac:dyDescent="0.25">
      <c r="B48" s="3" t="s">
        <v>2601</v>
      </c>
      <c r="C48" s="3" t="s">
        <v>2602</v>
      </c>
      <c r="D48" s="4" t="s">
        <v>2603</v>
      </c>
      <c r="E48" s="12"/>
    </row>
    <row r="49" spans="2:7" ht="29.25" thickBot="1" x14ac:dyDescent="0.25">
      <c r="B49" s="3" t="s">
        <v>2604</v>
      </c>
      <c r="C49" s="3" t="s">
        <v>2605</v>
      </c>
      <c r="D49" s="4" t="s">
        <v>2606</v>
      </c>
      <c r="E49" s="15"/>
      <c r="G49" t="str">
        <f t="shared" si="0"/>
        <v>&lt;dl&gt;&lt;dt&gt;右弼+武曲​&lt;/dt&gt;&lt;dd&gt;刚金遇暗助，求财得同辈、下属或机缘暗中资助，适合金融、军警领域，但过程隐蔽。&lt;/dd&gt;&lt;dd&gt;同事暗中介绍客户；意外获得投资机会。&lt;/dd&gt;&lt;/dl&gt;</v>
      </c>
    </row>
    <row r="50" spans="2:7" ht="29.25" thickBot="1" x14ac:dyDescent="0.25">
      <c r="B50" s="3" t="s">
        <v>2607</v>
      </c>
      <c r="C50" s="3" t="s">
        <v>2608</v>
      </c>
      <c r="D50" s="4" t="s">
        <v>2609</v>
      </c>
      <c r="E50" s="15"/>
      <c r="G50" t="str">
        <f t="shared" si="0"/>
        <v>&lt;dl&gt;&lt;dt&gt;右弼+天同​&lt;/dt&gt;&lt;dd&gt;福星暗荫，享受来自平辈、晚辈的福荫，生活安逸，易得暗中照顾，乐享其成。&lt;/dd&gt;&lt;dd&gt;朋友暗中帮忙解决困难；晚辈默默孝敬。&lt;/dd&gt;&lt;/dl&gt;</v>
      </c>
    </row>
    <row r="51" spans="2:7" ht="29.25" thickBot="1" x14ac:dyDescent="0.25">
      <c r="B51" s="3" t="s">
        <v>2610</v>
      </c>
      <c r="C51" s="3" t="s">
        <v>2611</v>
      </c>
      <c r="D51" s="4" t="s">
        <v>2612</v>
      </c>
      <c r="E51" s="15"/>
      <c r="G51" t="str">
        <f t="shared" si="0"/>
        <v>&lt;dl&gt;&lt;dt&gt;右弼+廉贞​&lt;/dt&gt;&lt;dd&gt;囚星遇暗赦，困境中得同辈、下属或机缘暗中解救，化解官非，感情上易有暗桃花。&lt;/dd&gt;&lt;dd&gt;同事暗中帮助化解官司；有隐秘恋情。&lt;/dd&gt;&lt;/dl&gt;</v>
      </c>
    </row>
    <row r="52" spans="2:7" ht="29.25" thickBot="1" x14ac:dyDescent="0.25">
      <c r="B52" s="3" t="s">
        <v>2613</v>
      </c>
      <c r="C52" s="3" t="s">
        <v>2614</v>
      </c>
      <c r="D52" s="4" t="s">
        <v>2615</v>
      </c>
      <c r="E52" s="15"/>
      <c r="G52" t="str">
        <f t="shared" si="0"/>
        <v>&lt;dl&gt;&lt;dt&gt;右弼+天府​&lt;/dt&gt;&lt;dd&gt;库星藏暗宝，财富积累得同辈、下属或机缘暗中助力，适合管理、仓储，易得暗财。&lt;/dd&gt;&lt;dd&gt;下属暗中为公司创造利润；意外发现财富机会。&lt;/dd&gt;&lt;/dl&gt;</v>
      </c>
    </row>
    <row r="53" spans="2:7" ht="42.75" x14ac:dyDescent="0.2">
      <c r="B53" s="3" t="s">
        <v>2616</v>
      </c>
      <c r="C53" s="3" t="s">
        <v>2617</v>
      </c>
      <c r="D53" s="4" t="s">
        <v>2618</v>
      </c>
    </row>
    <row r="54" spans="2:7" ht="57" x14ac:dyDescent="0.2">
      <c r="B54" s="3" t="s">
        <v>2619</v>
      </c>
      <c r="C54" s="3" t="s">
        <v>2620</v>
      </c>
      <c r="D54" s="4" t="s">
        <v>2621</v>
      </c>
    </row>
    <row r="55" spans="2:7" ht="42.75" x14ac:dyDescent="0.2">
      <c r="B55" s="3" t="s">
        <v>2622</v>
      </c>
      <c r="C55" s="3" t="s">
        <v>2623</v>
      </c>
      <c r="D55" s="4" t="s">
        <v>2624</v>
      </c>
    </row>
    <row r="56" spans="2:7" ht="28.5" x14ac:dyDescent="0.2">
      <c r="B56" s="3" t="s">
        <v>2625</v>
      </c>
      <c r="C56" s="3" t="s">
        <v>2626</v>
      </c>
      <c r="D56" s="4" t="s">
        <v>2627</v>
      </c>
    </row>
    <row r="57" spans="2:7" ht="42.75" x14ac:dyDescent="0.2">
      <c r="B57" s="3" t="s">
        <v>2628</v>
      </c>
      <c r="C57" s="3" t="s">
        <v>2629</v>
      </c>
      <c r="D57" s="4" t="s">
        <v>2630</v>
      </c>
    </row>
    <row r="58" spans="2:7" ht="28.5" x14ac:dyDescent="0.2">
      <c r="B58" s="3" t="s">
        <v>2631</v>
      </c>
      <c r="C58" s="3" t="s">
        <v>2632</v>
      </c>
      <c r="D58" s="4" t="s">
        <v>2633</v>
      </c>
    </row>
    <row r="59" spans="2:7" ht="28.5" x14ac:dyDescent="0.2">
      <c r="B59" s="3" t="s">
        <v>2634</v>
      </c>
      <c r="C59" s="3" t="s">
        <v>2635</v>
      </c>
      <c r="D59" s="4" t="s">
        <v>2636</v>
      </c>
    </row>
    <row r="62" spans="2:7" ht="17.25" x14ac:dyDescent="0.2">
      <c r="B62" s="5" t="s">
        <v>71</v>
      </c>
    </row>
    <row r="64" spans="2:7" x14ac:dyDescent="0.2">
      <c r="B64" s="2" t="s">
        <v>14</v>
      </c>
      <c r="C64" s="2" t="s">
        <v>75</v>
      </c>
      <c r="D64" s="2" t="s">
        <v>7</v>
      </c>
    </row>
    <row r="65" spans="2:4" ht="42.75" x14ac:dyDescent="0.2">
      <c r="B65" s="3" t="s">
        <v>2637</v>
      </c>
      <c r="C65" s="3" t="s">
        <v>2638</v>
      </c>
      <c r="D65" s="4"/>
    </row>
    <row r="66" spans="2:4" ht="42.75" x14ac:dyDescent="0.2">
      <c r="B66" s="3" t="s">
        <v>2639</v>
      </c>
      <c r="C66" s="3" t="s">
        <v>2640</v>
      </c>
      <c r="D66" s="4"/>
    </row>
    <row r="67" spans="2:4" ht="28.5" x14ac:dyDescent="0.2">
      <c r="B67" s="3" t="s">
        <v>2641</v>
      </c>
      <c r="C67" s="3" t="s">
        <v>2642</v>
      </c>
      <c r="D67" s="4"/>
    </row>
    <row r="68" spans="2:4" ht="28.5" x14ac:dyDescent="0.2">
      <c r="B68" s="3" t="s">
        <v>2643</v>
      </c>
      <c r="C68" s="3" t="s">
        <v>2644</v>
      </c>
      <c r="D68" s="4"/>
    </row>
    <row r="69" spans="2:4" ht="28.5" x14ac:dyDescent="0.2">
      <c r="B69" s="3" t="s">
        <v>2645</v>
      </c>
      <c r="C69" s="3" t="s">
        <v>2646</v>
      </c>
      <c r="D69" s="4"/>
    </row>
    <row r="70" spans="2:4" ht="42.75" x14ac:dyDescent="0.2">
      <c r="B70" s="3" t="s">
        <v>2647</v>
      </c>
      <c r="C70" s="3" t="s">
        <v>2648</v>
      </c>
      <c r="D70" s="4"/>
    </row>
    <row r="71" spans="2:4" ht="28.5" x14ac:dyDescent="0.2">
      <c r="B71" s="3" t="s">
        <v>2649</v>
      </c>
      <c r="C71" s="3" t="s">
        <v>2650</v>
      </c>
      <c r="D71" s="4"/>
    </row>
    <row r="72" spans="2:4" ht="42.75" x14ac:dyDescent="0.2">
      <c r="B72" s="3" t="s">
        <v>2651</v>
      </c>
      <c r="C72" s="3" t="s">
        <v>2652</v>
      </c>
      <c r="D72" s="4"/>
    </row>
    <row r="73" spans="2:4" ht="28.5" x14ac:dyDescent="0.2">
      <c r="B73" s="3" t="s">
        <v>2653</v>
      </c>
      <c r="C73" s="3" t="s">
        <v>2654</v>
      </c>
      <c r="D73" s="4"/>
    </row>
    <row r="74" spans="2:4" ht="42.75" x14ac:dyDescent="0.2">
      <c r="B74" s="3" t="s">
        <v>2655</v>
      </c>
      <c r="C74" s="3" t="s">
        <v>2656</v>
      </c>
      <c r="D74" s="4"/>
    </row>
    <row r="75" spans="2:4" ht="28.5" x14ac:dyDescent="0.2">
      <c r="B75" s="3" t="s">
        <v>2657</v>
      </c>
      <c r="C75" s="3" t="s">
        <v>2658</v>
      </c>
      <c r="D75" s="4"/>
    </row>
    <row r="76" spans="2:4" ht="28.5" x14ac:dyDescent="0.2">
      <c r="B76" s="3" t="s">
        <v>2659</v>
      </c>
      <c r="C76" s="3" t="s">
        <v>2660</v>
      </c>
      <c r="D76" s="4"/>
    </row>
    <row r="77" spans="2:4" ht="28.5" x14ac:dyDescent="0.2">
      <c r="B77" s="3" t="s">
        <v>2661</v>
      </c>
      <c r="C77" s="3" t="s">
        <v>2662</v>
      </c>
      <c r="D77" s="4"/>
    </row>
    <row r="78" spans="2:4" ht="28.5" x14ac:dyDescent="0.2">
      <c r="B78" s="3" t="s">
        <v>2663</v>
      </c>
      <c r="C78" s="3" t="s">
        <v>2664</v>
      </c>
      <c r="D78" s="4"/>
    </row>
    <row r="79" spans="2:4" ht="28.5" x14ac:dyDescent="0.2">
      <c r="B79" s="3" t="s">
        <v>2665</v>
      </c>
      <c r="C79" s="3" t="s">
        <v>2666</v>
      </c>
      <c r="D79" s="4"/>
    </row>
    <row r="82" spans="2:2" ht="17.25" x14ac:dyDescent="0.2">
      <c r="B82" s="5" t="s">
        <v>103</v>
      </c>
    </row>
    <row r="83" spans="2:2" x14ac:dyDescent="0.2">
      <c r="B83" s="6"/>
    </row>
    <row r="84" spans="2:2" x14ac:dyDescent="0.2">
      <c r="B84" s="7" t="s">
        <v>2667</v>
      </c>
    </row>
    <row r="85" spans="2:2" x14ac:dyDescent="0.2">
      <c r="B85" s="7" t="s">
        <v>2668</v>
      </c>
    </row>
    <row r="86" spans="2:2" x14ac:dyDescent="0.2">
      <c r="B86" s="7" t="s">
        <v>2669</v>
      </c>
    </row>
    <row r="87" spans="2:2" x14ac:dyDescent="0.2">
      <c r="B87" s="7" t="s">
        <v>2670</v>
      </c>
    </row>
    <row r="88" spans="2:2" x14ac:dyDescent="0.2">
      <c r="B88" s="7" t="s">
        <v>2671</v>
      </c>
    </row>
    <row r="89" spans="2:2" x14ac:dyDescent="0.2">
      <c r="B89" s="7" t="s">
        <v>2672</v>
      </c>
    </row>
    <row r="90" spans="2:2" x14ac:dyDescent="0.2">
      <c r="B90" s="7" t="s">
        <v>2673</v>
      </c>
    </row>
  </sheetData>
  <mergeCells count="2">
    <mergeCell ref="B5:B7"/>
    <mergeCell ref="D5:D7"/>
  </mergeCells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1CC14-1454-4DD9-BBFA-F9F36EC4D903}">
  <dimension ref="B1:G86"/>
  <sheetViews>
    <sheetView topLeftCell="A12" zoomScaleNormal="100" workbookViewId="0">
      <selection activeCell="B1" sqref="B1:D74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4652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魁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2549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4653</v>
      </c>
      <c r="D7" s="15" t="s">
        <v>4654</v>
      </c>
    </row>
    <row r="8" spans="2:7" ht="78.75" x14ac:dyDescent="0.2">
      <c r="B8" s="24" t="s">
        <v>2914</v>
      </c>
      <c r="C8" s="19" t="s">
        <v>4655</v>
      </c>
      <c r="D8" s="27" t="s">
        <v>4662</v>
      </c>
    </row>
    <row r="9" spans="2:7" ht="78.75" x14ac:dyDescent="0.2">
      <c r="B9" s="25"/>
      <c r="C9" s="20" t="s">
        <v>4656</v>
      </c>
      <c r="D9" s="28"/>
    </row>
    <row r="10" spans="2:7" ht="47.25" x14ac:dyDescent="0.2">
      <c r="B10" s="25"/>
      <c r="C10" s="20" t="s">
        <v>4657</v>
      </c>
      <c r="D10" s="28"/>
    </row>
    <row r="11" spans="2:7" ht="31.5" x14ac:dyDescent="0.2">
      <c r="B11" s="25"/>
      <c r="C11" s="22" t="s">
        <v>4658</v>
      </c>
      <c r="D11" s="28"/>
    </row>
    <row r="12" spans="2:7" ht="47.25" x14ac:dyDescent="0.2">
      <c r="B12" s="25"/>
      <c r="C12" s="22" t="s">
        <v>4659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4660</v>
      </c>
      <c r="D14" s="28"/>
    </row>
    <row r="15" spans="2:7" ht="32.25" thickBot="1" x14ac:dyDescent="0.25">
      <c r="B15" s="26"/>
      <c r="C15" s="23" t="s">
        <v>4661</v>
      </c>
      <c r="D15" s="29"/>
    </row>
    <row r="18" spans="2:7" ht="17.25" x14ac:dyDescent="0.2">
      <c r="B18" s="5" t="s">
        <v>100</v>
      </c>
    </row>
    <row r="19" spans="2:7" ht="16.5" thickBot="1" x14ac:dyDescent="0.25">
      <c r="B19" s="11"/>
    </row>
    <row r="20" spans="2:7" ht="16.5" thickBot="1" x14ac:dyDescent="0.25">
      <c r="B20" s="12" t="s">
        <v>62</v>
      </c>
      <c r="C20" s="12" t="s">
        <v>107</v>
      </c>
      <c r="D20" s="12" t="s">
        <v>108</v>
      </c>
    </row>
    <row r="21" spans="2:7" ht="48" thickBot="1" x14ac:dyDescent="0.25">
      <c r="B21" s="14" t="s">
        <v>4663</v>
      </c>
      <c r="C21" s="15" t="s">
        <v>4664</v>
      </c>
      <c r="D21" s="15" t="s">
        <v>4665</v>
      </c>
    </row>
    <row r="22" spans="2:7" ht="32.25" thickBot="1" x14ac:dyDescent="0.25">
      <c r="B22" s="14" t="s">
        <v>4666</v>
      </c>
      <c r="C22" s="15" t="s">
        <v>4667</v>
      </c>
      <c r="D22" s="15" t="s">
        <v>4668</v>
      </c>
    </row>
    <row r="23" spans="2:7" ht="32.25" thickBot="1" x14ac:dyDescent="0.25">
      <c r="B23" s="14" t="s">
        <v>4669</v>
      </c>
      <c r="C23" s="15" t="s">
        <v>4670</v>
      </c>
      <c r="D23" s="15" t="s">
        <v>4671</v>
      </c>
      <c r="E23" s="12"/>
    </row>
    <row r="24" spans="2:7" ht="32.25" thickBot="1" x14ac:dyDescent="0.25">
      <c r="B24" s="14" t="s">
        <v>3016</v>
      </c>
      <c r="C24" s="14" t="s">
        <v>4672</v>
      </c>
      <c r="D24" s="15" t="s">
        <v>4673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&lt;dl&gt;&lt;dt&gt;外貌气质​&lt;/dt&gt;&lt;dd&gt;相貌端正，气宇轩昂，有书卷气或正气，举止大方得体。&lt;/dd&gt;&lt;dd&gt;在命宫、身宫时显著，但不如主星明显。&lt;/dd&gt;&lt;/dl&gt;</v>
      </c>
    </row>
    <row r="25" spans="2:7" ht="32.25" thickBot="1" x14ac:dyDescent="0.25">
      <c r="B25" s="24" t="s">
        <v>3017</v>
      </c>
      <c r="C25" s="19" t="s">
        <v>4674</v>
      </c>
      <c r="D25" s="27"/>
      <c r="E25" s="15"/>
      <c r="G25" t="str">
        <f t="shared" si="0"/>
        <v>&lt;dl&gt;&lt;dt&gt;性格特质​&lt;/dt&gt;&lt;dd&gt;优点：正直善良，好学上进，有贵人缘，处事光明磊落。&lt;/dd&gt;&lt;dd&gt;&lt;/dd&gt;&lt;/dl&gt;</v>
      </c>
    </row>
    <row r="26" spans="2:7" ht="32.25" thickBot="1" x14ac:dyDescent="0.25">
      <c r="B26" s="26"/>
      <c r="C26" s="21" t="s">
        <v>4675</v>
      </c>
      <c r="D26" s="29"/>
      <c r="E26" s="15"/>
      <c r="G26" t="str">
        <f t="shared" si="0"/>
        <v>&lt;dl&gt;&lt;dt&gt;&lt;/dt&gt;&lt;dd&gt;缺点：有时过于理想化，依赖贵人，自身主动性稍弱。&lt;/dd&gt;&lt;dd&gt;&lt;/dd&gt;&lt;/dl&gt;</v>
      </c>
    </row>
    <row r="27" spans="2:7" ht="32.25" thickBot="1" x14ac:dyDescent="0.25">
      <c r="B27" s="14" t="s">
        <v>3419</v>
      </c>
      <c r="C27" s="15" t="s">
        <v>4676</v>
      </c>
      <c r="D27" s="15"/>
      <c r="E27" s="15"/>
      <c r="G27" t="str">
        <f t="shared" si="0"/>
        <v>&lt;dl&gt;&lt;dt&gt;健康方面​&lt;/dt&gt;&lt;dd&gt;属阳火，一般主吉，无特定病象。有时可关联心脏、小肠（属火），但非主要。&lt;/dd&gt;&lt;dd&gt;&lt;/dd&gt;&lt;/dl&gt;</v>
      </c>
    </row>
    <row r="28" spans="2:7" ht="16.5" thickBot="1" x14ac:dyDescent="0.25"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0" spans="2:7" ht="17.25" x14ac:dyDescent="0.2">
      <c r="B30" s="5" t="s">
        <v>102</v>
      </c>
    </row>
    <row r="31" spans="2:7" ht="16.5" thickBot="1" x14ac:dyDescent="0.25">
      <c r="B31" s="11"/>
    </row>
    <row r="32" spans="2:7" ht="16.5" thickBot="1" x14ac:dyDescent="0.25">
      <c r="B32" s="12" t="s">
        <v>6</v>
      </c>
      <c r="C32" s="12" t="s">
        <v>107</v>
      </c>
      <c r="D32" s="12" t="s">
        <v>7</v>
      </c>
    </row>
    <row r="33" spans="2:7" ht="32.25" thickBot="1" x14ac:dyDescent="0.25">
      <c r="B33" s="14" t="s">
        <v>2930</v>
      </c>
      <c r="C33" s="15" t="s">
        <v>4677</v>
      </c>
      <c r="D33" s="15"/>
    </row>
    <row r="34" spans="2:7" ht="32.25" thickBot="1" x14ac:dyDescent="0.25">
      <c r="B34" s="14" t="s">
        <v>2932</v>
      </c>
      <c r="C34" s="15" t="s">
        <v>4678</v>
      </c>
      <c r="D34" s="15"/>
      <c r="E34" s="12"/>
    </row>
    <row r="35" spans="2:7" ht="32.25" thickBot="1" x14ac:dyDescent="0.25">
      <c r="B35" s="14" t="s">
        <v>2934</v>
      </c>
      <c r="C35" s="15" t="s">
        <v>4679</v>
      </c>
      <c r="D35" s="15"/>
      <c r="E35" s="15"/>
      <c r="G35" t="str">
        <f t="shared" si="0"/>
        <v>&lt;dl&gt;&lt;dt&gt;夫妻宫​&lt;/dt&gt;&lt;dd&gt;配偶是自己的贵人，或能通过婚姻得到提升。配偶可能正直、有社会地位。&lt;/dd&gt;&lt;dd&gt;&lt;/dd&gt;&lt;/dl&gt;</v>
      </c>
    </row>
    <row r="36" spans="2:7" ht="32.25" thickBot="1" x14ac:dyDescent="0.25">
      <c r="B36" s="14" t="s">
        <v>2936</v>
      </c>
      <c r="C36" s="15" t="s">
        <v>4680</v>
      </c>
      <c r="D36" s="15"/>
      <c r="E36" s="15"/>
      <c r="G36" t="str">
        <f t="shared" si="0"/>
        <v>&lt;dl&gt;&lt;dt&gt;子女宫​&lt;/dt&gt;&lt;dd&gt;子女有出息，能给自己带来荣誉，或是自己的小贵人。&lt;/dd&gt;&lt;dd&gt;&lt;/dd&gt;&lt;/dl&gt;</v>
      </c>
    </row>
    <row r="37" spans="2:7" ht="32.25" thickBot="1" x14ac:dyDescent="0.25">
      <c r="B37" s="14" t="s">
        <v>9</v>
      </c>
      <c r="C37" s="15" t="s">
        <v>4681</v>
      </c>
      <c r="D37" s="15"/>
      <c r="E37" s="15"/>
      <c r="G37" t="str">
        <f t="shared" si="0"/>
        <v>&lt;dl&gt;&lt;dt&gt;财帛宫​&lt;/dt&gt;&lt;dd&gt;求财过程易得贵人指点或提供机会，财运通过正途、正规渠道获得。&lt;/dd&gt;&lt;dd&gt;&lt;/dd&gt;&lt;/dl&gt;</v>
      </c>
    </row>
    <row r="38" spans="2:7" ht="32.25" thickBot="1" x14ac:dyDescent="0.25">
      <c r="B38" s="14" t="s">
        <v>10</v>
      </c>
      <c r="C38" s="14" t="s">
        <v>4682</v>
      </c>
      <c r="D38" s="15"/>
      <c r="E38" s="15"/>
      <c r="G38" t="str">
        <f t="shared" si="0"/>
        <v>&lt;dl&gt;&lt;dt&gt;疾厄宫​&lt;/dt&gt;&lt;dd&gt;身体健康，遇病易遇良医，或疾病能得到及时、正确的治疗。&lt;/dd&gt;&lt;dd&gt;&lt;/dd&gt;&lt;/dl&gt;</v>
      </c>
    </row>
    <row r="39" spans="2:7" ht="32.25" thickBot="1" x14ac:dyDescent="0.25">
      <c r="B39" s="14" t="s">
        <v>13</v>
      </c>
      <c r="C39" s="15" t="s">
        <v>4683</v>
      </c>
      <c r="D39" s="15"/>
      <c r="E39" s="15"/>
      <c r="G39" t="str">
        <f t="shared" si="0"/>
        <v>&lt;dl&gt;&lt;dt&gt;迁移宫​&lt;/dt&gt;&lt;dd&gt;在外发展顺利，易遇贵人相助，适合外出寻求发展机遇。&lt;/dd&gt;&lt;dd&gt;&lt;/dd&gt;&lt;/dl&gt;</v>
      </c>
    </row>
    <row r="40" spans="2:7" ht="32.25" thickBot="1" x14ac:dyDescent="0.25">
      <c r="B40" s="14" t="s">
        <v>3018</v>
      </c>
      <c r="C40" s="14" t="s">
        <v>4684</v>
      </c>
      <c r="D40" s="15"/>
      <c r="E40" s="15"/>
      <c r="G40" t="str">
        <f t="shared" si="0"/>
        <v>&lt;dl&gt;&lt;dt&gt;交友宫（奴仆宫）​&lt;/dt&gt;&lt;dd&gt;朋友、同事、下属中多贵人，能在关键时刻提供帮助。&lt;/dd&gt;&lt;dd&gt;&lt;/dd&gt;&lt;/dl&gt;</v>
      </c>
    </row>
    <row r="41" spans="2:7" ht="32.25" thickBot="1" x14ac:dyDescent="0.25">
      <c r="B41" s="14" t="s">
        <v>3019</v>
      </c>
      <c r="C41" s="14" t="s">
        <v>4685</v>
      </c>
      <c r="D41" s="15"/>
      <c r="E41" s="15"/>
      <c r="G41" t="str">
        <f t="shared" si="0"/>
        <v>&lt;dl&gt;&lt;dt&gt;官禄宫（事业宫）​&lt;/dt&gt;&lt;dd&gt;事业上易得上级提拔，考试运佳，利于升职、考公、获取资格。&lt;/dd&gt;&lt;dd&gt;&lt;/dd&gt;&lt;/dl&gt;</v>
      </c>
    </row>
    <row r="42" spans="2:7" ht="32.25" thickBot="1" x14ac:dyDescent="0.25">
      <c r="B42" s="14" t="s">
        <v>8</v>
      </c>
      <c r="C42" s="14" t="s">
        <v>4686</v>
      </c>
      <c r="D42" s="15"/>
      <c r="E42" s="15"/>
      <c r="G42" t="str">
        <f t="shared" si="0"/>
        <v>&lt;dl&gt;&lt;dt&gt;田宅宫​&lt;/dt&gt;&lt;dd&gt;家宅安宁，易有祖荫，或通过房产交易遇到好的中介、买家。&lt;/dd&gt;&lt;dd&gt;&lt;/dd&gt;&lt;/dl&gt;</v>
      </c>
    </row>
    <row r="43" spans="2:7" ht="32.25" thickBot="1" x14ac:dyDescent="0.25">
      <c r="B43" s="14" t="s">
        <v>2945</v>
      </c>
      <c r="C43" s="15" t="s">
        <v>4687</v>
      </c>
      <c r="D43" s="15"/>
      <c r="E43" s="15"/>
      <c r="G43" t="str">
        <f t="shared" si="0"/>
        <v>&lt;dl&gt;&lt;dt&gt;福德宫​&lt;/dt&gt;&lt;dd&gt;精神世界追求正道，心态乐观，常有“天助我也”的幸运感。&lt;/dd&gt;&lt;dd&gt;&lt;/dd&gt;&lt;/dl&gt;</v>
      </c>
    </row>
    <row r="44" spans="2:7" ht="32.25" thickBot="1" x14ac:dyDescent="0.25">
      <c r="B44" s="14" t="s">
        <v>11</v>
      </c>
      <c r="C44" s="15" t="s">
        <v>4688</v>
      </c>
      <c r="D44" s="15"/>
    </row>
    <row r="47" spans="2:7" ht="18" thickBot="1" x14ac:dyDescent="0.25">
      <c r="B47" s="5" t="s">
        <v>4689</v>
      </c>
    </row>
    <row r="48" spans="2:7" ht="16.5" thickBot="1" x14ac:dyDescent="0.25">
      <c r="B48" s="11"/>
      <c r="E48" s="12"/>
    </row>
    <row r="49" spans="2:7" ht="16.5" thickBot="1" x14ac:dyDescent="0.25">
      <c r="B49" s="12" t="s">
        <v>4690</v>
      </c>
      <c r="C49" s="12" t="s">
        <v>75</v>
      </c>
      <c r="D49" s="12" t="s">
        <v>108</v>
      </c>
      <c r="E49" s="15"/>
      <c r="G49" t="str">
        <f t="shared" si="0"/>
        <v>&lt;dl&gt;&lt;dt&gt;主星​&lt;/dt&gt;&lt;dd&gt;组合效应​&lt;/dd&gt;&lt;dd&gt;典型案例/说明​&lt;/dd&gt;&lt;/dl&gt;</v>
      </c>
    </row>
    <row r="50" spans="2:7" ht="32.25" thickBot="1" x14ac:dyDescent="0.25">
      <c r="B50" s="14" t="s">
        <v>4691</v>
      </c>
      <c r="C50" s="14" t="s">
        <v>4692</v>
      </c>
      <c r="D50" s="15" t="s">
        <v>4693</v>
      </c>
      <c r="E50" s="15"/>
      <c r="G50" t="str">
        <f t="shared" si="0"/>
        <v>&lt;dl&gt;&lt;dt&gt;天魁+紫微​&lt;/dt&gt;&lt;dd&gt;帝星遇贵，权威得到公开、正式的认可与支持，易居高位，得上级鼎力相助。&lt;/dd&gt;&lt;dd&gt;政府高官；企业CEO。&lt;/dd&gt;&lt;/dl&gt;</v>
      </c>
    </row>
    <row r="51" spans="2:7" ht="32.25" thickBot="1" x14ac:dyDescent="0.25">
      <c r="B51" s="14" t="s">
        <v>4694</v>
      </c>
      <c r="C51" s="14" t="s">
        <v>4695</v>
      </c>
      <c r="D51" s="15" t="s">
        <v>4696</v>
      </c>
      <c r="E51" s="15"/>
      <c r="G51" t="str">
        <f t="shared" si="0"/>
        <v>&lt;dl&gt;&lt;dt&gt;天魁+天府​&lt;/dt&gt;&lt;dd&gt;库星遇贵，稳定的资源与管理得到贵人扶持，易掌公家财库或大型机构。&lt;/dd&gt;&lt;dd&gt;银行行长；国企高管。&lt;/dd&gt;&lt;/dl&gt;</v>
      </c>
    </row>
    <row r="52" spans="2:7" ht="32.25" thickBot="1" x14ac:dyDescent="0.25">
      <c r="B52" s="14" t="s">
        <v>4697</v>
      </c>
      <c r="C52" s="14" t="s">
        <v>4698</v>
      </c>
      <c r="D52" s="15" t="s">
        <v>4699</v>
      </c>
      <c r="E52" s="15"/>
      <c r="G52" t="str">
        <f t="shared" si="0"/>
        <v>&lt;dl&gt;&lt;dt&gt;天魁+天相​&lt;/dt&gt;&lt;dd&gt;印星遇贵，协调与辅佐能力得到官方认可，易成为重要人物的得力助手或公务员。&lt;/dd&gt;&lt;dd&gt;高级秘书；政府官员。&lt;/dd&gt;&lt;/dl&gt;</v>
      </c>
    </row>
    <row r="53" spans="2:7" ht="32.25" thickBot="1" x14ac:dyDescent="0.25">
      <c r="B53" s="14" t="s">
        <v>4700</v>
      </c>
      <c r="C53" s="14" t="s">
        <v>4701</v>
      </c>
      <c r="D53" s="15" t="s">
        <v>4702</v>
      </c>
    </row>
    <row r="54" spans="2:7" ht="32.25" thickBot="1" x14ac:dyDescent="0.25">
      <c r="B54" s="14" t="s">
        <v>4703</v>
      </c>
      <c r="C54" s="14" t="s">
        <v>4704</v>
      </c>
      <c r="D54" s="15" t="s">
        <v>4705</v>
      </c>
    </row>
    <row r="55" spans="2:7" ht="32.25" thickBot="1" x14ac:dyDescent="0.25">
      <c r="B55" s="14" t="s">
        <v>4706</v>
      </c>
      <c r="C55" s="14" t="s">
        <v>4707</v>
      </c>
      <c r="D55" s="15" t="s">
        <v>4708</v>
      </c>
    </row>
    <row r="56" spans="2:7" ht="32.25" thickBot="1" x14ac:dyDescent="0.25">
      <c r="B56" s="14" t="s">
        <v>4709</v>
      </c>
      <c r="C56" s="14" t="s">
        <v>4710</v>
      </c>
      <c r="D56" s="15" t="s">
        <v>4711</v>
      </c>
    </row>
    <row r="57" spans="2:7" ht="32.25" thickBot="1" x14ac:dyDescent="0.25">
      <c r="B57" s="14" t="s">
        <v>4712</v>
      </c>
      <c r="C57" s="14" t="s">
        <v>4713</v>
      </c>
      <c r="D57" s="15" t="s">
        <v>4714</v>
      </c>
    </row>
    <row r="60" spans="2:7" ht="17.25" x14ac:dyDescent="0.2">
      <c r="B60" s="5" t="s">
        <v>4715</v>
      </c>
    </row>
    <row r="61" spans="2:7" x14ac:dyDescent="0.2">
      <c r="B61" s="6"/>
    </row>
    <row r="62" spans="2:7" x14ac:dyDescent="0.2">
      <c r="B62" s="7" t="s">
        <v>4716</v>
      </c>
    </row>
    <row r="63" spans="2:7" x14ac:dyDescent="0.2">
      <c r="B63" s="7" t="s">
        <v>4717</v>
      </c>
    </row>
    <row r="64" spans="2:7" x14ac:dyDescent="0.2">
      <c r="B64" s="6"/>
    </row>
    <row r="65" spans="2:4" x14ac:dyDescent="0.2">
      <c r="B65" s="8" t="s">
        <v>4718</v>
      </c>
    </row>
    <row r="66" spans="2:4" x14ac:dyDescent="0.2">
      <c r="B66" s="8" t="s">
        <v>4719</v>
      </c>
    </row>
    <row r="67" spans="2:4" x14ac:dyDescent="0.2">
      <c r="B67" s="7" t="s">
        <v>4720</v>
      </c>
    </row>
    <row r="68" spans="2:4" x14ac:dyDescent="0.2">
      <c r="B68" s="7" t="s">
        <v>4721</v>
      </c>
    </row>
    <row r="69" spans="2:4" x14ac:dyDescent="0.2">
      <c r="B69" s="7" t="s">
        <v>4722</v>
      </c>
    </row>
    <row r="70" spans="2:4" x14ac:dyDescent="0.2">
      <c r="B70" s="7" t="s">
        <v>4723</v>
      </c>
    </row>
    <row r="71" spans="2:4" x14ac:dyDescent="0.2">
      <c r="B71" s="7" t="s">
        <v>4724</v>
      </c>
    </row>
    <row r="72" spans="2:4" x14ac:dyDescent="0.2">
      <c r="B72" s="7" t="s">
        <v>4725</v>
      </c>
    </row>
    <row r="73" spans="2:4" x14ac:dyDescent="0.2">
      <c r="B73" s="6"/>
    </row>
    <row r="74" spans="2:4" x14ac:dyDescent="0.2">
      <c r="B74" s="6" t="s">
        <v>4726</v>
      </c>
    </row>
    <row r="75" spans="2:4" ht="28.5" x14ac:dyDescent="0.2">
      <c r="B75" s="3" t="s">
        <v>2552</v>
      </c>
      <c r="C75" s="3" t="s">
        <v>2553</v>
      </c>
      <c r="D75" s="4"/>
    </row>
    <row r="76" spans="2:4" ht="28.5" x14ac:dyDescent="0.2">
      <c r="B76" s="3" t="s">
        <v>2554</v>
      </c>
      <c r="C76" s="3" t="s">
        <v>2555</v>
      </c>
      <c r="D76" s="4"/>
    </row>
    <row r="79" spans="2:4" ht="17.25" x14ac:dyDescent="0.2">
      <c r="B79" s="5" t="s">
        <v>103</v>
      </c>
    </row>
    <row r="80" spans="2:4" x14ac:dyDescent="0.2">
      <c r="B80" s="6"/>
    </row>
    <row r="81" spans="2:2" x14ac:dyDescent="0.2">
      <c r="B81" s="7" t="s">
        <v>2556</v>
      </c>
    </row>
    <row r="82" spans="2:2" x14ac:dyDescent="0.2">
      <c r="B82" s="7" t="s">
        <v>2557</v>
      </c>
    </row>
    <row r="83" spans="2:2" x14ac:dyDescent="0.2">
      <c r="B83" s="7" t="s">
        <v>2558</v>
      </c>
    </row>
    <row r="84" spans="2:2" x14ac:dyDescent="0.2">
      <c r="B84" s="7" t="s">
        <v>2559</v>
      </c>
    </row>
    <row r="85" spans="2:2" x14ac:dyDescent="0.2">
      <c r="B85" s="7" t="s">
        <v>2560</v>
      </c>
    </row>
    <row r="86" spans="2:2" x14ac:dyDescent="0.2">
      <c r="B86" s="7" t="s">
        <v>2561</v>
      </c>
    </row>
  </sheetData>
  <mergeCells count="4">
    <mergeCell ref="B8:B15"/>
    <mergeCell ref="D8:D15"/>
    <mergeCell ref="B25:B26"/>
    <mergeCell ref="D25:D26"/>
  </mergeCells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A691-FCB3-4ABF-B3D4-290797A62703}">
  <dimension ref="B1:G86"/>
  <sheetViews>
    <sheetView zoomScaleNormal="100" workbookViewId="0">
      <selection activeCell="B1" sqref="B1:D7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4727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钺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2536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4728</v>
      </c>
      <c r="D7" s="15" t="s">
        <v>4729</v>
      </c>
    </row>
    <row r="8" spans="2:7" ht="78.75" x14ac:dyDescent="0.2">
      <c r="B8" s="24" t="s">
        <v>2914</v>
      </c>
      <c r="C8" s="19" t="s">
        <v>4730</v>
      </c>
      <c r="D8" s="27" t="s">
        <v>4737</v>
      </c>
    </row>
    <row r="9" spans="2:7" ht="94.5" x14ac:dyDescent="0.2">
      <c r="B9" s="25"/>
      <c r="C9" s="20" t="s">
        <v>4731</v>
      </c>
      <c r="D9" s="28"/>
    </row>
    <row r="10" spans="2:7" ht="47.25" x14ac:dyDescent="0.2">
      <c r="B10" s="25"/>
      <c r="C10" s="20" t="s">
        <v>4732</v>
      </c>
      <c r="D10" s="28"/>
    </row>
    <row r="11" spans="2:7" ht="31.5" x14ac:dyDescent="0.2">
      <c r="B11" s="25"/>
      <c r="C11" s="22" t="s">
        <v>4733</v>
      </c>
      <c r="D11" s="28"/>
    </row>
    <row r="12" spans="2:7" ht="47.25" x14ac:dyDescent="0.2">
      <c r="B12" s="25"/>
      <c r="C12" s="22" t="s">
        <v>4734</v>
      </c>
      <c r="D12" s="28"/>
    </row>
    <row r="13" spans="2:7" ht="15.75" x14ac:dyDescent="0.2">
      <c r="B13" s="25"/>
      <c r="C13" s="22" t="s">
        <v>4343</v>
      </c>
      <c r="D13" s="28"/>
      <c r="E13" s="2" t="s">
        <v>7</v>
      </c>
    </row>
    <row r="14" spans="2:7" ht="31.5" x14ac:dyDescent="0.2">
      <c r="B14" s="25"/>
      <c r="C14" s="22" t="s">
        <v>4735</v>
      </c>
      <c r="D14" s="28"/>
      <c r="E14" s="4"/>
    </row>
    <row r="15" spans="2:7" ht="32.25" thickBot="1" x14ac:dyDescent="0.25">
      <c r="B15" s="26"/>
      <c r="C15" s="23" t="s">
        <v>4736</v>
      </c>
      <c r="D15" s="29"/>
      <c r="E15" s="4"/>
    </row>
    <row r="16" spans="2:7" x14ac:dyDescent="0.2">
      <c r="E16" s="4"/>
    </row>
    <row r="18" spans="2:7" ht="17.25" x14ac:dyDescent="0.2">
      <c r="B18" s="5" t="s">
        <v>100</v>
      </c>
    </row>
    <row r="19" spans="2:7" ht="16.5" thickBot="1" x14ac:dyDescent="0.25">
      <c r="B19" s="11"/>
    </row>
    <row r="20" spans="2:7" ht="16.5" thickBot="1" x14ac:dyDescent="0.25">
      <c r="B20" s="12" t="s">
        <v>62</v>
      </c>
      <c r="C20" s="12" t="s">
        <v>107</v>
      </c>
      <c r="D20" s="12" t="s">
        <v>108</v>
      </c>
    </row>
    <row r="21" spans="2:7" ht="48" thickBot="1" x14ac:dyDescent="0.25">
      <c r="B21" s="14" t="s">
        <v>4738</v>
      </c>
      <c r="C21" s="15" t="s">
        <v>4739</v>
      </c>
      <c r="D21" s="15" t="s">
        <v>4740</v>
      </c>
    </row>
    <row r="22" spans="2:7" ht="48" thickBot="1" x14ac:dyDescent="0.25">
      <c r="B22" s="14" t="s">
        <v>4741</v>
      </c>
      <c r="C22" s="15" t="s">
        <v>4742</v>
      </c>
      <c r="D22" s="15" t="s">
        <v>4743</v>
      </c>
    </row>
    <row r="23" spans="2:7" ht="32.25" thickBot="1" x14ac:dyDescent="0.25">
      <c r="B23" s="14" t="s">
        <v>4744</v>
      </c>
      <c r="C23" s="15" t="s">
        <v>4745</v>
      </c>
      <c r="D23" s="15" t="s">
        <v>4746</v>
      </c>
      <c r="E23" s="2" t="s">
        <v>7</v>
      </c>
    </row>
    <row r="24" spans="2:7" ht="32.25" thickBot="1" x14ac:dyDescent="0.25">
      <c r="B24" s="14" t="s">
        <v>3016</v>
      </c>
      <c r="C24" s="14" t="s">
        <v>4747</v>
      </c>
      <c r="D24" s="15" t="s">
        <v>4673</v>
      </c>
      <c r="E24" s="4"/>
      <c r="G24" t="str">
        <f t="shared" ref="G24:G50" si="0">"&lt;dl&gt;&lt;dt&gt;" &amp; B24 &amp; "&lt;/dt&gt;&lt;dd&gt;" &amp; C24 &amp; "&lt;/dd&gt;&lt;dd&gt;" &amp; D24 &amp; "&lt;/dd&gt;&lt;/dl&gt;"</f>
        <v>&lt;dl&gt;&lt;dt&gt;外貌气质​&lt;/dt&gt;&lt;dd&gt;相貌清秀，气质温和，有亲和力，眼神带情，举止优雅。&lt;/dd&gt;&lt;dd&gt;在命宫、身宫时显著，但不如主星明显。&lt;/dd&gt;&lt;/dl&gt;</v>
      </c>
    </row>
    <row r="25" spans="2:7" ht="31.5" x14ac:dyDescent="0.2">
      <c r="B25" s="24" t="s">
        <v>3017</v>
      </c>
      <c r="C25" s="19" t="s">
        <v>4748</v>
      </c>
      <c r="D25" s="27"/>
      <c r="E25" s="4"/>
      <c r="G25" t="str">
        <f t="shared" si="0"/>
        <v>&lt;dl&gt;&lt;dt&gt;性格特质​&lt;/dt&gt;&lt;dd&gt;优点：心地善良，乐于助人，人缘佳（尤异性缘），处事灵活，懂得变通。&lt;/dd&gt;&lt;dd&gt;&lt;/dd&gt;&lt;/dl&gt;</v>
      </c>
    </row>
    <row r="26" spans="2:7" ht="32.25" thickBot="1" x14ac:dyDescent="0.25">
      <c r="B26" s="26"/>
      <c r="C26" s="21" t="s">
        <v>4749</v>
      </c>
      <c r="D26" s="29"/>
      <c r="E26" s="4"/>
      <c r="G26" t="str">
        <f t="shared" si="0"/>
        <v>&lt;dl&gt;&lt;dt&gt;&lt;/dt&gt;&lt;dd&gt;缺点：有时依赖人情，原则性不强，易有感情纠葛或桃色困扰。&lt;/dd&gt;&lt;dd&gt;&lt;/dd&gt;&lt;/dl&gt;</v>
      </c>
    </row>
    <row r="27" spans="2:7" ht="32.25" thickBot="1" x14ac:dyDescent="0.25">
      <c r="B27" s="14" t="s">
        <v>3419</v>
      </c>
      <c r="C27" s="15" t="s">
        <v>4750</v>
      </c>
      <c r="D27" s="15"/>
      <c r="G27" t="str">
        <f t="shared" si="0"/>
        <v>&lt;dl&gt;&lt;dt&gt;健康方面​&lt;/dt&gt;&lt;dd&gt;属阴火，一般主吉，无特定病象。有时可关联心脏、小肠（属火），但非主要。&lt;/dd&gt;&lt;dd&gt;&lt;/dd&gt;&lt;/dl&gt;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0" spans="2:7" ht="17.25" x14ac:dyDescent="0.2">
      <c r="B30" s="5" t="s">
        <v>102</v>
      </c>
      <c r="E30" s="2" t="s">
        <v>7</v>
      </c>
    </row>
    <row r="31" spans="2:7" ht="16.5" thickBot="1" x14ac:dyDescent="0.25">
      <c r="B31" s="11"/>
      <c r="E31" s="4"/>
    </row>
    <row r="32" spans="2:7" ht="16.5" thickBot="1" x14ac:dyDescent="0.25">
      <c r="B32" s="12" t="s">
        <v>6</v>
      </c>
      <c r="C32" s="12" t="s">
        <v>107</v>
      </c>
      <c r="D32" s="12" t="s">
        <v>7</v>
      </c>
      <c r="E32" s="4"/>
    </row>
    <row r="33" spans="2:7" ht="32.25" thickBot="1" x14ac:dyDescent="0.25">
      <c r="B33" s="14" t="s">
        <v>2930</v>
      </c>
      <c r="C33" s="15" t="s">
        <v>4751</v>
      </c>
      <c r="D33" s="15"/>
      <c r="E33" s="4"/>
    </row>
    <row r="34" spans="2:7" ht="32.25" thickBot="1" x14ac:dyDescent="0.25">
      <c r="B34" s="14" t="s">
        <v>2932</v>
      </c>
      <c r="C34" s="15" t="s">
        <v>4752</v>
      </c>
      <c r="D34" s="15"/>
      <c r="E34" s="4"/>
    </row>
    <row r="35" spans="2:7" ht="48" thickBot="1" x14ac:dyDescent="0.25">
      <c r="B35" s="14" t="s">
        <v>2934</v>
      </c>
      <c r="C35" s="15" t="s">
        <v>4753</v>
      </c>
      <c r="D35" s="15"/>
      <c r="E35" s="4"/>
      <c r="G35" t="str">
        <f t="shared" si="0"/>
        <v>&lt;dl&gt;&lt;dt&gt;夫妻宫​&lt;/dt&gt;&lt;dd&gt;配偶是自己的贵人，或能通过婚姻得到暗中扶持。配偶可能温柔、有异性魅力。易有婚外桃花助力或困扰。&lt;/dd&gt;&lt;dd&gt;&lt;/dd&gt;&lt;/dl&gt;</v>
      </c>
    </row>
    <row r="36" spans="2:7" ht="32.25" thickBot="1" x14ac:dyDescent="0.25">
      <c r="B36" s="14" t="s">
        <v>2936</v>
      </c>
      <c r="C36" s="15" t="s">
        <v>4754</v>
      </c>
      <c r="D36" s="15"/>
      <c r="G36" t="str">
        <f t="shared" si="0"/>
        <v>&lt;dl&gt;&lt;dt&gt;子女宫​&lt;/dt&gt;&lt;dd&gt;子女是贴心的小贵人，或通过子女得到意外的人际帮助。&lt;/dd&gt;&lt;dd&gt;&lt;/dd&gt;&lt;/dl&gt;</v>
      </c>
    </row>
    <row r="37" spans="2:7" ht="32.25" thickBot="1" x14ac:dyDescent="0.25">
      <c r="B37" s="14" t="s">
        <v>9</v>
      </c>
      <c r="C37" s="15" t="s">
        <v>4755</v>
      </c>
      <c r="D37" s="15"/>
      <c r="G37" t="str">
        <f t="shared" si="0"/>
        <v>&lt;dl&gt;&lt;dt&gt;财帛宫​&lt;/dt&gt;&lt;dd&gt;求财过程易得异性、朋友私下介绍机会，或通过人情关系获利。&lt;/dd&gt;&lt;dd&gt;&lt;/dd&gt;&lt;/dl&gt;</v>
      </c>
    </row>
    <row r="38" spans="2:7" ht="32.25" thickBot="1" x14ac:dyDescent="0.25">
      <c r="B38" s="14" t="s">
        <v>10</v>
      </c>
      <c r="C38" s="14" t="s">
        <v>4756</v>
      </c>
      <c r="D38" s="15"/>
      <c r="G38" t="str">
        <f t="shared" si="0"/>
        <v>&lt;dl&gt;&lt;dt&gt;疾厄宫​&lt;/dt&gt;&lt;dd&gt;遇病易遇良医（尤其是异性医生）或得到偏方、特殊照顾。&lt;/dd&gt;&lt;dd&gt;&lt;/dd&gt;&lt;/dl&gt;</v>
      </c>
    </row>
    <row r="39" spans="2:7" ht="32.25" thickBot="1" x14ac:dyDescent="0.25">
      <c r="B39" s="14" t="s">
        <v>13</v>
      </c>
      <c r="C39" s="15" t="s">
        <v>4757</v>
      </c>
      <c r="D39" s="15"/>
      <c r="G39" t="str">
        <f t="shared" si="0"/>
        <v>&lt;dl&gt;&lt;dt&gt;迁移宫​&lt;/dt&gt;&lt;dd&gt;在外发展易得异性、朋友暗中帮助，适合通过人际网络在异地发展。&lt;/dd&gt;&lt;dd&gt;&lt;/dd&gt;&lt;/dl&gt;</v>
      </c>
    </row>
    <row r="40" spans="2:7" ht="32.25" thickBot="1" x14ac:dyDescent="0.25">
      <c r="B40" s="14" t="s">
        <v>3018</v>
      </c>
      <c r="C40" s="14" t="s">
        <v>4758</v>
      </c>
      <c r="D40" s="15"/>
      <c r="E40" s="2" t="s">
        <v>7</v>
      </c>
      <c r="G40" t="str">
        <f t="shared" si="0"/>
        <v>&lt;dl&gt;&lt;dt&gt;交友宫（奴仆宫）​&lt;/dt&gt;&lt;dd&gt;朋友、同事、下属中多暗贵人，能在私下提供关键信息或帮助。&lt;/dd&gt;&lt;dd&gt;&lt;/dd&gt;&lt;/dl&gt;</v>
      </c>
    </row>
    <row r="41" spans="2:7" ht="32.25" thickBot="1" x14ac:dyDescent="0.25">
      <c r="B41" s="14" t="s">
        <v>3019</v>
      </c>
      <c r="C41" s="14" t="s">
        <v>4759</v>
      </c>
      <c r="D41" s="15"/>
      <c r="E41" s="4"/>
      <c r="G41" t="str">
        <f t="shared" si="0"/>
        <v>&lt;dl&gt;&lt;dt&gt;官禄宫（事业宫）​&lt;/dt&gt;&lt;dd&gt;事业上易得私下提携、幕后支持，适合从事需要人际、公关、协调类的工作。&lt;/dd&gt;&lt;dd&gt;&lt;/dd&gt;&lt;/dl&gt;</v>
      </c>
    </row>
    <row r="42" spans="2:7" ht="32.25" thickBot="1" x14ac:dyDescent="0.25">
      <c r="B42" s="14" t="s">
        <v>8</v>
      </c>
      <c r="C42" s="14" t="s">
        <v>4760</v>
      </c>
      <c r="D42" s="15"/>
      <c r="E42" s="4"/>
      <c r="G42" t="str">
        <f t="shared" si="0"/>
        <v>&lt;dl&gt;&lt;dt&gt;田宅宫​&lt;/dt&gt;&lt;dd&gt;家宅和睦，易得家人私下资助，或通过非公开渠道获得房产信息、优惠。&lt;/dd&gt;&lt;dd&gt;&lt;/dd&gt;&lt;/dl&gt;</v>
      </c>
    </row>
    <row r="43" spans="2:7" ht="32.25" thickBot="1" x14ac:dyDescent="0.25">
      <c r="B43" s="14" t="s">
        <v>2945</v>
      </c>
      <c r="C43" s="15" t="s">
        <v>4761</v>
      </c>
      <c r="D43" s="15"/>
      <c r="E43" s="4"/>
      <c r="G43" t="str">
        <f t="shared" si="0"/>
        <v>&lt;dl&gt;&lt;dt&gt;福德宫​&lt;/dt&gt;&lt;dd&gt;精神世界重人情，相信缘分，内心常有被暗中眷顾的感觉。&lt;/dd&gt;&lt;dd&gt;&lt;/dd&gt;&lt;/dl&gt;</v>
      </c>
    </row>
    <row r="44" spans="2:7" ht="32.25" thickBot="1" x14ac:dyDescent="0.25">
      <c r="B44" s="14" t="s">
        <v>11</v>
      </c>
      <c r="C44" s="15" t="s">
        <v>4762</v>
      </c>
      <c r="D44" s="15"/>
      <c r="E44" s="4"/>
    </row>
    <row r="45" spans="2:7" x14ac:dyDescent="0.2">
      <c r="E45" s="4"/>
    </row>
    <row r="46" spans="2:7" x14ac:dyDescent="0.2">
      <c r="E46" s="4"/>
    </row>
    <row r="47" spans="2:7" ht="17.25" x14ac:dyDescent="0.2">
      <c r="B47" s="5" t="s">
        <v>4689</v>
      </c>
    </row>
    <row r="48" spans="2:7" ht="16.5" thickBot="1" x14ac:dyDescent="0.25">
      <c r="B48" s="11"/>
    </row>
    <row r="49" spans="2:7" ht="16.5" thickBot="1" x14ac:dyDescent="0.25">
      <c r="B49" s="12" t="s">
        <v>4690</v>
      </c>
      <c r="C49" s="12" t="s">
        <v>75</v>
      </c>
      <c r="D49" s="12" t="s">
        <v>108</v>
      </c>
      <c r="G49" t="str">
        <f t="shared" si="0"/>
        <v>&lt;dl&gt;&lt;dt&gt;主星​&lt;/dt&gt;&lt;dd&gt;组合效应​&lt;/dd&gt;&lt;dd&gt;典型案例/说明​&lt;/dd&gt;&lt;/dl&gt;</v>
      </c>
    </row>
    <row r="50" spans="2:7" ht="32.25" thickBot="1" x14ac:dyDescent="0.25">
      <c r="B50" s="14" t="s">
        <v>4763</v>
      </c>
      <c r="C50" s="14" t="s">
        <v>4764</v>
      </c>
      <c r="D50" s="15" t="s">
        <v>4765</v>
      </c>
      <c r="G50" t="str">
        <f t="shared" si="0"/>
        <v>&lt;dl&gt;&lt;dt&gt;天钺+紫微​&lt;/dt&gt;&lt;dd&gt;帝星遇暗贵，权威得到私下、幕后的支持与拥护，易通过非公开渠道巩固权力。&lt;/dd&gt;&lt;dd&gt;幕后掌权者；有强大背景的领袖。&lt;/dd&gt;&lt;/dl&gt;</v>
      </c>
    </row>
    <row r="51" spans="2:7" ht="32.25" thickBot="1" x14ac:dyDescent="0.25">
      <c r="B51" s="14" t="s">
        <v>4766</v>
      </c>
      <c r="C51" s="14" t="s">
        <v>4767</v>
      </c>
      <c r="D51" s="15" t="s">
        <v>4768</v>
      </c>
      <c r="E51" s="2" t="s">
        <v>7</v>
      </c>
    </row>
    <row r="52" spans="2:7" ht="32.25" thickBot="1" x14ac:dyDescent="0.25">
      <c r="B52" s="14" t="s">
        <v>4769</v>
      </c>
      <c r="C52" s="14" t="s">
        <v>4770</v>
      </c>
      <c r="D52" s="15" t="s">
        <v>4771</v>
      </c>
      <c r="E52" s="4"/>
    </row>
    <row r="53" spans="2:7" ht="32.25" thickBot="1" x14ac:dyDescent="0.25">
      <c r="B53" s="14" t="s">
        <v>4772</v>
      </c>
      <c r="C53" s="14" t="s">
        <v>4773</v>
      </c>
      <c r="D53" s="15" t="s">
        <v>4774</v>
      </c>
      <c r="E53" s="4"/>
    </row>
    <row r="54" spans="2:7" ht="32.25" thickBot="1" x14ac:dyDescent="0.25">
      <c r="B54" s="14" t="s">
        <v>4775</v>
      </c>
      <c r="C54" s="14" t="s">
        <v>4776</v>
      </c>
      <c r="D54" s="15" t="s">
        <v>4777</v>
      </c>
    </row>
    <row r="55" spans="2:7" ht="32.25" thickBot="1" x14ac:dyDescent="0.25">
      <c r="B55" s="14" t="s">
        <v>4778</v>
      </c>
      <c r="C55" s="14" t="s">
        <v>4779</v>
      </c>
      <c r="D55" s="15" t="s">
        <v>4780</v>
      </c>
    </row>
    <row r="56" spans="2:7" ht="32.25" thickBot="1" x14ac:dyDescent="0.25">
      <c r="B56" s="14" t="s">
        <v>4781</v>
      </c>
      <c r="C56" s="14" t="s">
        <v>4782</v>
      </c>
      <c r="D56" s="15" t="s">
        <v>4783</v>
      </c>
    </row>
    <row r="57" spans="2:7" ht="32.25" thickBot="1" x14ac:dyDescent="0.25">
      <c r="B57" s="14" t="s">
        <v>4784</v>
      </c>
      <c r="C57" s="14" t="s">
        <v>4785</v>
      </c>
      <c r="D57" s="15" t="s">
        <v>4786</v>
      </c>
    </row>
    <row r="58" spans="2:7" ht="32.25" thickBot="1" x14ac:dyDescent="0.25">
      <c r="B58" s="14" t="s">
        <v>4787</v>
      </c>
      <c r="C58" s="14" t="s">
        <v>4788</v>
      </c>
      <c r="D58" s="15" t="s">
        <v>4789</v>
      </c>
    </row>
    <row r="61" spans="2:7" ht="17.25" x14ac:dyDescent="0.2">
      <c r="B61" s="5" t="s">
        <v>4715</v>
      </c>
    </row>
    <row r="62" spans="2:7" x14ac:dyDescent="0.2">
      <c r="B62" s="6"/>
    </row>
    <row r="63" spans="2:7" x14ac:dyDescent="0.2">
      <c r="B63" s="7" t="s">
        <v>4790</v>
      </c>
    </row>
    <row r="64" spans="2:7" x14ac:dyDescent="0.2">
      <c r="B64" s="7" t="s">
        <v>4791</v>
      </c>
    </row>
    <row r="65" spans="2:4" x14ac:dyDescent="0.2">
      <c r="B65" s="6"/>
    </row>
    <row r="66" spans="2:4" x14ac:dyDescent="0.2">
      <c r="B66" s="8" t="s">
        <v>4792</v>
      </c>
    </row>
    <row r="67" spans="2:4" x14ac:dyDescent="0.2">
      <c r="B67" s="8" t="s">
        <v>4793</v>
      </c>
    </row>
    <row r="68" spans="2:4" x14ac:dyDescent="0.2">
      <c r="B68" s="7" t="s">
        <v>4794</v>
      </c>
    </row>
    <row r="69" spans="2:4" x14ac:dyDescent="0.2">
      <c r="B69" s="7" t="s">
        <v>4795</v>
      </c>
    </row>
    <row r="70" spans="2:4" x14ac:dyDescent="0.2">
      <c r="B70" s="7" t="s">
        <v>4796</v>
      </c>
    </row>
    <row r="71" spans="2:4" x14ac:dyDescent="0.2">
      <c r="B71" s="7" t="s">
        <v>4797</v>
      </c>
    </row>
    <row r="72" spans="2:4" x14ac:dyDescent="0.2">
      <c r="B72" s="7" t="s">
        <v>4798</v>
      </c>
    </row>
    <row r="73" spans="2:4" x14ac:dyDescent="0.2">
      <c r="B73" s="7" t="s">
        <v>4799</v>
      </c>
    </row>
    <row r="74" spans="2:4" x14ac:dyDescent="0.2">
      <c r="B74" s="6"/>
    </row>
    <row r="75" spans="2:4" x14ac:dyDescent="0.2">
      <c r="B75" s="6" t="s">
        <v>4800</v>
      </c>
    </row>
    <row r="76" spans="2:4" ht="28.5" x14ac:dyDescent="0.2">
      <c r="B76" s="3" t="s">
        <v>2540</v>
      </c>
      <c r="C76" s="3" t="s">
        <v>2541</v>
      </c>
      <c r="D76" s="4"/>
    </row>
    <row r="77" spans="2:4" ht="28.5" x14ac:dyDescent="0.2">
      <c r="B77" s="3" t="s">
        <v>2542</v>
      </c>
      <c r="C77" s="3" t="s">
        <v>2543</v>
      </c>
      <c r="D77" s="4"/>
    </row>
    <row r="80" spans="2:4" ht="17.25" x14ac:dyDescent="0.2">
      <c r="B80" s="5" t="s">
        <v>103</v>
      </c>
    </row>
    <row r="81" spans="2:2" x14ac:dyDescent="0.2">
      <c r="B81" s="6"/>
    </row>
    <row r="82" spans="2:2" x14ac:dyDescent="0.2">
      <c r="B82" s="7" t="s">
        <v>2544</v>
      </c>
    </row>
    <row r="83" spans="2:2" x14ac:dyDescent="0.2">
      <c r="B83" s="7" t="s">
        <v>2545</v>
      </c>
    </row>
    <row r="84" spans="2:2" x14ac:dyDescent="0.2">
      <c r="B84" s="7" t="s">
        <v>2546</v>
      </c>
    </row>
    <row r="85" spans="2:2" x14ac:dyDescent="0.2">
      <c r="B85" s="7" t="s">
        <v>2547</v>
      </c>
    </row>
    <row r="86" spans="2:2" x14ac:dyDescent="0.2">
      <c r="B86" s="7" t="s">
        <v>2548</v>
      </c>
    </row>
  </sheetData>
  <mergeCells count="4">
    <mergeCell ref="B8:B15"/>
    <mergeCell ref="D8:D15"/>
    <mergeCell ref="B25:B26"/>
    <mergeCell ref="D25:D26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FE66-730F-4E79-A364-E461B6C0609D}">
  <dimension ref="B1:G82"/>
  <sheetViews>
    <sheetView topLeftCell="A8" zoomScaleNormal="100" workbookViewId="0">
      <selection activeCell="E14" sqref="E14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4801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禄存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4802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4803</v>
      </c>
      <c r="D7" s="15" t="s">
        <v>4804</v>
      </c>
    </row>
    <row r="8" spans="2:7" ht="78.75" x14ac:dyDescent="0.2">
      <c r="B8" s="24" t="s">
        <v>2914</v>
      </c>
      <c r="C8" s="19" t="s">
        <v>4805</v>
      </c>
      <c r="D8" s="27" t="s">
        <v>4813</v>
      </c>
    </row>
    <row r="9" spans="2:7" ht="78.75" x14ac:dyDescent="0.2">
      <c r="B9" s="25"/>
      <c r="C9" s="20" t="s">
        <v>4806</v>
      </c>
      <c r="D9" s="28"/>
    </row>
    <row r="10" spans="2:7" ht="47.25" x14ac:dyDescent="0.2">
      <c r="B10" s="25"/>
      <c r="C10" s="20" t="s">
        <v>4807</v>
      </c>
      <c r="D10" s="28"/>
    </row>
    <row r="11" spans="2:7" ht="31.5" x14ac:dyDescent="0.2">
      <c r="B11" s="25"/>
      <c r="C11" s="22" t="s">
        <v>4808</v>
      </c>
      <c r="D11" s="28"/>
    </row>
    <row r="12" spans="2:7" ht="47.25" x14ac:dyDescent="0.2">
      <c r="B12" s="25"/>
      <c r="C12" s="22" t="s">
        <v>4809</v>
      </c>
      <c r="D12" s="28"/>
    </row>
    <row r="13" spans="2:7" ht="15.75" x14ac:dyDescent="0.2">
      <c r="B13" s="25"/>
      <c r="C13" s="22" t="s">
        <v>4343</v>
      </c>
      <c r="D13" s="28"/>
    </row>
    <row r="14" spans="2:7" ht="47.25" x14ac:dyDescent="0.2">
      <c r="B14" s="25"/>
      <c r="C14" s="22" t="s">
        <v>4810</v>
      </c>
      <c r="D14" s="28"/>
      <c r="E14" s="2"/>
    </row>
    <row r="15" spans="2:7" ht="31.5" x14ac:dyDescent="0.2">
      <c r="B15" s="25"/>
      <c r="C15" s="22" t="s">
        <v>4811</v>
      </c>
      <c r="D15" s="28"/>
      <c r="E15" s="4"/>
    </row>
    <row r="16" spans="2:7" ht="32.25" thickBot="1" x14ac:dyDescent="0.25">
      <c r="B16" s="26"/>
      <c r="C16" s="23" t="s">
        <v>4812</v>
      </c>
      <c r="D16" s="29"/>
      <c r="E16" s="4"/>
    </row>
    <row r="17" spans="2:7" x14ac:dyDescent="0.2">
      <c r="E17" s="4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4814</v>
      </c>
      <c r="C22" s="15" t="s">
        <v>4815</v>
      </c>
      <c r="D22" s="15" t="s">
        <v>4816</v>
      </c>
    </row>
    <row r="23" spans="2:7" ht="32.25" thickBot="1" x14ac:dyDescent="0.25">
      <c r="B23" s="14" t="s">
        <v>4817</v>
      </c>
      <c r="C23" s="15" t="s">
        <v>4818</v>
      </c>
      <c r="D23" s="15" t="s">
        <v>4819</v>
      </c>
    </row>
    <row r="24" spans="2:7" ht="48" thickBot="1" x14ac:dyDescent="0.25">
      <c r="B24" s="14" t="s">
        <v>4820</v>
      </c>
      <c r="C24" s="15" t="s">
        <v>4821</v>
      </c>
      <c r="D24" s="15" t="s">
        <v>4822</v>
      </c>
      <c r="G24" t="str">
        <f t="shared" ref="G24:G52" si="0">"&lt;dl&gt;&lt;dt&gt;" &amp; B24 &amp; "&lt;/dt&gt;&lt;dd&gt;" &amp; C24 &amp; "&lt;/dd&gt;&lt;dd&gt;" &amp; D24 &amp; "&lt;/dd&gt;&lt;/dl&gt;"</f>
        <v>&lt;dl&gt;&lt;dt&gt;孤星特性​&lt;/dt&gt;&lt;dd&gt;禄存为“孤星”，因其前后必被擎羊、陀罗所夹，形成“羊陀夹禄”之局，故主性格孤僻、行动保守、易受环境制约。&lt;/dd&gt;&lt;dd&gt;在命宫、六亲宫位时，主人际关系较为疏离，或需独立奋斗。&lt;/dd&gt;&lt;/dl&gt;</v>
      </c>
    </row>
    <row r="25" spans="2:7" ht="32.25" thickBot="1" x14ac:dyDescent="0.25">
      <c r="B25" s="14" t="s">
        <v>3016</v>
      </c>
      <c r="C25" s="14" t="s">
        <v>4823</v>
      </c>
      <c r="D25" s="15" t="s">
        <v>2539</v>
      </c>
      <c r="G25" t="str">
        <f t="shared" si="0"/>
        <v>&lt;dl&gt;&lt;dt&gt;外貌气质​&lt;/dt&gt;&lt;dd&gt;体型敦实，面容稳重，眼神坚定，举止从容不迫，给人以可靠、安定的感觉。&lt;/dd&gt;&lt;dd&gt;在命宫、身宫时显著。&lt;/dd&gt;&lt;/dl&gt;</v>
      </c>
    </row>
    <row r="26" spans="2:7" ht="31.5" x14ac:dyDescent="0.2">
      <c r="B26" s="24" t="s">
        <v>3017</v>
      </c>
      <c r="C26" s="19" t="s">
        <v>4824</v>
      </c>
      <c r="D26" s="27"/>
      <c r="G26" t="str">
        <f t="shared" si="0"/>
        <v>&lt;dl&gt;&lt;dt&gt;性格特质​&lt;/dt&gt;&lt;dd&gt;优点：稳重务实，勤俭节约，善于理财，有责任感，行事稳妥。&lt;/dd&gt;&lt;dd&gt;&lt;/dd&gt;&lt;/dl&gt;</v>
      </c>
    </row>
    <row r="27" spans="2:7" ht="32.25" thickBot="1" x14ac:dyDescent="0.25">
      <c r="B27" s="26"/>
      <c r="C27" s="21" t="s">
        <v>4825</v>
      </c>
      <c r="D27" s="29"/>
      <c r="G27" t="str">
        <f t="shared" si="0"/>
        <v>&lt;dl&gt;&lt;dt&gt;&lt;/dt&gt;&lt;dd&gt;缺点：保守固执，缺乏冒险精神，略显孤僻，有时过于看重钱财。&lt;/dd&gt;&lt;dd&gt;&lt;/dd&gt;&lt;/dl&gt;</v>
      </c>
    </row>
    <row r="28" spans="2:7" ht="79.5" thickBot="1" x14ac:dyDescent="0.25">
      <c r="B28" s="14" t="s">
        <v>3419</v>
      </c>
      <c r="C28" s="15" t="s">
        <v>4826</v>
      </c>
      <c r="D28" s="15" t="s">
        <v>3013</v>
      </c>
      <c r="G28" t="str">
        <f t="shared" si="0"/>
        <v>&lt;dl&gt;&lt;dt&gt;健康方面​&lt;/dt&gt;&lt;dd&gt;属己土，主脾胃、消化系统。因其“储存”之性，也关联脂肪代谢、营养吸收。禄存为吉星，一般主健康稳定，但若受煞星冲破，则需注意消化系统疾病、肥胖、肿瘤（异常堆积）。&lt;/dd&gt;&lt;dd&gt;在疾厄宫时显现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2" t="s">
        <v>7</v>
      </c>
    </row>
    <row r="34" spans="2:7" ht="63.75" thickBot="1" x14ac:dyDescent="0.25">
      <c r="B34" s="14" t="s">
        <v>2930</v>
      </c>
      <c r="C34" s="15" t="s">
        <v>4827</v>
      </c>
      <c r="D34" s="15"/>
      <c r="E34" s="4"/>
    </row>
    <row r="35" spans="2:7" ht="32.25" thickBot="1" x14ac:dyDescent="0.25">
      <c r="B35" s="14" t="s">
        <v>2932</v>
      </c>
      <c r="C35" s="15" t="s">
        <v>4828</v>
      </c>
      <c r="D35" s="15"/>
      <c r="E35" s="4"/>
      <c r="G35" t="str">
        <f t="shared" si="0"/>
        <v>&lt;dl&gt;&lt;dt&gt;兄弟宫​&lt;/dt&gt;&lt;dd&gt;兄弟姐妹经济条件稳定，能互相提供物质帮助，但关系可能因钱财而略显疏远。&lt;/dd&gt;&lt;dd&gt;&lt;/dd&gt;&lt;/dl&gt;</v>
      </c>
    </row>
    <row r="36" spans="2:7" ht="32.25" thickBot="1" x14ac:dyDescent="0.25">
      <c r="B36" s="14" t="s">
        <v>2934</v>
      </c>
      <c r="C36" s="15" t="s">
        <v>4829</v>
      </c>
      <c r="D36" s="15"/>
      <c r="E36" s="4"/>
      <c r="G36" t="str">
        <f t="shared" si="0"/>
        <v>&lt;dl&gt;&lt;dt&gt;夫妻宫​&lt;/dt&gt;&lt;dd&gt;配偶经济条件好，稳重顾家。婚姻关系稳定，但可能缺乏激情。&lt;/dd&gt;&lt;dd&gt;&lt;/dd&gt;&lt;/dl&gt;</v>
      </c>
    </row>
    <row r="37" spans="2:7" ht="16.5" thickBot="1" x14ac:dyDescent="0.25">
      <c r="B37" s="14" t="s">
        <v>2936</v>
      </c>
      <c r="C37" s="15" t="s">
        <v>4830</v>
      </c>
      <c r="D37" s="15"/>
      <c r="E37" s="4"/>
      <c r="G37" t="str">
        <f t="shared" si="0"/>
        <v>&lt;dl&gt;&lt;dt&gt;子女宫​&lt;/dt&gt;&lt;dd&gt;子女将来经济独立，能给自己提供物质保障。&lt;/dd&gt;&lt;dd&gt;&lt;/dd&gt;&lt;/dl&gt;</v>
      </c>
    </row>
    <row r="38" spans="2:7" ht="48" thickBot="1" x14ac:dyDescent="0.25">
      <c r="B38" s="14" t="s">
        <v>9</v>
      </c>
      <c r="C38" s="14" t="s">
        <v>4831</v>
      </c>
      <c r="D38" s="15"/>
      <c r="G38" t="str">
        <f t="shared" si="0"/>
        <v>&lt;dl&gt;&lt;dt&gt;财帛宫​&lt;/dt&gt;&lt;dd&gt;正财稳定，善于储蓄，钱财不易流失。适合稳定收入的职业，如公务员、会计。最喜见禄存，为“财帛有库”，主富。&lt;/dd&gt;&lt;dd&gt;&lt;/dd&gt;&lt;/dl&gt;</v>
      </c>
    </row>
    <row r="39" spans="2:7" ht="32.25" thickBot="1" x14ac:dyDescent="0.25">
      <c r="B39" s="14" t="s">
        <v>10</v>
      </c>
      <c r="C39" s="14" t="s">
        <v>4832</v>
      </c>
      <c r="D39" s="15"/>
      <c r="G39" t="str">
        <f t="shared" si="0"/>
        <v>&lt;dl&gt;&lt;dt&gt;疾厄宫​&lt;/dt&gt;&lt;dd&gt;身体健康，消化功能好。但需注意因“储存”过度导致的肥胖、消化不良。&lt;/dd&gt;&lt;dd&gt;&lt;/dd&gt;&lt;/dl&gt;</v>
      </c>
    </row>
    <row r="40" spans="2:7" ht="32.25" thickBot="1" x14ac:dyDescent="0.25">
      <c r="B40" s="14" t="s">
        <v>13</v>
      </c>
      <c r="C40" s="15" t="s">
        <v>4833</v>
      </c>
      <c r="D40" s="15"/>
      <c r="G40" t="str">
        <f t="shared" si="0"/>
        <v>&lt;dl&gt;&lt;dt&gt;迁移宫​&lt;/dt&gt;&lt;dd&gt;在外发展平稳，财运稳定，适合在稳定环境中求财。&lt;/dd&gt;&lt;dd&gt;&lt;/dd&gt;&lt;/dl&gt;</v>
      </c>
    </row>
    <row r="41" spans="2:7" ht="32.25" thickBot="1" x14ac:dyDescent="0.25">
      <c r="B41" s="14" t="s">
        <v>3018</v>
      </c>
      <c r="C41" s="14" t="s">
        <v>4834</v>
      </c>
      <c r="D41" s="15"/>
      <c r="E41" s="2" t="s">
        <v>7</v>
      </c>
      <c r="G41" t="str">
        <f t="shared" si="0"/>
        <v>&lt;dl&gt;&lt;dt&gt;交友宫（奴仆宫）​&lt;/dt&gt;&lt;dd&gt;朋友、同事经济条件较好，能带来稳定的资源或机会。&lt;/dd&gt;&lt;dd&gt;&lt;/dd&gt;&lt;/dl&gt;</v>
      </c>
    </row>
    <row r="42" spans="2:7" ht="32.25" thickBot="1" x14ac:dyDescent="0.25">
      <c r="B42" s="14" t="s">
        <v>3019</v>
      </c>
      <c r="C42" s="15" t="s">
        <v>4835</v>
      </c>
      <c r="D42" s="15"/>
      <c r="E42" s="4"/>
      <c r="G42" t="str">
        <f t="shared" si="0"/>
        <v>&lt;dl&gt;&lt;dt&gt;官禄宫（事业宫）​&lt;/dt&gt;&lt;dd&gt;适合从事稳定、有保障的职业，如金融、仓储、行政管理。事业平稳发展，不易大起大落。&lt;/dd&gt;&lt;dd&gt;&lt;/dd&gt;&lt;/dl&gt;</v>
      </c>
    </row>
    <row r="43" spans="2:7" ht="48" thickBot="1" x14ac:dyDescent="0.25">
      <c r="B43" s="14" t="s">
        <v>8</v>
      </c>
      <c r="C43" s="14" t="s">
        <v>4836</v>
      </c>
      <c r="D43" s="15"/>
      <c r="E43" s="4"/>
      <c r="G43" t="str">
        <f t="shared" si="0"/>
        <v>&lt;dl&gt;&lt;dt&gt;田宅宫​&lt;/dt&gt;&lt;dd&gt;家宅稳定，产业丰厚，利于购置不动产。是“田宅有库”的格局，主能守成祖业或自置产业。&lt;/dd&gt;&lt;dd&gt;&lt;/dd&gt;&lt;/dl&gt;</v>
      </c>
    </row>
    <row r="44" spans="2:7" ht="32.25" thickBot="1" x14ac:dyDescent="0.25">
      <c r="B44" s="14" t="s">
        <v>2945</v>
      </c>
      <c r="C44" s="15" t="s">
        <v>4837</v>
      </c>
      <c r="D44" s="15"/>
      <c r="E44" s="4"/>
    </row>
    <row r="45" spans="2:7" ht="32.25" thickBot="1" x14ac:dyDescent="0.25">
      <c r="B45" s="14" t="s">
        <v>11</v>
      </c>
      <c r="C45" s="15" t="s">
        <v>4838</v>
      </c>
      <c r="D45" s="15"/>
      <c r="E45" s="4"/>
    </row>
    <row r="48" spans="2:7" ht="17.25" x14ac:dyDescent="0.2">
      <c r="B48" s="5" t="s">
        <v>4689</v>
      </c>
    </row>
    <row r="49" spans="2:7" ht="16.5" thickBot="1" x14ac:dyDescent="0.25">
      <c r="B49" s="11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E50" s="2" t="s">
        <v>7</v>
      </c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4839</v>
      </c>
      <c r="C51" s="14" t="s">
        <v>4840</v>
      </c>
      <c r="D51" s="15" t="s">
        <v>4841</v>
      </c>
      <c r="E51" s="4"/>
      <c r="G51" t="str">
        <f t="shared" si="0"/>
        <v>&lt;dl&gt;&lt;dt&gt;禄存+紫微​&lt;/dt&gt;&lt;dd&gt;帝星带禄，权威与财富结合，地位稳固，财富丰足，为“紫微禄存，富不可言”之格。&lt;/dd&gt;&lt;dd&gt;帝王；大型企业掌舵人。&lt;/dd&gt;&lt;/dl&gt;</v>
      </c>
    </row>
    <row r="52" spans="2:7" ht="32.25" thickBot="1" x14ac:dyDescent="0.25">
      <c r="B52" s="14" t="s">
        <v>4842</v>
      </c>
      <c r="C52" s="14" t="s">
        <v>4843</v>
      </c>
      <c r="D52" s="15" t="s">
        <v>4844</v>
      </c>
      <c r="E52" s="4"/>
      <c r="G52" t="str">
        <f t="shared" si="0"/>
        <v>&lt;dl&gt;&lt;dt&gt;禄存+天府​&lt;/dt&gt;&lt;dd&gt;库星带禄，双重财库，财富积累能力极强，稳定而丰厚，为“天府禄存，堆金积玉”之格。&lt;/dd&gt;&lt;dd&gt;银行家；巨富。&lt;/dd&gt;&lt;/dl&gt;</v>
      </c>
    </row>
    <row r="53" spans="2:7" ht="48" thickBot="1" x14ac:dyDescent="0.25">
      <c r="B53" s="14" t="s">
        <v>4845</v>
      </c>
      <c r="C53" s="14" t="s">
        <v>4846</v>
      </c>
      <c r="D53" s="15" t="s">
        <v>4847</v>
      </c>
      <c r="E53" s="4"/>
    </row>
    <row r="54" spans="2:7" ht="32.25" thickBot="1" x14ac:dyDescent="0.25">
      <c r="B54" s="14" t="s">
        <v>4848</v>
      </c>
      <c r="C54" s="14" t="s">
        <v>4849</v>
      </c>
      <c r="D54" s="15" t="s">
        <v>4850</v>
      </c>
      <c r="E54" s="4"/>
    </row>
    <row r="55" spans="2:7" ht="32.25" thickBot="1" x14ac:dyDescent="0.25">
      <c r="B55" s="14" t="s">
        <v>4851</v>
      </c>
      <c r="C55" s="14" t="s">
        <v>4852</v>
      </c>
      <c r="D55" s="15" t="s">
        <v>4388</v>
      </c>
      <c r="E55" s="4"/>
    </row>
    <row r="56" spans="2:7" ht="32.25" thickBot="1" x14ac:dyDescent="0.25">
      <c r="B56" s="14" t="s">
        <v>4853</v>
      </c>
      <c r="C56" s="14" t="s">
        <v>4854</v>
      </c>
      <c r="D56" s="15" t="s">
        <v>4855</v>
      </c>
    </row>
    <row r="57" spans="2:7" ht="32.25" thickBot="1" x14ac:dyDescent="0.25">
      <c r="B57" s="14" t="s">
        <v>4856</v>
      </c>
      <c r="C57" s="14" t="s">
        <v>4857</v>
      </c>
      <c r="D57" s="15" t="s">
        <v>4858</v>
      </c>
    </row>
    <row r="58" spans="2:7" ht="32.25" thickBot="1" x14ac:dyDescent="0.25">
      <c r="B58" s="14" t="s">
        <v>4859</v>
      </c>
      <c r="C58" s="14" t="s">
        <v>4860</v>
      </c>
      <c r="D58" s="15" t="s">
        <v>4861</v>
      </c>
    </row>
    <row r="59" spans="2:7" ht="32.25" thickBot="1" x14ac:dyDescent="0.25">
      <c r="B59" s="14" t="s">
        <v>4862</v>
      </c>
      <c r="C59" s="14" t="s">
        <v>4863</v>
      </c>
      <c r="D59" s="15" t="s">
        <v>4864</v>
      </c>
    </row>
    <row r="60" spans="2:7" x14ac:dyDescent="0.2">
      <c r="E60" s="2" t="s">
        <v>7</v>
      </c>
    </row>
    <row r="61" spans="2:7" x14ac:dyDescent="0.2">
      <c r="E61" s="4"/>
    </row>
    <row r="62" spans="2:7" ht="17.25" x14ac:dyDescent="0.2">
      <c r="B62" s="5" t="s">
        <v>4715</v>
      </c>
      <c r="E62" s="4"/>
    </row>
    <row r="63" spans="2:7" x14ac:dyDescent="0.2">
      <c r="B63" s="6"/>
      <c r="E63" s="4"/>
    </row>
    <row r="64" spans="2:7" x14ac:dyDescent="0.2">
      <c r="B64" s="7" t="s">
        <v>4865</v>
      </c>
    </row>
    <row r="65" spans="2:2" x14ac:dyDescent="0.2">
      <c r="B65" s="7" t="s">
        <v>4866</v>
      </c>
    </row>
    <row r="66" spans="2:2" x14ac:dyDescent="0.2">
      <c r="B66" s="7" t="s">
        <v>4867</v>
      </c>
    </row>
    <row r="67" spans="2:2" x14ac:dyDescent="0.2">
      <c r="B67" s="7" t="s">
        <v>4868</v>
      </c>
    </row>
    <row r="68" spans="2:2" x14ac:dyDescent="0.2">
      <c r="B68" s="7" t="s">
        <v>4869</v>
      </c>
    </row>
    <row r="69" spans="2:2" x14ac:dyDescent="0.2">
      <c r="B69" s="7" t="s">
        <v>4870</v>
      </c>
    </row>
    <row r="70" spans="2:2" x14ac:dyDescent="0.2">
      <c r="B70" s="7" t="s">
        <v>4871</v>
      </c>
    </row>
    <row r="71" spans="2:2" x14ac:dyDescent="0.2">
      <c r="B71" s="7" t="s">
        <v>4872</v>
      </c>
    </row>
    <row r="72" spans="2:2" x14ac:dyDescent="0.2">
      <c r="B72" s="6"/>
    </row>
    <row r="73" spans="2:2" x14ac:dyDescent="0.2">
      <c r="B73" s="6" t="s">
        <v>4873</v>
      </c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CD61-863B-4EEC-8214-98ECDEEDCCE1}">
  <dimension ref="B1:G85"/>
  <sheetViews>
    <sheetView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4874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马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2531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4875</v>
      </c>
      <c r="D7" s="15" t="s">
        <v>4876</v>
      </c>
    </row>
    <row r="8" spans="2:7" ht="78.75" x14ac:dyDescent="0.2">
      <c r="B8" s="24" t="s">
        <v>2914</v>
      </c>
      <c r="C8" s="19" t="s">
        <v>4877</v>
      </c>
      <c r="D8" s="27" t="s">
        <v>4885</v>
      </c>
    </row>
    <row r="9" spans="2:7" ht="78.75" x14ac:dyDescent="0.2">
      <c r="B9" s="25"/>
      <c r="C9" s="20" t="s">
        <v>4878</v>
      </c>
      <c r="D9" s="28"/>
    </row>
    <row r="10" spans="2:7" ht="47.25" x14ac:dyDescent="0.2">
      <c r="B10" s="25"/>
      <c r="C10" s="20" t="s">
        <v>4879</v>
      </c>
      <c r="D10" s="28"/>
    </row>
    <row r="11" spans="2:7" ht="31.5" x14ac:dyDescent="0.2">
      <c r="B11" s="25"/>
      <c r="C11" s="22" t="s">
        <v>4880</v>
      </c>
      <c r="D11" s="28"/>
    </row>
    <row r="12" spans="2:7" ht="47.25" x14ac:dyDescent="0.2">
      <c r="B12" s="25"/>
      <c r="C12" s="22" t="s">
        <v>4881</v>
      </c>
      <c r="D12" s="28"/>
    </row>
    <row r="13" spans="2:7" ht="15.75" x14ac:dyDescent="0.2">
      <c r="B13" s="25"/>
      <c r="C13" s="22" t="s">
        <v>4343</v>
      </c>
      <c r="D13" s="28"/>
    </row>
    <row r="14" spans="2:7" ht="47.25" x14ac:dyDescent="0.2">
      <c r="B14" s="25"/>
      <c r="C14" s="22" t="s">
        <v>4882</v>
      </c>
      <c r="D14" s="28"/>
      <c r="E14" s="2" t="s">
        <v>7</v>
      </c>
    </row>
    <row r="15" spans="2:7" ht="31.5" x14ac:dyDescent="0.2">
      <c r="B15" s="25"/>
      <c r="C15" s="22" t="s">
        <v>4883</v>
      </c>
      <c r="D15" s="28"/>
      <c r="E15" s="4"/>
    </row>
    <row r="16" spans="2:7" ht="32.25" thickBot="1" x14ac:dyDescent="0.25">
      <c r="B16" s="26"/>
      <c r="C16" s="23" t="s">
        <v>4884</v>
      </c>
      <c r="D16" s="29"/>
      <c r="E16" s="4"/>
    </row>
    <row r="17" spans="2:7" x14ac:dyDescent="0.2">
      <c r="E17" s="4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4886</v>
      </c>
      <c r="C22" s="15" t="s">
        <v>4887</v>
      </c>
      <c r="D22" s="15" t="s">
        <v>4888</v>
      </c>
    </row>
    <row r="23" spans="2:7" ht="32.25" thickBot="1" x14ac:dyDescent="0.25">
      <c r="B23" s="14" t="s">
        <v>4889</v>
      </c>
      <c r="C23" s="15" t="s">
        <v>4890</v>
      </c>
      <c r="D23" s="15" t="s">
        <v>4891</v>
      </c>
    </row>
    <row r="24" spans="2:7" ht="32.25" thickBot="1" x14ac:dyDescent="0.25">
      <c r="B24" s="14" t="s">
        <v>4892</v>
      </c>
      <c r="C24" s="15" t="s">
        <v>4893</v>
      </c>
      <c r="D24" s="15" t="s">
        <v>4894</v>
      </c>
      <c r="G24" t="str">
        <f t="shared" ref="G24:G52" si="0">"&lt;dl&gt;&lt;dt&gt;" &amp; B24 &amp; "&lt;/dt&gt;&lt;dd&gt;" &amp; C24 &amp; "&lt;/dd&gt;&lt;dd&gt;" &amp; D24 &amp; "&lt;/dd&gt;&lt;/dl&gt;"</f>
        <v>&lt;dl&gt;&lt;dt&gt;交通与贸易​&lt;/dt&gt;&lt;dd&gt;主交通、运输、贸易、物流。是一切与“动”相关行业的象征。&lt;/dd&gt;&lt;dd&gt;在官禄宫、财帛宫时，适合从事交通、贸易、旅游、物流等行业。&lt;/dd&gt;&lt;/dl&gt;</v>
      </c>
    </row>
    <row r="25" spans="2:7" ht="32.25" thickBot="1" x14ac:dyDescent="0.25">
      <c r="B25" s="14" t="s">
        <v>3016</v>
      </c>
      <c r="C25" s="14" t="s">
        <v>4895</v>
      </c>
      <c r="D25" s="15" t="s">
        <v>2539</v>
      </c>
      <c r="G25" t="str">
        <f t="shared" si="0"/>
        <v>&lt;dl&gt;&lt;dt&gt;外貌气质​&lt;/dt&gt;&lt;dd&gt;身材修长或精干，行动敏捷，眼神灵活，给人以机敏、好动的印象。&lt;/dd&gt;&lt;dd&gt;在命宫、身宫时显著。&lt;/dd&gt;&lt;/dl&gt;</v>
      </c>
    </row>
    <row r="26" spans="2:7" ht="31.5" x14ac:dyDescent="0.2">
      <c r="B26" s="24" t="s">
        <v>3017</v>
      </c>
      <c r="C26" s="19" t="s">
        <v>4896</v>
      </c>
      <c r="D26" s="27"/>
      <c r="G26" t="str">
        <f t="shared" si="0"/>
        <v>&lt;dl&gt;&lt;dt&gt;性格特质​&lt;/dt&gt;&lt;dd&gt;优点：行动力强，适应变化，善于把握机会，喜交游，眼界开阔。&lt;/dd&gt;&lt;dd&gt;&lt;/dd&gt;&lt;/dl&gt;</v>
      </c>
    </row>
    <row r="27" spans="2:7" ht="32.25" thickBot="1" x14ac:dyDescent="0.25">
      <c r="B27" s="26"/>
      <c r="C27" s="21" t="s">
        <v>4897</v>
      </c>
      <c r="D27" s="29"/>
      <c r="G27" t="str">
        <f t="shared" si="0"/>
        <v>&lt;dl&gt;&lt;dt&gt;&lt;/dt&gt;&lt;dd&gt;缺点：耐性不足，喜新厌旧，生活不稳定，心思不定，易劳累。&lt;/dd&gt;&lt;dd&gt;&lt;/dd&gt;&lt;/dl&gt;</v>
      </c>
    </row>
    <row r="28" spans="2:7" ht="48" thickBot="1" x14ac:dyDescent="0.25">
      <c r="B28" s="14" t="s">
        <v>3419</v>
      </c>
      <c r="C28" s="15" t="s">
        <v>4898</v>
      </c>
      <c r="D28" s="15" t="s">
        <v>3013</v>
      </c>
      <c r="G28" t="str">
        <f t="shared" si="0"/>
        <v>&lt;dl&gt;&lt;dt&gt;健康方面​&lt;/dt&gt;&lt;dd&gt;主神经系统、腿部、脚部。因其“动”性，需注意神经衰弱、腿脚受伤、运动损伤、旅途劳顿。&lt;/dd&gt;&lt;dd&gt;在疾厄宫时显现。&lt;/dd&gt;&lt;/dl&gt;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0" spans="2:7" x14ac:dyDescent="0.2">
      <c r="E30" s="2" t="s">
        <v>7</v>
      </c>
    </row>
    <row r="31" spans="2:7" ht="17.25" x14ac:dyDescent="0.2">
      <c r="B31" s="5" t="s">
        <v>102</v>
      </c>
      <c r="E31" s="4"/>
    </row>
    <row r="32" spans="2:7" ht="16.5" thickBot="1" x14ac:dyDescent="0.25">
      <c r="B32" s="11"/>
      <c r="E32" s="4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4"/>
    </row>
    <row r="34" spans="2:7" ht="48" thickBot="1" x14ac:dyDescent="0.25">
      <c r="B34" s="14" t="s">
        <v>2930</v>
      </c>
      <c r="C34" s="15" t="s">
        <v>4899</v>
      </c>
      <c r="D34" s="15"/>
    </row>
    <row r="35" spans="2:7" ht="16.5" thickBot="1" x14ac:dyDescent="0.25">
      <c r="B35" s="14" t="s">
        <v>2932</v>
      </c>
      <c r="C35" s="15" t="s">
        <v>4900</v>
      </c>
      <c r="D35" s="15"/>
      <c r="G35" t="str">
        <f t="shared" si="0"/>
        <v>&lt;dl&gt;&lt;dt&gt;兄弟宫​&lt;/dt&gt;&lt;dd&gt;兄弟姐妹与自己聚少离多，或各自奔波在外。&lt;/dd&gt;&lt;dd&gt;&lt;/dd&gt;&lt;/dl&gt;</v>
      </c>
    </row>
    <row r="36" spans="2:7" ht="32.25" thickBot="1" x14ac:dyDescent="0.25">
      <c r="B36" s="14" t="s">
        <v>2934</v>
      </c>
      <c r="C36" s="15" t="s">
        <v>4901</v>
      </c>
      <c r="D36" s="15"/>
      <c r="G36" t="str">
        <f t="shared" si="0"/>
        <v>&lt;dl&gt;&lt;dt&gt;夫妻宫​&lt;/dt&gt;&lt;dd&gt;配偶可能是外地人或经常出差，夫妻聚少离多，或感情关系不稳定。&lt;/dd&gt;&lt;dd&gt;&lt;/dd&gt;&lt;/dl&gt;</v>
      </c>
    </row>
    <row r="37" spans="2:7" ht="16.5" thickBot="1" x14ac:dyDescent="0.25">
      <c r="B37" s="14" t="s">
        <v>2936</v>
      </c>
      <c r="C37" s="15" t="s">
        <v>4902</v>
      </c>
      <c r="D37" s="15"/>
      <c r="E37" s="2" t="s">
        <v>7</v>
      </c>
      <c r="G37" t="str">
        <f t="shared" si="0"/>
        <v>&lt;dl&gt;&lt;dt&gt;子女宫​&lt;/dt&gt;&lt;dd&gt;子女好动，将来可能远行或在外地发展。&lt;/dd&gt;&lt;dd&gt;&lt;/dd&gt;&lt;/dl&gt;</v>
      </c>
    </row>
    <row r="38" spans="2:7" ht="48" thickBot="1" x14ac:dyDescent="0.25">
      <c r="B38" s="14" t="s">
        <v>9</v>
      </c>
      <c r="C38" s="14" t="s">
        <v>4903</v>
      </c>
      <c r="D38" s="15"/>
      <c r="E38" s="4"/>
      <c r="G38" t="str">
        <f t="shared" si="0"/>
        <v>&lt;dl&gt;&lt;dt&gt;财帛宫​&lt;/dt&gt;&lt;dd&gt;动中求财，适合从事贸易、交通、物流、旅游等需要移动的行业。钱财来得快，去得也快，不稳定。&lt;/dd&gt;&lt;dd&gt;&lt;/dd&gt;&lt;/dl&gt;</v>
      </c>
    </row>
    <row r="39" spans="2:7" ht="32.25" thickBot="1" x14ac:dyDescent="0.25">
      <c r="B39" s="14" t="s">
        <v>10</v>
      </c>
      <c r="C39" s="15" t="s">
        <v>4904</v>
      </c>
      <c r="D39" s="15"/>
      <c r="E39" s="4"/>
      <c r="G39" t="str">
        <f t="shared" si="0"/>
        <v>&lt;dl&gt;&lt;dt&gt;疾厄宫​&lt;/dt&gt;&lt;dd&gt;需注意神经系统疾病、腿脚伤病、旅途中的健康问题。&lt;/dd&gt;&lt;dd&gt;&lt;/dd&gt;&lt;/dl&gt;</v>
      </c>
    </row>
    <row r="40" spans="2:7" ht="32.25" thickBot="1" x14ac:dyDescent="0.25">
      <c r="B40" s="14" t="s">
        <v>13</v>
      </c>
      <c r="C40" s="14" t="s">
        <v>4905</v>
      </c>
      <c r="D40" s="15"/>
      <c r="E40" s="4"/>
      <c r="G40" t="str">
        <f t="shared" si="0"/>
        <v>&lt;dl&gt;&lt;dt&gt;迁移宫​&lt;/dt&gt;&lt;dd&gt;最适合天马的位置，主一生多外出机遇，动中得利，适合异地发展。&lt;/dd&gt;&lt;dd&gt;&lt;/dd&gt;&lt;/dl&gt;</v>
      </c>
    </row>
    <row r="41" spans="2:7" ht="32.25" thickBot="1" x14ac:dyDescent="0.25">
      <c r="B41" s="14" t="s">
        <v>3018</v>
      </c>
      <c r="C41" s="14" t="s">
        <v>4906</v>
      </c>
      <c r="D41" s="15"/>
      <c r="E41" s="4"/>
      <c r="G41" t="str">
        <f t="shared" si="0"/>
        <v>&lt;dl&gt;&lt;dt&gt;交友宫（奴仆宫）​&lt;/dt&gt;&lt;dd&gt;朋友、同事多奔波在外或从事交通、贸易行业，人际关系变动大。&lt;/dd&gt;&lt;dd&gt;&lt;/dd&gt;&lt;/dl&gt;</v>
      </c>
    </row>
    <row r="42" spans="2:7" ht="48" thickBot="1" x14ac:dyDescent="0.25">
      <c r="B42" s="14" t="s">
        <v>3019</v>
      </c>
      <c r="C42" s="15" t="s">
        <v>4907</v>
      </c>
      <c r="D42" s="15"/>
      <c r="G42" t="str">
        <f t="shared" si="0"/>
        <v>&lt;dl&gt;&lt;dt&gt;官禄宫（事业宫）​&lt;/dt&gt;&lt;dd&gt;适合从事需要经常出差、调动、外派的工作，或交通、贸易、旅游、物流行业。事业变动多，升迁机会也多。&lt;/dd&gt;&lt;dd&gt;&lt;/dd&gt;&lt;/dl&gt;</v>
      </c>
    </row>
    <row r="43" spans="2:7" ht="32.25" thickBot="1" x14ac:dyDescent="0.25">
      <c r="B43" s="14" t="s">
        <v>8</v>
      </c>
      <c r="C43" s="14" t="s">
        <v>4908</v>
      </c>
      <c r="D43" s="15"/>
      <c r="G43" t="str">
        <f t="shared" si="0"/>
        <v>&lt;dl&gt;&lt;dt&gt;田宅宫​&lt;/dt&gt;&lt;dd&gt;家宅不宁，经常搬家，或家近马路、车站等动处。&lt;/dd&gt;&lt;dd&gt;&lt;/dd&gt;&lt;/dl&gt;</v>
      </c>
    </row>
    <row r="44" spans="2:7" ht="32.25" thickBot="1" x14ac:dyDescent="0.25">
      <c r="B44" s="14" t="s">
        <v>2945</v>
      </c>
      <c r="C44" s="15" t="s">
        <v>4909</v>
      </c>
      <c r="D44" s="15"/>
    </row>
    <row r="45" spans="2:7" ht="32.25" thickBot="1" x14ac:dyDescent="0.25">
      <c r="B45" s="14" t="s">
        <v>11</v>
      </c>
      <c r="C45" s="15" t="s">
        <v>4910</v>
      </c>
      <c r="D45" s="15"/>
    </row>
    <row r="46" spans="2:7" x14ac:dyDescent="0.2">
      <c r="E46" s="2" t="s">
        <v>7</v>
      </c>
    </row>
    <row r="47" spans="2:7" x14ac:dyDescent="0.2">
      <c r="E47" s="4"/>
    </row>
    <row r="48" spans="2:7" ht="17.25" x14ac:dyDescent="0.2">
      <c r="B48" s="5" t="s">
        <v>4689</v>
      </c>
      <c r="E48" s="4"/>
    </row>
    <row r="49" spans="2:7" ht="16.5" thickBot="1" x14ac:dyDescent="0.25">
      <c r="B49" s="11"/>
      <c r="E49" s="4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E50" s="4"/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4911</v>
      </c>
      <c r="C51" s="14" t="s">
        <v>4912</v>
      </c>
      <c r="D51" s="15" t="s">
        <v>4913</v>
      </c>
      <c r="E51" s="4"/>
      <c r="G51" t="str">
        <f t="shared" si="0"/>
        <v>&lt;dl&gt;&lt;dt&gt;天马+紫微​&lt;/dt&gt;&lt;dd&gt;帝星奔驰，权威在变动中建立或巩固，主远行得权，异地掌权。&lt;/dd&gt;&lt;dd&gt;驻外大使；跨国公司区域总裁。&lt;/dd&gt;&lt;/dl&gt;</v>
      </c>
    </row>
    <row r="52" spans="2:7" ht="32.25" thickBot="1" x14ac:dyDescent="0.25">
      <c r="B52" s="14" t="s">
        <v>4914</v>
      </c>
      <c r="C52" s="14" t="s">
        <v>4915</v>
      </c>
      <c r="D52" s="15" t="s">
        <v>4916</v>
      </c>
      <c r="E52" s="4"/>
      <c r="G52" t="str">
        <f t="shared" si="0"/>
        <v>&lt;dl&gt;&lt;dt&gt;天马+天府​&lt;/dt&gt;&lt;dd&gt;库星奔驰，稳定的财富在流动中增长，主动中得财，利国际贸易、物流。&lt;/dd&gt;&lt;dd&gt;国际贸易商；物流公司老板。&lt;/dd&gt;&lt;/dl&gt;</v>
      </c>
    </row>
    <row r="53" spans="2:7" ht="32.25" thickBot="1" x14ac:dyDescent="0.25">
      <c r="B53" s="14" t="s">
        <v>4917</v>
      </c>
      <c r="C53" s="14" t="s">
        <v>4918</v>
      </c>
      <c r="D53" s="15" t="s">
        <v>4919</v>
      </c>
    </row>
    <row r="54" spans="2:7" ht="32.25" thickBot="1" x14ac:dyDescent="0.25">
      <c r="B54" s="14" t="s">
        <v>4920</v>
      </c>
      <c r="C54" s="14" t="s">
        <v>4921</v>
      </c>
      <c r="D54" s="15" t="s">
        <v>4922</v>
      </c>
    </row>
    <row r="55" spans="2:7" ht="32.25" thickBot="1" x14ac:dyDescent="0.25">
      <c r="B55" s="14" t="s">
        <v>4923</v>
      </c>
      <c r="C55" s="14" t="s">
        <v>4924</v>
      </c>
      <c r="D55" s="15" t="s">
        <v>4925</v>
      </c>
    </row>
    <row r="56" spans="2:7" ht="48" thickBot="1" x14ac:dyDescent="0.25">
      <c r="B56" s="14" t="s">
        <v>4926</v>
      </c>
      <c r="C56" s="14" t="s">
        <v>4927</v>
      </c>
      <c r="D56" s="15" t="s">
        <v>4928</v>
      </c>
    </row>
    <row r="57" spans="2:7" ht="32.25" thickBot="1" x14ac:dyDescent="0.25">
      <c r="B57" s="14" t="s">
        <v>4929</v>
      </c>
      <c r="C57" s="14" t="s">
        <v>4930</v>
      </c>
      <c r="D57" s="15" t="s">
        <v>4931</v>
      </c>
      <c r="E57" s="2" t="s">
        <v>7</v>
      </c>
    </row>
    <row r="58" spans="2:7" ht="32.25" thickBot="1" x14ac:dyDescent="0.25">
      <c r="B58" s="14" t="s">
        <v>4932</v>
      </c>
      <c r="C58" s="14" t="s">
        <v>4933</v>
      </c>
      <c r="D58" s="15" t="s">
        <v>4934</v>
      </c>
      <c r="E58" s="4"/>
    </row>
    <row r="59" spans="2:7" ht="32.25" thickBot="1" x14ac:dyDescent="0.25">
      <c r="B59" s="14" t="s">
        <v>4935</v>
      </c>
      <c r="C59" s="14" t="s">
        <v>4936</v>
      </c>
      <c r="D59" s="15" t="s">
        <v>4937</v>
      </c>
      <c r="E59" s="4"/>
    </row>
    <row r="60" spans="2:7" ht="48" thickBot="1" x14ac:dyDescent="0.25">
      <c r="B60" s="14" t="s">
        <v>4938</v>
      </c>
      <c r="C60" s="14" t="s">
        <v>4939</v>
      </c>
      <c r="D60" s="15" t="s">
        <v>4940</v>
      </c>
      <c r="E60" s="4"/>
    </row>
    <row r="61" spans="2:7" ht="32.25" thickBot="1" x14ac:dyDescent="0.25">
      <c r="B61" s="14" t="s">
        <v>4941</v>
      </c>
      <c r="C61" s="14" t="s">
        <v>4942</v>
      </c>
      <c r="D61" s="15" t="s">
        <v>4943</v>
      </c>
    </row>
    <row r="62" spans="2:7" ht="48" thickBot="1" x14ac:dyDescent="0.25">
      <c r="B62" s="14" t="s">
        <v>4944</v>
      </c>
      <c r="C62" s="14" t="s">
        <v>4945</v>
      </c>
      <c r="D62" s="15" t="s">
        <v>4946</v>
      </c>
    </row>
    <row r="63" spans="2:7" ht="32.25" thickBot="1" x14ac:dyDescent="0.25">
      <c r="B63" s="14" t="s">
        <v>4947</v>
      </c>
      <c r="C63" s="14" t="s">
        <v>4948</v>
      </c>
      <c r="D63" s="15" t="s">
        <v>4949</v>
      </c>
    </row>
    <row r="64" spans="2:7" ht="32.25" thickBot="1" x14ac:dyDescent="0.25">
      <c r="B64" s="14" t="s">
        <v>4950</v>
      </c>
      <c r="C64" s="14" t="s">
        <v>4951</v>
      </c>
      <c r="D64" s="15" t="s">
        <v>4952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4953</v>
      </c>
    </row>
    <row r="70" spans="2:2" x14ac:dyDescent="0.2">
      <c r="B70" s="7" t="s">
        <v>4954</v>
      </c>
    </row>
    <row r="71" spans="2:2" x14ac:dyDescent="0.2">
      <c r="B71" s="7" t="s">
        <v>4955</v>
      </c>
    </row>
    <row r="72" spans="2:2" x14ac:dyDescent="0.2">
      <c r="B72" s="7" t="s">
        <v>4956</v>
      </c>
    </row>
    <row r="73" spans="2:2" x14ac:dyDescent="0.2">
      <c r="B73" s="7" t="s">
        <v>4957</v>
      </c>
    </row>
    <row r="74" spans="2:2" x14ac:dyDescent="0.2">
      <c r="B74" s="7" t="s">
        <v>4958</v>
      </c>
    </row>
    <row r="75" spans="2:2" x14ac:dyDescent="0.2">
      <c r="B75" s="7" t="s">
        <v>4959</v>
      </c>
    </row>
    <row r="76" spans="2:2" x14ac:dyDescent="0.2">
      <c r="B76" s="7" t="s">
        <v>4960</v>
      </c>
    </row>
    <row r="77" spans="2:2" x14ac:dyDescent="0.2">
      <c r="B77" s="6"/>
    </row>
    <row r="78" spans="2:2" x14ac:dyDescent="0.2">
      <c r="B78" s="6" t="s">
        <v>4961</v>
      </c>
    </row>
    <row r="79" spans="2:2" x14ac:dyDescent="0.2">
      <c r="B79" s="7" t="s">
        <v>2532</v>
      </c>
    </row>
    <row r="80" spans="2:2" x14ac:dyDescent="0.2">
      <c r="B80" s="7" t="s">
        <v>2533</v>
      </c>
    </row>
    <row r="81" spans="2:2" x14ac:dyDescent="0.2">
      <c r="B81" s="7" t="s">
        <v>2534</v>
      </c>
    </row>
    <row r="82" spans="2:2" x14ac:dyDescent="0.2">
      <c r="B82" s="7" t="s">
        <v>2535</v>
      </c>
    </row>
    <row r="83" spans="2:2" x14ac:dyDescent="0.2">
      <c r="B83" s="6"/>
    </row>
    <row r="84" spans="2:2" x14ac:dyDescent="0.2">
      <c r="B84" s="9" t="s">
        <v>76</v>
      </c>
    </row>
    <row r="85" spans="2:2" x14ac:dyDescent="0.2">
      <c r="B85" s="9" t="s">
        <v>77</v>
      </c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451DB-FBAE-4FCD-888C-652EF2E724AF}">
  <dimension ref="B1:G82"/>
  <sheetViews>
    <sheetView topLeftCell="A57" zoomScaleNormal="100" workbookViewId="0">
      <selection activeCell="B1" sqref="B1:D74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4962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擎羊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2526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4963</v>
      </c>
      <c r="D7" s="15" t="s">
        <v>4964</v>
      </c>
    </row>
    <row r="8" spans="2:7" ht="78.75" x14ac:dyDescent="0.2">
      <c r="B8" s="24" t="s">
        <v>2914</v>
      </c>
      <c r="C8" s="19" t="s">
        <v>4965</v>
      </c>
      <c r="D8" s="27" t="s">
        <v>4973</v>
      </c>
    </row>
    <row r="9" spans="2:7" ht="78.75" x14ac:dyDescent="0.2">
      <c r="B9" s="25"/>
      <c r="C9" s="20" t="s">
        <v>4966</v>
      </c>
      <c r="D9" s="28"/>
    </row>
    <row r="10" spans="2:7" ht="47.25" x14ac:dyDescent="0.2">
      <c r="B10" s="25"/>
      <c r="C10" s="20" t="s">
        <v>4967</v>
      </c>
      <c r="D10" s="28"/>
    </row>
    <row r="11" spans="2:7" ht="31.5" x14ac:dyDescent="0.2">
      <c r="B11" s="25"/>
      <c r="C11" s="22" t="s">
        <v>4968</v>
      </c>
      <c r="D11" s="28"/>
    </row>
    <row r="12" spans="2:7" ht="47.25" x14ac:dyDescent="0.2">
      <c r="B12" s="25"/>
      <c r="C12" s="22" t="s">
        <v>4969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4970</v>
      </c>
      <c r="D14" s="28"/>
      <c r="E14" s="2" t="s">
        <v>7</v>
      </c>
    </row>
    <row r="15" spans="2:7" ht="47.25" x14ac:dyDescent="0.2">
      <c r="B15" s="25"/>
      <c r="C15" s="22" t="s">
        <v>4971</v>
      </c>
      <c r="D15" s="28"/>
      <c r="E15" s="4"/>
    </row>
    <row r="16" spans="2:7" ht="32.25" thickBot="1" x14ac:dyDescent="0.25">
      <c r="B16" s="26"/>
      <c r="C16" s="23" t="s">
        <v>4972</v>
      </c>
      <c r="D16" s="29"/>
      <c r="E16" s="4"/>
    </row>
    <row r="17" spans="2:7" x14ac:dyDescent="0.2">
      <c r="E17" s="4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4974</v>
      </c>
      <c r="C22" s="15" t="s">
        <v>4975</v>
      </c>
      <c r="D22" s="15" t="s">
        <v>4976</v>
      </c>
    </row>
    <row r="23" spans="2:7" ht="48" thickBot="1" x14ac:dyDescent="0.25">
      <c r="B23" s="14" t="s">
        <v>4977</v>
      </c>
      <c r="C23" s="15" t="s">
        <v>4978</v>
      </c>
      <c r="D23" s="15" t="s">
        <v>4979</v>
      </c>
    </row>
    <row r="24" spans="2:7" ht="48" thickBot="1" x14ac:dyDescent="0.25">
      <c r="B24" s="14" t="s">
        <v>4980</v>
      </c>
      <c r="C24" s="15" t="s">
        <v>4981</v>
      </c>
      <c r="D24" s="15" t="s">
        <v>4982</v>
      </c>
      <c r="G24" t="str">
        <f t="shared" ref="G24:G52" si="0">"&lt;dl&gt;&lt;dt&gt;" &amp; B24 &amp; "&lt;/dt&gt;&lt;dd&gt;" &amp; C24 &amp; "&lt;/dd&gt;&lt;dd&gt;" &amp; D24 &amp; "&lt;/dd&gt;&lt;/dl&gt;"</f>
        <v>&lt;dl&gt;&lt;dt&gt;金属与锋利​&lt;/dt&gt;&lt;dd&gt;属阳金，主一切金属利器、尖锐之物。引申为外科手术、军警器械、工业切割。&lt;/dd&gt;&lt;dd&gt;在田宅宫时，家中可能有利器；在官禄宫，可能从事外科、军警、金属加工行业。&lt;/dd&gt;&lt;/dl&gt;</v>
      </c>
    </row>
    <row r="25" spans="2:7" ht="32.25" thickBot="1" x14ac:dyDescent="0.25">
      <c r="B25" s="14" t="s">
        <v>3016</v>
      </c>
      <c r="C25" s="14" t="s">
        <v>4983</v>
      </c>
      <c r="D25" s="15" t="s">
        <v>2539</v>
      </c>
      <c r="G25" t="str">
        <f t="shared" si="0"/>
        <v>&lt;dl&gt;&lt;dt&gt;外貌气质​&lt;/dt&gt;&lt;dd&gt;相貌带威，眼神锐利，轮廓分明，可能带伤疤，举止果断有力，给人以不好惹的印象。&lt;/dd&gt;&lt;dd&gt;在命宫、身宫时显著。&lt;/dd&gt;&lt;/dl&gt;</v>
      </c>
    </row>
    <row r="26" spans="2:7" ht="31.5" x14ac:dyDescent="0.2">
      <c r="B26" s="24" t="s">
        <v>3017</v>
      </c>
      <c r="C26" s="19" t="s">
        <v>4984</v>
      </c>
      <c r="D26" s="27"/>
      <c r="G26" t="str">
        <f t="shared" si="0"/>
        <v>&lt;dl&gt;&lt;dt&gt;性格特质​&lt;/dt&gt;&lt;dd&gt;优点：勇敢果断，执行力强，不畏竞争，有开拓精神，反应快。&lt;/dd&gt;&lt;dd&gt;&lt;/dd&gt;&lt;/dl&gt;</v>
      </c>
    </row>
    <row r="27" spans="2:7" ht="32.25" thickBot="1" x14ac:dyDescent="0.25">
      <c r="B27" s="26"/>
      <c r="C27" s="21" t="s">
        <v>4985</v>
      </c>
      <c r="D27" s="29"/>
      <c r="G27" t="str">
        <f t="shared" si="0"/>
        <v>&lt;dl&gt;&lt;dt&gt;&lt;/dt&gt;&lt;dd&gt;缺点：急躁冲动，好勇斗狠，言语尖锐，易得罪人，不计后果。&lt;/dd&gt;&lt;dd&gt;&lt;/dd&gt;&lt;/dl&gt;</v>
      </c>
    </row>
    <row r="28" spans="2:7" ht="32.25" thickBot="1" x14ac:dyDescent="0.25">
      <c r="B28" s="14" t="s">
        <v>3419</v>
      </c>
      <c r="C28" s="15" t="s">
        <v>4986</v>
      </c>
      <c r="D28" s="15" t="s">
        <v>4987</v>
      </c>
      <c r="G28" t="str">
        <f t="shared" si="0"/>
        <v>&lt;dl&gt;&lt;dt&gt;健康方面​&lt;/dt&gt;&lt;dd&gt;属阳金，主骨骼、牙齿、体表。易有外伤、骨折、手术、牙痛、皮肤割伤等。&lt;/dd&gt;&lt;dd&gt;在疾厄宫时显现，尤其与火星、铃星同度时更验。&lt;/dd&gt;&lt;/dl&gt;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2" t="s">
        <v>7</v>
      </c>
    </row>
    <row r="34" spans="2:7" ht="63.75" thickBot="1" x14ac:dyDescent="0.25">
      <c r="B34" s="14" t="s">
        <v>2930</v>
      </c>
      <c r="C34" s="15" t="s">
        <v>4988</v>
      </c>
      <c r="D34" s="15"/>
      <c r="E34" s="4"/>
    </row>
    <row r="35" spans="2:7" ht="32.25" thickBot="1" x14ac:dyDescent="0.25">
      <c r="B35" s="14" t="s">
        <v>2932</v>
      </c>
      <c r="C35" s="15" t="s">
        <v>4989</v>
      </c>
      <c r="D35" s="15"/>
      <c r="E35" s="4"/>
      <c r="G35" t="str">
        <f t="shared" si="0"/>
        <v>&lt;dl&gt;&lt;dt&gt;兄弟宫​&lt;/dt&gt;&lt;dd&gt;与兄弟姐妹易有争执、竞争关系，或兄弟姐妹中有性格刚烈者。&lt;/dd&gt;&lt;dd&gt;&lt;/dd&gt;&lt;/dl&gt;</v>
      </c>
    </row>
    <row r="36" spans="2:7" ht="32.25" thickBot="1" x14ac:dyDescent="0.25">
      <c r="B36" s="14" t="s">
        <v>2934</v>
      </c>
      <c r="C36" s="15" t="s">
        <v>4990</v>
      </c>
      <c r="D36" s="15"/>
      <c r="E36" s="4"/>
      <c r="G36" t="str">
        <f t="shared" si="0"/>
        <v>&lt;dl&gt;&lt;dt&gt;夫妻宫​&lt;/dt&gt;&lt;dd&gt;夫妻关系易有争吵、冲突，配偶可能性格刚强。恋爱或婚姻中易有竞争（如情敌）。&lt;/dd&gt;&lt;dd&gt;&lt;/dd&gt;&lt;/dl&gt;</v>
      </c>
    </row>
    <row r="37" spans="2:7" ht="32.25" thickBot="1" x14ac:dyDescent="0.25">
      <c r="B37" s="14" t="s">
        <v>2936</v>
      </c>
      <c r="C37" s="15" t="s">
        <v>4991</v>
      </c>
      <c r="D37" s="15"/>
      <c r="E37" s="4"/>
      <c r="G37" t="str">
        <f t="shared" si="0"/>
        <v>&lt;dl&gt;&lt;dt&gt;子女宫​&lt;/dt&gt;&lt;dd&gt;子女个性倔强好动，难管教，或生产时易有手术（如剖腹产）。&lt;/dd&gt;&lt;dd&gt;&lt;/dd&gt;&lt;/dl&gt;</v>
      </c>
    </row>
    <row r="38" spans="2:7" ht="48" thickBot="1" x14ac:dyDescent="0.25">
      <c r="B38" s="14" t="s">
        <v>9</v>
      </c>
      <c r="C38" s="15" t="s">
        <v>4992</v>
      </c>
      <c r="D38" s="15"/>
      <c r="E38" s="4"/>
      <c r="G38" t="str">
        <f t="shared" si="0"/>
        <v>&lt;dl&gt;&lt;dt&gt;财帛宫​&lt;/dt&gt;&lt;dd&gt;求财方式积极但冒险，易因财与人争斗，或钱财来得快但去得也快，易有破耗。适合竞争性行业或外科医生等以“刀”求财的职业。&lt;/dd&gt;&lt;dd&gt;&lt;/dd&gt;&lt;/dl&gt;</v>
      </c>
    </row>
    <row r="39" spans="2:7" ht="32.25" thickBot="1" x14ac:dyDescent="0.25">
      <c r="B39" s="14" t="s">
        <v>10</v>
      </c>
      <c r="C39" s="14" t="s">
        <v>4993</v>
      </c>
      <c r="D39" s="15"/>
      <c r="E39" s="4"/>
      <c r="G39" t="str">
        <f t="shared" si="0"/>
        <v>&lt;dl&gt;&lt;dt&gt;疾厄宫​&lt;/dt&gt;&lt;dd&gt;易有外伤、手术、骨折、牙病。需特别注意金属利器所伤。&lt;/dd&gt;&lt;dd&gt;&lt;/dd&gt;&lt;/dl&gt;</v>
      </c>
    </row>
    <row r="40" spans="2:7" ht="32.25" thickBot="1" x14ac:dyDescent="0.25">
      <c r="B40" s="14" t="s">
        <v>13</v>
      </c>
      <c r="C40" s="15" t="s">
        <v>4994</v>
      </c>
      <c r="D40" s="15"/>
      <c r="G40" t="str">
        <f t="shared" si="0"/>
        <v>&lt;dl&gt;&lt;dt&gt;迁移宫​&lt;/dt&gt;&lt;dd&gt;在外易惹是非、发生冲突或意外，出门需谨慎。但也可能在竞争激烈的环境中开拓事业。&lt;/dd&gt;&lt;dd&gt;&lt;/dd&gt;&lt;/dl&gt;</v>
      </c>
    </row>
    <row r="41" spans="2:7" ht="32.25" thickBot="1" x14ac:dyDescent="0.25">
      <c r="B41" s="14" t="s">
        <v>3018</v>
      </c>
      <c r="C41" s="14" t="s">
        <v>4995</v>
      </c>
      <c r="D41" s="15"/>
      <c r="G41" t="str">
        <f t="shared" si="0"/>
        <v>&lt;dl&gt;&lt;dt&gt;交友宫（奴仆宫）​&lt;/dt&gt;&lt;dd&gt;朋友、同事、下属中多竞争性强或脾气暴躁之人，易与朋友发生冲突。&lt;/dd&gt;&lt;dd&gt;&lt;/dd&gt;&lt;/dl&gt;</v>
      </c>
    </row>
    <row r="42" spans="2:7" ht="48" thickBot="1" x14ac:dyDescent="0.25">
      <c r="B42" s="14" t="s">
        <v>3019</v>
      </c>
      <c r="C42" s="15" t="s">
        <v>4996</v>
      </c>
      <c r="D42" s="15"/>
      <c r="G42" t="str">
        <f t="shared" si="0"/>
        <v>&lt;dl&gt;&lt;dt&gt;官禄宫（事业宫）​&lt;/dt&gt;&lt;dd&gt;适合从事军警、外科医生、律师、竞技体育、机械、五金等需要勇气、竞争或使用利器的行业。事业充满竞争与挑战。&lt;/dd&gt;&lt;dd&gt;&lt;/dd&gt;&lt;/dl&gt;</v>
      </c>
    </row>
    <row r="43" spans="2:7" ht="32.25" thickBot="1" x14ac:dyDescent="0.25">
      <c r="B43" s="14" t="s">
        <v>8</v>
      </c>
      <c r="C43" s="14" t="s">
        <v>4997</v>
      </c>
      <c r="D43" s="15"/>
      <c r="E43" s="2" t="s">
        <v>7</v>
      </c>
      <c r="G43" t="str">
        <f t="shared" si="0"/>
        <v>&lt;dl&gt;&lt;dt&gt;田宅宫​&lt;/dt&gt;&lt;dd&gt;家宅不宁，易有争吵；家中易有金属利器或尖锐物品；房产易有产权纠纷。&lt;/dd&gt;&lt;dd&gt;&lt;/dd&gt;&lt;/dl&gt;</v>
      </c>
    </row>
    <row r="44" spans="2:7" ht="32.25" thickBot="1" x14ac:dyDescent="0.25">
      <c r="B44" s="14" t="s">
        <v>2945</v>
      </c>
      <c r="C44" s="15" t="s">
        <v>4998</v>
      </c>
      <c r="D44" s="15"/>
      <c r="E44" s="4"/>
    </row>
    <row r="45" spans="2:7" ht="32.25" thickBot="1" x14ac:dyDescent="0.25">
      <c r="B45" s="14" t="s">
        <v>11</v>
      </c>
      <c r="C45" s="15" t="s">
        <v>4999</v>
      </c>
      <c r="D45" s="15"/>
      <c r="E45" s="4"/>
    </row>
    <row r="46" spans="2:7" x14ac:dyDescent="0.2">
      <c r="E46" s="4"/>
    </row>
    <row r="47" spans="2:7" x14ac:dyDescent="0.2">
      <c r="E47" s="4"/>
    </row>
    <row r="48" spans="2:7" ht="17.25" x14ac:dyDescent="0.2">
      <c r="B48" s="5" t="s">
        <v>4689</v>
      </c>
      <c r="E48" s="4"/>
    </row>
    <row r="49" spans="2:7" ht="16.5" thickBot="1" x14ac:dyDescent="0.25">
      <c r="B49" s="11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5000</v>
      </c>
      <c r="C51" s="14" t="s">
        <v>5001</v>
      </c>
      <c r="D51" s="15" t="s">
        <v>5002</v>
      </c>
      <c r="G51" t="str">
        <f t="shared" si="0"/>
        <v>&lt;dl&gt;&lt;dt&gt;擎羊+紫微​&lt;/dt&gt;&lt;dd&gt;帝星带刃，权威与锋芒结合，主权力欲强，行事果决，但易专权霸道，树敌。&lt;/dd&gt;&lt;dd&gt;强势的领导者；铁腕人物。&lt;/dd&gt;&lt;/dl&gt;</v>
      </c>
    </row>
    <row r="52" spans="2:7" ht="32.25" thickBot="1" x14ac:dyDescent="0.25">
      <c r="B52" s="14" t="s">
        <v>5003</v>
      </c>
      <c r="C52" s="14" t="s">
        <v>5004</v>
      </c>
      <c r="D52" s="15" t="s">
        <v>5005</v>
      </c>
      <c r="G52" t="str">
        <f t="shared" si="0"/>
        <v>&lt;dl&gt;&lt;dt&gt;擎羊+七杀​&lt;/dt&gt;&lt;dd&gt;双将星带刃，杀气与伤害力叠加，主勇猛过人，好斗，一生多险阻与血光。&lt;/dd&gt;&lt;dd&gt;军人；特警；高风险行业从业者。&lt;/dd&gt;&lt;/dl&gt;</v>
      </c>
    </row>
    <row r="53" spans="2:7" ht="32.25" thickBot="1" x14ac:dyDescent="0.25">
      <c r="B53" s="14" t="s">
        <v>5006</v>
      </c>
      <c r="C53" s="14" t="s">
        <v>5007</v>
      </c>
      <c r="D53" s="15" t="s">
        <v>5008</v>
      </c>
      <c r="E53" s="2" t="s">
        <v>7</v>
      </c>
    </row>
    <row r="54" spans="2:7" ht="32.25" thickBot="1" x14ac:dyDescent="0.25">
      <c r="B54" s="14" t="s">
        <v>5009</v>
      </c>
      <c r="C54" s="14" t="s">
        <v>5010</v>
      </c>
      <c r="D54" s="15" t="s">
        <v>5011</v>
      </c>
      <c r="E54" s="4"/>
    </row>
    <row r="55" spans="2:7" ht="48" thickBot="1" x14ac:dyDescent="0.25">
      <c r="B55" s="14" t="s">
        <v>5012</v>
      </c>
      <c r="C55" s="14" t="s">
        <v>5013</v>
      </c>
      <c r="D55" s="15" t="s">
        <v>5014</v>
      </c>
      <c r="E55" s="4"/>
    </row>
    <row r="56" spans="2:7" ht="32.25" thickBot="1" x14ac:dyDescent="0.25">
      <c r="B56" s="14" t="s">
        <v>5015</v>
      </c>
      <c r="C56" s="14" t="s">
        <v>5016</v>
      </c>
      <c r="D56" s="15" t="s">
        <v>5017</v>
      </c>
      <c r="E56" s="4"/>
    </row>
    <row r="57" spans="2:7" ht="48" thickBot="1" x14ac:dyDescent="0.25">
      <c r="B57" s="14" t="s">
        <v>5018</v>
      </c>
      <c r="C57" s="14" t="s">
        <v>5019</v>
      </c>
      <c r="D57" s="15" t="s">
        <v>5020</v>
      </c>
      <c r="E57" s="4"/>
    </row>
    <row r="58" spans="2:7" ht="48" thickBot="1" x14ac:dyDescent="0.25">
      <c r="B58" s="14" t="s">
        <v>5021</v>
      </c>
      <c r="C58" s="14" t="s">
        <v>5022</v>
      </c>
      <c r="D58" s="15" t="s">
        <v>5023</v>
      </c>
      <c r="E58" s="4"/>
    </row>
    <row r="59" spans="2:7" ht="32.25" thickBot="1" x14ac:dyDescent="0.25">
      <c r="B59" s="14" t="s">
        <v>5024</v>
      </c>
      <c r="C59" s="14" t="s">
        <v>5025</v>
      </c>
      <c r="D59" s="15" t="s">
        <v>5026</v>
      </c>
    </row>
    <row r="60" spans="2:7" ht="32.25" thickBot="1" x14ac:dyDescent="0.25">
      <c r="B60" s="14" t="s">
        <v>5027</v>
      </c>
      <c r="C60" s="14" t="s">
        <v>5028</v>
      </c>
      <c r="D60" s="15" t="s">
        <v>5029</v>
      </c>
    </row>
    <row r="63" spans="2:7" ht="17.25" x14ac:dyDescent="0.2">
      <c r="B63" s="5" t="s">
        <v>4715</v>
      </c>
      <c r="E63" s="2" t="s">
        <v>7</v>
      </c>
    </row>
    <row r="64" spans="2:7" x14ac:dyDescent="0.2">
      <c r="B64" s="6"/>
      <c r="E64" s="4"/>
    </row>
    <row r="65" spans="2:5" x14ac:dyDescent="0.2">
      <c r="B65" s="7" t="s">
        <v>5030</v>
      </c>
      <c r="E65" s="4"/>
    </row>
    <row r="66" spans="2:5" x14ac:dyDescent="0.2">
      <c r="B66" s="7" t="s">
        <v>5031</v>
      </c>
      <c r="E66" s="4"/>
    </row>
    <row r="67" spans="2:5" x14ac:dyDescent="0.2">
      <c r="B67" s="7" t="s">
        <v>5032</v>
      </c>
    </row>
    <row r="68" spans="2:5" x14ac:dyDescent="0.2">
      <c r="B68" s="7" t="s">
        <v>5033</v>
      </c>
    </row>
    <row r="69" spans="2:5" x14ac:dyDescent="0.2">
      <c r="B69" s="7" t="s">
        <v>5034</v>
      </c>
    </row>
    <row r="70" spans="2:5" x14ac:dyDescent="0.2">
      <c r="B70" s="7" t="s">
        <v>5035</v>
      </c>
    </row>
    <row r="71" spans="2:5" x14ac:dyDescent="0.2">
      <c r="B71" s="7" t="s">
        <v>5036</v>
      </c>
    </row>
    <row r="72" spans="2:5" x14ac:dyDescent="0.2">
      <c r="B72" s="7" t="s">
        <v>5037</v>
      </c>
    </row>
    <row r="73" spans="2:5" x14ac:dyDescent="0.2">
      <c r="B73" s="6"/>
    </row>
    <row r="74" spans="2:5" x14ac:dyDescent="0.2">
      <c r="B74" s="6" t="s">
        <v>5038</v>
      </c>
    </row>
    <row r="75" spans="2:5" x14ac:dyDescent="0.2">
      <c r="B75" s="6"/>
    </row>
    <row r="76" spans="2:5" x14ac:dyDescent="0.2">
      <c r="B76" s="7" t="s">
        <v>2527</v>
      </c>
    </row>
    <row r="77" spans="2:5" x14ac:dyDescent="0.2">
      <c r="B77" s="7" t="s">
        <v>2528</v>
      </c>
    </row>
    <row r="78" spans="2:5" x14ac:dyDescent="0.2">
      <c r="B78" s="7" t="s">
        <v>2529</v>
      </c>
    </row>
    <row r="79" spans="2:5" x14ac:dyDescent="0.2">
      <c r="B79" s="7" t="s">
        <v>2530</v>
      </c>
    </row>
    <row r="80" spans="2:5" x14ac:dyDescent="0.2">
      <c r="B80" s="9" t="s">
        <v>79</v>
      </c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98485-D57F-49E1-A61D-761828F60DD0}">
  <dimension ref="B1:G82"/>
  <sheetViews>
    <sheetView zoomScaleNormal="100" workbookViewId="0">
      <selection activeCell="B1" sqref="B1:D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5039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陀罗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2522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5040</v>
      </c>
      <c r="D7" s="15" t="s">
        <v>5041</v>
      </c>
    </row>
    <row r="8" spans="2:7" ht="78.75" x14ac:dyDescent="0.2">
      <c r="B8" s="24" t="s">
        <v>2914</v>
      </c>
      <c r="C8" s="19" t="s">
        <v>5042</v>
      </c>
      <c r="D8" s="27" t="s">
        <v>5050</v>
      </c>
    </row>
    <row r="9" spans="2:7" ht="94.5" x14ac:dyDescent="0.2">
      <c r="B9" s="25"/>
      <c r="C9" s="20" t="s">
        <v>5043</v>
      </c>
      <c r="D9" s="28"/>
    </row>
    <row r="10" spans="2:7" ht="47.25" x14ac:dyDescent="0.2">
      <c r="B10" s="25"/>
      <c r="C10" s="20" t="s">
        <v>5044</v>
      </c>
      <c r="D10" s="28"/>
    </row>
    <row r="11" spans="2:7" ht="31.5" x14ac:dyDescent="0.2">
      <c r="B11" s="25"/>
      <c r="C11" s="22" t="s">
        <v>5045</v>
      </c>
      <c r="D11" s="28"/>
    </row>
    <row r="12" spans="2:7" ht="47.25" x14ac:dyDescent="0.2">
      <c r="B12" s="25"/>
      <c r="C12" s="22" t="s">
        <v>5046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5047</v>
      </c>
      <c r="D14" s="28"/>
      <c r="E14" s="2" t="s">
        <v>7</v>
      </c>
    </row>
    <row r="15" spans="2:7" ht="31.5" x14ac:dyDescent="0.2">
      <c r="B15" s="25"/>
      <c r="C15" s="22" t="s">
        <v>5048</v>
      </c>
      <c r="D15" s="28"/>
      <c r="E15" s="4"/>
    </row>
    <row r="16" spans="2:7" ht="32.25" thickBot="1" x14ac:dyDescent="0.25">
      <c r="B16" s="26"/>
      <c r="C16" s="23" t="s">
        <v>5049</v>
      </c>
      <c r="D16" s="29"/>
      <c r="E16" s="4"/>
    </row>
    <row r="17" spans="2:7" x14ac:dyDescent="0.2">
      <c r="E17" s="4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5051</v>
      </c>
      <c r="C22" s="15" t="s">
        <v>5052</v>
      </c>
      <c r="D22" s="15" t="s">
        <v>5053</v>
      </c>
    </row>
    <row r="23" spans="2:7" ht="48" thickBot="1" x14ac:dyDescent="0.25">
      <c r="B23" s="14" t="s">
        <v>5054</v>
      </c>
      <c r="C23" s="15" t="s">
        <v>5055</v>
      </c>
      <c r="D23" s="15" t="s">
        <v>5056</v>
      </c>
    </row>
    <row r="24" spans="2:7" ht="32.25" thickBot="1" x14ac:dyDescent="0.25">
      <c r="B24" s="14" t="s">
        <v>5057</v>
      </c>
      <c r="C24" s="15" t="s">
        <v>5058</v>
      </c>
      <c r="D24" s="15" t="s">
        <v>5059</v>
      </c>
      <c r="G24" t="str">
        <f t="shared" ref="G24:G52" si="0">"&lt;dl&gt;&lt;dt&gt;" &amp; B24 &amp; "&lt;/dt&gt;&lt;dd&gt;" &amp; C24 &amp; "&lt;/dd&gt;&lt;dd&gt;" &amp; D24 &amp; "&lt;/dd&gt;&lt;/dl&gt;"</f>
        <v>&lt;dl&gt;&lt;dt&gt;循环与反复​&lt;/dt&gt;&lt;dd&gt;性属循环、反复，如陀螺般打转。主事情反复不定，旧事重提，陷入循环。&lt;/dd&gt;&lt;dd&gt;在财帛宫时，主财务问题反复；在疾厄宫，主慢性病反复发作。&lt;/dd&gt;&lt;/dl&gt;</v>
      </c>
    </row>
    <row r="25" spans="2:7" ht="32.25" thickBot="1" x14ac:dyDescent="0.25">
      <c r="B25" s="14" t="s">
        <v>3016</v>
      </c>
      <c r="C25" s="14" t="s">
        <v>5060</v>
      </c>
      <c r="D25" s="15" t="s">
        <v>2539</v>
      </c>
      <c r="G25" t="str">
        <f t="shared" si="0"/>
        <v>&lt;dl&gt;&lt;dt&gt;外貌气质​&lt;/dt&gt;&lt;dd&gt;相貌敦厚或阴沉，眼神迟疑，动作缓慢，给人以固执、难以捉摸的印象。&lt;/dd&gt;&lt;dd&gt;在命宫、身宫时显著。&lt;/dd&gt;&lt;/dl&gt;</v>
      </c>
    </row>
    <row r="26" spans="2:7" ht="31.5" x14ac:dyDescent="0.2">
      <c r="B26" s="24" t="s">
        <v>3017</v>
      </c>
      <c r="C26" s="19" t="s">
        <v>5061</v>
      </c>
      <c r="D26" s="27"/>
      <c r="G26" t="str">
        <f t="shared" si="0"/>
        <v>&lt;dl&gt;&lt;dt&gt;性格特质​&lt;/dt&gt;&lt;dd&gt;优点：有耐心，有毅力，能坚持，善于暗中观察，记性好。&lt;/dd&gt;&lt;dd&gt;&lt;/dd&gt;&lt;/dl&gt;</v>
      </c>
    </row>
    <row r="27" spans="2:7" ht="32.25" thickBot="1" x14ac:dyDescent="0.25">
      <c r="B27" s="26"/>
      <c r="C27" s="21" t="s">
        <v>5062</v>
      </c>
      <c r="D27" s="29"/>
      <c r="G27" t="str">
        <f t="shared" si="0"/>
        <v>&lt;dl&gt;&lt;dt&gt;&lt;/dt&gt;&lt;dd&gt;缺点：固执己见，拖延成性，反复无常，记仇，暗中计较，行动迟缓。&lt;/dd&gt;&lt;dd&gt;&lt;/dd&gt;&lt;/dl&gt;</v>
      </c>
    </row>
    <row r="28" spans="2:7" ht="48" thickBot="1" x14ac:dyDescent="0.25">
      <c r="B28" s="14" t="s">
        <v>3419</v>
      </c>
      <c r="C28" s="15" t="s">
        <v>5063</v>
      </c>
      <c r="D28" s="15" t="s">
        <v>5064</v>
      </c>
      <c r="G28" t="str">
        <f t="shared" si="0"/>
        <v>&lt;dl&gt;&lt;dt&gt;健康方面​&lt;/dt&gt;&lt;dd&gt;属阴金，主骨骼、牙齿（但偏向慢性问题）、循环系统。易有慢性疾病、旧疾复发、牙周病、关节慢性劳损、血液循环不畅等。&lt;/dd&gt;&lt;dd&gt;在疾厄宫时显现，尤其与阴煞、病符同度时更验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  <c r="E31" s="2" t="s">
        <v>7</v>
      </c>
    </row>
    <row r="32" spans="2:7" ht="16.5" thickBot="1" x14ac:dyDescent="0.25">
      <c r="B32" s="11"/>
      <c r="E32" s="4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4"/>
    </row>
    <row r="34" spans="2:7" ht="79.5" thickBot="1" x14ac:dyDescent="0.25">
      <c r="B34" s="14" t="s">
        <v>2930</v>
      </c>
      <c r="C34" s="15" t="s">
        <v>5065</v>
      </c>
      <c r="D34" s="15"/>
      <c r="E34" s="4"/>
    </row>
    <row r="35" spans="2:7" ht="32.25" thickBot="1" x14ac:dyDescent="0.25">
      <c r="B35" s="14" t="s">
        <v>2932</v>
      </c>
      <c r="C35" s="15" t="s">
        <v>5066</v>
      </c>
      <c r="D35" s="15"/>
      <c r="E35" s="4"/>
      <c r="G35" t="str">
        <f t="shared" si="0"/>
        <v>&lt;dl&gt;&lt;dt&gt;兄弟宫​&lt;/dt&gt;&lt;dd&gt;与兄弟姐妹关系疏远或有暗中心结，往来拖延。&lt;/dd&gt;&lt;dd&gt;&lt;/dd&gt;&lt;/dl&gt;</v>
      </c>
    </row>
    <row r="36" spans="2:7" ht="32.25" thickBot="1" x14ac:dyDescent="0.25">
      <c r="B36" s="14" t="s">
        <v>2934</v>
      </c>
      <c r="C36" s="15" t="s">
        <v>5067</v>
      </c>
      <c r="D36" s="15"/>
      <c r="G36" t="str">
        <f t="shared" si="0"/>
        <v>&lt;dl&gt;&lt;dt&gt;夫妻宫​&lt;/dt&gt;&lt;dd&gt;夫妻关系冷淡拖延，沟通不畅，或有旧情纠缠。恋爱或婚姻过程漫长反复。&lt;/dd&gt;&lt;dd&gt;&lt;/dd&gt;&lt;/dl&gt;</v>
      </c>
    </row>
    <row r="37" spans="2:7" ht="16.5" thickBot="1" x14ac:dyDescent="0.25">
      <c r="B37" s="14" t="s">
        <v>2936</v>
      </c>
      <c r="C37" s="15" t="s">
        <v>5068</v>
      </c>
      <c r="D37" s="15"/>
      <c r="G37" t="str">
        <f t="shared" si="0"/>
        <v>&lt;dl&gt;&lt;dt&gt;子女宫​&lt;/dt&gt;&lt;dd&gt;子女个性固执，难管教，或子女来得晚。&lt;/dd&gt;&lt;dd&gt;&lt;/dd&gt;&lt;/dl&gt;</v>
      </c>
    </row>
    <row r="38" spans="2:7" ht="32.25" thickBot="1" x14ac:dyDescent="0.25">
      <c r="B38" s="14" t="s">
        <v>9</v>
      </c>
      <c r="C38" s="15" t="s">
        <v>5069</v>
      </c>
      <c r="D38" s="15"/>
      <c r="G38" t="str">
        <f t="shared" si="0"/>
        <v>&lt;dl&gt;&lt;dt&gt;财帛宫​&lt;/dt&gt;&lt;dd&gt;求财过程缓慢拖延，财务问题反复，易有旧账难收。钱财来得慢，但去得也慢（守财）。&lt;/dd&gt;&lt;dd&gt;&lt;/dd&gt;&lt;/dl&gt;</v>
      </c>
    </row>
    <row r="39" spans="2:7" ht="32.25" thickBot="1" x14ac:dyDescent="0.25">
      <c r="B39" s="14" t="s">
        <v>10</v>
      </c>
      <c r="C39" s="14" t="s">
        <v>5070</v>
      </c>
      <c r="D39" s="15"/>
      <c r="E39" s="2" t="s">
        <v>7</v>
      </c>
      <c r="G39" t="str">
        <f t="shared" si="0"/>
        <v>&lt;dl&gt;&lt;dt&gt;疾厄宫​&lt;/dt&gt;&lt;dd&gt;易患慢性疾病、旧疾难愈、循环系统疾病。病情反复，疗程长。&lt;/dd&gt;&lt;dd&gt;&lt;/dd&gt;&lt;/dl&gt;</v>
      </c>
    </row>
    <row r="40" spans="2:7" ht="32.25" thickBot="1" x14ac:dyDescent="0.25">
      <c r="B40" s="14" t="s">
        <v>13</v>
      </c>
      <c r="C40" s="15" t="s">
        <v>5071</v>
      </c>
      <c r="D40" s="15"/>
      <c r="E40" s="4"/>
      <c r="G40" t="str">
        <f t="shared" si="0"/>
        <v>&lt;dl&gt;&lt;dt&gt;迁移宫​&lt;/dt&gt;&lt;dd&gt;在外发展缓慢，易遇暗中阻碍，出行易拖延、迷路。&lt;/dd&gt;&lt;dd&gt;&lt;/dd&gt;&lt;/dl&gt;</v>
      </c>
    </row>
    <row r="41" spans="2:7" ht="32.25" thickBot="1" x14ac:dyDescent="0.25">
      <c r="B41" s="14" t="s">
        <v>3018</v>
      </c>
      <c r="C41" s="14" t="s">
        <v>5072</v>
      </c>
      <c r="D41" s="15"/>
      <c r="E41" s="4"/>
      <c r="G41" t="str">
        <f t="shared" si="0"/>
        <v>&lt;dl&gt;&lt;dt&gt;交友宫（奴仆宫）​&lt;/dt&gt;&lt;dd&gt;朋友、同事、下属中多拖延或暗中计较之人，易有旧怨或暗中纠葛。&lt;/dd&gt;&lt;dd&gt;&lt;/dd&gt;&lt;/dl&gt;</v>
      </c>
    </row>
    <row r="42" spans="2:7" ht="48" thickBot="1" x14ac:dyDescent="0.25">
      <c r="B42" s="14" t="s">
        <v>3019</v>
      </c>
      <c r="C42" s="15" t="s">
        <v>5073</v>
      </c>
      <c r="D42" s="15"/>
      <c r="E42" s="4"/>
      <c r="G42" t="str">
        <f t="shared" si="0"/>
        <v>&lt;dl&gt;&lt;dt&gt;官禄宫（事业宫）​&lt;/dt&gt;&lt;dd&gt;事业进展缓慢，易遇暗中阻力，流程拖延。适合需要耐心、重复性高的工作，如研究、审计、历史档案。&lt;/dd&gt;&lt;dd&gt;&lt;/dd&gt;&lt;/dl&gt;</v>
      </c>
    </row>
    <row r="43" spans="2:7" ht="32.25" thickBot="1" x14ac:dyDescent="0.25">
      <c r="B43" s="14" t="s">
        <v>8</v>
      </c>
      <c r="C43" s="14" t="s">
        <v>5074</v>
      </c>
      <c r="D43" s="15"/>
      <c r="E43" s="4"/>
      <c r="G43" t="str">
        <f t="shared" si="0"/>
        <v>&lt;dl&gt;&lt;dt&gt;田宅宫​&lt;/dt&gt;&lt;dd&gt;家宅老旧，修缮拖延，产权问题反复，或住在圆形建筑附近。&lt;/dd&gt;&lt;dd&gt;&lt;/dd&gt;&lt;/dl&gt;</v>
      </c>
    </row>
    <row r="44" spans="2:7" ht="32.25" thickBot="1" x14ac:dyDescent="0.25">
      <c r="B44" s="14" t="s">
        <v>2945</v>
      </c>
      <c r="C44" s="15" t="s">
        <v>5075</v>
      </c>
      <c r="D44" s="15"/>
    </row>
    <row r="45" spans="2:7" ht="32.25" thickBot="1" x14ac:dyDescent="0.25">
      <c r="B45" s="14" t="s">
        <v>11</v>
      </c>
      <c r="C45" s="15" t="s">
        <v>5076</v>
      </c>
      <c r="D45" s="15"/>
    </row>
    <row r="48" spans="2:7" ht="17.25" x14ac:dyDescent="0.2">
      <c r="B48" s="5" t="s">
        <v>4689</v>
      </c>
      <c r="E48" s="2" t="s">
        <v>7</v>
      </c>
    </row>
    <row r="49" spans="2:7" ht="16.5" thickBot="1" x14ac:dyDescent="0.25">
      <c r="B49" s="11"/>
      <c r="E49" s="4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E50" s="4"/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5077</v>
      </c>
      <c r="C51" s="14" t="s">
        <v>5078</v>
      </c>
      <c r="D51" s="15" t="s">
        <v>5079</v>
      </c>
      <c r="E51" s="4"/>
      <c r="G51" t="str">
        <f t="shared" si="0"/>
        <v>&lt;dl&gt;&lt;dt&gt;陀罗+紫微​&lt;/dt&gt;&lt;dd&gt;帝星遇暗忌，权威受暗中拖延或掣肘，主大业难成，或成功过程漫长反复。&lt;/dd&gt;&lt;dd&gt;受制于官僚体系的领导者；改革推进缓慢。&lt;/dd&gt;&lt;/dl&gt;</v>
      </c>
    </row>
    <row r="52" spans="2:7" ht="32.25" thickBot="1" x14ac:dyDescent="0.25">
      <c r="B52" s="14" t="s">
        <v>5080</v>
      </c>
      <c r="C52" s="14" t="s">
        <v>5081</v>
      </c>
      <c r="D52" s="15" t="s">
        <v>5082</v>
      </c>
      <c r="E52" s="4"/>
      <c r="G52" t="str">
        <f t="shared" si="0"/>
        <v>&lt;dl&gt;&lt;dt&gt;陀罗+天府​&lt;/dt&gt;&lt;dd&gt;库星遇暗忌，稳定的资源被暗中消耗或拖延，主财务流程繁琐，积蓄增长缓慢。&lt;/dd&gt;&lt;dd&gt;财务审批缓慢的机构；守财但增值慢。&lt;/dd&gt;&lt;/dl&gt;</v>
      </c>
    </row>
    <row r="53" spans="2:7" ht="32.25" thickBot="1" x14ac:dyDescent="0.25">
      <c r="B53" s="14" t="s">
        <v>5083</v>
      </c>
      <c r="C53" s="14" t="s">
        <v>5084</v>
      </c>
      <c r="D53" s="15" t="s">
        <v>5085</v>
      </c>
      <c r="E53" s="4"/>
    </row>
    <row r="54" spans="2:7" ht="32.25" thickBot="1" x14ac:dyDescent="0.25">
      <c r="B54" s="14" t="s">
        <v>5086</v>
      </c>
      <c r="C54" s="14" t="s">
        <v>5087</v>
      </c>
      <c r="D54" s="15" t="s">
        <v>5088</v>
      </c>
    </row>
    <row r="55" spans="2:7" ht="32.25" thickBot="1" x14ac:dyDescent="0.25">
      <c r="B55" s="14" t="s">
        <v>5089</v>
      </c>
      <c r="C55" s="14" t="s">
        <v>5090</v>
      </c>
      <c r="D55" s="15" t="s">
        <v>5091</v>
      </c>
    </row>
    <row r="56" spans="2:7" ht="32.25" thickBot="1" x14ac:dyDescent="0.25">
      <c r="B56" s="14" t="s">
        <v>5092</v>
      </c>
      <c r="C56" s="14" t="s">
        <v>5093</v>
      </c>
      <c r="D56" s="15" t="s">
        <v>5094</v>
      </c>
    </row>
    <row r="57" spans="2:7" ht="32.25" thickBot="1" x14ac:dyDescent="0.25">
      <c r="B57" s="14" t="s">
        <v>5095</v>
      </c>
      <c r="C57" s="14" t="s">
        <v>5096</v>
      </c>
      <c r="D57" s="15" t="s">
        <v>5097</v>
      </c>
    </row>
    <row r="58" spans="2:7" ht="32.25" thickBot="1" x14ac:dyDescent="0.25">
      <c r="B58" s="14" t="s">
        <v>5098</v>
      </c>
      <c r="C58" s="14" t="s">
        <v>5099</v>
      </c>
      <c r="D58" s="15" t="s">
        <v>5100</v>
      </c>
      <c r="E58" s="2" t="s">
        <v>63</v>
      </c>
      <c r="F58" s="2" t="s">
        <v>7</v>
      </c>
    </row>
    <row r="59" spans="2:7" ht="57.75" thickBot="1" x14ac:dyDescent="0.25">
      <c r="B59" s="14" t="s">
        <v>5101</v>
      </c>
      <c r="C59" s="14" t="s">
        <v>5102</v>
      </c>
      <c r="D59" s="15" t="s">
        <v>5103</v>
      </c>
      <c r="E59" s="4" t="s">
        <v>80</v>
      </c>
      <c r="F59" s="4"/>
    </row>
    <row r="60" spans="2:7" ht="43.5" thickBot="1" x14ac:dyDescent="0.25">
      <c r="B60" s="14" t="s">
        <v>5104</v>
      </c>
      <c r="C60" s="14" t="s">
        <v>5105</v>
      </c>
      <c r="D60" s="15" t="s">
        <v>5106</v>
      </c>
      <c r="E60" s="4" t="s">
        <v>81</v>
      </c>
      <c r="F60" s="4"/>
    </row>
    <row r="61" spans="2:7" ht="48" thickBot="1" x14ac:dyDescent="0.25">
      <c r="B61" s="14" t="s">
        <v>5107</v>
      </c>
      <c r="C61" s="14" t="s">
        <v>5108</v>
      </c>
      <c r="D61" s="15" t="s">
        <v>5109</v>
      </c>
    </row>
    <row r="62" spans="2:7" ht="32.25" thickBot="1" x14ac:dyDescent="0.25">
      <c r="B62" s="14" t="s">
        <v>5110</v>
      </c>
      <c r="C62" s="14" t="s">
        <v>5111</v>
      </c>
      <c r="D62" s="15" t="s">
        <v>5112</v>
      </c>
    </row>
    <row r="65" spans="2:2" ht="17.25" x14ac:dyDescent="0.2">
      <c r="B65" s="5" t="s">
        <v>4715</v>
      </c>
    </row>
    <row r="66" spans="2:2" x14ac:dyDescent="0.2">
      <c r="B66" s="6"/>
    </row>
    <row r="67" spans="2:2" x14ac:dyDescent="0.2">
      <c r="B67" s="7" t="s">
        <v>5113</v>
      </c>
    </row>
    <row r="68" spans="2:2" x14ac:dyDescent="0.2">
      <c r="B68" s="7" t="s">
        <v>5114</v>
      </c>
    </row>
    <row r="69" spans="2:2" x14ac:dyDescent="0.2">
      <c r="B69" s="7" t="s">
        <v>5115</v>
      </c>
    </row>
    <row r="70" spans="2:2" x14ac:dyDescent="0.2">
      <c r="B70" s="7" t="s">
        <v>5116</v>
      </c>
    </row>
    <row r="71" spans="2:2" x14ac:dyDescent="0.2">
      <c r="B71" s="7" t="s">
        <v>5117</v>
      </c>
    </row>
    <row r="72" spans="2:2" x14ac:dyDescent="0.2">
      <c r="B72" s="7" t="s">
        <v>5118</v>
      </c>
    </row>
    <row r="73" spans="2:2" x14ac:dyDescent="0.2">
      <c r="B73" s="7" t="s">
        <v>5119</v>
      </c>
    </row>
    <row r="74" spans="2:2" x14ac:dyDescent="0.2">
      <c r="B74" s="7" t="s">
        <v>5120</v>
      </c>
    </row>
    <row r="75" spans="2:2" x14ac:dyDescent="0.2">
      <c r="B75" s="6"/>
    </row>
    <row r="76" spans="2:2" x14ac:dyDescent="0.2">
      <c r="B76" s="6" t="s">
        <v>5121</v>
      </c>
    </row>
    <row r="77" spans="2:2" x14ac:dyDescent="0.2">
      <c r="B77" s="7" t="s">
        <v>2523</v>
      </c>
    </row>
    <row r="78" spans="2:2" x14ac:dyDescent="0.2">
      <c r="B78" s="7" t="s">
        <v>2524</v>
      </c>
    </row>
    <row r="79" spans="2:2" x14ac:dyDescent="0.2">
      <c r="B79" s="7" t="s">
        <v>2525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6C818-7196-4ECE-9C97-EFCAD2F30BA0}">
  <dimension ref="B1:G83"/>
  <sheetViews>
    <sheetView topLeftCell="A13"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5122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空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2397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5123</v>
      </c>
      <c r="D7" s="15" t="s">
        <v>5124</v>
      </c>
    </row>
    <row r="8" spans="2:7" ht="78.75" x14ac:dyDescent="0.2">
      <c r="B8" s="24" t="s">
        <v>2914</v>
      </c>
      <c r="C8" s="19" t="s">
        <v>5125</v>
      </c>
      <c r="D8" s="27" t="s">
        <v>5133</v>
      </c>
    </row>
    <row r="9" spans="2:7" ht="78.75" x14ac:dyDescent="0.2">
      <c r="B9" s="25"/>
      <c r="C9" s="20" t="s">
        <v>5126</v>
      </c>
      <c r="D9" s="28"/>
    </row>
    <row r="10" spans="2:7" ht="47.25" x14ac:dyDescent="0.2">
      <c r="B10" s="25"/>
      <c r="C10" s="20" t="s">
        <v>5127</v>
      </c>
      <c r="D10" s="28"/>
    </row>
    <row r="11" spans="2:7" ht="31.5" x14ac:dyDescent="0.2">
      <c r="B11" s="25"/>
      <c r="C11" s="22" t="s">
        <v>5128</v>
      </c>
      <c r="D11" s="28"/>
    </row>
    <row r="12" spans="2:7" ht="47.25" x14ac:dyDescent="0.2">
      <c r="B12" s="25"/>
      <c r="C12" s="22" t="s">
        <v>5129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5130</v>
      </c>
      <c r="D14" s="28"/>
      <c r="E14" s="2"/>
    </row>
    <row r="15" spans="2:7" ht="31.5" x14ac:dyDescent="0.2">
      <c r="B15" s="25"/>
      <c r="C15" s="22" t="s">
        <v>5131</v>
      </c>
      <c r="D15" s="28"/>
      <c r="E15" s="4"/>
    </row>
    <row r="16" spans="2:7" ht="32.25" thickBot="1" x14ac:dyDescent="0.25">
      <c r="B16" s="26"/>
      <c r="C16" s="23" t="s">
        <v>5132</v>
      </c>
      <c r="D16" s="29"/>
      <c r="E16" s="4"/>
    </row>
    <row r="17" spans="2:7" x14ac:dyDescent="0.2">
      <c r="E17" s="4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5134</v>
      </c>
      <c r="C22" s="15" t="s">
        <v>5135</v>
      </c>
      <c r="D22" s="15" t="s">
        <v>5136</v>
      </c>
    </row>
    <row r="23" spans="2:7" ht="48" thickBot="1" x14ac:dyDescent="0.25">
      <c r="B23" s="14" t="s">
        <v>5137</v>
      </c>
      <c r="C23" s="15" t="s">
        <v>5138</v>
      </c>
      <c r="D23" s="15" t="s">
        <v>5139</v>
      </c>
    </row>
    <row r="24" spans="2:7" ht="48" thickBot="1" x14ac:dyDescent="0.25">
      <c r="B24" s="14" t="s">
        <v>5140</v>
      </c>
      <c r="C24" s="15" t="s">
        <v>5141</v>
      </c>
      <c r="D24" s="15" t="s">
        <v>5142</v>
      </c>
      <c r="G24" t="str">
        <f t="shared" ref="G24:G52" si="0">"&lt;dl&gt;&lt;dt&gt;" &amp; B24 &amp; "&lt;/dt&gt;&lt;dd&gt;" &amp; C24 &amp; "&lt;/dd&gt;&lt;dd&gt;" &amp; D24 &amp; "&lt;/dd&gt;&lt;/dl&gt;"</f>
        <v>&lt;dl&gt;&lt;dt&gt;虚无与失去​&lt;/dt&gt;&lt;dd&gt;性属虚无，主突然的失去、落空、不着边际。与地劫的“破耗”不同，天空是“空亡”，是化为乌有。&lt;/dd&gt;&lt;dd&gt;在田宅宫时，主家宅空旷或易失去房产；在六亲宫，主缘薄或失去。&lt;/dd&gt;&lt;/dl&gt;</v>
      </c>
    </row>
    <row r="25" spans="2:7" ht="32.25" thickBot="1" x14ac:dyDescent="0.25">
      <c r="B25" s="14" t="s">
        <v>3016</v>
      </c>
      <c r="C25" s="14" t="s">
        <v>5143</v>
      </c>
      <c r="D25" s="15" t="s">
        <v>2539</v>
      </c>
      <c r="G25" t="str">
        <f t="shared" si="0"/>
        <v>&lt;dl&gt;&lt;dt&gt;外貌气质​&lt;/dt&gt;&lt;dd&gt;相貌清秀或骨感，眼神空灵，气质脱俗，给人以不食人间烟火、难以捉摸的印象。&lt;/dd&gt;&lt;dd&gt;在命宫、身宫时显著。&lt;/dd&gt;&lt;/dl&gt;</v>
      </c>
    </row>
    <row r="26" spans="2:7" ht="31.5" x14ac:dyDescent="0.2">
      <c r="B26" s="24" t="s">
        <v>3017</v>
      </c>
      <c r="C26" s="19" t="s">
        <v>5144</v>
      </c>
      <c r="D26" s="27"/>
      <c r="G26" t="str">
        <f t="shared" si="0"/>
        <v>&lt;dl&gt;&lt;dt&gt;性格特质​&lt;/dt&gt;&lt;dd&gt;优点：悟性高，有灵感，淡泊名利，精神超脱，有创造性。&lt;/dd&gt;&lt;dd&gt;&lt;/dd&gt;&lt;/dl&gt;</v>
      </c>
    </row>
    <row r="27" spans="2:7" ht="32.25" thickBot="1" x14ac:dyDescent="0.25">
      <c r="B27" s="26"/>
      <c r="C27" s="21" t="s">
        <v>5145</v>
      </c>
      <c r="D27" s="29"/>
      <c r="G27" t="str">
        <f t="shared" si="0"/>
        <v>&lt;dl&gt;&lt;dt&gt;&lt;/dt&gt;&lt;dd&gt;缺点：不切实际，想法空泛，孤僻，不善理财，易有失落感。&lt;/dd&gt;&lt;dd&gt;&lt;/dd&gt;&lt;/dl&gt;</v>
      </c>
    </row>
    <row r="28" spans="2:7" ht="32.25" thickBot="1" x14ac:dyDescent="0.25">
      <c r="B28" s="14" t="s">
        <v>3419</v>
      </c>
      <c r="C28" s="15" t="s">
        <v>5146</v>
      </c>
      <c r="D28" s="15" t="s">
        <v>5147</v>
      </c>
      <c r="G28" t="str">
        <f t="shared" si="0"/>
        <v>&lt;dl&gt;&lt;dt&gt;健康方面​&lt;/dt&gt;&lt;dd&gt;主精神、神经系统。易有神经衰弱、失眠、臆想症等精神层面问题。&lt;/dd&gt;&lt;dd&gt;在疾厄宫时显现，尤其与阴煞、天巫同度时更验。&lt;/dd&gt;&lt;/dl&gt;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  <c r="E31" s="2"/>
    </row>
    <row r="32" spans="2:7" ht="16.5" thickBot="1" x14ac:dyDescent="0.25">
      <c r="B32" s="11"/>
      <c r="E32" s="4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4"/>
    </row>
    <row r="34" spans="2:7" ht="79.5" thickBot="1" x14ac:dyDescent="0.25">
      <c r="B34" s="14" t="s">
        <v>2930</v>
      </c>
      <c r="C34" s="15" t="s">
        <v>5148</v>
      </c>
      <c r="D34" s="15"/>
      <c r="E34" s="4"/>
    </row>
    <row r="35" spans="2:7" ht="16.5" thickBot="1" x14ac:dyDescent="0.25">
      <c r="B35" s="14" t="s">
        <v>2932</v>
      </c>
      <c r="C35" s="15" t="s">
        <v>5149</v>
      </c>
      <c r="D35" s="15"/>
      <c r="E35" s="4"/>
      <c r="G35" t="str">
        <f t="shared" si="0"/>
        <v>&lt;dl&gt;&lt;dt&gt;兄弟宫​&lt;/dt&gt;&lt;dd&gt;与兄弟姐妹缘薄，感情疏离，或实际往来少。&lt;/dd&gt;&lt;dd&gt;&lt;/dd&gt;&lt;/dl&gt;</v>
      </c>
    </row>
    <row r="36" spans="2:7" ht="32.25" thickBot="1" x14ac:dyDescent="0.25">
      <c r="B36" s="14" t="s">
        <v>2934</v>
      </c>
      <c r="C36" s="15" t="s">
        <v>5150</v>
      </c>
      <c r="D36" s="15"/>
      <c r="E36" s="4"/>
      <c r="G36" t="str">
        <f t="shared" si="0"/>
        <v>&lt;dl&gt;&lt;dt&gt;夫妻宫​&lt;/dt&gt;&lt;dd&gt;夫妻关系淡泊，精神交流多于物质，或配偶有精神追求。易有柏拉图式恋爱或晚婚。&lt;/dd&gt;&lt;dd&gt;&lt;/dd&gt;&lt;/dl&gt;</v>
      </c>
    </row>
    <row r="37" spans="2:7" ht="32.25" thickBot="1" x14ac:dyDescent="0.25">
      <c r="B37" s="14" t="s">
        <v>2936</v>
      </c>
      <c r="C37" s="15" t="s">
        <v>5151</v>
      </c>
      <c r="D37" s="15"/>
      <c r="G37" t="str">
        <f t="shared" si="0"/>
        <v>&lt;dl&gt;&lt;dt&gt;子女宫​&lt;/dt&gt;&lt;dd&gt;子女数量少，或子女有精神天赋，但缘分较淡。&lt;/dd&gt;&lt;dd&gt;&lt;/dd&gt;&lt;/dl&gt;</v>
      </c>
    </row>
    <row r="38" spans="2:7" ht="32.25" thickBot="1" x14ac:dyDescent="0.25">
      <c r="B38" s="14" t="s">
        <v>9</v>
      </c>
      <c r="C38" s="15" t="s">
        <v>5152</v>
      </c>
      <c r="D38" s="15"/>
      <c r="G38" t="str">
        <f t="shared" si="0"/>
        <v>&lt;dl&gt;&lt;dt&gt;财帛宫​&lt;/dt&gt;&lt;dd&gt;对钱财观念淡泊，不善理财，钱财易虚耗、计划落空。适合靠灵感、创意赚钱。&lt;/dd&gt;&lt;dd&gt;&lt;/dd&gt;&lt;/dl&gt;</v>
      </c>
    </row>
    <row r="39" spans="2:7" ht="32.25" thickBot="1" x14ac:dyDescent="0.25">
      <c r="B39" s="14" t="s">
        <v>10</v>
      </c>
      <c r="C39" s="14" t="s">
        <v>5153</v>
      </c>
      <c r="D39" s="15"/>
      <c r="G39" t="str">
        <f t="shared" si="0"/>
        <v>&lt;dl&gt;&lt;dt&gt;疾厄宫​&lt;/dt&gt;&lt;dd&gt;易有精神、神经系统方面的疾病，如失眠、神经衰弱。&lt;/dd&gt;&lt;dd&gt;&lt;/dd&gt;&lt;/dl&gt;</v>
      </c>
    </row>
    <row r="40" spans="2:7" ht="32.25" thickBot="1" x14ac:dyDescent="0.25">
      <c r="B40" s="14" t="s">
        <v>13</v>
      </c>
      <c r="C40" s="15" t="s">
        <v>5154</v>
      </c>
      <c r="D40" s="15"/>
      <c r="G40" t="str">
        <f t="shared" si="0"/>
        <v>&lt;dl&gt;&lt;dt&gt;迁移宫​&lt;/dt&gt;&lt;dd&gt;在外喜静，适合精神修行或独处，外出易有空虚感。&lt;/dd&gt;&lt;dd&gt;&lt;/dd&gt;&lt;/dl&gt;</v>
      </c>
    </row>
    <row r="41" spans="2:7" ht="32.25" thickBot="1" x14ac:dyDescent="0.25">
      <c r="B41" s="14" t="s">
        <v>3018</v>
      </c>
      <c r="C41" s="14" t="s">
        <v>5155</v>
      </c>
      <c r="D41" s="15"/>
      <c r="G41" t="str">
        <f t="shared" si="0"/>
        <v>&lt;dl&gt;&lt;dt&gt;交友宫（奴仆宫）​&lt;/dt&gt;&lt;dd&gt;朋友多为精神之交，淡泊实际利益，朋友少但精。&lt;/dd&gt;&lt;dd&gt;&lt;/dd&gt;&lt;/dl&gt;</v>
      </c>
    </row>
    <row r="42" spans="2:7" ht="48" thickBot="1" x14ac:dyDescent="0.25">
      <c r="B42" s="14" t="s">
        <v>3019</v>
      </c>
      <c r="C42" s="15" t="s">
        <v>5156</v>
      </c>
      <c r="D42" s="15"/>
      <c r="G42" t="str">
        <f t="shared" si="0"/>
        <v>&lt;dl&gt;&lt;dt&gt;官禄宫（事业宫）​&lt;/dt&gt;&lt;dd&gt;适合从事艺术、哲学、宗教、研究、创意等需要灵感的行业。事业成败常与灵感相关，不稳定。&lt;/dd&gt;&lt;dd&gt;&lt;/dd&gt;&lt;/dl&gt;</v>
      </c>
    </row>
    <row r="43" spans="2:7" ht="32.25" thickBot="1" x14ac:dyDescent="0.25">
      <c r="B43" s="14" t="s">
        <v>8</v>
      </c>
      <c r="C43" s="14" t="s">
        <v>5157</v>
      </c>
      <c r="D43" s="15"/>
      <c r="E43" s="2"/>
      <c r="G43" t="str">
        <f t="shared" si="0"/>
        <v>&lt;dl&gt;&lt;dt&gt;田宅宫​&lt;/dt&gt;&lt;dd&gt;家宅空旷、宁静，或房产易有变动、失去。喜居住于高处或安静之处。&lt;/dd&gt;&lt;dd&gt;&lt;/dd&gt;&lt;/dl&gt;</v>
      </c>
    </row>
    <row r="44" spans="2:7" ht="32.25" thickBot="1" x14ac:dyDescent="0.25">
      <c r="B44" s="14" t="s">
        <v>2945</v>
      </c>
      <c r="C44" s="15" t="s">
        <v>5158</v>
      </c>
      <c r="D44" s="15"/>
      <c r="E44" s="4"/>
    </row>
    <row r="45" spans="2:7" ht="32.25" thickBot="1" x14ac:dyDescent="0.25">
      <c r="B45" s="14" t="s">
        <v>11</v>
      </c>
      <c r="C45" s="15" t="s">
        <v>5159</v>
      </c>
      <c r="D45" s="15"/>
      <c r="E45" s="4"/>
    </row>
    <row r="46" spans="2:7" x14ac:dyDescent="0.2">
      <c r="E46" s="4"/>
    </row>
    <row r="47" spans="2:7" x14ac:dyDescent="0.2">
      <c r="E47" s="4"/>
    </row>
    <row r="48" spans="2:7" ht="17.25" x14ac:dyDescent="0.2">
      <c r="B48" s="5" t="s">
        <v>4689</v>
      </c>
    </row>
    <row r="49" spans="2:7" ht="16.5" thickBot="1" x14ac:dyDescent="0.25">
      <c r="B49" s="11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5160</v>
      </c>
      <c r="C51" s="14" t="s">
        <v>5161</v>
      </c>
      <c r="D51" s="15" t="s">
        <v>5162</v>
      </c>
      <c r="E51" s="2"/>
      <c r="G51" t="str">
        <f t="shared" si="0"/>
        <v>&lt;dl&gt;&lt;dt&gt;天空+紫微​&lt;/dt&gt;&lt;dd&gt;帝星遇空，权威与空灵结合，主思想超脱，有哲学王气质，但权力基础可能虚空。&lt;/dd&gt;&lt;dd&gt;哲学家国王；有远见但脱离实际的领袖。&lt;/dd&gt;&lt;/dl&gt;</v>
      </c>
    </row>
    <row r="52" spans="2:7" ht="32.25" thickBot="1" x14ac:dyDescent="0.25">
      <c r="B52" s="14" t="s">
        <v>5163</v>
      </c>
      <c r="C52" s="14" t="s">
        <v>5164</v>
      </c>
      <c r="D52" s="15" t="s">
        <v>5165</v>
      </c>
      <c r="E52" s="4"/>
      <c r="G52" t="str">
        <f t="shared" si="0"/>
        <v>&lt;dl&gt;&lt;dt&gt;天空+天机​&lt;/dt&gt;&lt;dd&gt;善星遇空，智谋与空灵结合，主思维天马行空，有惊人的灵感与创意，但计划易落空。&lt;/dd&gt;&lt;dd&gt;发明家；科幻作家。&lt;/dd&gt;&lt;/dl&gt;</v>
      </c>
    </row>
    <row r="53" spans="2:7" ht="32.25" thickBot="1" x14ac:dyDescent="0.25">
      <c r="B53" s="14" t="s">
        <v>5166</v>
      </c>
      <c r="C53" s="14" t="s">
        <v>5167</v>
      </c>
      <c r="D53" s="15" t="s">
        <v>5168</v>
      </c>
      <c r="E53" s="4"/>
    </row>
    <row r="54" spans="2:7" ht="48" thickBot="1" x14ac:dyDescent="0.25">
      <c r="B54" s="14" t="s">
        <v>5169</v>
      </c>
      <c r="C54" s="14" t="s">
        <v>5170</v>
      </c>
      <c r="D54" s="15" t="s">
        <v>5171</v>
      </c>
      <c r="E54" s="4"/>
    </row>
    <row r="55" spans="2:7" ht="32.25" thickBot="1" x14ac:dyDescent="0.25">
      <c r="B55" s="14" t="s">
        <v>5172</v>
      </c>
      <c r="C55" s="14" t="s">
        <v>5173</v>
      </c>
      <c r="D55" s="15" t="s">
        <v>5174</v>
      </c>
    </row>
    <row r="56" spans="2:7" ht="32.25" thickBot="1" x14ac:dyDescent="0.25">
      <c r="B56" s="14" t="s">
        <v>5175</v>
      </c>
      <c r="C56" s="14" t="s">
        <v>5176</v>
      </c>
      <c r="D56" s="15" t="s">
        <v>5177</v>
      </c>
    </row>
    <row r="57" spans="2:7" ht="48" thickBot="1" x14ac:dyDescent="0.25">
      <c r="B57" s="14" t="s">
        <v>5178</v>
      </c>
      <c r="C57" s="14" t="s">
        <v>5179</v>
      </c>
      <c r="D57" s="15" t="s">
        <v>5180</v>
      </c>
    </row>
    <row r="58" spans="2:7" ht="32.25" thickBot="1" x14ac:dyDescent="0.25">
      <c r="B58" s="14" t="s">
        <v>5181</v>
      </c>
      <c r="C58" s="14" t="s">
        <v>5182</v>
      </c>
      <c r="D58" s="15" t="s">
        <v>5183</v>
      </c>
    </row>
    <row r="59" spans="2:7" ht="32.25" thickBot="1" x14ac:dyDescent="0.25">
      <c r="B59" s="14" t="s">
        <v>5184</v>
      </c>
      <c r="C59" s="14" t="s">
        <v>5185</v>
      </c>
      <c r="D59" s="15" t="s">
        <v>5186</v>
      </c>
      <c r="E59" s="2"/>
    </row>
    <row r="60" spans="2:7" ht="32.25" thickBot="1" x14ac:dyDescent="0.25">
      <c r="B60" s="14" t="s">
        <v>5187</v>
      </c>
      <c r="C60" s="14" t="s">
        <v>5188</v>
      </c>
      <c r="D60" s="15" t="s">
        <v>5189</v>
      </c>
      <c r="E60" s="4"/>
    </row>
    <row r="61" spans="2:7" ht="32.25" thickBot="1" x14ac:dyDescent="0.25">
      <c r="B61" s="14" t="s">
        <v>5190</v>
      </c>
      <c r="C61" s="14" t="s">
        <v>5191</v>
      </c>
      <c r="D61" s="15" t="s">
        <v>5192</v>
      </c>
      <c r="E61" s="4"/>
    </row>
    <row r="62" spans="2:7" ht="32.25" thickBot="1" x14ac:dyDescent="0.25">
      <c r="B62" s="14" t="s">
        <v>5193</v>
      </c>
      <c r="C62" s="14" t="s">
        <v>5194</v>
      </c>
      <c r="D62" s="15" t="s">
        <v>5195</v>
      </c>
      <c r="E62" s="4"/>
    </row>
    <row r="63" spans="2:7" ht="32.25" thickBot="1" x14ac:dyDescent="0.25">
      <c r="B63" s="14" t="s">
        <v>5196</v>
      </c>
      <c r="C63" s="14" t="s">
        <v>5197</v>
      </c>
      <c r="D63" s="15" t="s">
        <v>5198</v>
      </c>
      <c r="E63" s="4"/>
    </row>
    <row r="64" spans="2:7" ht="32.25" thickBot="1" x14ac:dyDescent="0.25">
      <c r="B64" s="14" t="s">
        <v>5199</v>
      </c>
      <c r="C64" s="14" t="s">
        <v>5200</v>
      </c>
      <c r="D64" s="15" t="s">
        <v>5201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5202</v>
      </c>
    </row>
    <row r="70" spans="2:2" x14ac:dyDescent="0.2">
      <c r="B70" s="7" t="s">
        <v>5203</v>
      </c>
    </row>
    <row r="71" spans="2:2" x14ac:dyDescent="0.2">
      <c r="B71" s="7" t="s">
        <v>5204</v>
      </c>
    </row>
    <row r="72" spans="2:2" x14ac:dyDescent="0.2">
      <c r="B72" s="7" t="s">
        <v>5205</v>
      </c>
    </row>
    <row r="73" spans="2:2" x14ac:dyDescent="0.2">
      <c r="B73" s="7" t="s">
        <v>5206</v>
      </c>
    </row>
    <row r="74" spans="2:2" x14ac:dyDescent="0.2">
      <c r="B74" s="7" t="s">
        <v>5207</v>
      </c>
    </row>
    <row r="75" spans="2:2" x14ac:dyDescent="0.2">
      <c r="B75" s="7" t="s">
        <v>5208</v>
      </c>
    </row>
    <row r="76" spans="2:2" x14ac:dyDescent="0.2">
      <c r="B76" s="7" t="s">
        <v>5209</v>
      </c>
    </row>
    <row r="77" spans="2:2" x14ac:dyDescent="0.2">
      <c r="B77" s="6"/>
    </row>
    <row r="78" spans="2:2" x14ac:dyDescent="0.2">
      <c r="B78" s="6" t="s">
        <v>5210</v>
      </c>
    </row>
    <row r="79" spans="2:2" x14ac:dyDescent="0.2">
      <c r="B79" s="7" t="s">
        <v>2521</v>
      </c>
    </row>
    <row r="80" spans="2:2" x14ac:dyDescent="0.2">
      <c r="B80" s="9" t="s">
        <v>82</v>
      </c>
    </row>
    <row r="81" spans="2:2" x14ac:dyDescent="0.2">
      <c r="B81" s="7" t="s">
        <v>83</v>
      </c>
    </row>
    <row r="82" spans="2:2" x14ac:dyDescent="0.2">
      <c r="B82" s="6"/>
    </row>
    <row r="83" spans="2:2" x14ac:dyDescent="0.2">
      <c r="B83" s="18" t="s">
        <v>84</v>
      </c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17A7-9284-4A4A-B145-4135C78FBE5F}">
  <dimension ref="B1:G79"/>
  <sheetViews>
    <sheetView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5211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地劫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2518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5212</v>
      </c>
      <c r="D7" s="15" t="s">
        <v>5213</v>
      </c>
    </row>
    <row r="8" spans="2:7" ht="78.75" x14ac:dyDescent="0.2">
      <c r="B8" s="24" t="s">
        <v>2914</v>
      </c>
      <c r="C8" s="19" t="s">
        <v>5214</v>
      </c>
      <c r="D8" s="27" t="s">
        <v>5222</v>
      </c>
    </row>
    <row r="9" spans="2:7" ht="78.75" x14ac:dyDescent="0.2">
      <c r="B9" s="25"/>
      <c r="C9" s="20" t="s">
        <v>5215</v>
      </c>
      <c r="D9" s="28"/>
    </row>
    <row r="10" spans="2:7" ht="47.25" x14ac:dyDescent="0.2">
      <c r="B10" s="25"/>
      <c r="C10" s="20" t="s">
        <v>5216</v>
      </c>
      <c r="D10" s="28"/>
    </row>
    <row r="11" spans="2:7" ht="31.5" x14ac:dyDescent="0.2">
      <c r="B11" s="25"/>
      <c r="C11" s="22" t="s">
        <v>5217</v>
      </c>
      <c r="D11" s="28"/>
    </row>
    <row r="12" spans="2:7" ht="47.25" x14ac:dyDescent="0.2">
      <c r="B12" s="25"/>
      <c r="C12" s="22" t="s">
        <v>5218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5219</v>
      </c>
      <c r="D14" s="28"/>
    </row>
    <row r="15" spans="2:7" ht="31.5" x14ac:dyDescent="0.2">
      <c r="B15" s="25"/>
      <c r="C15" s="22" t="s">
        <v>5220</v>
      </c>
      <c r="D15" s="28"/>
    </row>
    <row r="16" spans="2:7" ht="32.25" thickBot="1" x14ac:dyDescent="0.25">
      <c r="B16" s="26"/>
      <c r="C16" s="23" t="s">
        <v>5221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  <c r="G21" t="str">
        <f t="shared" ref="G21:G49" si="0">"&lt;dl&gt;&lt;dt&gt;" &amp; B21 &amp; "&lt;/dt&gt;&lt;dd&gt;" &amp; C21 &amp; "&lt;/dd&gt;&lt;dd&gt;" &amp; D21 &amp; "&lt;/dd&gt;&lt;/dl&gt;"</f>
        <v>&lt;dl&gt;&lt;dt&gt;场景​&lt;/dt&gt;&lt;dd&gt;具体象义​&lt;/dd&gt;&lt;dd&gt;典型案例/说明​&lt;/dd&gt;&lt;/dl&gt;</v>
      </c>
    </row>
    <row r="22" spans="2:7" ht="48" thickBot="1" x14ac:dyDescent="0.25">
      <c r="B22" s="14" t="s">
        <v>5223</v>
      </c>
      <c r="C22" s="15" t="s">
        <v>5224</v>
      </c>
      <c r="D22" s="15" t="s">
        <v>5225</v>
      </c>
      <c r="G22" t="str">
        <f t="shared" si="0"/>
        <v>&lt;dl&gt;&lt;dt&gt;劫煞与破耗​&lt;/dt&gt;&lt;dd&gt;核心为“劫”，代表破耗、损失、缺陷。是六煞星之一，主物质、事业、感情等方面的损耗与缺失。&lt;/dd&gt;&lt;dd&gt;在命宫、财帛宫时，主钱财破耗，事业起伏，人生多有缺憾。&lt;/dd&gt;&lt;/dl&gt;</v>
      </c>
    </row>
    <row r="23" spans="2:7" ht="48" thickBot="1" x14ac:dyDescent="0.25">
      <c r="B23" s="14" t="s">
        <v>5226</v>
      </c>
      <c r="C23" s="15" t="s">
        <v>5227</v>
      </c>
      <c r="D23" s="15" t="s">
        <v>5228</v>
      </c>
      <c r="G23" t="str">
        <f t="shared" si="0"/>
        <v>&lt;dl&gt;&lt;dt&gt;波动与冒险​&lt;/dt&gt;&lt;dd&gt;为“波动之星”，代表起伏、冒险、投机、不守成规。能带来非常规机会，但也伴随巨大风险。&lt;/dd&gt;&lt;dd&gt;在迁移宫、官禄宫时，主人生变动大，喜冒险投机，事业大起大落。&lt;/dd&gt;&lt;/dl&gt;</v>
      </c>
    </row>
    <row r="24" spans="2:7" ht="48" thickBot="1" x14ac:dyDescent="0.25">
      <c r="B24" s="14" t="s">
        <v>5229</v>
      </c>
      <c r="C24" s="15" t="s">
        <v>5230</v>
      </c>
      <c r="D24" s="15" t="s">
        <v>5231</v>
      </c>
      <c r="G24" t="str">
        <f t="shared" si="0"/>
        <v>&lt;dl&gt;&lt;dt&gt;缺陷与独特性​&lt;/dt&gt;&lt;dd&gt;性属缺陷、独特性，主事物不完美、有瑕疵，但也因此独特。&lt;/dd&gt;&lt;dd&gt;在夫妻宫时，感情易有缺憾；在官禄宫，可能从事冷门或带缺陷美的行业。&lt;/dd&gt;&lt;/dl&gt;</v>
      </c>
    </row>
    <row r="25" spans="2:7" ht="48" thickBot="1" x14ac:dyDescent="0.25">
      <c r="B25" s="14" t="s">
        <v>3016</v>
      </c>
      <c r="C25" s="14" t="s">
        <v>5232</v>
      </c>
      <c r="D25" s="15" t="s">
        <v>2539</v>
      </c>
      <c r="G25" t="str">
        <f t="shared" si="0"/>
        <v>&lt;dl&gt;&lt;dt&gt;外貌气质​&lt;/dt&gt;&lt;dd&gt;相貌有独特之处，可能带有瑕疵（如胎记、疤痕），或气质孤高、叛逆，给人以与众不同、难以捉摸的印象。&lt;/dd&gt;&lt;dd&gt;在命宫、身宫时显著。&lt;/dd&gt;&lt;/dl&gt;</v>
      </c>
    </row>
    <row r="26" spans="2:7" ht="31.5" x14ac:dyDescent="0.2">
      <c r="B26" s="24" t="s">
        <v>3017</v>
      </c>
      <c r="C26" s="19" t="s">
        <v>5233</v>
      </c>
      <c r="D26" s="27"/>
      <c r="G26" t="str">
        <f t="shared" si="0"/>
        <v>&lt;dl&gt;&lt;dt&gt;性格特质​&lt;/dt&gt;&lt;dd&gt;优点：敢于冒险，不墨守成规，有独特想法，创造力强。&lt;/dd&gt;&lt;dd&gt;&lt;/dd&gt;&lt;/dl&gt;</v>
      </c>
    </row>
    <row r="27" spans="2:7" ht="32.25" thickBot="1" x14ac:dyDescent="0.25">
      <c r="B27" s="26"/>
      <c r="C27" s="21" t="s">
        <v>5234</v>
      </c>
      <c r="D27" s="29"/>
    </row>
    <row r="28" spans="2:7" ht="32.25" thickBot="1" x14ac:dyDescent="0.25">
      <c r="B28" s="14" t="s">
        <v>3419</v>
      </c>
      <c r="C28" s="15" t="s">
        <v>5235</v>
      </c>
      <c r="D28" s="15" t="s">
        <v>5236</v>
      </c>
    </row>
    <row r="31" spans="2:7" ht="17.25" x14ac:dyDescent="0.2">
      <c r="B31" s="5" t="s">
        <v>102</v>
      </c>
    </row>
    <row r="32" spans="2:7" ht="16.5" thickBot="1" x14ac:dyDescent="0.25">
      <c r="B32" s="11"/>
      <c r="G32" t="str">
        <f t="shared" si="0"/>
        <v>&lt;dl&gt;&lt;dt&gt;&lt;/dt&gt;&lt;dd&gt;&lt;/dd&gt;&lt;dd&gt;&lt;/dd&gt;&lt;/dl&gt;</v>
      </c>
    </row>
    <row r="33" spans="2:7" ht="16.5" thickBot="1" x14ac:dyDescent="0.25">
      <c r="B33" s="12" t="s">
        <v>6</v>
      </c>
      <c r="C33" s="12" t="s">
        <v>107</v>
      </c>
      <c r="D33" s="12" t="s">
        <v>7</v>
      </c>
      <c r="G33" t="str">
        <f t="shared" si="0"/>
        <v>&lt;dl&gt;&lt;dt&gt;宫位​&lt;/dt&gt;&lt;dd&gt;具体象义​&lt;/dd&gt;&lt;dd&gt;文献依据​&lt;/dd&gt;&lt;/dl&gt;</v>
      </c>
    </row>
    <row r="34" spans="2:7" ht="63.75" thickBot="1" x14ac:dyDescent="0.25">
      <c r="B34" s="14" t="s">
        <v>2930</v>
      </c>
      <c r="C34" s="15" t="s">
        <v>5237</v>
      </c>
      <c r="D34" s="15"/>
      <c r="G34" t="str">
        <f t="shared" si="0"/>
        <v>&lt;dl&gt;&lt;dt&gt;命宫​&lt;/dt&gt;&lt;dd&gt;为人聪明但波动，喜冒险投机，一生多成多败，钱财破耗大。喜与吉星或特殊主星同度，则“以劫为变”，成冒险家、发明家；忌独坐或与凶星同度，则“劫耗一生”，多破败。&lt;/dd&gt;&lt;dd&gt;&lt;/dd&gt;&lt;/dl&gt;</v>
      </c>
    </row>
    <row r="35" spans="2:7" ht="32.25" thickBot="1" x14ac:dyDescent="0.25">
      <c r="B35" s="14" t="s">
        <v>2932</v>
      </c>
      <c r="C35" s="15" t="s">
        <v>5238</v>
      </c>
      <c r="D35" s="15"/>
      <c r="G35" t="str">
        <f t="shared" si="0"/>
        <v>&lt;dl&gt;&lt;dt&gt;兄弟宫​&lt;/dt&gt;&lt;dd&gt;与兄弟姐妹缘薄，或关系疏远有隔阂，易有物质上的损耗。&lt;/dd&gt;&lt;dd&gt;&lt;/dd&gt;&lt;/dl&gt;</v>
      </c>
    </row>
    <row r="36" spans="2:7" ht="32.25" thickBot="1" x14ac:dyDescent="0.25">
      <c r="B36" s="14" t="s">
        <v>2934</v>
      </c>
      <c r="C36" s="15" t="s">
        <v>5239</v>
      </c>
      <c r="D36" s="15"/>
      <c r="G36" t="str">
        <f t="shared" si="0"/>
        <v>&lt;dl&gt;&lt;dt&gt;夫妻宫​&lt;/dt&gt;&lt;dd&gt;夫妻关系不稳定，易有波折或分离，感情有缺憾。配偶可能有独特个性或从事特殊行业。&lt;/dd&gt;&lt;dd&gt;&lt;/dd&gt;&lt;/dl&gt;</v>
      </c>
    </row>
    <row r="37" spans="2:7" ht="16.5" thickBot="1" x14ac:dyDescent="0.25">
      <c r="B37" s="14" t="s">
        <v>2936</v>
      </c>
      <c r="C37" s="15" t="s">
        <v>5240</v>
      </c>
      <c r="D37" s="15"/>
      <c r="G37" t="str">
        <f t="shared" si="0"/>
        <v>&lt;dl&gt;&lt;dt&gt;子女宫​&lt;/dt&gt;&lt;dd&gt;子女数量少或有损，子女个性独特叛逆。&lt;/dd&gt;&lt;dd&gt;&lt;/dd&gt;&lt;/dl&gt;</v>
      </c>
    </row>
    <row r="38" spans="2:7" ht="48" thickBot="1" x14ac:dyDescent="0.25">
      <c r="B38" s="14" t="s">
        <v>9</v>
      </c>
      <c r="C38" s="15" t="s">
        <v>5241</v>
      </c>
      <c r="D38" s="15"/>
      <c r="G38" t="str">
        <f t="shared" si="0"/>
        <v>&lt;dl&gt;&lt;dt&gt;财帛宫​&lt;/dt&gt;&lt;dd&gt;钱财大进大出，破耗严重，易因投机、冒险损财。适合风险投资、冷门行业求财，但波动极大。&lt;/dd&gt;&lt;dd&gt;&lt;/dd&gt;&lt;/dl&gt;</v>
      </c>
    </row>
    <row r="39" spans="2:7" ht="32.25" thickBot="1" x14ac:dyDescent="0.25">
      <c r="B39" s="14" t="s">
        <v>10</v>
      </c>
      <c r="C39" s="14" t="s">
        <v>5242</v>
      </c>
      <c r="D39" s="15"/>
      <c r="G39" t="str">
        <f t="shared" si="0"/>
        <v>&lt;dl&gt;&lt;dt&gt;疾厄宫​&lt;/dt&gt;&lt;dd&gt;易有先天性缺陷、循环系统疾病、突发性病症。&lt;/dd&gt;&lt;dd&gt;&lt;/dd&gt;&lt;/dl&gt;</v>
      </c>
    </row>
    <row r="40" spans="2:7" ht="32.25" thickBot="1" x14ac:dyDescent="0.25">
      <c r="B40" s="14" t="s">
        <v>13</v>
      </c>
      <c r="C40" s="15" t="s">
        <v>5243</v>
      </c>
      <c r="D40" s="15"/>
      <c r="G40" t="str">
        <f t="shared" si="0"/>
        <v>&lt;dl&gt;&lt;dt&gt;迁移宫​&lt;/dt&gt;&lt;dd&gt;在外发展起伏大，易遇突发变故、损失，适合冒险性、流动性强的工作。&lt;/dd&gt;&lt;dd&gt;&lt;/dd&gt;&lt;/dl&gt;</v>
      </c>
    </row>
    <row r="41" spans="2:7" ht="32.25" thickBot="1" x14ac:dyDescent="0.25">
      <c r="B41" s="14" t="s">
        <v>3018</v>
      </c>
      <c r="C41" s="14" t="s">
        <v>5244</v>
      </c>
      <c r="D41" s="15"/>
    </row>
    <row r="42" spans="2:7" ht="32.25" thickBot="1" x14ac:dyDescent="0.25">
      <c r="B42" s="14" t="s">
        <v>3019</v>
      </c>
      <c r="C42" s="15" t="s">
        <v>5245</v>
      </c>
      <c r="D42" s="15"/>
    </row>
    <row r="43" spans="2:7" ht="32.25" thickBot="1" x14ac:dyDescent="0.25">
      <c r="B43" s="14" t="s">
        <v>8</v>
      </c>
      <c r="C43" s="14" t="s">
        <v>5246</v>
      </c>
      <c r="D43" s="15"/>
    </row>
    <row r="44" spans="2:7" ht="32.25" thickBot="1" x14ac:dyDescent="0.25">
      <c r="B44" s="14" t="s">
        <v>2945</v>
      </c>
      <c r="C44" s="15" t="s">
        <v>5247</v>
      </c>
      <c r="D44" s="15"/>
    </row>
    <row r="45" spans="2:7" ht="32.25" thickBot="1" x14ac:dyDescent="0.25">
      <c r="B45" s="14" t="s">
        <v>11</v>
      </c>
      <c r="C45" s="15" t="s">
        <v>5248</v>
      </c>
      <c r="D45" s="15"/>
    </row>
    <row r="46" spans="2:7" x14ac:dyDescent="0.2">
      <c r="G46" t="str">
        <f t="shared" si="0"/>
        <v>&lt;dl&gt;&lt;dt&gt;&lt;/dt&gt;&lt;dd&gt;&lt;/dd&gt;&lt;dd&gt;&lt;/dd&gt;&lt;/dl&gt;</v>
      </c>
    </row>
    <row r="47" spans="2:7" x14ac:dyDescent="0.2">
      <c r="G47" t="str">
        <f t="shared" si="0"/>
        <v>&lt;dl&gt;&lt;dt&gt;&lt;/dt&gt;&lt;dd&gt;&lt;/dd&gt;&lt;dd&gt;&lt;/dd&gt;&lt;/dl&gt;</v>
      </c>
    </row>
    <row r="48" spans="2:7" ht="17.25" x14ac:dyDescent="0.2">
      <c r="B48" s="5" t="s">
        <v>4689</v>
      </c>
      <c r="G48" t="str">
        <f t="shared" si="0"/>
        <v>&lt;dl&gt;&lt;dt&gt;四、与主星组合象义（关键增强效应）&lt;/dt&gt;&lt;dd&gt;&lt;/dd&gt;&lt;dd&gt;&lt;/dd&gt;&lt;/dl&gt;</v>
      </c>
    </row>
    <row r="49" spans="2:7" ht="16.5" thickBot="1" x14ac:dyDescent="0.25">
      <c r="B49" s="11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</row>
    <row r="51" spans="2:7" ht="32.25" thickBot="1" x14ac:dyDescent="0.25">
      <c r="B51" s="14" t="s">
        <v>5249</v>
      </c>
      <c r="C51" s="14" t="s">
        <v>5250</v>
      </c>
      <c r="D51" s="15" t="s">
        <v>5251</v>
      </c>
    </row>
    <row r="52" spans="2:7" ht="32.25" thickBot="1" x14ac:dyDescent="0.25">
      <c r="B52" s="14" t="s">
        <v>5252</v>
      </c>
      <c r="C52" s="14" t="s">
        <v>5253</v>
      </c>
      <c r="D52" s="15" t="s">
        <v>5254</v>
      </c>
    </row>
    <row r="53" spans="2:7" ht="32.25" thickBot="1" x14ac:dyDescent="0.25">
      <c r="B53" s="14" t="s">
        <v>5255</v>
      </c>
      <c r="C53" s="14" t="s">
        <v>5256</v>
      </c>
      <c r="D53" s="15" t="s">
        <v>5257</v>
      </c>
    </row>
    <row r="54" spans="2:7" ht="32.25" thickBot="1" x14ac:dyDescent="0.25">
      <c r="B54" s="14" t="s">
        <v>5258</v>
      </c>
      <c r="C54" s="14" t="s">
        <v>5259</v>
      </c>
      <c r="D54" s="15" t="s">
        <v>5260</v>
      </c>
    </row>
    <row r="55" spans="2:7" ht="32.25" thickBot="1" x14ac:dyDescent="0.25">
      <c r="B55" s="14" t="s">
        <v>5261</v>
      </c>
      <c r="C55" s="14" t="s">
        <v>5262</v>
      </c>
      <c r="D55" s="15" t="s">
        <v>5263</v>
      </c>
    </row>
    <row r="56" spans="2:7" ht="32.25" thickBot="1" x14ac:dyDescent="0.25">
      <c r="B56" s="14" t="s">
        <v>5264</v>
      </c>
      <c r="C56" s="14" t="s">
        <v>5265</v>
      </c>
      <c r="D56" s="15" t="s">
        <v>5266</v>
      </c>
    </row>
    <row r="57" spans="2:7" ht="32.25" thickBot="1" x14ac:dyDescent="0.25">
      <c r="B57" s="14" t="s">
        <v>5267</v>
      </c>
      <c r="C57" s="14" t="s">
        <v>5268</v>
      </c>
      <c r="D57" s="15" t="s">
        <v>5269</v>
      </c>
    </row>
    <row r="58" spans="2:7" ht="32.25" thickBot="1" x14ac:dyDescent="0.25">
      <c r="B58" s="14" t="s">
        <v>5270</v>
      </c>
      <c r="C58" s="14" t="s">
        <v>5271</v>
      </c>
      <c r="D58" s="15" t="s">
        <v>5272</v>
      </c>
    </row>
    <row r="59" spans="2:7" ht="32.25" thickBot="1" x14ac:dyDescent="0.25">
      <c r="B59" s="14" t="s">
        <v>5273</v>
      </c>
      <c r="C59" s="14" t="s">
        <v>5274</v>
      </c>
      <c r="D59" s="15" t="s">
        <v>5275</v>
      </c>
    </row>
    <row r="60" spans="2:7" ht="32.25" thickBot="1" x14ac:dyDescent="0.25">
      <c r="B60" s="14" t="s">
        <v>5276</v>
      </c>
      <c r="C60" s="14" t="s">
        <v>5277</v>
      </c>
      <c r="D60" s="15" t="s">
        <v>5278</v>
      </c>
    </row>
    <row r="61" spans="2:7" ht="32.25" thickBot="1" x14ac:dyDescent="0.25">
      <c r="B61" s="14" t="s">
        <v>5279</v>
      </c>
      <c r="C61" s="14" t="s">
        <v>5280</v>
      </c>
      <c r="D61" s="15" t="s">
        <v>5281</v>
      </c>
    </row>
    <row r="62" spans="2:7" ht="32.25" thickBot="1" x14ac:dyDescent="0.25">
      <c r="B62" s="14" t="s">
        <v>5282</v>
      </c>
      <c r="C62" s="14" t="s">
        <v>5283</v>
      </c>
      <c r="D62" s="15" t="s">
        <v>5284</v>
      </c>
    </row>
    <row r="63" spans="2:7" ht="32.25" thickBot="1" x14ac:dyDescent="0.25">
      <c r="B63" s="14" t="s">
        <v>5285</v>
      </c>
      <c r="C63" s="14" t="s">
        <v>5286</v>
      </c>
      <c r="D63" s="15" t="s">
        <v>5287</v>
      </c>
    </row>
    <row r="64" spans="2:7" ht="32.25" thickBot="1" x14ac:dyDescent="0.25">
      <c r="B64" s="14" t="s">
        <v>5288</v>
      </c>
      <c r="C64" s="14" t="s">
        <v>5289</v>
      </c>
      <c r="D64" s="15" t="s">
        <v>5290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5291</v>
      </c>
    </row>
    <row r="70" spans="2:2" x14ac:dyDescent="0.2">
      <c r="B70" s="7" t="s">
        <v>5292</v>
      </c>
    </row>
    <row r="71" spans="2:2" x14ac:dyDescent="0.2">
      <c r="B71" s="7" t="s">
        <v>5293</v>
      </c>
    </row>
    <row r="72" spans="2:2" x14ac:dyDescent="0.2">
      <c r="B72" s="7" t="s">
        <v>5294</v>
      </c>
    </row>
    <row r="73" spans="2:2" x14ac:dyDescent="0.2">
      <c r="B73" s="7" t="s">
        <v>5295</v>
      </c>
    </row>
    <row r="74" spans="2:2" x14ac:dyDescent="0.2">
      <c r="B74" s="7" t="s">
        <v>5296</v>
      </c>
    </row>
    <row r="75" spans="2:2" x14ac:dyDescent="0.2">
      <c r="B75" s="7" t="s">
        <v>5297</v>
      </c>
    </row>
    <row r="76" spans="2:2" x14ac:dyDescent="0.2">
      <c r="B76" s="7" t="s">
        <v>5298</v>
      </c>
    </row>
    <row r="77" spans="2:2" x14ac:dyDescent="0.2">
      <c r="B77" s="6"/>
    </row>
    <row r="78" spans="2:2" x14ac:dyDescent="0.2">
      <c r="B78" s="6" t="s">
        <v>5299</v>
      </c>
    </row>
    <row r="79" spans="2:2" x14ac:dyDescent="0.2">
      <c r="B79" s="7" t="s">
        <v>2520</v>
      </c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835EA-8023-4EC2-BC52-EEE184C36896}">
  <dimension ref="B1:G82"/>
  <sheetViews>
    <sheetView topLeftCell="A7" zoomScaleNormal="100" workbookViewId="0">
      <selection activeCell="C9" sqref="C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5300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火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2516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5301</v>
      </c>
      <c r="D7" s="15" t="s">
        <v>5302</v>
      </c>
    </row>
    <row r="8" spans="2:7" ht="78.75" x14ac:dyDescent="0.2">
      <c r="B8" s="24" t="s">
        <v>2914</v>
      </c>
      <c r="C8" s="19" t="s">
        <v>5303</v>
      </c>
      <c r="D8" s="27" t="s">
        <v>5311</v>
      </c>
    </row>
    <row r="9" spans="2:7" ht="78.75" x14ac:dyDescent="0.2">
      <c r="B9" s="25"/>
      <c r="C9" s="20" t="s">
        <v>5304</v>
      </c>
      <c r="D9" s="28"/>
    </row>
    <row r="10" spans="2:7" ht="47.25" x14ac:dyDescent="0.2">
      <c r="B10" s="25"/>
      <c r="C10" s="20" t="s">
        <v>5305</v>
      </c>
      <c r="D10" s="28"/>
    </row>
    <row r="11" spans="2:7" ht="31.5" x14ac:dyDescent="0.2">
      <c r="B11" s="25"/>
      <c r="C11" s="22" t="s">
        <v>5306</v>
      </c>
      <c r="D11" s="28"/>
    </row>
    <row r="12" spans="2:7" ht="47.25" x14ac:dyDescent="0.2">
      <c r="B12" s="25"/>
      <c r="C12" s="22" t="s">
        <v>5307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5308</v>
      </c>
      <c r="D14" s="28"/>
    </row>
    <row r="15" spans="2:7" ht="31.5" x14ac:dyDescent="0.2">
      <c r="B15" s="25"/>
      <c r="C15" s="22" t="s">
        <v>5309</v>
      </c>
      <c r="D15" s="28"/>
    </row>
    <row r="16" spans="2:7" ht="32.25" thickBot="1" x14ac:dyDescent="0.25">
      <c r="B16" s="26"/>
      <c r="C16" s="23" t="s">
        <v>5310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5312</v>
      </c>
      <c r="C22" s="15" t="s">
        <v>5313</v>
      </c>
      <c r="D22" s="15" t="s">
        <v>5314</v>
      </c>
    </row>
    <row r="23" spans="2:7" ht="32.25" thickBot="1" x14ac:dyDescent="0.25">
      <c r="B23" s="14" t="s">
        <v>5315</v>
      </c>
      <c r="C23" s="15" t="s">
        <v>5316</v>
      </c>
      <c r="D23" s="15" t="s">
        <v>5317</v>
      </c>
      <c r="E23" s="12"/>
    </row>
    <row r="24" spans="2:7" ht="32.25" thickBot="1" x14ac:dyDescent="0.25">
      <c r="B24" s="14" t="s">
        <v>5318</v>
      </c>
      <c r="C24" s="15" t="s">
        <v>5319</v>
      </c>
      <c r="D24" s="15" t="s">
        <v>5320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&lt;dl&gt;&lt;dt&gt;竞争与活力​&lt;/dt&gt;&lt;dd&gt;性属竞争、活力，主好胜心强，精力旺盛，行动迅速。&lt;/dd&gt;&lt;dd&gt;在官禄宫、财帛宫时，主事业上勇于竞争，但易因急躁出错。&lt;/dd&gt;&lt;/dl&gt;</v>
      </c>
    </row>
    <row r="25" spans="2:7" ht="32.25" thickBot="1" x14ac:dyDescent="0.25">
      <c r="B25" s="14" t="s">
        <v>3016</v>
      </c>
      <c r="C25" s="14" t="s">
        <v>5321</v>
      </c>
      <c r="D25" s="15" t="s">
        <v>2539</v>
      </c>
      <c r="E25" s="15"/>
      <c r="G25" t="str">
        <f t="shared" si="0"/>
        <v>&lt;dl&gt;&lt;dt&gt;外貌气质​&lt;/dt&gt;&lt;dd&gt;相貌带威，面色红润，眼神锐利，动作迅速，给人以急躁、有冲劲的印象。&lt;/dd&gt;&lt;dd&gt;在命宫、身宫时显著。&lt;/dd&gt;&lt;/dl&gt;</v>
      </c>
    </row>
    <row r="26" spans="2:7" ht="32.25" thickBot="1" x14ac:dyDescent="0.25">
      <c r="B26" s="24" t="s">
        <v>3017</v>
      </c>
      <c r="C26" s="19" t="s">
        <v>5322</v>
      </c>
      <c r="D26" s="27"/>
      <c r="E26" s="15"/>
      <c r="G26" t="str">
        <f t="shared" si="0"/>
        <v>&lt;dl&gt;&lt;dt&gt;性格特质​&lt;/dt&gt;&lt;dd&gt;优点：行动力强，有冲劲，反应快，竞争意识强，有激情。&lt;/dd&gt;&lt;dd&gt;&lt;/dd&gt;&lt;/dl&gt;</v>
      </c>
    </row>
    <row r="27" spans="2:7" ht="32.25" thickBot="1" x14ac:dyDescent="0.25">
      <c r="B27" s="26"/>
      <c r="C27" s="21" t="s">
        <v>5323</v>
      </c>
      <c r="D27" s="29"/>
      <c r="E27" s="15"/>
      <c r="G27" t="str">
        <f t="shared" si="0"/>
        <v>&lt;dl&gt;&lt;dt&gt;&lt;/dt&gt;&lt;dd&gt;缺点：急躁易怒，缺乏耐心，好争斗，不计后果，破坏性强。&lt;/dd&gt;&lt;dd&gt;&lt;/dd&gt;&lt;/dl&gt;</v>
      </c>
    </row>
    <row r="28" spans="2:7" ht="32.25" thickBot="1" x14ac:dyDescent="0.25">
      <c r="B28" s="14" t="s">
        <v>3419</v>
      </c>
      <c r="C28" s="15" t="s">
        <v>5324</v>
      </c>
      <c r="D28" s="15" t="s">
        <v>5325</v>
      </c>
      <c r="E28" s="15"/>
      <c r="G28" t="str">
        <f t="shared" si="0"/>
        <v>&lt;dl&gt;&lt;dt&gt;健康方面​&lt;/dt&gt;&lt;dd&gt;属阳火，主血液循环、心脏、发烧。易有高血压、心脏病、急性炎症、发烧、意外烧伤等。&lt;/dd&gt;&lt;dd&gt;在疾厄宫时显现，尤其与擎羊、铃星同度时更验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63.75" thickBot="1" x14ac:dyDescent="0.25">
      <c r="B34" s="14" t="s">
        <v>2930</v>
      </c>
      <c r="C34" s="15" t="s">
        <v>5326</v>
      </c>
      <c r="D34" s="15"/>
      <c r="E34" s="12"/>
    </row>
    <row r="35" spans="2:7" ht="16.5" thickBot="1" x14ac:dyDescent="0.25">
      <c r="B35" s="14" t="s">
        <v>2932</v>
      </c>
      <c r="C35" s="15" t="s">
        <v>5327</v>
      </c>
      <c r="D35" s="15"/>
      <c r="E35" s="15"/>
      <c r="G35" t="str">
        <f t="shared" si="0"/>
        <v>&lt;dl&gt;&lt;dt&gt;兄弟宫​&lt;/dt&gt;&lt;dd&gt;与兄弟姐妹易有激烈争执，关系紧张。&lt;/dd&gt;&lt;dd&gt;&lt;/dd&gt;&lt;/dl&gt;</v>
      </c>
    </row>
    <row r="36" spans="2:7" ht="32.25" thickBot="1" x14ac:dyDescent="0.25">
      <c r="B36" s="14" t="s">
        <v>2934</v>
      </c>
      <c r="C36" s="15" t="s">
        <v>5328</v>
      </c>
      <c r="D36" s="15"/>
      <c r="E36" s="15"/>
      <c r="G36" t="str">
        <f t="shared" si="0"/>
        <v>&lt;dl&gt;&lt;dt&gt;夫妻宫​&lt;/dt&gt;&lt;dd&gt;夫妻关系易有争吵冲突，恋爱或结婚过程迅速。&lt;/dd&gt;&lt;dd&gt;&lt;/dd&gt;&lt;/dl&gt;</v>
      </c>
    </row>
    <row r="37" spans="2:7" ht="32.25" thickBot="1" x14ac:dyDescent="0.25">
      <c r="B37" s="14" t="s">
        <v>2936</v>
      </c>
      <c r="C37" s="15" t="s">
        <v>5329</v>
      </c>
      <c r="D37" s="15"/>
      <c r="E37" s="15"/>
      <c r="G37" t="str">
        <f t="shared" si="0"/>
        <v>&lt;dl&gt;&lt;dt&gt;子女宫​&lt;/dt&gt;&lt;dd&gt;子女个性急躁好动，生产过程可能迅速或需急产手术。&lt;/dd&gt;&lt;dd&gt;&lt;/dd&gt;&lt;/dl&gt;</v>
      </c>
    </row>
    <row r="38" spans="2:7" ht="32.25" thickBot="1" x14ac:dyDescent="0.25">
      <c r="B38" s="14" t="s">
        <v>9</v>
      </c>
      <c r="C38" s="15" t="s">
        <v>5330</v>
      </c>
      <c r="D38" s="15"/>
      <c r="E38" s="15"/>
      <c r="G38" t="str">
        <f t="shared" si="0"/>
        <v>&lt;dl&gt;&lt;dt&gt;财帛宫​&lt;/dt&gt;&lt;dd&gt;求财方式积极但冒险，钱财来得快去得也快，易因冲动破财。&lt;/dd&gt;&lt;dd&gt;&lt;/dd&gt;&lt;/dl&gt;</v>
      </c>
    </row>
    <row r="39" spans="2:7" ht="32.25" thickBot="1" x14ac:dyDescent="0.25">
      <c r="B39" s="14" t="s">
        <v>10</v>
      </c>
      <c r="C39" s="14" t="s">
        <v>5331</v>
      </c>
      <c r="D39" s="15"/>
      <c r="E39" s="15"/>
      <c r="G39" t="str">
        <f t="shared" si="0"/>
        <v>&lt;dl&gt;&lt;dt&gt;疾厄宫​&lt;/dt&gt;&lt;dd&gt;易有急性病、发烧、炎症、意外伤害（尤其火烧、电击）。&lt;/dd&gt;&lt;dd&gt;&lt;/dd&gt;&lt;/dl&gt;</v>
      </c>
    </row>
    <row r="40" spans="2:7" ht="16.5" thickBot="1" x14ac:dyDescent="0.25">
      <c r="B40" s="14" t="s">
        <v>13</v>
      </c>
      <c r="C40" s="15" t="s">
        <v>5332</v>
      </c>
      <c r="D40" s="15"/>
      <c r="E40" s="15"/>
      <c r="G40" t="str">
        <f t="shared" si="0"/>
        <v>&lt;dl&gt;&lt;dt&gt;迁移宫​&lt;/dt&gt;&lt;dd&gt;在外易遇突发事故、冲突，出行需注意安全。&lt;/dd&gt;&lt;dd&gt;&lt;/dd&gt;&lt;/dl&gt;</v>
      </c>
    </row>
    <row r="41" spans="2:7" ht="32.25" thickBot="1" x14ac:dyDescent="0.25">
      <c r="B41" s="14" t="s">
        <v>3018</v>
      </c>
      <c r="C41" s="14" t="s">
        <v>5333</v>
      </c>
      <c r="D41" s="15"/>
      <c r="E41" s="15"/>
      <c r="G41" t="str">
        <f t="shared" si="0"/>
        <v>&lt;dl&gt;&lt;dt&gt;交友宫（奴仆宫）​&lt;/dt&gt;&lt;dd&gt;朋友、同事中多急躁或好斗之人，易与朋友发生冲突。&lt;/dd&gt;&lt;dd&gt;&lt;/dd&gt;&lt;/dl&gt;</v>
      </c>
    </row>
    <row r="42" spans="2:7" ht="32.25" thickBot="1" x14ac:dyDescent="0.25">
      <c r="B42" s="14" t="s">
        <v>3019</v>
      </c>
      <c r="C42" s="15" t="s">
        <v>5334</v>
      </c>
      <c r="D42" s="15"/>
      <c r="E42" s="15"/>
      <c r="G42" t="str">
        <f t="shared" si="0"/>
        <v>&lt;dl&gt;&lt;dt&gt;官禄宫（事业宫）​&lt;/dt&gt;&lt;dd&gt;适合从事军警、消防、急救、竞技体育、机械、电力等需要快速反应或竞争激烈的行业。&lt;/dd&gt;&lt;dd&gt;&lt;/dd&gt;&lt;/dl&gt;</v>
      </c>
    </row>
    <row r="43" spans="2:7" ht="32.25" thickBot="1" x14ac:dyDescent="0.25">
      <c r="B43" s="14" t="s">
        <v>8</v>
      </c>
      <c r="C43" s="14" t="s">
        <v>5335</v>
      </c>
      <c r="D43" s="15"/>
      <c r="E43" s="15"/>
      <c r="G43" t="str">
        <f t="shared" si="0"/>
        <v>&lt;dl&gt;&lt;dt&gt;田宅宫​&lt;/dt&gt;&lt;dd&gt;需注意火灾、电路问题，家宅不宁，易有争吵。&lt;/dd&gt;&lt;dd&gt;&lt;/dd&gt;&lt;/dl&gt;</v>
      </c>
    </row>
    <row r="44" spans="2:7" ht="16.5" thickBot="1" x14ac:dyDescent="0.25">
      <c r="B44" s="14" t="s">
        <v>2945</v>
      </c>
      <c r="C44" s="15" t="s">
        <v>5336</v>
      </c>
      <c r="D44" s="15"/>
    </row>
    <row r="45" spans="2:7" ht="16.5" thickBot="1" x14ac:dyDescent="0.25">
      <c r="B45" s="14" t="s">
        <v>11</v>
      </c>
      <c r="C45" s="15" t="s">
        <v>5337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E50" s="15"/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5338</v>
      </c>
      <c r="C51" s="14" t="s">
        <v>5339</v>
      </c>
      <c r="D51" s="15" t="s">
        <v>5340</v>
      </c>
      <c r="E51" s="15"/>
      <c r="G51" t="str">
        <f t="shared" si="0"/>
        <v>&lt;dl&gt;&lt;dt&gt;火星+紫微​&lt;/dt&gt;&lt;dd&gt;帝星遇杀，权威与暴躁结合，主行事霸道急躁，易因冲动决策树敌。&lt;/dd&gt;&lt;dd&gt;铁腕领袖；暴君。&lt;/dd&gt;&lt;/dl&gt;</v>
      </c>
    </row>
    <row r="52" spans="2:7" ht="32.25" thickBot="1" x14ac:dyDescent="0.25">
      <c r="B52" s="14" t="s">
        <v>5341</v>
      </c>
      <c r="C52" s="14" t="s">
        <v>5342</v>
      </c>
      <c r="D52" s="15" t="s">
        <v>5343</v>
      </c>
      <c r="E52" s="15"/>
      <c r="G52" t="str">
        <f t="shared" si="0"/>
        <v>&lt;dl&gt;&lt;dt&gt;火星+七杀​&lt;/dt&gt;&lt;dd&gt;双杀星，杀气与破坏力叠加，主勇猛过人，好斗，一生多血光与剧烈变动。&lt;/dd&gt;&lt;dd&gt;特种兵；高风险运动员。&lt;/dd&gt;&lt;/dl&gt;</v>
      </c>
    </row>
    <row r="53" spans="2:7" ht="32.25" thickBot="1" x14ac:dyDescent="0.25">
      <c r="B53" s="14" t="s">
        <v>5344</v>
      </c>
      <c r="C53" s="14" t="s">
        <v>5345</v>
      </c>
      <c r="D53" s="15" t="s">
        <v>5346</v>
      </c>
    </row>
    <row r="54" spans="2:7" ht="32.25" thickBot="1" x14ac:dyDescent="0.25">
      <c r="B54" s="14" t="s">
        <v>5347</v>
      </c>
      <c r="C54" s="14" t="s">
        <v>5348</v>
      </c>
      <c r="D54" s="15" t="s">
        <v>5349</v>
      </c>
    </row>
    <row r="55" spans="2:7" ht="32.25" thickBot="1" x14ac:dyDescent="0.25">
      <c r="B55" s="14" t="s">
        <v>5350</v>
      </c>
      <c r="C55" s="14" t="s">
        <v>5351</v>
      </c>
      <c r="D55" s="15" t="s">
        <v>5352</v>
      </c>
    </row>
    <row r="56" spans="2:7" ht="32.25" thickBot="1" x14ac:dyDescent="0.25">
      <c r="B56" s="14" t="s">
        <v>5353</v>
      </c>
      <c r="C56" s="14" t="s">
        <v>5354</v>
      </c>
      <c r="D56" s="15" t="s">
        <v>5355</v>
      </c>
    </row>
    <row r="57" spans="2:7" ht="32.25" thickBot="1" x14ac:dyDescent="0.25">
      <c r="B57" s="14" t="s">
        <v>5356</v>
      </c>
      <c r="C57" s="14" t="s">
        <v>5357</v>
      </c>
      <c r="D57" s="15" t="s">
        <v>5358</v>
      </c>
    </row>
    <row r="58" spans="2:7" ht="32.25" thickBot="1" x14ac:dyDescent="0.25">
      <c r="B58" s="14" t="s">
        <v>5359</v>
      </c>
      <c r="C58" s="14" t="s">
        <v>5360</v>
      </c>
      <c r="D58" s="15" t="s">
        <v>5361</v>
      </c>
    </row>
    <row r="59" spans="2:7" ht="32.25" thickBot="1" x14ac:dyDescent="0.25">
      <c r="B59" s="14" t="s">
        <v>5362</v>
      </c>
      <c r="C59" s="14" t="s">
        <v>5363</v>
      </c>
      <c r="D59" s="15" t="s">
        <v>5364</v>
      </c>
    </row>
    <row r="60" spans="2:7" ht="32.25" thickBot="1" x14ac:dyDescent="0.25">
      <c r="B60" s="14" t="s">
        <v>5365</v>
      </c>
      <c r="C60" s="14" t="s">
        <v>5366</v>
      </c>
      <c r="D60" s="15" t="s">
        <v>5367</v>
      </c>
    </row>
    <row r="61" spans="2:7" ht="32.25" thickBot="1" x14ac:dyDescent="0.25">
      <c r="B61" s="14" t="s">
        <v>5368</v>
      </c>
      <c r="C61" s="14" t="s">
        <v>5369</v>
      </c>
      <c r="D61" s="15" t="s">
        <v>5370</v>
      </c>
    </row>
    <row r="62" spans="2:7" ht="32.25" thickBot="1" x14ac:dyDescent="0.25">
      <c r="B62" s="14" t="s">
        <v>5371</v>
      </c>
      <c r="C62" s="14" t="s">
        <v>5372</v>
      </c>
      <c r="D62" s="15" t="s">
        <v>5026</v>
      </c>
    </row>
    <row r="63" spans="2:7" ht="32.25" thickBot="1" x14ac:dyDescent="0.25">
      <c r="B63" s="14" t="s">
        <v>5373</v>
      </c>
      <c r="C63" s="14" t="s">
        <v>5374</v>
      </c>
      <c r="D63" s="15" t="s">
        <v>5375</v>
      </c>
    </row>
    <row r="64" spans="2:7" ht="32.25" thickBot="1" x14ac:dyDescent="0.25">
      <c r="B64" s="14" t="s">
        <v>5376</v>
      </c>
      <c r="C64" s="14" t="s">
        <v>5377</v>
      </c>
      <c r="D64" s="15" t="s">
        <v>5378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5379</v>
      </c>
    </row>
    <row r="70" spans="2:2" x14ac:dyDescent="0.2">
      <c r="B70" s="7" t="s">
        <v>5380</v>
      </c>
    </row>
    <row r="71" spans="2:2" x14ac:dyDescent="0.2">
      <c r="B71" s="7" t="s">
        <v>5381</v>
      </c>
    </row>
    <row r="72" spans="2:2" x14ac:dyDescent="0.2">
      <c r="B72" s="7" t="s">
        <v>5382</v>
      </c>
    </row>
    <row r="73" spans="2:2" x14ac:dyDescent="0.2">
      <c r="B73" s="7" t="s">
        <v>5383</v>
      </c>
    </row>
    <row r="74" spans="2:2" x14ac:dyDescent="0.2">
      <c r="B74" s="7" t="s">
        <v>5384</v>
      </c>
    </row>
    <row r="75" spans="2:2" x14ac:dyDescent="0.2">
      <c r="B75" s="7" t="s">
        <v>5385</v>
      </c>
    </row>
    <row r="76" spans="2:2" x14ac:dyDescent="0.2">
      <c r="B76" s="7" t="s">
        <v>5386</v>
      </c>
    </row>
    <row r="77" spans="2:2" x14ac:dyDescent="0.2">
      <c r="B77" s="6"/>
    </row>
    <row r="78" spans="2:2" x14ac:dyDescent="0.2">
      <c r="B78" s="6" t="s">
        <v>5387</v>
      </c>
    </row>
    <row r="79" spans="2:2" x14ac:dyDescent="0.2">
      <c r="B79" s="7" t="s">
        <v>2517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E65A2-D811-4FEA-86E6-EC34B13FCFFF}">
  <dimension ref="B1:G99"/>
  <sheetViews>
    <sheetView topLeftCell="A27"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5388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铃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2514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5389</v>
      </c>
      <c r="D7" s="15" t="s">
        <v>5390</v>
      </c>
    </row>
    <row r="8" spans="2:7" ht="78.75" customHeight="1" x14ac:dyDescent="0.2">
      <c r="B8" s="24" t="s">
        <v>2914</v>
      </c>
      <c r="C8" s="19" t="s">
        <v>5391</v>
      </c>
      <c r="D8" s="27" t="s">
        <v>5399</v>
      </c>
    </row>
    <row r="9" spans="2:7" ht="94.5" x14ac:dyDescent="0.2">
      <c r="B9" s="25"/>
      <c r="C9" s="20" t="s">
        <v>5392</v>
      </c>
      <c r="D9" s="28"/>
    </row>
    <row r="10" spans="2:7" ht="47.25" x14ac:dyDescent="0.2">
      <c r="B10" s="25"/>
      <c r="C10" s="20" t="s">
        <v>5393</v>
      </c>
      <c r="D10" s="28"/>
    </row>
    <row r="11" spans="2:7" ht="31.5" x14ac:dyDescent="0.2">
      <c r="B11" s="25"/>
      <c r="C11" s="22" t="s">
        <v>5394</v>
      </c>
      <c r="D11" s="28"/>
    </row>
    <row r="12" spans="2:7" ht="47.25" x14ac:dyDescent="0.2">
      <c r="B12" s="25"/>
      <c r="C12" s="22" t="s">
        <v>5395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5396</v>
      </c>
      <c r="D14" s="28"/>
    </row>
    <row r="15" spans="2:7" ht="31.5" x14ac:dyDescent="0.2">
      <c r="B15" s="25"/>
      <c r="C15" s="22" t="s">
        <v>5397</v>
      </c>
      <c r="D15" s="28"/>
    </row>
    <row r="16" spans="2:7" ht="32.25" thickBot="1" x14ac:dyDescent="0.25">
      <c r="B16" s="26"/>
      <c r="C16" s="23" t="s">
        <v>5398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5400</v>
      </c>
      <c r="C22" s="15" t="s">
        <v>5401</v>
      </c>
      <c r="D22" s="15" t="s">
        <v>5402</v>
      </c>
    </row>
    <row r="23" spans="2:7" ht="32.25" thickBot="1" x14ac:dyDescent="0.25">
      <c r="B23" s="14" t="s">
        <v>5403</v>
      </c>
      <c r="C23" s="15" t="s">
        <v>5404</v>
      </c>
      <c r="D23" s="15" t="s">
        <v>5405</v>
      </c>
    </row>
    <row r="24" spans="2:7" ht="48" thickBot="1" x14ac:dyDescent="0.25">
      <c r="B24" s="14" t="s">
        <v>5406</v>
      </c>
      <c r="C24" s="15" t="s">
        <v>5407</v>
      </c>
      <c r="D24" s="15" t="s">
        <v>5408</v>
      </c>
      <c r="G24" t="str">
        <f t="shared" ref="G24:G52" si="0">"&lt;dl&gt;&lt;dt&gt;" &amp; B24 &amp; "&lt;/dt&gt;&lt;dd&gt;" &amp; C24 &amp; "&lt;/dd&gt;&lt;dd&gt;" &amp; D24 &amp; "&lt;/dd&gt;&lt;/dl&gt;"</f>
        <v>&lt;dl&gt;&lt;dt&gt;音乐才华与野性美​&lt;/dt&gt;&lt;dd&gt;性属阴火，主音乐才华、外表艳丽、明亮耀眼、野性美。&lt;/dd&gt;&lt;dd&gt;在命宫、身宫时，可能有艺术天赋，尤其音乐方面，外形有独特魅力。&lt;/dd&gt;&lt;/dl&gt;</v>
      </c>
    </row>
    <row r="25" spans="2:7" ht="48" thickBot="1" x14ac:dyDescent="0.25">
      <c r="B25" s="14" t="s">
        <v>3016</v>
      </c>
      <c r="C25" s="14" t="s">
        <v>5409</v>
      </c>
      <c r="D25" s="15" t="s">
        <v>2539</v>
      </c>
      <c r="G25" t="str">
        <f t="shared" si="0"/>
        <v>&lt;dl&gt;&lt;dt&gt;外貌气质​&lt;/dt&gt;&lt;dd&gt;面色青黄，形貌奇异不雅，或外表艳丽耀眼，有野性美，给人以阴沉、固执、难以捉摸的印象。&lt;/dd&gt;&lt;dd&gt;在命宫、身宫时显著。&lt;/dd&gt;&lt;/dl&gt;</v>
      </c>
    </row>
    <row r="26" spans="2:7" ht="31.5" x14ac:dyDescent="0.2">
      <c r="B26" s="24" t="s">
        <v>3017</v>
      </c>
      <c r="C26" s="19" t="s">
        <v>5410</v>
      </c>
      <c r="D26" s="27"/>
      <c r="G26" t="str">
        <f t="shared" si="0"/>
        <v>&lt;dl&gt;&lt;dt&gt;性格特质​&lt;/dt&gt;&lt;dd&gt;优点：主动积极，追求完美，喜欢刺激与挑战，有音乐才华，有谋略，能忍耐。&lt;/dd&gt;&lt;dd&gt;&lt;/dd&gt;&lt;/dl&gt;</v>
      </c>
    </row>
    <row r="27" spans="2:7" ht="32.25" thickBot="1" x14ac:dyDescent="0.25">
      <c r="B27" s="26"/>
      <c r="C27" s="21" t="s">
        <v>5411</v>
      </c>
      <c r="D27" s="29"/>
      <c r="G27" t="str">
        <f t="shared" si="0"/>
        <v>&lt;dl&gt;&lt;dt&gt;&lt;/dt&gt;&lt;dd&gt;缺点：阴沉嫉妒，记仇，寡言多疑，固执强硬，不讲情面，报复心强。&lt;/dd&gt;&lt;dd&gt;&lt;/dd&gt;&lt;/dl&gt;</v>
      </c>
    </row>
    <row r="28" spans="2:7" ht="48" thickBot="1" x14ac:dyDescent="0.25">
      <c r="B28" s="14" t="s">
        <v>3419</v>
      </c>
      <c r="C28" s="15" t="s">
        <v>5412</v>
      </c>
      <c r="D28" s="15" t="s">
        <v>5413</v>
      </c>
      <c r="G28" t="str">
        <f t="shared" si="0"/>
        <v>&lt;dl&gt;&lt;dt&gt;健康方面​&lt;/dt&gt;&lt;dd&gt;属阴火，主虚火、慢性炎症。易有眼疾、皮肤病、暗疮、痔疮、破相留疤、神经过敏、肝脏问题引发的皮肤病等。&lt;/dd&gt;&lt;dd&gt;在疾厄宫时显现，尤其与巨门同度时主哑，与龙池同度主耳炎、耳聋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79.5" thickBot="1" x14ac:dyDescent="0.25">
      <c r="B34" s="14" t="s">
        <v>2930</v>
      </c>
      <c r="C34" s="15" t="s">
        <v>5414</v>
      </c>
      <c r="D34" s="15"/>
    </row>
    <row r="35" spans="2:7" ht="32.25" thickBot="1" x14ac:dyDescent="0.25">
      <c r="B35" s="14" t="s">
        <v>2932</v>
      </c>
      <c r="C35" s="15" t="s">
        <v>5415</v>
      </c>
      <c r="D35" s="15"/>
      <c r="E35" s="2" t="s">
        <v>7</v>
      </c>
      <c r="G35" t="str">
        <f t="shared" si="0"/>
        <v>&lt;dl&gt;&lt;dt&gt;兄弟宫​&lt;/dt&gt;&lt;dd&gt;与兄弟姐妹关系紧张，易有暗中争执，逢吉星争执易解；逢煞星则常起争端，刑克相争。&lt;/dd&gt;&lt;dd&gt;&lt;/dd&gt;&lt;/dl&gt;</v>
      </c>
    </row>
    <row r="36" spans="2:7" ht="32.25" thickBot="1" x14ac:dyDescent="0.25">
      <c r="B36" s="14" t="s">
        <v>2934</v>
      </c>
      <c r="C36" s="15" t="s">
        <v>5416</v>
      </c>
      <c r="D36" s="15"/>
      <c r="E36" s="4"/>
      <c r="G36" t="str">
        <f t="shared" si="0"/>
        <v>&lt;dl&gt;&lt;dt&gt;夫妻宫​&lt;/dt&gt;&lt;dd&gt;男命配偶泼辣，不善家务；女命配偶大方但暴躁无理。夫妻关系易有暗中不满与持久冷战。&lt;/dd&gt;&lt;dd&gt;&lt;/dd&gt;&lt;/dl&gt;</v>
      </c>
    </row>
    <row r="37" spans="2:7" ht="16.5" thickBot="1" x14ac:dyDescent="0.25">
      <c r="B37" s="14" t="s">
        <v>2936</v>
      </c>
      <c r="C37" s="15" t="s">
        <v>5417</v>
      </c>
      <c r="D37" s="15"/>
      <c r="E37" s="4"/>
      <c r="G37" t="str">
        <f t="shared" si="0"/>
        <v>&lt;dl&gt;&lt;dt&gt;子女宫​&lt;/dt&gt;&lt;dd&gt;子女不多。若会桃花星，主有突来之桃花。&lt;/dd&gt;&lt;dd&gt;&lt;/dd&gt;&lt;/dl&gt;</v>
      </c>
    </row>
    <row r="38" spans="2:7" ht="32.25" thickBot="1" x14ac:dyDescent="0.25">
      <c r="B38" s="14" t="s">
        <v>9</v>
      </c>
      <c r="C38" s="15" t="s">
        <v>5418</v>
      </c>
      <c r="D38" s="15"/>
      <c r="E38" s="4"/>
      <c r="G38" t="str">
        <f t="shared" si="0"/>
        <v>&lt;dl&gt;&lt;dt&gt;财帛宫​&lt;/dt&gt;&lt;dd&gt;有偏财运，会赚钱，但喜欢炫耀，易横成横破。入庙独守可横发；陷地则孤寒度日。&lt;/dd&gt;&lt;dd&gt;&lt;/dd&gt;&lt;/dl&gt;</v>
      </c>
    </row>
    <row r="39" spans="2:7" ht="32.25" thickBot="1" x14ac:dyDescent="0.25">
      <c r="B39" s="14" t="s">
        <v>10</v>
      </c>
      <c r="C39" s="14" t="s">
        <v>5419</v>
      </c>
      <c r="D39" s="15"/>
      <c r="E39" s="4"/>
      <c r="G39" t="str">
        <f t="shared" si="0"/>
        <v>&lt;dl&gt;&lt;dt&gt;疾厄宫​&lt;/dt&gt;&lt;dd&gt;易有虚火、头部之疾、神经过敏、烫伤、眼疾、暗疮、痔疮、破相留疤等。&lt;/dd&gt;&lt;dd&gt;&lt;/dd&gt;&lt;/dl&gt;</v>
      </c>
    </row>
    <row r="40" spans="2:7" ht="32.25" thickBot="1" x14ac:dyDescent="0.25">
      <c r="B40" s="14" t="s">
        <v>13</v>
      </c>
      <c r="C40" s="15" t="s">
        <v>5420</v>
      </c>
      <c r="D40" s="15"/>
      <c r="E40" s="4"/>
      <c r="G40" t="str">
        <f t="shared" si="0"/>
        <v>&lt;dl&gt;&lt;dt&gt;迁移宫​&lt;/dt&gt;&lt;dd&gt;单守出外不安，防外伤、惊恐。出外爱表现，多显耀易成名。喜欢近声光场所。&lt;/dd&gt;&lt;dd&gt;&lt;/dd&gt;&lt;/dl&gt;</v>
      </c>
    </row>
    <row r="41" spans="2:7" ht="32.25" thickBot="1" x14ac:dyDescent="0.25">
      <c r="B41" s="14" t="s">
        <v>3018</v>
      </c>
      <c r="C41" s="14" t="s">
        <v>5421</v>
      </c>
      <c r="D41" s="15"/>
      <c r="E41" s="4"/>
      <c r="G41" t="str">
        <f t="shared" si="0"/>
        <v>&lt;dl&gt;&lt;dt&gt;交友宫（奴仆宫）​&lt;/dt&gt;&lt;dd&gt;逢左辅右弼，得积极良友；逢空劫则损失不得其力。&lt;/dd&gt;&lt;dd&gt;&lt;/dd&gt;&lt;/dl&gt;</v>
      </c>
    </row>
    <row r="42" spans="2:7" ht="32.25" thickBot="1" x14ac:dyDescent="0.25">
      <c r="B42" s="14" t="s">
        <v>3019</v>
      </c>
      <c r="C42" s="15" t="s">
        <v>5422</v>
      </c>
      <c r="D42" s="15"/>
      <c r="E42" s="4"/>
      <c r="G42" t="str">
        <f t="shared" si="0"/>
        <v>&lt;dl&gt;&lt;dt&gt;官禄宫（事业宫）​&lt;/dt&gt;&lt;dd&gt;工作有权威，能带头，掌握重点，但易泄漏机密。加吉星主权贵。&lt;/dd&gt;&lt;dd&gt;&lt;/dd&gt;&lt;/dl&gt;</v>
      </c>
    </row>
    <row r="43" spans="2:7" ht="48" thickBot="1" x14ac:dyDescent="0.25">
      <c r="B43" s="14" t="s">
        <v>8</v>
      </c>
      <c r="C43" s="14" t="s">
        <v>5423</v>
      </c>
      <c r="D43" s="15"/>
      <c r="E43" s="4"/>
      <c r="G43" t="str">
        <f t="shared" si="0"/>
        <v>&lt;dl&gt;&lt;dt&gt;田宅宫​&lt;/dt&gt;&lt;dd&gt;败祖业，但逢魁钺可自买房产，破祖而自兴，白手起家。居住附近易有老房子、古建筑、寺塔、庙宇。&lt;/dd&gt;&lt;dd&gt;&lt;/dd&gt;&lt;/dl&gt;</v>
      </c>
    </row>
    <row r="44" spans="2:7" ht="32.25" thickBot="1" x14ac:dyDescent="0.25">
      <c r="B44" s="14" t="s">
        <v>2945</v>
      </c>
      <c r="C44" s="15" t="s">
        <v>5424</v>
      </c>
      <c r="D44" s="15"/>
      <c r="E44" s="4"/>
    </row>
    <row r="45" spans="2:7" ht="32.25" thickBot="1" x14ac:dyDescent="0.25">
      <c r="B45" s="14" t="s">
        <v>11</v>
      </c>
      <c r="C45" s="14" t="s">
        <v>5425</v>
      </c>
      <c r="D45" s="15"/>
      <c r="E45" s="4"/>
    </row>
    <row r="46" spans="2:7" x14ac:dyDescent="0.2">
      <c r="E46" s="4"/>
    </row>
    <row r="47" spans="2:7" x14ac:dyDescent="0.2">
      <c r="E47" s="4"/>
    </row>
    <row r="48" spans="2:7" ht="17.25" x14ac:dyDescent="0.2">
      <c r="B48" s="5" t="s">
        <v>4689</v>
      </c>
      <c r="E48" s="4"/>
    </row>
    <row r="49" spans="2:7" ht="16.5" thickBot="1" x14ac:dyDescent="0.25">
      <c r="B49" s="11"/>
      <c r="E49" s="4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5426</v>
      </c>
      <c r="C51" s="14" t="s">
        <v>5427</v>
      </c>
      <c r="D51" s="15" t="s">
        <v>5428</v>
      </c>
      <c r="G51" t="str">
        <f t="shared" si="0"/>
        <v>&lt;dl&gt;&lt;dt&gt;铃星+紫微​&lt;/dt&gt;&lt;dd&gt;帝星遇阴杀，权威与阴沉结合，主善于权谋，有领导力但手段隐蔽，易有暗中权威。&lt;/dd&gt;&lt;dd&gt;善于谋略的领导者；幕后掌权者。&lt;/dd&gt;&lt;/dl&gt;</v>
      </c>
    </row>
    <row r="52" spans="2:7" ht="32.25" thickBot="1" x14ac:dyDescent="0.25">
      <c r="B52" s="14" t="s">
        <v>5429</v>
      </c>
      <c r="C52" s="14" t="s">
        <v>5430</v>
      </c>
      <c r="D52" s="15" t="s">
        <v>5431</v>
      </c>
      <c r="G52" t="str">
        <f t="shared" si="0"/>
        <v>&lt;dl&gt;&lt;dt&gt;铃星+七杀​&lt;/dt&gt;&lt;dd&gt;双杀星，杀气与阴沉叠加，主勇猛且善谋，但三方无吉主凶亡，一生多险。&lt;/dd&gt;&lt;dd&gt;特种部队指挥官；高风险行业的谋略家。&lt;/dd&gt;&lt;/dl&gt;</v>
      </c>
    </row>
    <row r="53" spans="2:7" ht="32.25" thickBot="1" x14ac:dyDescent="0.25">
      <c r="B53" s="14" t="s">
        <v>5432</v>
      </c>
      <c r="C53" s="14" t="s">
        <v>5433</v>
      </c>
      <c r="D53" s="15" t="s">
        <v>5434</v>
      </c>
    </row>
    <row r="54" spans="2:7" ht="63.75" thickBot="1" x14ac:dyDescent="0.25">
      <c r="B54" s="14" t="s">
        <v>5435</v>
      </c>
      <c r="C54" s="14" t="s">
        <v>5436</v>
      </c>
      <c r="D54" s="15" t="s">
        <v>5437</v>
      </c>
    </row>
    <row r="55" spans="2:7" ht="48" thickBot="1" x14ac:dyDescent="0.25">
      <c r="B55" s="14" t="s">
        <v>5438</v>
      </c>
      <c r="C55" s="14" t="s">
        <v>5439</v>
      </c>
      <c r="D55" s="15" t="s">
        <v>5440</v>
      </c>
    </row>
    <row r="56" spans="2:7" ht="32.25" thickBot="1" x14ac:dyDescent="0.25">
      <c r="B56" s="14" t="s">
        <v>5441</v>
      </c>
      <c r="C56" s="14" t="s">
        <v>5442</v>
      </c>
      <c r="D56" s="15" t="s">
        <v>5443</v>
      </c>
      <c r="E56" s="2" t="s">
        <v>7</v>
      </c>
    </row>
    <row r="57" spans="2:7" ht="32.25" thickBot="1" x14ac:dyDescent="0.25">
      <c r="B57" s="14" t="s">
        <v>5444</v>
      </c>
      <c r="C57" s="14" t="s">
        <v>5445</v>
      </c>
      <c r="D57" s="15" t="s">
        <v>5446</v>
      </c>
      <c r="E57" s="4"/>
    </row>
    <row r="58" spans="2:7" ht="48" thickBot="1" x14ac:dyDescent="0.25">
      <c r="B58" s="14" t="s">
        <v>5447</v>
      </c>
      <c r="C58" s="14" t="s">
        <v>5448</v>
      </c>
      <c r="D58" s="15" t="s">
        <v>5449</v>
      </c>
      <c r="E58" s="4"/>
    </row>
    <row r="59" spans="2:7" ht="48" thickBot="1" x14ac:dyDescent="0.25">
      <c r="B59" s="14" t="s">
        <v>5450</v>
      </c>
      <c r="C59" s="14" t="s">
        <v>5451</v>
      </c>
      <c r="D59" s="15" t="s">
        <v>5452</v>
      </c>
      <c r="E59" s="4"/>
    </row>
    <row r="60" spans="2:7" ht="32.25" thickBot="1" x14ac:dyDescent="0.25">
      <c r="B60" s="14" t="s">
        <v>5453</v>
      </c>
      <c r="C60" s="14" t="s">
        <v>5454</v>
      </c>
      <c r="D60" s="15" t="s">
        <v>5455</v>
      </c>
      <c r="E60" s="4"/>
    </row>
    <row r="61" spans="2:7" ht="63.75" thickBot="1" x14ac:dyDescent="0.25">
      <c r="B61" s="14" t="s">
        <v>5456</v>
      </c>
      <c r="C61" s="14" t="s">
        <v>5457</v>
      </c>
      <c r="D61" s="15" t="s">
        <v>5458</v>
      </c>
    </row>
    <row r="62" spans="2:7" ht="48" thickBot="1" x14ac:dyDescent="0.25">
      <c r="B62" s="14" t="s">
        <v>5459</v>
      </c>
      <c r="C62" s="14" t="s">
        <v>5460</v>
      </c>
      <c r="D62" s="15" t="s">
        <v>5461</v>
      </c>
    </row>
    <row r="63" spans="2:7" ht="48" thickBot="1" x14ac:dyDescent="0.25">
      <c r="B63" s="14" t="s">
        <v>5462</v>
      </c>
      <c r="C63" s="14" t="s">
        <v>5463</v>
      </c>
      <c r="D63" s="15" t="s">
        <v>5464</v>
      </c>
    </row>
    <row r="64" spans="2:7" ht="32.25" thickBot="1" x14ac:dyDescent="0.25">
      <c r="B64" s="14" t="s">
        <v>5465</v>
      </c>
      <c r="C64" s="14" t="s">
        <v>5466</v>
      </c>
      <c r="D64" s="15" t="s">
        <v>5467</v>
      </c>
      <c r="E64" s="2" t="s">
        <v>7</v>
      </c>
    </row>
    <row r="65" spans="2:5" x14ac:dyDescent="0.2">
      <c r="E65" s="4"/>
    </row>
    <row r="66" spans="2:5" x14ac:dyDescent="0.2">
      <c r="E66" s="4"/>
    </row>
    <row r="67" spans="2:5" ht="17.25" x14ac:dyDescent="0.2">
      <c r="B67" s="5" t="s">
        <v>4715</v>
      </c>
      <c r="E67" s="4"/>
    </row>
    <row r="68" spans="2:5" x14ac:dyDescent="0.2">
      <c r="B68" s="6"/>
    </row>
    <row r="69" spans="2:5" x14ac:dyDescent="0.2">
      <c r="B69" s="7" t="s">
        <v>5468</v>
      </c>
    </row>
    <row r="70" spans="2:5" x14ac:dyDescent="0.2">
      <c r="B70" s="7" t="s">
        <v>5469</v>
      </c>
    </row>
    <row r="71" spans="2:5" x14ac:dyDescent="0.2">
      <c r="B71" s="7" t="s">
        <v>5470</v>
      </c>
    </row>
    <row r="72" spans="2:5" x14ac:dyDescent="0.2">
      <c r="B72" s="7" t="s">
        <v>5471</v>
      </c>
      <c r="E72" s="2" t="s">
        <v>7</v>
      </c>
    </row>
    <row r="73" spans="2:5" x14ac:dyDescent="0.2">
      <c r="B73" s="7" t="s">
        <v>5472</v>
      </c>
      <c r="E73" s="4"/>
    </row>
    <row r="74" spans="2:5" x14ac:dyDescent="0.2">
      <c r="B74" s="7" t="s">
        <v>5473</v>
      </c>
      <c r="E74" s="4"/>
    </row>
    <row r="75" spans="2:5" x14ac:dyDescent="0.2">
      <c r="B75" s="7" t="s">
        <v>5474</v>
      </c>
      <c r="E75" s="4"/>
    </row>
    <row r="76" spans="2:5" x14ac:dyDescent="0.2">
      <c r="B76" s="7" t="s">
        <v>5475</v>
      </c>
    </row>
    <row r="77" spans="2:5" x14ac:dyDescent="0.2">
      <c r="B77" s="6"/>
    </row>
    <row r="78" spans="2:5" x14ac:dyDescent="0.2">
      <c r="B78" s="6" t="s">
        <v>5476</v>
      </c>
    </row>
    <row r="79" spans="2:5" x14ac:dyDescent="0.2">
      <c r="B79" s="7" t="s">
        <v>2515</v>
      </c>
    </row>
    <row r="80" spans="2:5" x14ac:dyDescent="0.2">
      <c r="B80" s="7" t="s">
        <v>86</v>
      </c>
    </row>
    <row r="81" spans="2:2" x14ac:dyDescent="0.2">
      <c r="B81" s="6"/>
    </row>
    <row r="82" spans="2:2" x14ac:dyDescent="0.2">
      <c r="B82" s="9" t="s">
        <v>87</v>
      </c>
    </row>
    <row r="83" spans="2:2" x14ac:dyDescent="0.2">
      <c r="B83" s="9" t="s">
        <v>88</v>
      </c>
    </row>
    <row r="84" spans="2:2" x14ac:dyDescent="0.2">
      <c r="B84" s="7" t="s">
        <v>89</v>
      </c>
    </row>
    <row r="85" spans="2:2" x14ac:dyDescent="0.2">
      <c r="B85" s="6"/>
    </row>
    <row r="86" spans="2:2" x14ac:dyDescent="0.2">
      <c r="B86" s="9" t="s">
        <v>90</v>
      </c>
    </row>
    <row r="87" spans="2:2" x14ac:dyDescent="0.2">
      <c r="B87" s="9" t="s">
        <v>91</v>
      </c>
    </row>
    <row r="91" spans="2:2" ht="17.25" x14ac:dyDescent="0.2">
      <c r="B91" s="5" t="s">
        <v>92</v>
      </c>
    </row>
    <row r="92" spans="2:2" x14ac:dyDescent="0.2">
      <c r="B92" s="6"/>
    </row>
    <row r="93" spans="2:2" x14ac:dyDescent="0.2">
      <c r="B93" s="7" t="s">
        <v>93</v>
      </c>
    </row>
    <row r="94" spans="2:2" x14ac:dyDescent="0.2">
      <c r="B94" s="6"/>
    </row>
    <row r="95" spans="2:2" x14ac:dyDescent="0.2">
      <c r="B95" s="9" t="s">
        <v>96</v>
      </c>
    </row>
    <row r="96" spans="2:2" x14ac:dyDescent="0.2">
      <c r="B96" s="9" t="s">
        <v>97</v>
      </c>
    </row>
    <row r="97" spans="2:2" x14ac:dyDescent="0.2">
      <c r="B97" s="7" t="s">
        <v>94</v>
      </c>
    </row>
    <row r="98" spans="2:2" x14ac:dyDescent="0.2">
      <c r="B98" s="6"/>
    </row>
    <row r="99" spans="2:2" x14ac:dyDescent="0.2">
      <c r="B99" s="9" t="s">
        <v>95</v>
      </c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FB52B-DFA5-4BA4-8A1C-983B24C1ECC1}">
  <dimension ref="B1:G82"/>
  <sheetViews>
    <sheetView topLeftCell="A63" zoomScaleNormal="100" workbookViewId="0">
      <selection activeCell="C10" sqref="C10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5477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刑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2511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5478</v>
      </c>
      <c r="D7" s="15" t="s">
        <v>5479</v>
      </c>
    </row>
    <row r="8" spans="2:7" ht="78.75" x14ac:dyDescent="0.2">
      <c r="B8" s="24" t="s">
        <v>2914</v>
      </c>
      <c r="C8" s="19" t="s">
        <v>5480</v>
      </c>
      <c r="D8" s="27" t="s">
        <v>5488</v>
      </c>
    </row>
    <row r="9" spans="2:7" ht="94.5" x14ac:dyDescent="0.2">
      <c r="B9" s="25"/>
      <c r="C9" s="20" t="s">
        <v>5481</v>
      </c>
      <c r="D9" s="28"/>
    </row>
    <row r="10" spans="2:7" ht="47.25" x14ac:dyDescent="0.2">
      <c r="B10" s="25"/>
      <c r="C10" s="20" t="s">
        <v>5482</v>
      </c>
      <c r="D10" s="28"/>
    </row>
    <row r="11" spans="2:7" ht="31.5" x14ac:dyDescent="0.2">
      <c r="B11" s="25"/>
      <c r="C11" s="22" t="s">
        <v>5483</v>
      </c>
      <c r="D11" s="28"/>
    </row>
    <row r="12" spans="2:7" ht="47.25" x14ac:dyDescent="0.2">
      <c r="B12" s="25"/>
      <c r="C12" s="22" t="s">
        <v>5484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5485</v>
      </c>
      <c r="D14" s="28"/>
    </row>
    <row r="15" spans="2:7" ht="31.5" x14ac:dyDescent="0.2">
      <c r="B15" s="25"/>
      <c r="C15" s="22" t="s">
        <v>5486</v>
      </c>
      <c r="D15" s="28"/>
    </row>
    <row r="16" spans="2:7" ht="32.25" thickBot="1" x14ac:dyDescent="0.25">
      <c r="B16" s="26"/>
      <c r="C16" s="23" t="s">
        <v>5487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5489</v>
      </c>
      <c r="C22" s="15" t="s">
        <v>5490</v>
      </c>
      <c r="D22" s="15" t="s">
        <v>5491</v>
      </c>
    </row>
    <row r="23" spans="2:7" ht="48" thickBot="1" x14ac:dyDescent="0.25">
      <c r="B23" s="14" t="s">
        <v>5492</v>
      </c>
      <c r="C23" s="15" t="s">
        <v>5493</v>
      </c>
      <c r="D23" s="15" t="s">
        <v>5494</v>
      </c>
    </row>
    <row r="24" spans="2:7" ht="48" thickBot="1" x14ac:dyDescent="0.25">
      <c r="B24" s="14" t="s">
        <v>5495</v>
      </c>
      <c r="C24" s="15" t="s">
        <v>5496</v>
      </c>
      <c r="D24" s="15" t="s">
        <v>5497</v>
      </c>
      <c r="G24" t="str">
        <f t="shared" ref="G24:G52" si="0">"&lt;dl&gt;&lt;dt&gt;" &amp; B24 &amp; "&lt;/dt&gt;&lt;dd&gt;" &amp; C24 &amp; "&lt;/dd&gt;&lt;dd&gt;" &amp; D24 &amp; "&lt;/dd&gt;&lt;/dl&gt;"</f>
        <v>&lt;dl&gt;&lt;dt&gt;医药与技艺​&lt;/dt&gt;&lt;dd&gt;性属医药、专业技艺，主与医药有缘，或有专业技能，动手能力强。&lt;/dd&gt;&lt;dd&gt;在疾厄宫时，易生病需动手术；在官禄宫，适合外科医生、工匠等专业技艺。&lt;/dd&gt;&lt;/dl&gt;</v>
      </c>
    </row>
    <row r="25" spans="2:7" ht="32.25" thickBot="1" x14ac:dyDescent="0.25">
      <c r="B25" s="14" t="s">
        <v>3016</v>
      </c>
      <c r="C25" s="14" t="s">
        <v>5498</v>
      </c>
      <c r="D25" s="15" t="s">
        <v>2539</v>
      </c>
      <c r="G25" t="str">
        <f t="shared" si="0"/>
        <v>&lt;dl&gt;&lt;dt&gt;外貌气质​&lt;/dt&gt;&lt;dd&gt;相貌端正严肃，有威仪，眼神锐利，给人以正直、不易亲近、有原则的印象。&lt;/dd&gt;&lt;dd&gt;在命宫、身宫时显著。&lt;/dd&gt;&lt;/dl&gt;</v>
      </c>
    </row>
    <row r="26" spans="2:7" ht="31.5" x14ac:dyDescent="0.2">
      <c r="B26" s="24" t="s">
        <v>3017</v>
      </c>
      <c r="C26" s="19" t="s">
        <v>5499</v>
      </c>
      <c r="D26" s="27"/>
      <c r="G26" t="str">
        <f t="shared" si="0"/>
        <v>&lt;dl&gt;&lt;dt&gt;性格特质​&lt;/dt&gt;&lt;dd&gt;优点：正直守法，原则性强，自律，有专业精神，动手能力强。&lt;/dd&gt;&lt;dd&gt;&lt;/dd&gt;&lt;/dl&gt;</v>
      </c>
    </row>
    <row r="27" spans="2:7" ht="32.25" thickBot="1" x14ac:dyDescent="0.25">
      <c r="B27" s="26"/>
      <c r="C27" s="21" t="s">
        <v>5500</v>
      </c>
      <c r="D27" s="29"/>
      <c r="G27" t="str">
        <f t="shared" si="0"/>
        <v>&lt;dl&gt;&lt;dt&gt;&lt;/dt&gt;&lt;dd&gt;缺点：孤僻严肃，不近人情，易有刑伤，人际关系疏离。&lt;/dd&gt;&lt;dd&gt;&lt;/dd&gt;&lt;/dl&gt;</v>
      </c>
    </row>
    <row r="28" spans="2:7" ht="32.25" thickBot="1" x14ac:dyDescent="0.25">
      <c r="B28" s="14" t="s">
        <v>3419</v>
      </c>
      <c r="C28" s="15" t="s">
        <v>5501</v>
      </c>
      <c r="D28" s="15" t="s">
        <v>5502</v>
      </c>
      <c r="G28" t="str">
        <f t="shared" si="0"/>
        <v>&lt;dl&gt;&lt;dt&gt;健康方面​&lt;/dt&gt;&lt;dd&gt;属阳火，主骨骼、牙齿、手术。易有筋骨疼痛、骨折、牙病、需手术治疗之疾。&lt;/dd&gt;&lt;dd&gt;在疾厄宫时显现，尤其与擎羊、七杀同度时更验。&lt;/dd&gt;&lt;/dl&gt;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  <c r="E32" s="2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4"/>
    </row>
    <row r="34" spans="2:7" ht="79.5" thickBot="1" x14ac:dyDescent="0.25">
      <c r="B34" s="14" t="s">
        <v>2930</v>
      </c>
      <c r="C34" s="15" t="s">
        <v>5503</v>
      </c>
      <c r="D34" s="15"/>
      <c r="E34" s="4"/>
    </row>
    <row r="35" spans="2:7" ht="32.25" thickBot="1" x14ac:dyDescent="0.25">
      <c r="B35" s="14" t="s">
        <v>2932</v>
      </c>
      <c r="C35" s="15" t="s">
        <v>5504</v>
      </c>
      <c r="D35" s="15"/>
      <c r="E35" s="4"/>
      <c r="G35" t="str">
        <f t="shared" si="0"/>
        <v>&lt;dl&gt;&lt;dt&gt;兄弟宫​&lt;/dt&gt;&lt;dd&gt;与兄弟姐妹缘薄，易有争执或刑克，关系疏离。&lt;/dd&gt;&lt;dd&gt;&lt;/dd&gt;&lt;/dl&gt;</v>
      </c>
    </row>
    <row r="36" spans="2:7" ht="32.25" thickBot="1" x14ac:dyDescent="0.25">
      <c r="B36" s="14" t="s">
        <v>2934</v>
      </c>
      <c r="C36" s="15" t="s">
        <v>5505</v>
      </c>
      <c r="D36" s="15"/>
      <c r="E36" s="4"/>
      <c r="G36" t="str">
        <f t="shared" si="0"/>
        <v>&lt;dl&gt;&lt;dt&gt;夫妻宫​&lt;/dt&gt;&lt;dd&gt;夫妻关系严肃，重原则，易有隔阂，或配偶为法律、医疗从业者。&lt;/dd&gt;&lt;dd&gt;&lt;/dd&gt;&lt;/dl&gt;</v>
      </c>
    </row>
    <row r="37" spans="2:7" ht="16.5" thickBot="1" x14ac:dyDescent="0.25">
      <c r="B37" s="14" t="s">
        <v>2936</v>
      </c>
      <c r="C37" s="15" t="s">
        <v>5506</v>
      </c>
      <c r="D37" s="15"/>
      <c r="G37" t="str">
        <f t="shared" si="0"/>
        <v>&lt;dl&gt;&lt;dt&gt;子女宫​&lt;/dt&gt;&lt;dd&gt;子女数量少，管教严格，或子女有专业技能。&lt;/dd&gt;&lt;dd&gt;&lt;/dd&gt;&lt;/dl&gt;</v>
      </c>
    </row>
    <row r="38" spans="2:7" ht="32.25" thickBot="1" x14ac:dyDescent="0.25">
      <c r="B38" s="14" t="s">
        <v>9</v>
      </c>
      <c r="C38" s="15" t="s">
        <v>5507</v>
      </c>
      <c r="D38" s="15"/>
      <c r="G38" t="str">
        <f t="shared" si="0"/>
        <v>&lt;dl&gt;&lt;dt&gt;财帛宫​&lt;/dt&gt;&lt;dd&gt;求财方式正规，靠专业技能赚钱，但钱财易因官司、医疗等事损耗。&lt;/dd&gt;&lt;dd&gt;&lt;/dd&gt;&lt;/dl&gt;</v>
      </c>
    </row>
    <row r="39" spans="2:7" ht="16.5" thickBot="1" x14ac:dyDescent="0.25">
      <c r="B39" s="14" t="s">
        <v>10</v>
      </c>
      <c r="C39" s="14" t="s">
        <v>5508</v>
      </c>
      <c r="D39" s="15"/>
      <c r="G39" t="str">
        <f t="shared" si="0"/>
        <v>&lt;dl&gt;&lt;dt&gt;疾厄宫​&lt;/dt&gt;&lt;dd&gt;易有筋骨伤病、牙病，或需手术治疗。&lt;/dd&gt;&lt;dd&gt;&lt;/dd&gt;&lt;/dl&gt;</v>
      </c>
    </row>
    <row r="40" spans="2:7" ht="32.25" thickBot="1" x14ac:dyDescent="0.25">
      <c r="B40" s="14" t="s">
        <v>13</v>
      </c>
      <c r="C40" s="15" t="s">
        <v>5509</v>
      </c>
      <c r="D40" s="15"/>
      <c r="G40" t="str">
        <f t="shared" si="0"/>
        <v>&lt;dl&gt;&lt;dt&gt;迁移宫​&lt;/dt&gt;&lt;dd&gt;在外易遇官非、纠纷，或从事需要权威、纪律的职业。&lt;/dd&gt;&lt;dd&gt;&lt;/dd&gt;&lt;/dl&gt;</v>
      </c>
    </row>
    <row r="41" spans="2:7" ht="32.25" thickBot="1" x14ac:dyDescent="0.25">
      <c r="B41" s="14" t="s">
        <v>3018</v>
      </c>
      <c r="C41" s="14" t="s">
        <v>5510</v>
      </c>
      <c r="D41" s="15"/>
      <c r="E41" s="2"/>
      <c r="G41" t="str">
        <f t="shared" si="0"/>
        <v>&lt;dl&gt;&lt;dt&gt;交友宫（奴仆宫）​&lt;/dt&gt;&lt;dd&gt;朋友多为严肃、有专业背景之人，或易与朋友发生法律纠纷。&lt;/dd&gt;&lt;dd&gt;&lt;/dd&gt;&lt;/dl&gt;</v>
      </c>
    </row>
    <row r="42" spans="2:7" ht="32.25" thickBot="1" x14ac:dyDescent="0.25">
      <c r="B42" s="14" t="s">
        <v>3019</v>
      </c>
      <c r="C42" s="15" t="s">
        <v>5511</v>
      </c>
      <c r="D42" s="15"/>
      <c r="E42" s="4"/>
      <c r="G42" t="str">
        <f t="shared" si="0"/>
        <v>&lt;dl&gt;&lt;dt&gt;官禄宫（事业宫）​&lt;/dt&gt;&lt;dd&gt;适合从事法律、医疗、军警、司法、工匠等需要专业权威和严格纪律的行业。&lt;/dd&gt;&lt;dd&gt;&lt;/dd&gt;&lt;/dl&gt;</v>
      </c>
    </row>
    <row r="43" spans="2:7" ht="32.25" thickBot="1" x14ac:dyDescent="0.25">
      <c r="B43" s="14" t="s">
        <v>8</v>
      </c>
      <c r="C43" s="14" t="s">
        <v>5512</v>
      </c>
      <c r="D43" s="15"/>
      <c r="E43" s="4"/>
      <c r="G43" t="str">
        <f t="shared" si="0"/>
        <v>&lt;dl&gt;&lt;dt&gt;田宅宫​&lt;/dt&gt;&lt;dd&gt;家宅附近可能有法院、医院等机构，家中规矩多。&lt;/dd&gt;&lt;dd&gt;&lt;/dd&gt;&lt;/dl&gt;</v>
      </c>
    </row>
    <row r="44" spans="2:7" ht="32.25" thickBot="1" x14ac:dyDescent="0.25">
      <c r="B44" s="14" t="s">
        <v>2945</v>
      </c>
      <c r="C44" s="15" t="s">
        <v>5513</v>
      </c>
      <c r="D44" s="15"/>
      <c r="E44" s="4"/>
    </row>
    <row r="45" spans="2:7" ht="32.25" thickBot="1" x14ac:dyDescent="0.25">
      <c r="B45" s="14" t="s">
        <v>11</v>
      </c>
      <c r="C45" s="15" t="s">
        <v>5514</v>
      </c>
      <c r="D45" s="15"/>
      <c r="E45" s="4"/>
    </row>
    <row r="48" spans="2:7" ht="17.25" x14ac:dyDescent="0.2">
      <c r="B48" s="5" t="s">
        <v>4689</v>
      </c>
    </row>
    <row r="49" spans="2:7" ht="16.5" thickBot="1" x14ac:dyDescent="0.25">
      <c r="B49" s="11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5515</v>
      </c>
      <c r="C51" s="14" t="s">
        <v>5516</v>
      </c>
      <c r="D51" s="15" t="s">
        <v>5517</v>
      </c>
      <c r="G51" t="str">
        <f t="shared" si="0"/>
        <v>&lt;dl&gt;&lt;dt&gt;天刑+紫微​&lt;/dt&gt;&lt;dd&gt;帝星遇刑，权威与法律结合，主掌司法大权，行事刚正不阿，但易显孤高。&lt;/dd&gt;&lt;dd&gt;大法官；纪律严明的领导者。&lt;/dd&gt;&lt;/dl&gt;</v>
      </c>
    </row>
    <row r="52" spans="2:7" ht="48" thickBot="1" x14ac:dyDescent="0.25">
      <c r="B52" s="14" t="s">
        <v>5518</v>
      </c>
      <c r="C52" s="14" t="s">
        <v>5519</v>
      </c>
      <c r="D52" s="15" t="s">
        <v>5520</v>
      </c>
      <c r="G52" t="str">
        <f t="shared" si="0"/>
        <v>&lt;dl&gt;&lt;dt&gt;天刑+天梁​&lt;/dt&gt;&lt;dd&gt;荫星遇刑，庇护与刑律结合，为“刑荫夹印”格局（需天相在中夹），主法律、医疗权威，清贵显达。&lt;/dd&gt;&lt;dd&gt;著名医生；司法高官。&lt;/dd&gt;&lt;/dl&gt;</v>
      </c>
    </row>
    <row r="53" spans="2:7" ht="32.25" thickBot="1" x14ac:dyDescent="0.25">
      <c r="B53" s="14" t="s">
        <v>5521</v>
      </c>
      <c r="C53" s="14" t="s">
        <v>5522</v>
      </c>
      <c r="D53" s="15" t="s">
        <v>5523</v>
      </c>
    </row>
    <row r="54" spans="2:7" ht="32.25" thickBot="1" x14ac:dyDescent="0.25">
      <c r="B54" s="14" t="s">
        <v>5524</v>
      </c>
      <c r="C54" s="14" t="s">
        <v>5525</v>
      </c>
      <c r="D54" s="15" t="s">
        <v>5526</v>
      </c>
    </row>
    <row r="55" spans="2:7" ht="32.25" thickBot="1" x14ac:dyDescent="0.25">
      <c r="B55" s="14" t="s">
        <v>5527</v>
      </c>
      <c r="C55" s="14" t="s">
        <v>5528</v>
      </c>
      <c r="D55" s="15" t="s">
        <v>5529</v>
      </c>
    </row>
    <row r="56" spans="2:7" ht="32.25" thickBot="1" x14ac:dyDescent="0.25">
      <c r="B56" s="14" t="s">
        <v>5530</v>
      </c>
      <c r="C56" s="14" t="s">
        <v>5531</v>
      </c>
      <c r="D56" s="15" t="s">
        <v>5532</v>
      </c>
    </row>
    <row r="57" spans="2:7" ht="48" thickBot="1" x14ac:dyDescent="0.25">
      <c r="B57" s="14" t="s">
        <v>5533</v>
      </c>
      <c r="C57" s="14" t="s">
        <v>5534</v>
      </c>
      <c r="D57" s="15" t="s">
        <v>5535</v>
      </c>
    </row>
    <row r="58" spans="2:7" ht="32.25" thickBot="1" x14ac:dyDescent="0.25">
      <c r="B58" s="14" t="s">
        <v>5536</v>
      </c>
      <c r="C58" s="14" t="s">
        <v>5537</v>
      </c>
      <c r="D58" s="15" t="s">
        <v>5538</v>
      </c>
    </row>
    <row r="59" spans="2:7" ht="32.25" thickBot="1" x14ac:dyDescent="0.25">
      <c r="B59" s="14" t="s">
        <v>5539</v>
      </c>
      <c r="C59" s="14" t="s">
        <v>5540</v>
      </c>
      <c r="D59" s="15" t="s">
        <v>5541</v>
      </c>
    </row>
    <row r="60" spans="2:7" ht="32.25" thickBot="1" x14ac:dyDescent="0.25">
      <c r="B60" s="14" t="s">
        <v>5542</v>
      </c>
      <c r="C60" s="14" t="s">
        <v>5543</v>
      </c>
      <c r="D60" s="15" t="s">
        <v>5544</v>
      </c>
    </row>
    <row r="61" spans="2:7" ht="32.25" thickBot="1" x14ac:dyDescent="0.25">
      <c r="B61" s="14" t="s">
        <v>5545</v>
      </c>
      <c r="C61" s="14" t="s">
        <v>5546</v>
      </c>
      <c r="D61" s="15" t="s">
        <v>5547</v>
      </c>
    </row>
    <row r="62" spans="2:7" ht="32.25" thickBot="1" x14ac:dyDescent="0.25">
      <c r="B62" s="14" t="s">
        <v>5548</v>
      </c>
      <c r="C62" s="14" t="s">
        <v>5549</v>
      </c>
      <c r="D62" s="15" t="s">
        <v>5550</v>
      </c>
    </row>
    <row r="63" spans="2:7" ht="32.25" thickBot="1" x14ac:dyDescent="0.25">
      <c r="B63" s="14" t="s">
        <v>5551</v>
      </c>
      <c r="C63" s="14" t="s">
        <v>5552</v>
      </c>
      <c r="D63" s="15" t="s">
        <v>5553</v>
      </c>
    </row>
    <row r="64" spans="2:7" ht="32.25" thickBot="1" x14ac:dyDescent="0.25">
      <c r="B64" s="14" t="s">
        <v>5554</v>
      </c>
      <c r="C64" s="14" t="s">
        <v>5555</v>
      </c>
      <c r="D64" s="15" t="s">
        <v>5556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5557</v>
      </c>
    </row>
    <row r="70" spans="2:2" x14ac:dyDescent="0.2">
      <c r="B70" s="7" t="s">
        <v>5558</v>
      </c>
    </row>
    <row r="71" spans="2:2" x14ac:dyDescent="0.2">
      <c r="B71" s="7" t="s">
        <v>5559</v>
      </c>
    </row>
    <row r="72" spans="2:2" x14ac:dyDescent="0.2">
      <c r="B72" s="7" t="s">
        <v>5560</v>
      </c>
    </row>
    <row r="73" spans="2:2" x14ac:dyDescent="0.2">
      <c r="B73" s="7" t="s">
        <v>5561</v>
      </c>
    </row>
    <row r="74" spans="2:2" x14ac:dyDescent="0.2">
      <c r="B74" s="7" t="s">
        <v>5562</v>
      </c>
    </row>
    <row r="75" spans="2:2" x14ac:dyDescent="0.2">
      <c r="B75" s="7" t="s">
        <v>5563</v>
      </c>
    </row>
    <row r="76" spans="2:2" x14ac:dyDescent="0.2">
      <c r="B76" s="7" t="s">
        <v>5564</v>
      </c>
    </row>
    <row r="77" spans="2:2" x14ac:dyDescent="0.2">
      <c r="B77" s="6"/>
    </row>
    <row r="78" spans="2:2" x14ac:dyDescent="0.2">
      <c r="B78" s="6" t="s">
        <v>5565</v>
      </c>
    </row>
    <row r="79" spans="2:2" x14ac:dyDescent="0.2">
      <c r="B79" s="7" t="s">
        <v>2512</v>
      </c>
    </row>
    <row r="80" spans="2:2" x14ac:dyDescent="0.2">
      <c r="B80" s="7" t="s">
        <v>2513</v>
      </c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58D4E-B542-4A80-81E1-3823C46B3B53}">
  <dimension ref="B1:G82"/>
  <sheetViews>
    <sheetView topLeftCell="A8" zoomScaleNormal="100" workbookViewId="0">
      <selection activeCell="C28" sqref="C2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5566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寿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2506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5567</v>
      </c>
      <c r="D7" s="15" t="s">
        <v>5568</v>
      </c>
    </row>
    <row r="8" spans="2:7" ht="63" x14ac:dyDescent="0.2">
      <c r="B8" s="24" t="s">
        <v>2914</v>
      </c>
      <c r="C8" s="19" t="s">
        <v>5569</v>
      </c>
      <c r="D8" s="27" t="s">
        <v>5577</v>
      </c>
    </row>
    <row r="9" spans="2:7" ht="78.75" x14ac:dyDescent="0.2">
      <c r="B9" s="25"/>
      <c r="C9" s="20" t="s">
        <v>5570</v>
      </c>
      <c r="D9" s="28"/>
    </row>
    <row r="10" spans="2:7" ht="47.25" x14ac:dyDescent="0.2">
      <c r="B10" s="25"/>
      <c r="C10" s="20" t="s">
        <v>5571</v>
      </c>
      <c r="D10" s="28"/>
    </row>
    <row r="11" spans="2:7" ht="31.5" x14ac:dyDescent="0.2">
      <c r="B11" s="25"/>
      <c r="C11" s="22" t="s">
        <v>5572</v>
      </c>
      <c r="D11" s="28"/>
    </row>
    <row r="12" spans="2:7" ht="31.5" x14ac:dyDescent="0.2">
      <c r="B12" s="25"/>
      <c r="C12" s="22" t="s">
        <v>5573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5574</v>
      </c>
      <c r="D14" s="28"/>
    </row>
    <row r="15" spans="2:7" ht="31.5" x14ac:dyDescent="0.2">
      <c r="B15" s="25"/>
      <c r="C15" s="22" t="s">
        <v>5575</v>
      </c>
      <c r="D15" s="28"/>
    </row>
    <row r="16" spans="2:7" ht="32.25" thickBot="1" x14ac:dyDescent="0.25">
      <c r="B16" s="26"/>
      <c r="C16" s="23" t="s">
        <v>5576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5578</v>
      </c>
      <c r="C22" s="15" t="s">
        <v>5579</v>
      </c>
      <c r="D22" s="15" t="s">
        <v>5580</v>
      </c>
    </row>
    <row r="23" spans="2:7" ht="48" thickBot="1" x14ac:dyDescent="0.25">
      <c r="B23" s="14" t="s">
        <v>5581</v>
      </c>
      <c r="C23" s="15" t="s">
        <v>5582</v>
      </c>
      <c r="D23" s="15" t="s">
        <v>5583</v>
      </c>
    </row>
    <row r="24" spans="2:7" ht="32.25" thickBot="1" x14ac:dyDescent="0.25">
      <c r="B24" s="14" t="s">
        <v>5584</v>
      </c>
      <c r="C24" s="15" t="s">
        <v>5585</v>
      </c>
      <c r="D24" s="15" t="s">
        <v>5586</v>
      </c>
      <c r="G24" t="str">
        <f t="shared" ref="G24:G52" si="0">"&lt;dl&gt;&lt;dt&gt;" &amp; B24 &amp; "&lt;/dt&gt;&lt;dd&gt;" &amp; C24 &amp; "&lt;/dd&gt;&lt;dd&gt;" &amp; D24 &amp; "&lt;/dd&gt;&lt;/dl&gt;"</f>
        <v>&lt;dl&gt;&lt;dt&gt;滋养与根基​&lt;/dt&gt;&lt;dd&gt;性属戊土，主滋养、根基、厚重。主得到滋养，根基稳固，有后福。&lt;/dd&gt;&lt;dd&gt;在田宅宫，主家宅安稳，祖业可守；在六亲宫，主缘分深厚持久。&lt;/dd&gt;&lt;/dl&gt;</v>
      </c>
    </row>
    <row r="25" spans="2:7" ht="32.25" thickBot="1" x14ac:dyDescent="0.25">
      <c r="B25" s="14" t="s">
        <v>3016</v>
      </c>
      <c r="C25" s="14" t="s">
        <v>5587</v>
      </c>
      <c r="D25" s="15" t="s">
        <v>2539</v>
      </c>
      <c r="E25" s="2" t="s">
        <v>7</v>
      </c>
      <c r="G25" t="str">
        <f t="shared" si="0"/>
        <v>&lt;dl&gt;&lt;dt&gt;外貌气质​&lt;/dt&gt;&lt;dd&gt;相貌敦厚，行动沉稳，面色黄润，给人以稳重、可靠、有福气的印象。&lt;/dd&gt;&lt;dd&gt;在命宫、身宫时显著。&lt;/dd&gt;&lt;/dl&gt;</v>
      </c>
    </row>
    <row r="26" spans="2:7" ht="31.5" x14ac:dyDescent="0.2">
      <c r="B26" s="24" t="s">
        <v>3017</v>
      </c>
      <c r="C26" s="19" t="s">
        <v>5588</v>
      </c>
      <c r="D26" s="27"/>
      <c r="E26" s="4"/>
      <c r="G26" t="str">
        <f t="shared" si="0"/>
        <v>&lt;dl&gt;&lt;dt&gt;性格特质​&lt;/dt&gt;&lt;dd&gt;优点：性格温和，有耐心，行事稳健，注重养生，长寿。&lt;/dd&gt;&lt;dd&gt;&lt;/dd&gt;&lt;/dl&gt;</v>
      </c>
    </row>
    <row r="27" spans="2:7" ht="16.5" thickBot="1" x14ac:dyDescent="0.25">
      <c r="B27" s="26"/>
      <c r="C27" s="21" t="s">
        <v>5589</v>
      </c>
      <c r="D27" s="29"/>
      <c r="E27" s="4"/>
      <c r="G27" t="str">
        <f t="shared" si="0"/>
        <v>&lt;dl&gt;&lt;dt&gt;&lt;/dt&gt;&lt;dd&gt;缺点：可能过于慢性子，缺乏冲劲，喜安逸。&lt;/dd&gt;&lt;dd&gt;&lt;/dd&gt;&lt;/dl&gt;</v>
      </c>
    </row>
    <row r="28" spans="2:7" ht="32.25" thickBot="1" x14ac:dyDescent="0.25">
      <c r="B28" s="14" t="s">
        <v>3419</v>
      </c>
      <c r="C28" s="15" t="s">
        <v>5590</v>
      </c>
      <c r="D28" s="15" t="s">
        <v>5591</v>
      </c>
      <c r="E28" s="4"/>
      <c r="G28" t="str">
        <f t="shared" si="0"/>
        <v>&lt;dl&gt;&lt;dt&gt;健康方面​&lt;/dt&gt;&lt;dd&gt;属戊土，主消化系统、新陈代谢。身体底子好，抗病力强，慢性病易调养。&lt;/dd&gt;&lt;dd&gt;在疾厄宫时显现，尤其与天同、天梁等星同度更验。&lt;/dd&gt;&lt;/dl&gt;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  <c r="E32" s="2" t="s">
        <v>7</v>
      </c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4"/>
    </row>
    <row r="34" spans="2:7" ht="48" thickBot="1" x14ac:dyDescent="0.25">
      <c r="B34" s="14" t="s">
        <v>2930</v>
      </c>
      <c r="C34" s="15" t="s">
        <v>5592</v>
      </c>
      <c r="D34" s="15"/>
      <c r="E34" s="4"/>
    </row>
    <row r="35" spans="2:7" ht="32.25" thickBot="1" x14ac:dyDescent="0.25">
      <c r="B35" s="14" t="s">
        <v>2932</v>
      </c>
      <c r="C35" s="15" t="s">
        <v>5593</v>
      </c>
      <c r="D35" s="15"/>
      <c r="E35" s="4"/>
      <c r="G35" t="str">
        <f t="shared" si="0"/>
        <v>&lt;dl&gt;&lt;dt&gt;兄弟宫​&lt;/dt&gt;&lt;dd&gt;与兄弟姐妹缘分持久，关系稳定，能互相扶持到老。&lt;/dd&gt;&lt;dd&gt;&lt;/dd&gt;&lt;/dl&gt;</v>
      </c>
    </row>
    <row r="36" spans="2:7" ht="32.25" thickBot="1" x14ac:dyDescent="0.25">
      <c r="B36" s="14" t="s">
        <v>2934</v>
      </c>
      <c r="C36" s="15" t="s">
        <v>5594</v>
      </c>
      <c r="D36" s="15"/>
      <c r="E36" s="4"/>
      <c r="G36" t="str">
        <f t="shared" si="0"/>
        <v>&lt;dl&gt;&lt;dt&gt;夫妻宫​&lt;/dt&gt;&lt;dd&gt;夫妻关系稳定和谐，婚姻持久，配偶可能是慢性子或长寿之人。&lt;/dd&gt;&lt;dd&gt;&lt;/dd&gt;&lt;/dl&gt;</v>
      </c>
    </row>
    <row r="37" spans="2:7" ht="16.5" thickBot="1" x14ac:dyDescent="0.25">
      <c r="B37" s="14" t="s">
        <v>2936</v>
      </c>
      <c r="C37" s="15" t="s">
        <v>5595</v>
      </c>
      <c r="D37" s="15"/>
      <c r="G37" t="str">
        <f t="shared" si="0"/>
        <v>&lt;dl&gt;&lt;dt&gt;子女宫​&lt;/dt&gt;&lt;dd&gt;子女身体健康，好养育，与子女缘分长久。&lt;/dd&gt;&lt;dd&gt;&lt;/dd&gt;&lt;/dl&gt;</v>
      </c>
    </row>
    <row r="38" spans="2:7" ht="32.25" thickBot="1" x14ac:dyDescent="0.25">
      <c r="B38" s="14" t="s">
        <v>9</v>
      </c>
      <c r="C38" s="15" t="s">
        <v>5596</v>
      </c>
      <c r="D38" s="15"/>
      <c r="G38" t="str">
        <f t="shared" si="0"/>
        <v>&lt;dl&gt;&lt;dt&gt;财帛宫​&lt;/dt&gt;&lt;dd&gt;钱财来得稳，去得慢，善于积累，晚年钱财丰足。&lt;/dd&gt;&lt;dd&gt;&lt;/dd&gt;&lt;/dl&gt;</v>
      </c>
    </row>
    <row r="39" spans="2:7" ht="32.25" thickBot="1" x14ac:dyDescent="0.25">
      <c r="B39" s="14" t="s">
        <v>10</v>
      </c>
      <c r="C39" s="14" t="s">
        <v>5597</v>
      </c>
      <c r="D39" s="15"/>
      <c r="G39" t="str">
        <f t="shared" si="0"/>
        <v>&lt;dl&gt;&lt;dt&gt;疾厄宫​&lt;/dt&gt;&lt;dd&gt;身体健康，抵抗力强，易得慢性病但易调养，长寿。&lt;/dd&gt;&lt;dd&gt;&lt;/dd&gt;&lt;/dl&gt;</v>
      </c>
    </row>
    <row r="40" spans="2:7" ht="32.25" thickBot="1" x14ac:dyDescent="0.25">
      <c r="B40" s="14" t="s">
        <v>13</v>
      </c>
      <c r="C40" s="15" t="s">
        <v>5598</v>
      </c>
      <c r="D40" s="15"/>
      <c r="G40" t="str">
        <f t="shared" si="0"/>
        <v>&lt;dl&gt;&lt;dt&gt;迁移宫​&lt;/dt&gt;&lt;dd&gt;在外发展平稳，少波折，晚年宜外出养老或旅游。&lt;/dd&gt;&lt;dd&gt;&lt;/dd&gt;&lt;/dl&gt;</v>
      </c>
    </row>
    <row r="41" spans="2:7" ht="32.25" thickBot="1" x14ac:dyDescent="0.25">
      <c r="B41" s="14" t="s">
        <v>3018</v>
      </c>
      <c r="C41" s="14" t="s">
        <v>5599</v>
      </c>
      <c r="D41" s="15"/>
      <c r="G41" t="str">
        <f t="shared" si="0"/>
        <v>&lt;dl&gt;&lt;dt&gt;交友宫（奴仆宫）​&lt;/dt&gt;&lt;dd&gt;朋友多为稳重长寿之人，友情持久。&lt;/dd&gt;&lt;dd&gt;&lt;/dd&gt;&lt;/dl&gt;</v>
      </c>
    </row>
    <row r="42" spans="2:7" ht="32.25" thickBot="1" x14ac:dyDescent="0.25">
      <c r="B42" s="14" t="s">
        <v>3019</v>
      </c>
      <c r="C42" s="15" t="s">
        <v>5600</v>
      </c>
      <c r="D42" s="15"/>
      <c r="G42" t="str">
        <f t="shared" si="0"/>
        <v>&lt;dl&gt;&lt;dt&gt;官禄宫（事业宫）​&lt;/dt&gt;&lt;dd&gt;适合从事需要耐心和持久力的行业，如养生、护理、农业、长期研究等，事业稳定。&lt;/dd&gt;&lt;dd&gt;&lt;/dd&gt;&lt;/dl&gt;</v>
      </c>
    </row>
    <row r="43" spans="2:7" ht="32.25" thickBot="1" x14ac:dyDescent="0.25">
      <c r="B43" s="14" t="s">
        <v>8</v>
      </c>
      <c r="C43" s="14" t="s">
        <v>5601</v>
      </c>
      <c r="D43" s="15"/>
      <c r="G43" t="str">
        <f t="shared" si="0"/>
        <v>&lt;dl&gt;&lt;dt&gt;田宅宫​&lt;/dt&gt;&lt;dd&gt;家宅安稳，祖业可守，适合居住于环境稳定的地方，晚年房产运佳。&lt;/dd&gt;&lt;dd&gt;&lt;/dd&gt;&lt;/dl&gt;</v>
      </c>
    </row>
    <row r="44" spans="2:7" ht="32.25" thickBot="1" x14ac:dyDescent="0.25">
      <c r="B44" s="14" t="s">
        <v>2945</v>
      </c>
      <c r="C44" s="15" t="s">
        <v>5602</v>
      </c>
      <c r="D44" s="15"/>
    </row>
    <row r="45" spans="2:7" ht="16.5" thickBot="1" x14ac:dyDescent="0.25">
      <c r="B45" s="14" t="s">
        <v>11</v>
      </c>
      <c r="C45" s="15" t="s">
        <v>5603</v>
      </c>
      <c r="D45" s="15"/>
    </row>
    <row r="48" spans="2:7" ht="17.25" x14ac:dyDescent="0.2">
      <c r="B48" s="5" t="s">
        <v>4689</v>
      </c>
    </row>
    <row r="49" spans="2:7" ht="16.5" thickBot="1" x14ac:dyDescent="0.25">
      <c r="B49" s="11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4690</v>
      </c>
      <c r="C50" s="12" t="s">
        <v>75</v>
      </c>
      <c r="D50" s="12" t="s">
        <v>108</v>
      </c>
      <c r="G50" t="str">
        <f t="shared" si="0"/>
        <v>&lt;dl&gt;&lt;dt&gt;主星​&lt;/dt&gt;&lt;dd&gt;组合效应​&lt;/dd&gt;&lt;dd&gt;典型案例/说明​&lt;/dd&gt;&lt;/dl&gt;</v>
      </c>
    </row>
    <row r="51" spans="2:7" ht="32.25" thickBot="1" x14ac:dyDescent="0.25">
      <c r="B51" s="14" t="s">
        <v>5604</v>
      </c>
      <c r="C51" s="14" t="s">
        <v>5605</v>
      </c>
      <c r="D51" s="15" t="s">
        <v>5606</v>
      </c>
      <c r="G51" t="str">
        <f t="shared" si="0"/>
        <v>&lt;dl&gt;&lt;dt&gt;天寿+天同​&lt;/dt&gt;&lt;dd&gt;福星遇寿，福气与长寿结合，主安逸长寿，福寿双全，一生少忧。&lt;/dd&gt;&lt;dd&gt;有福气的长寿者；退休生活安逸。&lt;/dd&gt;&lt;/dl&gt;</v>
      </c>
    </row>
    <row r="52" spans="2:7" ht="32.25" thickBot="1" x14ac:dyDescent="0.25">
      <c r="B52" s="14" t="s">
        <v>5607</v>
      </c>
      <c r="C52" s="14" t="s">
        <v>5608</v>
      </c>
      <c r="D52" s="15" t="s">
        <v>5609</v>
      </c>
      <c r="G52" t="str">
        <f t="shared" si="0"/>
        <v>&lt;dl&gt;&lt;dt&gt;天寿+天梁​&lt;/dt&gt;&lt;dd&gt;荫星遇寿，庇护与长寿结合，主健康长寿，且常得长辈荫庇，逢凶化吉。&lt;/dd&gt;&lt;dd&gt;受家族福泽的长寿者；医疗、养老行业从业者。&lt;/dd&gt;&lt;/dl&gt;</v>
      </c>
    </row>
    <row r="53" spans="2:7" ht="32.25" thickBot="1" x14ac:dyDescent="0.25">
      <c r="B53" s="14" t="s">
        <v>5610</v>
      </c>
      <c r="C53" s="14" t="s">
        <v>5611</v>
      </c>
      <c r="D53" s="15" t="s">
        <v>5612</v>
      </c>
    </row>
    <row r="54" spans="2:7" ht="32.25" thickBot="1" x14ac:dyDescent="0.25">
      <c r="B54" s="14" t="s">
        <v>5613</v>
      </c>
      <c r="C54" s="14" t="s">
        <v>5614</v>
      </c>
      <c r="D54" s="15" t="s">
        <v>5615</v>
      </c>
    </row>
    <row r="55" spans="2:7" ht="32.25" thickBot="1" x14ac:dyDescent="0.25">
      <c r="B55" s="14" t="s">
        <v>5616</v>
      </c>
      <c r="C55" s="14" t="s">
        <v>5617</v>
      </c>
      <c r="D55" s="15" t="s">
        <v>5618</v>
      </c>
    </row>
    <row r="56" spans="2:7" ht="32.25" thickBot="1" x14ac:dyDescent="0.25">
      <c r="B56" s="14" t="s">
        <v>5619</v>
      </c>
      <c r="C56" s="14" t="s">
        <v>5620</v>
      </c>
      <c r="D56" s="15" t="s">
        <v>5621</v>
      </c>
    </row>
    <row r="57" spans="2:7" ht="32.25" thickBot="1" x14ac:dyDescent="0.25">
      <c r="B57" s="14" t="s">
        <v>5622</v>
      </c>
      <c r="C57" s="14" t="s">
        <v>5623</v>
      </c>
      <c r="D57" s="15" t="s">
        <v>5624</v>
      </c>
    </row>
    <row r="58" spans="2:7" ht="32.25" thickBot="1" x14ac:dyDescent="0.25">
      <c r="B58" s="14" t="s">
        <v>5625</v>
      </c>
      <c r="C58" s="14" t="s">
        <v>5626</v>
      </c>
      <c r="D58" s="15" t="s">
        <v>5627</v>
      </c>
    </row>
    <row r="59" spans="2:7" ht="32.25" thickBot="1" x14ac:dyDescent="0.25">
      <c r="B59" s="14" t="s">
        <v>5628</v>
      </c>
      <c r="C59" s="14" t="s">
        <v>5629</v>
      </c>
      <c r="D59" s="15" t="s">
        <v>5630</v>
      </c>
    </row>
    <row r="60" spans="2:7" ht="32.25" thickBot="1" x14ac:dyDescent="0.25">
      <c r="B60" s="14" t="s">
        <v>5631</v>
      </c>
      <c r="C60" s="14" t="s">
        <v>5632</v>
      </c>
      <c r="D60" s="15" t="s">
        <v>5633</v>
      </c>
    </row>
    <row r="61" spans="2:7" ht="32.25" thickBot="1" x14ac:dyDescent="0.25">
      <c r="B61" s="14" t="s">
        <v>5634</v>
      </c>
      <c r="C61" s="14" t="s">
        <v>5635</v>
      </c>
      <c r="D61" s="15" t="s">
        <v>5636</v>
      </c>
    </row>
    <row r="62" spans="2:7" ht="32.25" thickBot="1" x14ac:dyDescent="0.25">
      <c r="B62" s="14" t="s">
        <v>5637</v>
      </c>
      <c r="C62" s="14" t="s">
        <v>5638</v>
      </c>
      <c r="D62" s="15" t="s">
        <v>5639</v>
      </c>
    </row>
    <row r="63" spans="2:7" ht="32.25" thickBot="1" x14ac:dyDescent="0.25">
      <c r="B63" s="14" t="s">
        <v>5640</v>
      </c>
      <c r="C63" s="14" t="s">
        <v>5641</v>
      </c>
      <c r="D63" s="15" t="s">
        <v>5642</v>
      </c>
    </row>
    <row r="64" spans="2:7" ht="32.25" thickBot="1" x14ac:dyDescent="0.25">
      <c r="B64" s="14" t="s">
        <v>5643</v>
      </c>
      <c r="C64" s="14" t="s">
        <v>5644</v>
      </c>
      <c r="D64" s="15" t="s">
        <v>5645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5646</v>
      </c>
    </row>
    <row r="70" spans="2:2" x14ac:dyDescent="0.2">
      <c r="B70" s="7" t="s">
        <v>5647</v>
      </c>
    </row>
    <row r="71" spans="2:2" x14ac:dyDescent="0.2">
      <c r="B71" s="7" t="s">
        <v>5648</v>
      </c>
    </row>
    <row r="72" spans="2:2" x14ac:dyDescent="0.2">
      <c r="B72" s="7" t="s">
        <v>5649</v>
      </c>
    </row>
    <row r="73" spans="2:2" x14ac:dyDescent="0.2">
      <c r="B73" s="7" t="s">
        <v>5650</v>
      </c>
    </row>
    <row r="74" spans="2:2" x14ac:dyDescent="0.2">
      <c r="B74" s="7" t="s">
        <v>5651</v>
      </c>
    </row>
    <row r="75" spans="2:2" x14ac:dyDescent="0.2">
      <c r="B75" s="7" t="s">
        <v>5652</v>
      </c>
    </row>
    <row r="76" spans="2:2" x14ac:dyDescent="0.2">
      <c r="B76" s="7" t="s">
        <v>5653</v>
      </c>
    </row>
    <row r="77" spans="2:2" x14ac:dyDescent="0.2">
      <c r="B77" s="6"/>
    </row>
    <row r="78" spans="2:2" x14ac:dyDescent="0.2">
      <c r="B78" s="6" t="s">
        <v>5654</v>
      </c>
    </row>
    <row r="79" spans="2:2" x14ac:dyDescent="0.2">
      <c r="B79" s="7" t="s">
        <v>2507</v>
      </c>
    </row>
    <row r="80" spans="2:2" x14ac:dyDescent="0.2">
      <c r="B80" s="7" t="s">
        <v>2508</v>
      </c>
    </row>
    <row r="81" spans="2:2" x14ac:dyDescent="0.2">
      <c r="B81" s="7" t="s">
        <v>2509</v>
      </c>
    </row>
    <row r="82" spans="2:2" x14ac:dyDescent="0.2">
      <c r="B82" s="7" t="s">
        <v>2510</v>
      </c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FC231-7A77-4F48-8364-B7E84E1D85F8}">
  <dimension ref="B1:G82"/>
  <sheetViews>
    <sheetView zoomScaleNormal="100" workbookViewId="0">
      <selection activeCell="C15" sqref="C1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5655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巫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98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95.25" thickBot="1" x14ac:dyDescent="0.25">
      <c r="B7" s="14" t="s">
        <v>2913</v>
      </c>
      <c r="C7" s="14" t="s">
        <v>5656</v>
      </c>
      <c r="D7" s="15" t="s">
        <v>5657</v>
      </c>
    </row>
    <row r="8" spans="2:7" ht="110.25" x14ac:dyDescent="0.2">
      <c r="B8" s="24" t="s">
        <v>2914</v>
      </c>
      <c r="C8" s="19" t="s">
        <v>5658</v>
      </c>
      <c r="D8" s="27" t="s">
        <v>5666</v>
      </c>
    </row>
    <row r="9" spans="2:7" ht="78.75" x14ac:dyDescent="0.2">
      <c r="B9" s="25"/>
      <c r="C9" s="20" t="s">
        <v>5659</v>
      </c>
      <c r="D9" s="28"/>
    </row>
    <row r="10" spans="2:7" ht="47.25" x14ac:dyDescent="0.2">
      <c r="B10" s="25"/>
      <c r="C10" s="20" t="s">
        <v>5660</v>
      </c>
      <c r="D10" s="28"/>
    </row>
    <row r="11" spans="2:7" ht="31.5" x14ac:dyDescent="0.2">
      <c r="B11" s="25"/>
      <c r="C11" s="22" t="s">
        <v>5661</v>
      </c>
      <c r="D11" s="28"/>
    </row>
    <row r="12" spans="2:7" ht="47.25" x14ac:dyDescent="0.2">
      <c r="B12" s="25"/>
      <c r="C12" s="22" t="s">
        <v>5662</v>
      </c>
      <c r="D12" s="28"/>
    </row>
    <row r="13" spans="2:7" ht="15.75" x14ac:dyDescent="0.2">
      <c r="B13" s="25"/>
      <c r="C13" s="22" t="s">
        <v>4343</v>
      </c>
      <c r="D13" s="28"/>
      <c r="E13" s="2" t="s">
        <v>7</v>
      </c>
    </row>
    <row r="14" spans="2:7" ht="31.5" x14ac:dyDescent="0.2">
      <c r="B14" s="25"/>
      <c r="C14" s="22" t="s">
        <v>5663</v>
      </c>
      <c r="D14" s="28"/>
      <c r="E14" s="4"/>
    </row>
    <row r="15" spans="2:7" ht="31.5" x14ac:dyDescent="0.2">
      <c r="B15" s="25"/>
      <c r="C15" s="22" t="s">
        <v>5664</v>
      </c>
      <c r="D15" s="28"/>
      <c r="E15" s="4"/>
    </row>
    <row r="16" spans="2:7" ht="32.25" thickBot="1" x14ac:dyDescent="0.25">
      <c r="B16" s="26"/>
      <c r="C16" s="23" t="s">
        <v>5665</v>
      </c>
      <c r="D16" s="29"/>
      <c r="E16" s="4"/>
    </row>
    <row r="17" spans="2:7" x14ac:dyDescent="0.2">
      <c r="E17" s="4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5667</v>
      </c>
      <c r="C22" s="15" t="s">
        <v>5668</v>
      </c>
      <c r="D22" s="15" t="s">
        <v>5669</v>
      </c>
      <c r="E22" s="2" t="s">
        <v>7</v>
      </c>
    </row>
    <row r="23" spans="2:7" ht="48" thickBot="1" x14ac:dyDescent="0.25">
      <c r="B23" s="14" t="s">
        <v>5670</v>
      </c>
      <c r="C23" s="15" t="s">
        <v>5671</v>
      </c>
      <c r="D23" s="15" t="s">
        <v>5672</v>
      </c>
      <c r="E23" s="4"/>
    </row>
    <row r="24" spans="2:7" ht="48" thickBot="1" x14ac:dyDescent="0.25">
      <c r="B24" s="14" t="s">
        <v>5673</v>
      </c>
      <c r="C24" s="15" t="s">
        <v>5674</v>
      </c>
      <c r="D24" s="15" t="s">
        <v>5675</v>
      </c>
      <c r="E24" s="4"/>
      <c r="G24" t="str">
        <f t="shared" ref="G24:G52" si="0">"&lt;dl&gt;&lt;dt&gt;" &amp; B24 &amp; "&lt;/dt&gt;&lt;dd&gt;" &amp; C24 &amp; "&lt;/dd&gt;&lt;dd&gt;" &amp; D24 &amp; "&lt;/dd&gt;&lt;/dl&gt;"</f>
        <v>&lt;dl&gt;&lt;dt&gt;调动与贵人​&lt;/dt&gt;&lt;dd&gt;性属阴土，主调动、得贵人提拔。逢天马主调动；逢天魁、天钺主得贵人提拔；与封诰会照主升职。&lt;/dd&gt;&lt;dd&gt;在迁移宫遇流年，可能有乔迁之喜；在官禄宫逢吉星，主升迁顺利。&lt;/dd&gt;&lt;/dl&gt;</v>
      </c>
    </row>
    <row r="25" spans="2:7" ht="32.25" thickBot="1" x14ac:dyDescent="0.25">
      <c r="B25" s="14" t="s">
        <v>3016</v>
      </c>
      <c r="C25" s="14" t="s">
        <v>5676</v>
      </c>
      <c r="D25" s="15" t="s">
        <v>2539</v>
      </c>
      <c r="E25" s="4"/>
      <c r="G25" t="str">
        <f t="shared" si="0"/>
        <v>&lt;dl&gt;&lt;dt&gt;外貌气质​&lt;/dt&gt;&lt;dd&gt;相貌亲和平易，给人以聪明、善良、有灵气的印象。&lt;/dd&gt;&lt;dd&gt;在命宫、身宫时显著。&lt;/dd&gt;&lt;/dl&gt;</v>
      </c>
    </row>
    <row r="26" spans="2:7" ht="63" x14ac:dyDescent="0.2">
      <c r="B26" s="24" t="s">
        <v>3017</v>
      </c>
      <c r="C26" s="19" t="s">
        <v>5677</v>
      </c>
      <c r="D26" s="27"/>
      <c r="E26" s="4"/>
      <c r="G26" t="str">
        <f t="shared" si="0"/>
        <v>&lt;dl&gt;&lt;dt&gt;性格特质​&lt;/dt&gt;&lt;dd&gt;优点：聪明好学，灵活机智，心善有灵气，口才好，表达能力强，平易近人，温顺善良，恪尽天职，洁身自好，谦虚上进，凡事礼让，认真负责，升迁顺利。&lt;/dd&gt;&lt;dd&gt;&lt;/dd&gt;&lt;/dl&gt;</v>
      </c>
    </row>
    <row r="27" spans="2:7" ht="48" thickBot="1" x14ac:dyDescent="0.25">
      <c r="B27" s="26"/>
      <c r="C27" s="21" t="s">
        <v>5678</v>
      </c>
      <c r="D27" s="29"/>
      <c r="E27" s="4"/>
      <c r="G27" t="str">
        <f t="shared" si="0"/>
        <v>&lt;dl&gt;&lt;dt&gt;&lt;/dt&gt;&lt;dd&gt;缺点：缺少担当，轻易退缩，魄力不足，不宜领导，冲刺性差，起步艰难，辛劳劳碌，默默承受。&lt;/dd&gt;&lt;dd&gt;&lt;/dd&gt;&lt;/dl&gt;</v>
      </c>
    </row>
    <row r="28" spans="2:7" ht="32.25" thickBot="1" x14ac:dyDescent="0.25">
      <c r="B28" s="14" t="s">
        <v>3419</v>
      </c>
      <c r="C28" s="15" t="s">
        <v>5679</v>
      </c>
      <c r="D28" s="15" t="s">
        <v>5680</v>
      </c>
      <c r="E28" s="4"/>
      <c r="G28" t="str">
        <f t="shared" si="0"/>
        <v>&lt;dl&gt;&lt;dt&gt;健康方面​&lt;/dt&gt;&lt;dd&gt;一般主健康状况良好，但若与煞星同度于疾厄宫，可能提示家族性遗传疾病。&lt;/dd&gt;&lt;dd&gt;在疾厄宫无煞，则生病也能迅速康复；有煞则需注意。&lt;/dd&gt;&lt;/dl&gt;</v>
      </c>
    </row>
    <row r="29" spans="2:7" x14ac:dyDescent="0.2">
      <c r="E29" s="4"/>
      <c r="G29" t="str">
        <f t="shared" si="0"/>
        <v>&lt;dl&gt;&lt;dt&gt;&lt;/dt&gt;&lt;dd&gt;&lt;/dd&gt;&lt;dd&gt;&lt;/dd&gt;&lt;/dl&gt;</v>
      </c>
    </row>
    <row r="30" spans="2:7" x14ac:dyDescent="0.2">
      <c r="E30" s="4"/>
    </row>
    <row r="31" spans="2:7" ht="17.25" x14ac:dyDescent="0.2">
      <c r="B31" s="5" t="s">
        <v>102</v>
      </c>
      <c r="E31" s="4"/>
    </row>
    <row r="32" spans="2:7" ht="16.5" thickBot="1" x14ac:dyDescent="0.25">
      <c r="B32" s="11"/>
      <c r="E32" s="4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4"/>
    </row>
    <row r="34" spans="2:7" ht="48" thickBot="1" x14ac:dyDescent="0.25">
      <c r="B34" s="14" t="s">
        <v>2930</v>
      </c>
      <c r="C34" s="15" t="s">
        <v>5681</v>
      </c>
      <c r="D34" s="15"/>
      <c r="E34" s="4"/>
    </row>
    <row r="35" spans="2:7" ht="32.25" thickBot="1" x14ac:dyDescent="0.25">
      <c r="B35" s="14" t="s">
        <v>2932</v>
      </c>
      <c r="C35" s="15" t="s">
        <v>5682</v>
      </c>
      <c r="D35" s="15"/>
      <c r="G35" t="str">
        <f t="shared" si="0"/>
        <v>&lt;dl&gt;&lt;dt&gt;兄弟宫​&lt;/dt&gt;&lt;dd&gt;与兄弟姐妹关系亲密，彼此批评却又互相打气。&lt;/dd&gt;&lt;dd&gt;&lt;/dd&gt;&lt;/dl&gt;</v>
      </c>
    </row>
    <row r="36" spans="2:7" ht="32.25" thickBot="1" x14ac:dyDescent="0.25">
      <c r="B36" s="14" t="s">
        <v>2934</v>
      </c>
      <c r="C36" s="15" t="s">
        <v>5683</v>
      </c>
      <c r="D36" s="15"/>
      <c r="G36" t="str">
        <f t="shared" si="0"/>
        <v>&lt;dl&gt;&lt;dt&gt;夫妻宫​&lt;/dt&gt;&lt;dd&gt;夫妻关系或许并非天作之合，但相互默契，互助互补。若感情出问题，易求神问卜。&lt;/dd&gt;&lt;dd&gt;&lt;/dd&gt;&lt;/dl&gt;</v>
      </c>
    </row>
    <row r="37" spans="2:7" ht="16.5" thickBot="1" x14ac:dyDescent="0.25">
      <c r="B37" s="14" t="s">
        <v>2936</v>
      </c>
      <c r="C37" s="15" t="s">
        <v>5684</v>
      </c>
      <c r="D37" s="15"/>
      <c r="G37" t="str">
        <f t="shared" si="0"/>
        <v>&lt;dl&gt;&lt;dt&gt;子女宫​&lt;/dt&gt;&lt;dd&gt;子女前程似锦，自律自爱，不断进取。&lt;/dd&gt;&lt;dd&gt;&lt;/dd&gt;&lt;/dl&gt;</v>
      </c>
    </row>
    <row r="38" spans="2:7" ht="48" thickBot="1" x14ac:dyDescent="0.25">
      <c r="B38" s="14" t="s">
        <v>9</v>
      </c>
      <c r="C38" s="15" t="s">
        <v>5685</v>
      </c>
      <c r="D38" s="15"/>
      <c r="G38" t="str">
        <f t="shared" si="0"/>
        <v>&lt;dl&gt;&lt;dt&gt;财帛宫​&lt;/dt&gt;&lt;dd&gt;财运平平，需依赖努力补足，因此勤俭持家。若与天梁同度，主得长辈遗产。逢吉曜相助，则福禄倍增。&lt;/dd&gt;&lt;dd&gt;&lt;/dd&gt;&lt;/dl&gt;</v>
      </c>
    </row>
    <row r="39" spans="2:7" ht="48" thickBot="1" x14ac:dyDescent="0.25">
      <c r="B39" s="14" t="s">
        <v>10</v>
      </c>
      <c r="C39" s="14" t="s">
        <v>5686</v>
      </c>
      <c r="D39" s="15"/>
      <c r="G39" t="str">
        <f t="shared" si="0"/>
        <v>&lt;dl&gt;&lt;dt&gt;疾厄宫​&lt;/dt&gt;&lt;dd&gt;健康状况良好，需适度休息，即使生病也能迅速康复。若与煞星同宫，需注意家族性遗传疾病。&lt;/dd&gt;&lt;dd&gt;&lt;/dd&gt;&lt;/dl&gt;</v>
      </c>
    </row>
    <row r="40" spans="2:7" ht="32.25" thickBot="1" x14ac:dyDescent="0.25">
      <c r="B40" s="14" t="s">
        <v>13</v>
      </c>
      <c r="C40" s="15" t="s">
        <v>5687</v>
      </c>
      <c r="D40" s="15"/>
      <c r="G40" t="str">
        <f t="shared" si="0"/>
        <v>&lt;dl&gt;&lt;dt&gt;迁移宫​&lt;/dt&gt;&lt;dd&gt;外出低调不张扬，不易受排挤，总能抓住机遇展现才华。流年遇之，主有乔迁之喜。&lt;/dd&gt;&lt;dd&gt;&lt;/dd&gt;&lt;/dl&gt;</v>
      </c>
    </row>
    <row r="41" spans="2:7" ht="32.25" thickBot="1" x14ac:dyDescent="0.25">
      <c r="B41" s="14" t="s">
        <v>3018</v>
      </c>
      <c r="C41" s="14" t="s">
        <v>5688</v>
      </c>
      <c r="D41" s="15"/>
      <c r="E41" s="2" t="s">
        <v>7</v>
      </c>
      <c r="G41" t="str">
        <f t="shared" si="0"/>
        <v>&lt;dl&gt;&lt;dt&gt;交友宫（奴仆宫）​&lt;/dt&gt;&lt;dd&gt;身边的朋友值得珍惜长久交往。&lt;/dd&gt;&lt;dd&gt;&lt;/dd&gt;&lt;/dl&gt;</v>
      </c>
    </row>
    <row r="42" spans="2:7" ht="48" thickBot="1" x14ac:dyDescent="0.25">
      <c r="B42" s="14" t="s">
        <v>3019</v>
      </c>
      <c r="C42" s="14" t="s">
        <v>5689</v>
      </c>
      <c r="D42" s="15"/>
      <c r="E42" s="4"/>
      <c r="G42" t="str">
        <f t="shared" si="0"/>
        <v>&lt;dl&gt;&lt;dt&gt;官禄宫（事业宫）​&lt;/dt&gt;&lt;dd&gt;虽非天赋异禀，但勤奋努力，自学成才。逢吉星，主升迁顺利，福禄倍增。流年遇之，主升迁之兆。&lt;/dd&gt;&lt;dd&gt;&lt;/dd&gt;&lt;/dl&gt;</v>
      </c>
    </row>
    <row r="43" spans="2:7" ht="48" thickBot="1" x14ac:dyDescent="0.25">
      <c r="B43" s="14" t="s">
        <v>8</v>
      </c>
      <c r="C43" s="14" t="s">
        <v>5690</v>
      </c>
      <c r="D43" s="15"/>
      <c r="E43" s="4"/>
      <c r="G43" t="str">
        <f t="shared" si="0"/>
        <v>&lt;dl&gt;&lt;dt&gt;田宅宫​&lt;/dt&gt;&lt;dd&gt;起居简朴，凭借良机和好运，居住环境会改善，有机会换得宽敞住所。若主星吉利，有望继承地产和固定资产。&lt;/dd&gt;&lt;dd&gt;&lt;/dd&gt;&lt;/dl&gt;</v>
      </c>
    </row>
    <row r="44" spans="2:7" ht="32.25" thickBot="1" x14ac:dyDescent="0.25">
      <c r="B44" s="14" t="s">
        <v>2945</v>
      </c>
      <c r="C44" s="14" t="s">
        <v>5691</v>
      </c>
      <c r="D44" s="15"/>
      <c r="E44" s="4"/>
    </row>
    <row r="45" spans="2:7" ht="48" thickBot="1" x14ac:dyDescent="0.25">
      <c r="B45" s="14" t="s">
        <v>11</v>
      </c>
      <c r="C45" s="15" t="s">
        <v>5692</v>
      </c>
      <c r="D45" s="15"/>
      <c r="E45" s="4"/>
    </row>
    <row r="48" spans="2:7" ht="17.25" x14ac:dyDescent="0.2">
      <c r="B48" s="5" t="s">
        <v>4689</v>
      </c>
    </row>
    <row r="49" spans="2:7" ht="16.5" thickBot="1" x14ac:dyDescent="0.25">
      <c r="B49" s="11"/>
      <c r="E49" s="2" t="s">
        <v>7</v>
      </c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4"/>
      <c r="G50" t="str">
        <f t="shared" si="0"/>
        <v>&lt;dl&gt;&lt;dt&gt;主星/星曜​&lt;/dt&gt;&lt;dd&gt;组合效应​&lt;/dd&gt;&lt;dd&gt;典型案例/说明​&lt;/dd&gt;&lt;/dl&gt;</v>
      </c>
    </row>
    <row r="51" spans="2:7" ht="32.25" thickBot="1" x14ac:dyDescent="0.25">
      <c r="B51" s="14" t="s">
        <v>5694</v>
      </c>
      <c r="C51" s="14" t="s">
        <v>5695</v>
      </c>
      <c r="D51" s="15" t="s">
        <v>5696</v>
      </c>
      <c r="E51" s="4"/>
      <c r="G51" t="str">
        <f t="shared" si="0"/>
        <v>&lt;dl&gt;&lt;dt&gt;天巫+天梁​&lt;/dt&gt;&lt;dd&gt;荫星遇巫，庇护与遗产结合，同度于命宫或财帛宫，主得长辈遗产。&lt;/dd&gt;&lt;dd&gt;继承家族财产者；得长辈荫庇之人。&lt;/dd&gt;&lt;/dl&gt;</v>
      </c>
    </row>
    <row r="52" spans="2:7" ht="32.25" thickBot="1" x14ac:dyDescent="0.25">
      <c r="B52" s="14" t="s">
        <v>5697</v>
      </c>
      <c r="C52" s="14" t="s">
        <v>5698</v>
      </c>
      <c r="D52" s="15" t="s">
        <v>5699</v>
      </c>
      <c r="E52" s="4"/>
      <c r="G52" t="str">
        <f t="shared" si="0"/>
        <v>&lt;dl&gt;&lt;dt&gt;天巫+天马​&lt;/dt&gt;&lt;dd&gt;巫马相逢，升迁与调动结合，主工作调动、职位变迁、乔迁。&lt;/dd&gt;&lt;dd&gt;因工作调动搬家者；经常变动岗位的人。&lt;/dd&gt;&lt;/dl&gt;</v>
      </c>
    </row>
    <row r="53" spans="2:7" ht="32.25" thickBot="1" x14ac:dyDescent="0.25">
      <c r="B53" s="14" t="s">
        <v>5700</v>
      </c>
      <c r="C53" s="14" t="s">
        <v>5701</v>
      </c>
      <c r="D53" s="15" t="s">
        <v>5702</v>
      </c>
      <c r="E53" s="4"/>
    </row>
    <row r="54" spans="2:7" ht="32.25" thickBot="1" x14ac:dyDescent="0.25">
      <c r="B54" s="14" t="s">
        <v>5703</v>
      </c>
      <c r="C54" s="14" t="s">
        <v>5704</v>
      </c>
      <c r="D54" s="15" t="s">
        <v>5705</v>
      </c>
    </row>
    <row r="55" spans="2:7" ht="32.25" thickBot="1" x14ac:dyDescent="0.25">
      <c r="B55" s="14" t="s">
        <v>5706</v>
      </c>
      <c r="C55" s="14" t="s">
        <v>5707</v>
      </c>
      <c r="D55" s="15" t="s">
        <v>5708</v>
      </c>
    </row>
    <row r="56" spans="2:7" ht="32.25" thickBot="1" x14ac:dyDescent="0.25">
      <c r="B56" s="14" t="s">
        <v>5709</v>
      </c>
      <c r="C56" s="14" t="s">
        <v>5710</v>
      </c>
      <c r="D56" s="15" t="s">
        <v>5711</v>
      </c>
    </row>
    <row r="57" spans="2:7" ht="32.25" thickBot="1" x14ac:dyDescent="0.25">
      <c r="B57" s="14" t="s">
        <v>5712</v>
      </c>
      <c r="C57" s="14" t="s">
        <v>5713</v>
      </c>
      <c r="D57" s="15" t="s">
        <v>5714</v>
      </c>
    </row>
    <row r="58" spans="2:7" ht="32.25" thickBot="1" x14ac:dyDescent="0.25">
      <c r="B58" s="14" t="s">
        <v>5715</v>
      </c>
      <c r="C58" s="14" t="s">
        <v>5716</v>
      </c>
      <c r="D58" s="15" t="s">
        <v>5717</v>
      </c>
      <c r="E58" s="2" t="s">
        <v>7</v>
      </c>
    </row>
    <row r="59" spans="2:7" ht="32.25" thickBot="1" x14ac:dyDescent="0.25">
      <c r="B59" s="14" t="s">
        <v>5718</v>
      </c>
      <c r="C59" s="14" t="s">
        <v>5719</v>
      </c>
      <c r="D59" s="15" t="s">
        <v>5720</v>
      </c>
      <c r="E59" s="4"/>
    </row>
    <row r="60" spans="2:7" ht="32.25" thickBot="1" x14ac:dyDescent="0.25">
      <c r="B60" s="14" t="s">
        <v>5721</v>
      </c>
      <c r="C60" s="14" t="s">
        <v>5722</v>
      </c>
      <c r="D60" s="15" t="s">
        <v>5723</v>
      </c>
      <c r="E60" s="4"/>
    </row>
    <row r="61" spans="2:7" ht="32.25" thickBot="1" x14ac:dyDescent="0.25">
      <c r="B61" s="14" t="s">
        <v>5724</v>
      </c>
      <c r="C61" s="14" t="s">
        <v>5725</v>
      </c>
      <c r="D61" s="15" t="s">
        <v>5726</v>
      </c>
      <c r="E61" s="4"/>
    </row>
    <row r="62" spans="2:7" ht="48" thickBot="1" x14ac:dyDescent="0.25">
      <c r="B62" s="14" t="s">
        <v>5727</v>
      </c>
      <c r="C62" s="14" t="s">
        <v>5728</v>
      </c>
      <c r="D62" s="15" t="s">
        <v>5729</v>
      </c>
      <c r="E62" s="4"/>
    </row>
    <row r="63" spans="2:7" ht="32.25" thickBot="1" x14ac:dyDescent="0.25">
      <c r="B63" s="14" t="s">
        <v>5730</v>
      </c>
      <c r="C63" s="14" t="s">
        <v>5731</v>
      </c>
      <c r="D63" s="15" t="s">
        <v>5732</v>
      </c>
      <c r="E63" s="4"/>
    </row>
    <row r="64" spans="2:7" x14ac:dyDescent="0.2">
      <c r="E64" s="4"/>
    </row>
    <row r="65" spans="2:5" x14ac:dyDescent="0.2">
      <c r="E65" s="4"/>
    </row>
    <row r="66" spans="2:5" ht="17.25" x14ac:dyDescent="0.2">
      <c r="B66" s="5" t="s">
        <v>4715</v>
      </c>
    </row>
    <row r="67" spans="2:5" x14ac:dyDescent="0.2">
      <c r="B67" s="6"/>
    </row>
    <row r="68" spans="2:5" x14ac:dyDescent="0.2">
      <c r="B68" s="7" t="s">
        <v>5733</v>
      </c>
    </row>
    <row r="69" spans="2:5" x14ac:dyDescent="0.2">
      <c r="B69" s="7" t="s">
        <v>5734</v>
      </c>
    </row>
    <row r="70" spans="2:5" x14ac:dyDescent="0.2">
      <c r="B70" s="7" t="s">
        <v>5735</v>
      </c>
    </row>
    <row r="71" spans="2:5" x14ac:dyDescent="0.2">
      <c r="B71" s="7" t="s">
        <v>5736</v>
      </c>
    </row>
    <row r="72" spans="2:5" x14ac:dyDescent="0.2">
      <c r="B72" s="7" t="s">
        <v>5737</v>
      </c>
    </row>
    <row r="73" spans="2:5" x14ac:dyDescent="0.2">
      <c r="B73" s="7" t="s">
        <v>5738</v>
      </c>
    </row>
    <row r="74" spans="2:5" x14ac:dyDescent="0.2">
      <c r="B74" s="7" t="s">
        <v>5739</v>
      </c>
    </row>
    <row r="75" spans="2:5" x14ac:dyDescent="0.2">
      <c r="B75" s="7" t="s">
        <v>5740</v>
      </c>
    </row>
    <row r="76" spans="2:5" x14ac:dyDescent="0.2">
      <c r="B76" s="6"/>
    </row>
    <row r="77" spans="2:5" x14ac:dyDescent="0.2">
      <c r="B77" s="6" t="s">
        <v>5741</v>
      </c>
    </row>
    <row r="78" spans="2:5" x14ac:dyDescent="0.2">
      <c r="B78" s="9" t="s">
        <v>104</v>
      </c>
    </row>
    <row r="79" spans="2:5" x14ac:dyDescent="0.2">
      <c r="B79" s="9" t="s">
        <v>105</v>
      </c>
    </row>
    <row r="80" spans="2:5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E262F-80B3-4B99-AE37-294E6110187F}">
  <dimension ref="B1:G82"/>
  <sheetViews>
    <sheetView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5742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阴煞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106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5743</v>
      </c>
      <c r="D7" s="15" t="s">
        <v>5744</v>
      </c>
    </row>
    <row r="8" spans="2:7" ht="78.75" x14ac:dyDescent="0.2">
      <c r="B8" s="24" t="s">
        <v>2914</v>
      </c>
      <c r="C8" s="19" t="s">
        <v>5745</v>
      </c>
      <c r="D8" s="27" t="s">
        <v>5753</v>
      </c>
    </row>
    <row r="9" spans="2:7" ht="78.75" x14ac:dyDescent="0.2">
      <c r="B9" s="25"/>
      <c r="C9" s="20" t="s">
        <v>5746</v>
      </c>
      <c r="D9" s="28"/>
    </row>
    <row r="10" spans="2:7" ht="47.25" x14ac:dyDescent="0.2">
      <c r="B10" s="25"/>
      <c r="C10" s="20" t="s">
        <v>5747</v>
      </c>
      <c r="D10" s="28"/>
    </row>
    <row r="11" spans="2:7" ht="31.5" x14ac:dyDescent="0.2">
      <c r="B11" s="25"/>
      <c r="C11" s="22" t="s">
        <v>5748</v>
      </c>
      <c r="D11" s="28"/>
    </row>
    <row r="12" spans="2:7" ht="31.5" x14ac:dyDescent="0.2">
      <c r="B12" s="25"/>
      <c r="C12" s="22" t="s">
        <v>5749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5750</v>
      </c>
      <c r="D14" s="28"/>
    </row>
    <row r="15" spans="2:7" ht="31.5" x14ac:dyDescent="0.2">
      <c r="B15" s="25"/>
      <c r="C15" s="22" t="s">
        <v>5751</v>
      </c>
      <c r="D15" s="28"/>
    </row>
    <row r="16" spans="2:7" ht="32.25" thickBot="1" x14ac:dyDescent="0.25">
      <c r="B16" s="26"/>
      <c r="C16" s="23" t="s">
        <v>5752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5754</v>
      </c>
      <c r="C22" s="15" t="s">
        <v>5755</v>
      </c>
      <c r="D22" s="15" t="s">
        <v>5756</v>
      </c>
    </row>
    <row r="23" spans="2:7" ht="48" thickBot="1" x14ac:dyDescent="0.25">
      <c r="B23" s="14" t="s">
        <v>5757</v>
      </c>
      <c r="C23" s="15" t="s">
        <v>5758</v>
      </c>
      <c r="D23" s="15" t="s">
        <v>5759</v>
      </c>
      <c r="E23" s="12"/>
    </row>
    <row r="24" spans="2:7" ht="48" thickBot="1" x14ac:dyDescent="0.25">
      <c r="B24" s="14" t="s">
        <v>5760</v>
      </c>
      <c r="C24" s="15" t="s">
        <v>5761</v>
      </c>
      <c r="D24" s="15" t="s">
        <v>5762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隐伏与灾厄​&lt;/dt&gt;&lt;dd&gt;性属阴土/阴水，主隐伏、缓慢、持久的负面力量。灾祸多来自暗处，不易防备，且持续时间长。&lt;/dd&gt;&lt;dd&gt;在疾厄宫，主隐疾难查；在官禄宫，主职场暗箭。&lt;/dd&gt;&lt;/dl&gt;</v>
      </c>
    </row>
    <row r="25" spans="2:7" ht="32.25" thickBot="1" x14ac:dyDescent="0.25">
      <c r="B25" s="14" t="s">
        <v>3016</v>
      </c>
      <c r="C25" s="14" t="s">
        <v>5763</v>
      </c>
      <c r="D25" s="15" t="s">
        <v>5764</v>
      </c>
      <c r="E25" s="15"/>
      <c r="G25" t="str">
        <f t="shared" si="0"/>
        <v>&lt;dl&gt;&lt;dt&gt;外貌气质​&lt;/dt&gt;&lt;dd&gt;面色可能偏暗或苍白，眼神闪烁或多疑，气质阴郁，给人以难以捉摸、不易亲近的印象。&lt;/dd&gt;&lt;dd&gt;在命宫、身宫时显著，但需结合主星判断。&lt;/dd&gt;&lt;/dl&gt;</v>
      </c>
    </row>
    <row r="26" spans="2:7" ht="32.25" thickBot="1" x14ac:dyDescent="0.25">
      <c r="B26" s="24" t="s">
        <v>3017</v>
      </c>
      <c r="C26" s="19" t="s">
        <v>5765</v>
      </c>
      <c r="D26" s="27"/>
      <c r="E26" s="15"/>
      <c r="G26" t="str">
        <f t="shared" si="0"/>
        <v>&lt;dl&gt;&lt;dt&gt;性格特质​&lt;/dt&gt;&lt;dd&gt;优点：直觉敏锐，能察觉潜在危险，在某些领域（如玄学）可能有特殊感知力。&lt;/dd&gt;&lt;dd&gt;&lt;/dd&gt;&lt;/dl&gt;</v>
      </c>
    </row>
    <row r="27" spans="2:7" ht="32.25" thickBot="1" x14ac:dyDescent="0.25">
      <c r="B27" s="26"/>
      <c r="C27" s="21" t="s">
        <v>5766</v>
      </c>
      <c r="D27" s="29"/>
      <c r="E27" s="15"/>
      <c r="G27" t="str">
        <f t="shared" si="0"/>
        <v>&lt;dl&gt;&lt;dt&gt;&lt;/dt&gt;&lt;dd&gt;缺点：多疑敏感，易招小人，内心阴暗，常感压力，易受灵异干扰。&lt;/dd&gt;&lt;dd&gt;&lt;/dd&gt;&lt;/dl&gt;</v>
      </c>
    </row>
    <row r="28" spans="2:7" ht="32.25" thickBot="1" x14ac:dyDescent="0.25">
      <c r="B28" s="14" t="s">
        <v>3419</v>
      </c>
      <c r="C28" s="15" t="s">
        <v>5767</v>
      </c>
      <c r="D28" s="15" t="s">
        <v>5768</v>
      </c>
      <c r="E28" s="15"/>
      <c r="G28" t="str">
        <f t="shared" si="0"/>
        <v>&lt;dl&gt;&lt;dt&gt;健康方面​&lt;/dt&gt;&lt;dd&gt;主隐疾、疑难杂症、精神类疾病、灵异病（如癔症）、慢性消耗性疾病。&lt;/dd&gt;&lt;dd&gt;在疾厄宫时显现，尤其与巨门、太阴等同度时更验。&lt;/dd&gt;&lt;/dl&gt;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63.75" thickBot="1" x14ac:dyDescent="0.25">
      <c r="B34" s="14" t="s">
        <v>2930</v>
      </c>
      <c r="C34" s="15" t="s">
        <v>5769</v>
      </c>
      <c r="D34" s="15"/>
      <c r="E34" s="12"/>
    </row>
    <row r="35" spans="2:7" ht="32.25" thickBot="1" x14ac:dyDescent="0.25">
      <c r="B35" s="14" t="s">
        <v>2932</v>
      </c>
      <c r="C35" s="15" t="s">
        <v>5770</v>
      </c>
      <c r="D35" s="15"/>
      <c r="E35" s="15"/>
      <c r="G35" t="str">
        <f t="shared" si="0"/>
        <v>&lt;dl&gt;&lt;dt&gt;兄弟宫​&lt;/dt&gt;&lt;dd&gt;与兄弟姐妹关系中有隐忧，易有暗中不睦，或受其拖累。&lt;/dd&gt;&lt;dd&gt;&lt;/dd&gt;&lt;/dl&gt;</v>
      </c>
    </row>
    <row r="36" spans="2:7" ht="32.25" thickBot="1" x14ac:dyDescent="0.25">
      <c r="B36" s="14" t="s">
        <v>2934</v>
      </c>
      <c r="C36" s="15" t="s">
        <v>5771</v>
      </c>
      <c r="D36" s="15"/>
      <c r="E36" s="15"/>
      <c r="G36" t="str">
        <f t="shared" si="0"/>
        <v>&lt;dl&gt;&lt;dt&gt;夫妻宫​&lt;/dt&gt;&lt;dd&gt;夫妻关系存在隐伏矛盾，易有第三者暗中破坏，或配偶多疑。&lt;/dd&gt;&lt;dd&gt;&lt;/dd&gt;&lt;/dl&gt;</v>
      </c>
    </row>
    <row r="37" spans="2:7" ht="32.25" thickBot="1" x14ac:dyDescent="0.25">
      <c r="B37" s="14" t="s">
        <v>2936</v>
      </c>
      <c r="C37" s="15" t="s">
        <v>5772</v>
      </c>
      <c r="D37" s="15"/>
      <c r="E37" s="15"/>
      <c r="G37" t="str">
        <f t="shared" si="0"/>
        <v>&lt;dl&gt;&lt;dt&gt;子女宫​&lt;/dt&gt;&lt;dd&gt;子女可能体质敏感，或亲子关系中有不易察觉的问题。&lt;/dd&gt;&lt;dd&gt;&lt;/dd&gt;&lt;/dl&gt;</v>
      </c>
    </row>
    <row r="38" spans="2:7" ht="32.25" thickBot="1" x14ac:dyDescent="0.25">
      <c r="B38" s="14" t="s">
        <v>9</v>
      </c>
      <c r="C38" s="15" t="s">
        <v>5773</v>
      </c>
      <c r="D38" s="15"/>
      <c r="E38" s="15"/>
      <c r="G38" t="str">
        <f t="shared" si="0"/>
        <v>&lt;dl&gt;&lt;dt&gt;财帛宫​&lt;/dt&gt;&lt;dd&gt;钱财易因小人暗算、阴谋而损失，投资需防暗中陷阱。&lt;/dd&gt;&lt;dd&gt;&lt;/dd&gt;&lt;/dl&gt;</v>
      </c>
    </row>
    <row r="39" spans="2:7" ht="32.25" thickBot="1" x14ac:dyDescent="0.25">
      <c r="B39" s="14" t="s">
        <v>10</v>
      </c>
      <c r="C39" s="14" t="s">
        <v>5774</v>
      </c>
      <c r="D39" s="15"/>
      <c r="E39" s="15"/>
      <c r="G39" t="str">
        <f t="shared" si="0"/>
        <v>&lt;dl&gt;&lt;dt&gt;疾厄宫​&lt;/dt&gt;&lt;dd&gt;易患隐疾、疑难杂症、精神疾病，或受灵异干扰致病。&lt;/dd&gt;&lt;dd&gt;&lt;/dd&gt;&lt;/dl&gt;</v>
      </c>
    </row>
    <row r="40" spans="2:7" ht="32.25" thickBot="1" x14ac:dyDescent="0.25">
      <c r="B40" s="14" t="s">
        <v>13</v>
      </c>
      <c r="C40" s="15" t="s">
        <v>5775</v>
      </c>
      <c r="D40" s="15"/>
      <c r="E40" s="15"/>
      <c r="G40" t="str">
        <f t="shared" si="0"/>
        <v>&lt;dl&gt;&lt;dt&gt;迁移宫​&lt;/dt&gt;&lt;dd&gt;在外易遇小人暗算，或遭遇灵异事件，出行需谨慎。&lt;/dd&gt;&lt;dd&gt;&lt;/dd&gt;&lt;/dl&gt;</v>
      </c>
    </row>
    <row r="41" spans="2:7" ht="32.25" thickBot="1" x14ac:dyDescent="0.25">
      <c r="B41" s="14" t="s">
        <v>3018</v>
      </c>
      <c r="C41" s="14" t="s">
        <v>5776</v>
      </c>
      <c r="D41" s="15"/>
      <c r="E41" s="15"/>
      <c r="G41" t="str">
        <f t="shared" si="0"/>
        <v>&lt;dl&gt;&lt;dt&gt;交友宫（奴仆宫）​&lt;/dt&gt;&lt;dd&gt;朋友中易有小人，需防暗中背叛，交友宜慎。&lt;/dd&gt;&lt;dd&gt;&lt;/dd&gt;&lt;/dl&gt;</v>
      </c>
    </row>
    <row r="42" spans="2:7" ht="32.25" thickBot="1" x14ac:dyDescent="0.25">
      <c r="B42" s="14" t="s">
        <v>3019</v>
      </c>
      <c r="C42" s="15" t="s">
        <v>5777</v>
      </c>
      <c r="D42" s="15"/>
      <c r="E42" s="15"/>
      <c r="G42" t="str">
        <f t="shared" si="0"/>
        <v>&lt;dl&gt;&lt;dt&gt;官禄宫（事业宫）​&lt;/dt&gt;&lt;dd&gt;职场易有小人作祟，暗中竞争激烈，需防同事暗算。&lt;/dd&gt;&lt;dd&gt;&lt;/dd&gt;&lt;/dl&gt;</v>
      </c>
    </row>
    <row r="43" spans="2:7" ht="16.5" thickBot="1" x14ac:dyDescent="0.25">
      <c r="B43" s="14" t="s">
        <v>8</v>
      </c>
      <c r="C43" s="14" t="s">
        <v>5778</v>
      </c>
      <c r="D43" s="15"/>
      <c r="E43" s="15"/>
      <c r="G43" t="str">
        <f t="shared" si="0"/>
        <v>&lt;dl&gt;&lt;dt&gt;田宅宫​&lt;/dt&gt;&lt;dd&gt;家宅不宁，易有灵异现象，或邻居中有小人。&lt;/dd&gt;&lt;dd&gt;&lt;/dd&gt;&lt;/dl&gt;</v>
      </c>
    </row>
    <row r="44" spans="2:7" ht="32.25" thickBot="1" x14ac:dyDescent="0.25">
      <c r="B44" s="14" t="s">
        <v>2945</v>
      </c>
      <c r="C44" s="15" t="s">
        <v>5779</v>
      </c>
      <c r="D44" s="15"/>
    </row>
    <row r="45" spans="2:7" ht="32.25" thickBot="1" x14ac:dyDescent="0.25">
      <c r="B45" s="14" t="s">
        <v>11</v>
      </c>
      <c r="C45" s="15" t="s">
        <v>5780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15"/>
      <c r="G50" t="str">
        <f t="shared" si="0"/>
        <v>&lt;dl&gt;&lt;dt&gt;主星/星曜​&lt;/dt&gt;&lt;dd&gt;组合效应​&lt;/dd&gt;&lt;dd&gt;典型案例/说明​&lt;/dd&gt;&lt;/dl&gt;</v>
      </c>
    </row>
    <row r="51" spans="2:7" ht="32.25" thickBot="1" x14ac:dyDescent="0.25">
      <c r="B51" s="14" t="s">
        <v>5781</v>
      </c>
      <c r="C51" s="14" t="s">
        <v>5782</v>
      </c>
      <c r="D51" s="15" t="s">
        <v>5783</v>
      </c>
      <c r="E51" s="15"/>
      <c r="G51" t="str">
        <f t="shared" si="0"/>
        <v>&lt;dl&gt;&lt;dt&gt;阴煞+巨门​&lt;/dt&gt;&lt;dd&gt;暗星遇暗曜，是非与阴邪叠加，主口舌是非来自暗处，易有灵异纠缠，疑心病重。&lt;/dd&gt;&lt;dd&gt;易遭谣言中伤；灵异体质者。&lt;/dd&gt;&lt;/dl&gt;</v>
      </c>
    </row>
    <row r="52" spans="2:7" ht="32.25" thickBot="1" x14ac:dyDescent="0.25">
      <c r="B52" s="14" t="s">
        <v>5784</v>
      </c>
      <c r="C52" s="14" t="s">
        <v>5785</v>
      </c>
      <c r="D52" s="15" t="s">
        <v>5786</v>
      </c>
      <c r="E52" s="15"/>
      <c r="G52" t="str">
        <f t="shared" si="0"/>
        <v>&lt;dl&gt;&lt;dt&gt;阴煞+太阴​&lt;/dt&gt;&lt;dd&gt;月星遇暗曜，阴柔与阴邪结合，主阴性能量过重，易感灵异，女性妇科隐疾。&lt;/dd&gt;&lt;dd&gt;女性灵媒；妇科疑难杂症。&lt;/dd&gt;&lt;/dl&gt;</v>
      </c>
    </row>
    <row r="53" spans="2:7" ht="32.25" thickBot="1" x14ac:dyDescent="0.25">
      <c r="B53" s="14" t="s">
        <v>5787</v>
      </c>
      <c r="C53" s="14" t="s">
        <v>5788</v>
      </c>
      <c r="D53" s="15" t="s">
        <v>5789</v>
      </c>
    </row>
    <row r="54" spans="2:7" ht="32.25" thickBot="1" x14ac:dyDescent="0.25">
      <c r="B54" s="14" t="s">
        <v>5790</v>
      </c>
      <c r="C54" s="14" t="s">
        <v>5791</v>
      </c>
      <c r="D54" s="15" t="s">
        <v>5792</v>
      </c>
    </row>
    <row r="55" spans="2:7" ht="32.25" thickBot="1" x14ac:dyDescent="0.25">
      <c r="B55" s="14" t="s">
        <v>5793</v>
      </c>
      <c r="C55" s="14" t="s">
        <v>5794</v>
      </c>
      <c r="D55" s="15" t="s">
        <v>5795</v>
      </c>
    </row>
    <row r="56" spans="2:7" ht="32.25" thickBot="1" x14ac:dyDescent="0.25">
      <c r="B56" s="14" t="s">
        <v>5796</v>
      </c>
      <c r="C56" s="14" t="s">
        <v>5797</v>
      </c>
      <c r="D56" s="15" t="s">
        <v>5798</v>
      </c>
    </row>
    <row r="57" spans="2:7" ht="32.25" thickBot="1" x14ac:dyDescent="0.25">
      <c r="B57" s="14" t="s">
        <v>5799</v>
      </c>
      <c r="C57" s="14" t="s">
        <v>5800</v>
      </c>
      <c r="D57" s="15" t="s">
        <v>5801</v>
      </c>
    </row>
    <row r="58" spans="2:7" ht="32.25" thickBot="1" x14ac:dyDescent="0.25">
      <c r="B58" s="14" t="s">
        <v>5802</v>
      </c>
      <c r="C58" s="14" t="s">
        <v>5803</v>
      </c>
      <c r="D58" s="15" t="s">
        <v>5804</v>
      </c>
    </row>
    <row r="59" spans="2:7" ht="32.25" thickBot="1" x14ac:dyDescent="0.25">
      <c r="B59" s="14" t="s">
        <v>5805</v>
      </c>
      <c r="C59" s="14" t="s">
        <v>5806</v>
      </c>
      <c r="D59" s="15" t="s">
        <v>5807</v>
      </c>
    </row>
    <row r="60" spans="2:7" ht="32.25" thickBot="1" x14ac:dyDescent="0.25">
      <c r="B60" s="14" t="s">
        <v>5808</v>
      </c>
      <c r="C60" s="14" t="s">
        <v>5809</v>
      </c>
      <c r="D60" s="15" t="s">
        <v>5810</v>
      </c>
    </row>
    <row r="61" spans="2:7" ht="32.25" thickBot="1" x14ac:dyDescent="0.25">
      <c r="B61" s="14" t="s">
        <v>5811</v>
      </c>
      <c r="C61" s="14" t="s">
        <v>5812</v>
      </c>
      <c r="D61" s="15" t="s">
        <v>5813</v>
      </c>
    </row>
    <row r="62" spans="2:7" ht="32.25" thickBot="1" x14ac:dyDescent="0.25">
      <c r="B62" s="14" t="s">
        <v>5814</v>
      </c>
      <c r="C62" s="14" t="s">
        <v>5815</v>
      </c>
      <c r="D62" s="15" t="s">
        <v>5816</v>
      </c>
    </row>
    <row r="63" spans="2:7" ht="32.25" thickBot="1" x14ac:dyDescent="0.25">
      <c r="B63" s="14" t="s">
        <v>5817</v>
      </c>
      <c r="C63" s="14" t="s">
        <v>5818</v>
      </c>
      <c r="D63" s="15" t="s">
        <v>5819</v>
      </c>
    </row>
    <row r="64" spans="2:7" ht="32.25" thickBot="1" x14ac:dyDescent="0.25">
      <c r="B64" s="14" t="s">
        <v>5820</v>
      </c>
      <c r="C64" s="14" t="s">
        <v>5821</v>
      </c>
      <c r="D64" s="15" t="s">
        <v>5822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5823</v>
      </c>
    </row>
    <row r="70" spans="2:2" x14ac:dyDescent="0.2">
      <c r="B70" s="7" t="s">
        <v>5824</v>
      </c>
    </row>
    <row r="71" spans="2:2" x14ac:dyDescent="0.2">
      <c r="B71" s="7" t="s">
        <v>5825</v>
      </c>
    </row>
    <row r="72" spans="2:2" x14ac:dyDescent="0.2">
      <c r="B72" s="7" t="s">
        <v>5826</v>
      </c>
    </row>
    <row r="73" spans="2:2" x14ac:dyDescent="0.2">
      <c r="B73" s="7" t="s">
        <v>5827</v>
      </c>
    </row>
    <row r="74" spans="2:2" x14ac:dyDescent="0.2">
      <c r="B74" s="7" t="s">
        <v>5828</v>
      </c>
    </row>
    <row r="75" spans="2:2" x14ac:dyDescent="0.2">
      <c r="B75" s="7" t="s">
        <v>5829</v>
      </c>
    </row>
    <row r="76" spans="2:2" x14ac:dyDescent="0.2">
      <c r="B76" s="7" t="s">
        <v>5830</v>
      </c>
    </row>
    <row r="77" spans="2:2" x14ac:dyDescent="0.2">
      <c r="B77" s="6"/>
    </row>
    <row r="78" spans="2:2" x14ac:dyDescent="0.2">
      <c r="B78" s="6" t="s">
        <v>5831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2E016-607C-4685-8804-24255F43B723}">
  <dimension ref="B1:G82"/>
  <sheetViews>
    <sheetView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5832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使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1262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5833</v>
      </c>
      <c r="D7" s="15" t="s">
        <v>5834</v>
      </c>
    </row>
    <row r="8" spans="2:7" ht="78.75" x14ac:dyDescent="0.2">
      <c r="B8" s="24" t="s">
        <v>2914</v>
      </c>
      <c r="C8" s="19" t="s">
        <v>5835</v>
      </c>
      <c r="D8" s="27" t="s">
        <v>5843</v>
      </c>
    </row>
    <row r="9" spans="2:7" ht="78.75" x14ac:dyDescent="0.2">
      <c r="B9" s="25"/>
      <c r="C9" s="20" t="s">
        <v>5836</v>
      </c>
      <c r="D9" s="28"/>
    </row>
    <row r="10" spans="2:7" ht="47.25" x14ac:dyDescent="0.2">
      <c r="B10" s="25"/>
      <c r="C10" s="20" t="s">
        <v>5837</v>
      </c>
      <c r="D10" s="28"/>
    </row>
    <row r="11" spans="2:7" ht="31.5" x14ac:dyDescent="0.2">
      <c r="B11" s="25"/>
      <c r="C11" s="22" t="s">
        <v>5838</v>
      </c>
      <c r="D11" s="28"/>
    </row>
    <row r="12" spans="2:7" ht="31.5" x14ac:dyDescent="0.2">
      <c r="B12" s="25"/>
      <c r="C12" s="22" t="s">
        <v>5839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5840</v>
      </c>
      <c r="D14" s="28"/>
    </row>
    <row r="15" spans="2:7" ht="31.5" x14ac:dyDescent="0.2">
      <c r="B15" s="25"/>
      <c r="C15" s="22" t="s">
        <v>5841</v>
      </c>
      <c r="D15" s="28"/>
    </row>
    <row r="16" spans="2:7" ht="32.25" thickBot="1" x14ac:dyDescent="0.25">
      <c r="B16" s="26"/>
      <c r="C16" s="23" t="s">
        <v>5842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5844</v>
      </c>
      <c r="C22" s="15" t="s">
        <v>5845</v>
      </c>
      <c r="D22" s="15" t="s">
        <v>5846</v>
      </c>
    </row>
    <row r="23" spans="2:7" ht="32.25" thickBot="1" x14ac:dyDescent="0.25">
      <c r="B23" s="14" t="s">
        <v>5847</v>
      </c>
      <c r="C23" s="15" t="s">
        <v>5848</v>
      </c>
      <c r="D23" s="15" t="s">
        <v>5849</v>
      </c>
      <c r="E23" s="12"/>
    </row>
    <row r="24" spans="2:7" ht="48" thickBot="1" x14ac:dyDescent="0.25">
      <c r="B24" s="14" t="s">
        <v>5850</v>
      </c>
      <c r="C24" s="15" t="s">
        <v>5851</v>
      </c>
      <c r="D24" s="15" t="s">
        <v>5852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破耗与流动​&lt;/dt&gt;&lt;dd&gt;性属阳水，主流动性的破耗。灾病或破财来得突然，去得也快，但消耗明显。&lt;/dd&gt;&lt;dd&gt;与天马同度，主远行破财或伤病；在田宅宫，主家宅水管等问题导致损失。&lt;/dd&gt;&lt;/dl&gt;</v>
      </c>
    </row>
    <row r="25" spans="2:7" ht="32.25" thickBot="1" x14ac:dyDescent="0.25">
      <c r="B25" s="14" t="s">
        <v>3016</v>
      </c>
      <c r="C25" s="14" t="s">
        <v>5853</v>
      </c>
      <c r="D25" s="15" t="s">
        <v>5854</v>
      </c>
      <c r="E25" s="15"/>
      <c r="G25" t="str">
        <f t="shared" si="0"/>
        <v>&lt;dl&gt;&lt;dt&gt;外貌气质​&lt;/dt&gt;&lt;dd&gt;相貌或气质可能带有些许奔波劳碌或易受伤的倾向，但需结合主星综合判断。&lt;/dd&gt;&lt;dd&gt;单独影响不明显，多需结合煞星或特定主星显现。&lt;/dd&gt;&lt;/dl&gt;</v>
      </c>
    </row>
    <row r="26" spans="2:7" ht="32.25" thickBot="1" x14ac:dyDescent="0.25">
      <c r="B26" s="24" t="s">
        <v>3017</v>
      </c>
      <c r="C26" s="19" t="s">
        <v>5855</v>
      </c>
      <c r="D26" s="27"/>
      <c r="E26" s="15"/>
      <c r="G26" t="str">
        <f t="shared" si="0"/>
        <v>&lt;dl&gt;&lt;dt&gt;性格特质​&lt;/dt&gt;&lt;dd&gt;优点：无显著优点，更多体现为人生中需要面对的灾病与破耗课题。&lt;/dd&gt;&lt;dd&gt;&lt;/dd&gt;&lt;/dl&gt;</v>
      </c>
    </row>
    <row r="27" spans="2:7" ht="32.25" thickBot="1" x14ac:dyDescent="0.25">
      <c r="B27" s="26"/>
      <c r="C27" s="21" t="s">
        <v>5856</v>
      </c>
      <c r="D27" s="29"/>
      <c r="E27" s="15"/>
      <c r="G27" t="str">
        <f t="shared" si="0"/>
        <v>&lt;dl&gt;&lt;dt&gt;&lt;/dt&gt;&lt;dd&gt;缺点：易遭遇意外伤病、破财，人生波折较多，需注意安全与健康。&lt;/dd&gt;&lt;dd&gt;&lt;/dd&gt;&lt;/dl&gt;</v>
      </c>
    </row>
    <row r="28" spans="2:7" ht="32.25" thickBot="1" x14ac:dyDescent="0.25">
      <c r="B28" s="14" t="s">
        <v>3419</v>
      </c>
      <c r="C28" s="15" t="s">
        <v>5857</v>
      </c>
      <c r="D28" s="15" t="s">
        <v>5858</v>
      </c>
      <c r="E28" s="15"/>
      <c r="G28" t="str">
        <f t="shared" si="0"/>
        <v>&lt;dl&gt;&lt;dt&gt;健康方面​&lt;/dt&gt;&lt;dd&gt;属阳水，主意外伤害、急性病、流血、手术、消耗性疾病（如腹泻、失水）。&lt;/dd&gt;&lt;dd&gt;在疾厄宫时显现，尤其与擎羊、七杀同度时更验外伤。&lt;/dd&gt;&lt;/dl&gt;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48" thickBot="1" x14ac:dyDescent="0.25">
      <c r="B34" s="14" t="s">
        <v>2930</v>
      </c>
      <c r="C34" s="15" t="s">
        <v>5859</v>
      </c>
      <c r="D34" s="15"/>
      <c r="E34" s="12"/>
    </row>
    <row r="35" spans="2:7" ht="32.25" thickBot="1" x14ac:dyDescent="0.25">
      <c r="B35" s="14" t="s">
        <v>2932</v>
      </c>
      <c r="C35" s="15" t="s">
        <v>5860</v>
      </c>
      <c r="D35" s="15"/>
      <c r="E35" s="15"/>
      <c r="G35" t="str">
        <f t="shared" si="0"/>
        <v>&lt;dl&gt;&lt;dt&gt;兄弟宫​&lt;/dt&gt;&lt;dd&gt;与兄弟姐妹易有刑克，或兄弟姐妹多病灾，彼此关系带来消耗。&lt;/dd&gt;&lt;dd&gt;&lt;/dd&gt;&lt;/dl&gt;</v>
      </c>
    </row>
    <row r="36" spans="2:7" ht="32.25" thickBot="1" x14ac:dyDescent="0.25">
      <c r="B36" s="14" t="s">
        <v>2934</v>
      </c>
      <c r="C36" s="15" t="s">
        <v>5861</v>
      </c>
      <c r="D36" s="15"/>
      <c r="E36" s="15"/>
      <c r="G36" t="str">
        <f t="shared" si="0"/>
        <v>&lt;dl&gt;&lt;dt&gt;夫妻宫​&lt;/dt&gt;&lt;dd&gt;夫妻关系易因伤病或破财事产生压力，或配偶身体欠佳。&lt;/dd&gt;&lt;dd&gt;&lt;/dd&gt;&lt;/dl&gt;</v>
      </c>
    </row>
    <row r="37" spans="2:7" ht="16.5" thickBot="1" x14ac:dyDescent="0.25">
      <c r="B37" s="14" t="s">
        <v>2936</v>
      </c>
      <c r="C37" s="15" t="s">
        <v>5862</v>
      </c>
      <c r="D37" s="15"/>
      <c r="E37" s="15"/>
      <c r="G37" t="str">
        <f t="shared" si="0"/>
        <v>&lt;dl&gt;&lt;dt&gt;子女宫​&lt;/dt&gt;&lt;dd&gt;子女健康需多注意，或养育子女过程耗费大。&lt;/dd&gt;&lt;dd&gt;&lt;/dd&gt;&lt;/dl&gt;</v>
      </c>
    </row>
    <row r="38" spans="2:7" ht="32.25" thickBot="1" x14ac:dyDescent="0.25">
      <c r="B38" s="14" t="s">
        <v>9</v>
      </c>
      <c r="C38" s="15" t="s">
        <v>5863</v>
      </c>
      <c r="D38" s="15"/>
      <c r="E38" s="15"/>
      <c r="G38" t="str">
        <f t="shared" si="0"/>
        <v>&lt;dl&gt;&lt;dt&gt;财帛宫​&lt;/dt&gt;&lt;dd&gt;钱财易因伤病、意外事故而破耗，钱财流动大，难积聚。&lt;/dd&gt;&lt;dd&gt;&lt;/dd&gt;&lt;/dl&gt;</v>
      </c>
    </row>
    <row r="39" spans="2:7" ht="32.25" thickBot="1" x14ac:dyDescent="0.25">
      <c r="B39" s="14" t="s">
        <v>10</v>
      </c>
      <c r="C39" s="14" t="s">
        <v>5864</v>
      </c>
      <c r="D39" s="15"/>
      <c r="E39" s="15"/>
      <c r="G39" t="str">
        <f t="shared" si="0"/>
        <v>&lt;dl&gt;&lt;dt&gt;疾厄宫​&lt;/dt&gt;&lt;dd&gt;易有意外伤害、急性病、手术，或患有消耗性疾病。&lt;/dd&gt;&lt;dd&gt;&lt;/dd&gt;&lt;/dl&gt;</v>
      </c>
    </row>
    <row r="40" spans="2:7" ht="32.25" thickBot="1" x14ac:dyDescent="0.25">
      <c r="B40" s="14" t="s">
        <v>13</v>
      </c>
      <c r="C40" s="15" t="s">
        <v>5865</v>
      </c>
      <c r="D40" s="15"/>
      <c r="E40" s="15"/>
      <c r="G40" t="str">
        <f t="shared" si="0"/>
        <v>&lt;dl&gt;&lt;dt&gt;迁移宫​&lt;/dt&gt;&lt;dd&gt;外出易遇意外、伤病，或旅途破财，远行需特别注意安全。&lt;/dd&gt;&lt;dd&gt;&lt;/dd&gt;&lt;/dl&gt;</v>
      </c>
    </row>
    <row r="41" spans="2:7" ht="32.25" thickBot="1" x14ac:dyDescent="0.25">
      <c r="B41" s="14" t="s">
        <v>3018</v>
      </c>
      <c r="C41" s="14" t="s">
        <v>5866</v>
      </c>
      <c r="D41" s="15"/>
      <c r="E41" s="15"/>
      <c r="G41" t="str">
        <f t="shared" si="0"/>
        <v>&lt;dl&gt;&lt;dt&gt;交友宫（奴仆宫）​&lt;/dt&gt;&lt;dd&gt;朋友或下属可能带来损耗，或因其事而破财伤身。&lt;/dd&gt;&lt;dd&gt;&lt;/dd&gt;&lt;/dl&gt;</v>
      </c>
    </row>
    <row r="42" spans="2:7" ht="32.25" thickBot="1" x14ac:dyDescent="0.25">
      <c r="B42" s="14" t="s">
        <v>3019</v>
      </c>
      <c r="C42" s="15" t="s">
        <v>5867</v>
      </c>
      <c r="D42" s="15"/>
      <c r="E42" s="15"/>
      <c r="G42" t="str">
        <f t="shared" si="0"/>
        <v>&lt;dl&gt;&lt;dt&gt;官禄宫（事业宫）​&lt;/dt&gt;&lt;dd&gt;事业上易因伤病中断，或工作中发生意外，事业财运起伏消耗大。&lt;/dd&gt;&lt;dd&gt;&lt;/dd&gt;&lt;/dl&gt;</v>
      </c>
    </row>
    <row r="43" spans="2:7" ht="32.25" thickBot="1" x14ac:dyDescent="0.25">
      <c r="B43" s="14" t="s">
        <v>8</v>
      </c>
      <c r="C43" s="14" t="s">
        <v>5868</v>
      </c>
      <c r="D43" s="15"/>
      <c r="E43" s="15"/>
      <c r="G43" t="str">
        <f t="shared" si="0"/>
        <v>&lt;dl&gt;&lt;dt&gt;田宅宫​&lt;/dt&gt;&lt;dd&gt;家宅易有破损、漏水等问题导致破财，或家人多病。&lt;/dd&gt;&lt;dd&gt;&lt;/dd&gt;&lt;/dl&gt;</v>
      </c>
    </row>
    <row r="44" spans="2:7" ht="32.25" thickBot="1" x14ac:dyDescent="0.25">
      <c r="B44" s="14" t="s">
        <v>2945</v>
      </c>
      <c r="C44" s="15" t="s">
        <v>5869</v>
      </c>
      <c r="D44" s="15"/>
    </row>
    <row r="45" spans="2:7" ht="32.25" thickBot="1" x14ac:dyDescent="0.25">
      <c r="B45" s="14" t="s">
        <v>11</v>
      </c>
      <c r="C45" s="15" t="s">
        <v>5870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15"/>
      <c r="G50" t="str">
        <f t="shared" si="0"/>
        <v>&lt;dl&gt;&lt;dt&gt;主星/星曜​&lt;/dt&gt;&lt;dd&gt;组合效应​&lt;/dd&gt;&lt;dd&gt;典型案例/说明​&lt;/dd&gt;&lt;/dl&gt;</v>
      </c>
    </row>
    <row r="51" spans="2:7" ht="32.25" thickBot="1" x14ac:dyDescent="0.25">
      <c r="B51" s="14" t="s">
        <v>5871</v>
      </c>
      <c r="C51" s="14" t="s">
        <v>5872</v>
      </c>
      <c r="D51" s="15" t="s">
        <v>5873</v>
      </c>
      <c r="E51" s="15"/>
      <c r="G51" t="str">
        <f t="shared" si="0"/>
        <v>&lt;dl&gt;&lt;dt&gt;天使+七杀​&lt;/dt&gt;&lt;dd&gt;杀星遇灾，肃杀与刑伤叠加，主重大外伤、手术、意外灾祸，煞气极重。&lt;/dd&gt;&lt;dd&gt;车祸等意外重伤；大型手术。&lt;/dd&gt;&lt;/dl&gt;</v>
      </c>
    </row>
    <row r="52" spans="2:7" ht="32.25" thickBot="1" x14ac:dyDescent="0.25">
      <c r="B52" s="14" t="s">
        <v>5874</v>
      </c>
      <c r="C52" s="14" t="s">
        <v>5875</v>
      </c>
      <c r="D52" s="15" t="s">
        <v>5876</v>
      </c>
      <c r="E52" s="15"/>
      <c r="G52" t="str">
        <f t="shared" si="0"/>
        <v>&lt;dl&gt;&lt;dt&gt;天使+破军​&lt;/dt&gt;&lt;dd&gt;耗星遇灾，破坏与破耗叠加，主钱财与身体双双遭受意外损失，消耗巨大。&lt;/dd&gt;&lt;dd&gt;因意外事故导致重大财产损失和身体伤害。&lt;/dd&gt;&lt;/dl&gt;</v>
      </c>
    </row>
    <row r="53" spans="2:7" ht="32.25" thickBot="1" x14ac:dyDescent="0.25">
      <c r="B53" s="14" t="s">
        <v>5877</v>
      </c>
      <c r="C53" s="14" t="s">
        <v>5878</v>
      </c>
      <c r="D53" s="15" t="s">
        <v>5879</v>
      </c>
    </row>
    <row r="54" spans="2:7" ht="32.25" thickBot="1" x14ac:dyDescent="0.25">
      <c r="B54" s="14" t="s">
        <v>5880</v>
      </c>
      <c r="C54" s="14" t="s">
        <v>5881</v>
      </c>
      <c r="D54" s="15" t="s">
        <v>5882</v>
      </c>
    </row>
    <row r="55" spans="2:7" ht="32.25" thickBot="1" x14ac:dyDescent="0.25">
      <c r="B55" s="14" t="s">
        <v>5883</v>
      </c>
      <c r="C55" s="14" t="s">
        <v>5884</v>
      </c>
      <c r="D55" s="15" t="s">
        <v>5885</v>
      </c>
    </row>
    <row r="56" spans="2:7" ht="32.25" thickBot="1" x14ac:dyDescent="0.25">
      <c r="B56" s="14" t="s">
        <v>5886</v>
      </c>
      <c r="C56" s="14" t="s">
        <v>5887</v>
      </c>
      <c r="D56" s="15" t="s">
        <v>5888</v>
      </c>
    </row>
    <row r="57" spans="2:7" ht="32.25" thickBot="1" x14ac:dyDescent="0.25">
      <c r="B57" s="14" t="s">
        <v>5889</v>
      </c>
      <c r="C57" s="14" t="s">
        <v>5890</v>
      </c>
      <c r="D57" s="15" t="s">
        <v>5891</v>
      </c>
    </row>
    <row r="58" spans="2:7" ht="32.25" thickBot="1" x14ac:dyDescent="0.25">
      <c r="B58" s="14" t="s">
        <v>5892</v>
      </c>
      <c r="C58" s="14" t="s">
        <v>5893</v>
      </c>
      <c r="D58" s="15" t="s">
        <v>5894</v>
      </c>
    </row>
    <row r="59" spans="2:7" ht="32.25" thickBot="1" x14ac:dyDescent="0.25">
      <c r="B59" s="14" t="s">
        <v>5895</v>
      </c>
      <c r="C59" s="14" t="s">
        <v>5896</v>
      </c>
      <c r="D59" s="15" t="s">
        <v>5897</v>
      </c>
    </row>
    <row r="60" spans="2:7" ht="32.25" thickBot="1" x14ac:dyDescent="0.25">
      <c r="B60" s="14" t="s">
        <v>5898</v>
      </c>
      <c r="C60" s="14" t="s">
        <v>5899</v>
      </c>
      <c r="D60" s="15" t="s">
        <v>5900</v>
      </c>
    </row>
    <row r="61" spans="2:7" ht="32.25" thickBot="1" x14ac:dyDescent="0.25">
      <c r="B61" s="14" t="s">
        <v>5901</v>
      </c>
      <c r="C61" s="14" t="s">
        <v>5902</v>
      </c>
      <c r="D61" s="15" t="s">
        <v>5903</v>
      </c>
    </row>
    <row r="62" spans="2:7" ht="32.25" thickBot="1" x14ac:dyDescent="0.25">
      <c r="B62" s="14" t="s">
        <v>5904</v>
      </c>
      <c r="C62" s="14" t="s">
        <v>5905</v>
      </c>
      <c r="D62" s="15" t="s">
        <v>5906</v>
      </c>
    </row>
    <row r="63" spans="2:7" ht="32.25" thickBot="1" x14ac:dyDescent="0.25">
      <c r="B63" s="14" t="s">
        <v>5907</v>
      </c>
      <c r="C63" s="14" t="s">
        <v>5908</v>
      </c>
      <c r="D63" s="15" t="s">
        <v>5909</v>
      </c>
    </row>
    <row r="64" spans="2:7" ht="32.25" thickBot="1" x14ac:dyDescent="0.25">
      <c r="B64" s="14" t="s">
        <v>5910</v>
      </c>
      <c r="C64" s="14" t="s">
        <v>5911</v>
      </c>
      <c r="D64" s="15" t="s">
        <v>5912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5913</v>
      </c>
    </row>
    <row r="70" spans="2:2" x14ac:dyDescent="0.2">
      <c r="B70" s="7" t="s">
        <v>5914</v>
      </c>
    </row>
    <row r="71" spans="2:2" x14ac:dyDescent="0.2">
      <c r="B71" s="7" t="s">
        <v>5915</v>
      </c>
    </row>
    <row r="72" spans="2:2" x14ac:dyDescent="0.2">
      <c r="B72" s="7" t="s">
        <v>5916</v>
      </c>
    </row>
    <row r="73" spans="2:2" x14ac:dyDescent="0.2">
      <c r="B73" s="7" t="s">
        <v>5917</v>
      </c>
    </row>
    <row r="74" spans="2:2" x14ac:dyDescent="0.2">
      <c r="B74" s="7" t="s">
        <v>5918</v>
      </c>
    </row>
    <row r="75" spans="2:2" x14ac:dyDescent="0.2">
      <c r="B75" s="7" t="s">
        <v>5919</v>
      </c>
    </row>
    <row r="76" spans="2:2" x14ac:dyDescent="0.2">
      <c r="B76" s="7" t="s">
        <v>5920</v>
      </c>
    </row>
    <row r="77" spans="2:2" x14ac:dyDescent="0.2">
      <c r="B77" s="6"/>
    </row>
    <row r="78" spans="2:2" x14ac:dyDescent="0.2">
      <c r="B78" s="6" t="s">
        <v>5921</v>
      </c>
    </row>
    <row r="79" spans="2:2" x14ac:dyDescent="0.2">
      <c r="B79" s="7" t="s">
        <v>1263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65BD-384A-4401-AEAD-A88A4E8AC071}">
  <dimension ref="B1:G82"/>
  <sheetViews>
    <sheetView topLeftCell="A6"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5922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伤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109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5923</v>
      </c>
      <c r="D7" s="15" t="s">
        <v>5924</v>
      </c>
    </row>
    <row r="8" spans="2:7" ht="78.75" x14ac:dyDescent="0.2">
      <c r="B8" s="24" t="s">
        <v>2914</v>
      </c>
      <c r="C8" s="19" t="s">
        <v>5925</v>
      </c>
      <c r="D8" s="27" t="s">
        <v>5933</v>
      </c>
    </row>
    <row r="9" spans="2:7" ht="78.75" x14ac:dyDescent="0.2">
      <c r="B9" s="25"/>
      <c r="C9" s="20" t="s">
        <v>5926</v>
      </c>
      <c r="D9" s="28"/>
    </row>
    <row r="10" spans="2:7" ht="47.25" x14ac:dyDescent="0.2">
      <c r="B10" s="25"/>
      <c r="C10" s="20" t="s">
        <v>5927</v>
      </c>
      <c r="D10" s="28"/>
    </row>
    <row r="11" spans="2:7" ht="31.5" x14ac:dyDescent="0.2">
      <c r="B11" s="25"/>
      <c r="C11" s="22" t="s">
        <v>5928</v>
      </c>
      <c r="D11" s="28"/>
    </row>
    <row r="12" spans="2:7" ht="47.25" x14ac:dyDescent="0.2">
      <c r="B12" s="25"/>
      <c r="C12" s="22" t="s">
        <v>5929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5930</v>
      </c>
      <c r="D14" s="28"/>
    </row>
    <row r="15" spans="2:7" ht="31.5" x14ac:dyDescent="0.2">
      <c r="B15" s="25"/>
      <c r="C15" s="22" t="s">
        <v>5931</v>
      </c>
      <c r="D15" s="28"/>
    </row>
    <row r="16" spans="2:7" ht="32.25" thickBot="1" x14ac:dyDescent="0.25">
      <c r="B16" s="26"/>
      <c r="C16" s="23" t="s">
        <v>5932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5934</v>
      </c>
      <c r="C22" s="15" t="s">
        <v>5935</v>
      </c>
      <c r="D22" s="15" t="s">
        <v>5936</v>
      </c>
    </row>
    <row r="23" spans="2:7" ht="48" thickBot="1" x14ac:dyDescent="0.25">
      <c r="B23" s="14" t="s">
        <v>5937</v>
      </c>
      <c r="C23" s="15" t="s">
        <v>5938</v>
      </c>
      <c r="D23" s="15" t="s">
        <v>5939</v>
      </c>
      <c r="E23" s="12"/>
    </row>
    <row r="24" spans="2:7" ht="48" thickBot="1" x14ac:dyDescent="0.25">
      <c r="B24" s="14" t="s">
        <v>5940</v>
      </c>
      <c r="C24" s="15" t="s">
        <v>5941</v>
      </c>
      <c r="D24" s="15" t="s">
        <v>5942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损耗与空亡​&lt;/dt&gt;&lt;dd&gt;性属阳土，主实质的消耗与空亡。损耗多体现在精神、健康或运势上，导致事倍功半，努力落空。&lt;/dd&gt;&lt;dd&gt;在财帛宫，主钱财虚耗；在官禄宫，主事业上劳而无功。&lt;/dd&gt;&lt;/dl&gt;</v>
      </c>
    </row>
    <row r="25" spans="2:7" ht="32.25" thickBot="1" x14ac:dyDescent="0.25">
      <c r="B25" s="14" t="s">
        <v>3016</v>
      </c>
      <c r="C25" s="14" t="s">
        <v>5943</v>
      </c>
      <c r="D25" s="15" t="s">
        <v>5854</v>
      </c>
      <c r="E25" s="15"/>
      <c r="G25" t="str">
        <f t="shared" si="0"/>
        <v>&lt;dl&gt;&lt;dt&gt;外貌气质​&lt;/dt&gt;&lt;dd&gt;可能面带忧色，或气质中有孤独、消耗之感，身形可能偏瘦，但需结合主星综合判断。&lt;/dd&gt;&lt;dd&gt;单独影响不明显，多需结合煞星或特定主星显现。&lt;/dd&gt;&lt;/dl&gt;</v>
      </c>
    </row>
    <row r="26" spans="2:7" ht="32.25" thickBot="1" x14ac:dyDescent="0.25">
      <c r="B26" s="24" t="s">
        <v>3017</v>
      </c>
      <c r="C26" s="19" t="s">
        <v>5944</v>
      </c>
      <c r="D26" s="27"/>
      <c r="E26" s="15"/>
      <c r="G26" t="str">
        <f t="shared" si="0"/>
        <v>&lt;dl&gt;&lt;dt&gt;性格特质​&lt;/dt&gt;&lt;dd&gt;优点：无显著优点，更多体现为人生中需要面对的精神损耗与离别课题。&lt;/dd&gt;&lt;dd&gt;&lt;/dd&gt;&lt;/dl&gt;</v>
      </c>
    </row>
    <row r="27" spans="2:7" ht="32.25" thickBot="1" x14ac:dyDescent="0.25">
      <c r="B27" s="26"/>
      <c r="C27" s="21" t="s">
        <v>5945</v>
      </c>
      <c r="D27" s="29"/>
      <c r="E27" s="15"/>
      <c r="G27" t="str">
        <f t="shared" si="0"/>
        <v>&lt;dl&gt;&lt;dt&gt;&lt;/dt&gt;&lt;dd&gt;缺点：多愁善感，易受精神打击，内心孤独，运势有损耗，易感事倍功半。&lt;/dd&gt;&lt;dd&gt;&lt;/dd&gt;&lt;/dl&gt;</v>
      </c>
    </row>
    <row r="28" spans="2:7" ht="48" thickBot="1" x14ac:dyDescent="0.25">
      <c r="B28" s="14" t="s">
        <v>3419</v>
      </c>
      <c r="C28" s="15" t="s">
        <v>5946</v>
      </c>
      <c r="D28" s="15" t="s">
        <v>5947</v>
      </c>
      <c r="E28" s="15"/>
      <c r="G28" t="str">
        <f t="shared" si="0"/>
        <v>&lt;dl&gt;&lt;dt&gt;健康方面​&lt;/dt&gt;&lt;dd&gt;属阳土，主慢性消耗、体质虚弱、精神萎靡、免疫力低下。亦主与生死相关的疾病或忧伤成疾。&lt;/dd&gt;&lt;dd&gt;在疾厄宫时显现，尤其与天同、太阴等同度时更验精神性消耗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48" thickBot="1" x14ac:dyDescent="0.25">
      <c r="B34" s="14" t="s">
        <v>2930</v>
      </c>
      <c r="C34" s="15" t="s">
        <v>5948</v>
      </c>
      <c r="D34" s="15"/>
      <c r="E34" s="12"/>
    </row>
    <row r="35" spans="2:7" ht="32.25" thickBot="1" x14ac:dyDescent="0.25">
      <c r="B35" s="14" t="s">
        <v>2932</v>
      </c>
      <c r="C35" s="15" t="s">
        <v>5949</v>
      </c>
      <c r="D35" s="15"/>
      <c r="E35" s="15"/>
      <c r="G35" t="str">
        <f t="shared" si="0"/>
        <v>&lt;dl&gt;&lt;dt&gt;兄弟宫​&lt;/dt&gt;&lt;dd&gt;与兄弟姐妹缘分较薄，易有离别，或兄弟姐妹身体欠佳，彼此关系带来精神损耗。&lt;/dd&gt;&lt;dd&gt;&lt;/dd&gt;&lt;/dl&gt;</v>
      </c>
    </row>
    <row r="36" spans="2:7" ht="32.25" thickBot="1" x14ac:dyDescent="0.25">
      <c r="B36" s="14" t="s">
        <v>2934</v>
      </c>
      <c r="C36" s="15" t="s">
        <v>5950</v>
      </c>
      <c r="D36" s="15"/>
      <c r="E36" s="15"/>
      <c r="G36" t="str">
        <f t="shared" si="0"/>
        <v>&lt;dl&gt;&lt;dt&gt;夫妻宫​&lt;/dt&gt;&lt;dd&gt;夫妻关系易有生离死别之忧，或感情带来内心伤痛，配偶体质可能较弱。&lt;/dd&gt;&lt;dd&gt;&lt;/dd&gt;&lt;/dl&gt;</v>
      </c>
    </row>
    <row r="37" spans="2:7" ht="32.25" thickBot="1" x14ac:dyDescent="0.25">
      <c r="B37" s="14" t="s">
        <v>2936</v>
      </c>
      <c r="C37" s="15" t="s">
        <v>5951</v>
      </c>
      <c r="D37" s="15"/>
      <c r="E37" s="15"/>
      <c r="G37" t="str">
        <f t="shared" si="0"/>
        <v>&lt;dl&gt;&lt;dt&gt;子女宫​&lt;/dt&gt;&lt;dd&gt;子女缘分较薄，或子女健康需格外注意，养育过程精神耗费大。&lt;/dd&gt;&lt;dd&gt;&lt;/dd&gt;&lt;/dl&gt;</v>
      </c>
    </row>
    <row r="38" spans="2:7" ht="32.25" thickBot="1" x14ac:dyDescent="0.25">
      <c r="B38" s="14" t="s">
        <v>9</v>
      </c>
      <c r="C38" s="15" t="s">
        <v>5952</v>
      </c>
      <c r="D38" s="15"/>
      <c r="E38" s="15"/>
      <c r="G38" t="str">
        <f t="shared" si="0"/>
        <v>&lt;dl&gt;&lt;dt&gt;财帛宫​&lt;/dt&gt;&lt;dd&gt;钱财易有无谓的消耗，难积聚，为钱财事忧心。&lt;/dd&gt;&lt;dd&gt;&lt;/dd&gt;&lt;/dl&gt;</v>
      </c>
    </row>
    <row r="39" spans="2:7" ht="32.25" thickBot="1" x14ac:dyDescent="0.25">
      <c r="B39" s="14" t="s">
        <v>10</v>
      </c>
      <c r="C39" s="14" t="s">
        <v>5953</v>
      </c>
      <c r="D39" s="15"/>
      <c r="E39" s="15"/>
      <c r="G39" t="str">
        <f t="shared" si="0"/>
        <v>&lt;dl&gt;&lt;dt&gt;疾厄宫​&lt;/dt&gt;&lt;dd&gt;体质较弱，易有慢性消耗性疾病，或因忧伤影响健康，精神不振。&lt;/dd&gt;&lt;dd&gt;&lt;/dd&gt;&lt;/dl&gt;</v>
      </c>
    </row>
    <row r="40" spans="2:7" ht="32.25" thickBot="1" x14ac:dyDescent="0.25">
      <c r="B40" s="14" t="s">
        <v>13</v>
      </c>
      <c r="C40" s="15" t="s">
        <v>5954</v>
      </c>
      <c r="D40" s="15"/>
      <c r="E40" s="15"/>
      <c r="G40" t="str">
        <f t="shared" si="0"/>
        <v>&lt;dl&gt;&lt;dt&gt;迁移宫​&lt;/dt&gt;&lt;dd&gt;外出运势平平，易感孤独，或远行时发生损耗身心之事。&lt;/dd&gt;&lt;dd&gt;&lt;/dd&gt;&lt;/dl&gt;</v>
      </c>
    </row>
    <row r="41" spans="2:7" ht="32.25" thickBot="1" x14ac:dyDescent="0.25">
      <c r="B41" s="14" t="s">
        <v>3018</v>
      </c>
      <c r="C41" s="14" t="s">
        <v>5955</v>
      </c>
      <c r="D41" s="15"/>
      <c r="E41" s="15"/>
      <c r="G41" t="str">
        <f t="shared" si="0"/>
        <v>&lt;dl&gt;&lt;dt&gt;交友宫（奴仆宫）​&lt;/dt&gt;&lt;dd&gt;朋友关系易带来损耗，或朋友中多忧伤困顿之人。&lt;/dd&gt;&lt;dd&gt;&lt;/dd&gt;&lt;/dl&gt;</v>
      </c>
    </row>
    <row r="42" spans="2:7" ht="32.25" thickBot="1" x14ac:dyDescent="0.25">
      <c r="B42" s="14" t="s">
        <v>3019</v>
      </c>
      <c r="C42" s="15" t="s">
        <v>5956</v>
      </c>
      <c r="D42" s="15"/>
      <c r="E42" s="15"/>
      <c r="G42" t="str">
        <f t="shared" si="0"/>
        <v>&lt;dl&gt;&lt;dt&gt;官禄宫（事业宫）​&lt;/dt&gt;&lt;dd&gt;事业上劳心劳力，事倍功半，成就感低，易因事业忧心。&lt;/dd&gt;&lt;dd&gt;&lt;/dd&gt;&lt;/dl&gt;</v>
      </c>
    </row>
    <row r="43" spans="2:7" ht="32.25" thickBot="1" x14ac:dyDescent="0.25">
      <c r="B43" s="14" t="s">
        <v>8</v>
      </c>
      <c r="C43" s="14" t="s">
        <v>5957</v>
      </c>
      <c r="D43" s="15"/>
      <c r="E43" s="15"/>
      <c r="G43" t="str">
        <f t="shared" si="0"/>
        <v>&lt;dl&gt;&lt;dt&gt;田宅宫​&lt;/dt&gt;&lt;dd&gt;家宅气氛可能清冷，或家运有损耗，需注意家人健康。&lt;/dd&gt;&lt;dd&gt;&lt;/dd&gt;&lt;/dl&gt;</v>
      </c>
    </row>
    <row r="44" spans="2:7" ht="32.25" thickBot="1" x14ac:dyDescent="0.25">
      <c r="B44" s="14" t="s">
        <v>2945</v>
      </c>
      <c r="C44" s="15" t="s">
        <v>5958</v>
      </c>
      <c r="D44" s="15"/>
    </row>
    <row r="45" spans="2:7" ht="32.25" thickBot="1" x14ac:dyDescent="0.25">
      <c r="B45" s="14" t="s">
        <v>11</v>
      </c>
      <c r="C45" s="15" t="s">
        <v>5959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15"/>
      <c r="G50" t="str">
        <f t="shared" si="0"/>
        <v>&lt;dl&gt;&lt;dt&gt;主星/星曜​&lt;/dt&gt;&lt;dd&gt;组合效应​&lt;/dd&gt;&lt;dd&gt;典型案例/说明​&lt;/dd&gt;&lt;/dl&gt;</v>
      </c>
    </row>
    <row r="51" spans="2:7" ht="32.25" thickBot="1" x14ac:dyDescent="0.25">
      <c r="B51" s="14" t="s">
        <v>5960</v>
      </c>
      <c r="C51" s="14" t="s">
        <v>5961</v>
      </c>
      <c r="D51" s="15" t="s">
        <v>5962</v>
      </c>
      <c r="E51" s="15"/>
      <c r="G51" t="str">
        <f t="shared" si="0"/>
        <v>&lt;dl&gt;&lt;dt&gt;天伤+天同​&lt;/dt&gt;&lt;dd&gt;福星遇耗，福气与忧伤矛盾，主福气有损，虽享乐但内心常怀隐忧，或乐极生悲。&lt;/dd&gt;&lt;dd&gt;外表乐观内心孤独；享受中伴随失去。&lt;/dd&gt;&lt;/dl&gt;</v>
      </c>
    </row>
    <row r="52" spans="2:7" ht="32.25" thickBot="1" x14ac:dyDescent="0.25">
      <c r="B52" s="14" t="s">
        <v>5963</v>
      </c>
      <c r="C52" s="14" t="s">
        <v>5964</v>
      </c>
      <c r="D52" s="15" t="s">
        <v>5965</v>
      </c>
      <c r="E52" s="15"/>
      <c r="G52" t="str">
        <f t="shared" si="0"/>
        <v>&lt;dl&gt;&lt;dt&gt;天伤+太阴​&lt;/dt&gt;&lt;dd&gt;富星遇耗，财富与损耗结合，主钱财暗耗，或因情感忧伤导致破财。&lt;/dd&gt;&lt;dd&gt;为情所困而破财；暗中财务流失。&lt;/dd&gt;&lt;/dl&gt;</v>
      </c>
    </row>
    <row r="53" spans="2:7" ht="32.25" thickBot="1" x14ac:dyDescent="0.25">
      <c r="B53" s="14" t="s">
        <v>5966</v>
      </c>
      <c r="C53" s="14" t="s">
        <v>5967</v>
      </c>
      <c r="D53" s="15" t="s">
        <v>5968</v>
      </c>
    </row>
    <row r="54" spans="2:7" ht="32.25" thickBot="1" x14ac:dyDescent="0.25">
      <c r="B54" s="14" t="s">
        <v>5969</v>
      </c>
      <c r="C54" s="14" t="s">
        <v>5970</v>
      </c>
      <c r="D54" s="15" t="s">
        <v>5971</v>
      </c>
    </row>
    <row r="55" spans="2:7" ht="32.25" thickBot="1" x14ac:dyDescent="0.25">
      <c r="B55" s="14" t="s">
        <v>5972</v>
      </c>
      <c r="C55" s="14" t="s">
        <v>5973</v>
      </c>
      <c r="D55" s="15" t="s">
        <v>5974</v>
      </c>
    </row>
    <row r="56" spans="2:7" ht="32.25" thickBot="1" x14ac:dyDescent="0.25">
      <c r="B56" s="14" t="s">
        <v>5975</v>
      </c>
      <c r="C56" s="14" t="s">
        <v>5976</v>
      </c>
      <c r="D56" s="15" t="s">
        <v>5977</v>
      </c>
    </row>
    <row r="57" spans="2:7" ht="32.25" thickBot="1" x14ac:dyDescent="0.25">
      <c r="B57" s="14" t="s">
        <v>5978</v>
      </c>
      <c r="C57" s="14" t="s">
        <v>5979</v>
      </c>
      <c r="D57" s="15" t="s">
        <v>5980</v>
      </c>
    </row>
    <row r="58" spans="2:7" ht="32.25" thickBot="1" x14ac:dyDescent="0.25">
      <c r="B58" s="14" t="s">
        <v>5981</v>
      </c>
      <c r="C58" s="14" t="s">
        <v>5982</v>
      </c>
      <c r="D58" s="15" t="s">
        <v>5983</v>
      </c>
    </row>
    <row r="59" spans="2:7" ht="32.25" thickBot="1" x14ac:dyDescent="0.25">
      <c r="B59" s="14" t="s">
        <v>5984</v>
      </c>
      <c r="C59" s="14" t="s">
        <v>5985</v>
      </c>
      <c r="D59" s="15" t="s">
        <v>5986</v>
      </c>
    </row>
    <row r="60" spans="2:7" ht="32.25" thickBot="1" x14ac:dyDescent="0.25">
      <c r="B60" s="14" t="s">
        <v>5987</v>
      </c>
      <c r="C60" s="14" t="s">
        <v>5988</v>
      </c>
      <c r="D60" s="15" t="s">
        <v>5989</v>
      </c>
    </row>
    <row r="61" spans="2:7" ht="32.25" thickBot="1" x14ac:dyDescent="0.25">
      <c r="B61" s="14" t="s">
        <v>5990</v>
      </c>
      <c r="C61" s="14" t="s">
        <v>5991</v>
      </c>
      <c r="D61" s="15" t="s">
        <v>5992</v>
      </c>
    </row>
    <row r="62" spans="2:7" ht="32.25" thickBot="1" x14ac:dyDescent="0.25">
      <c r="B62" s="14" t="s">
        <v>5993</v>
      </c>
      <c r="C62" s="14" t="s">
        <v>5994</v>
      </c>
      <c r="D62" s="15" t="s">
        <v>5995</v>
      </c>
    </row>
    <row r="63" spans="2:7" ht="32.25" thickBot="1" x14ac:dyDescent="0.25">
      <c r="B63" s="14" t="s">
        <v>5996</v>
      </c>
      <c r="C63" s="14" t="s">
        <v>5997</v>
      </c>
      <c r="D63" s="15" t="s">
        <v>5998</v>
      </c>
    </row>
    <row r="64" spans="2:7" ht="48" thickBot="1" x14ac:dyDescent="0.25">
      <c r="B64" s="14" t="s">
        <v>5999</v>
      </c>
      <c r="C64" s="14" t="s">
        <v>6000</v>
      </c>
      <c r="D64" s="15" t="s">
        <v>6001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6002</v>
      </c>
    </row>
    <row r="70" spans="2:2" x14ac:dyDescent="0.2">
      <c r="B70" s="7" t="s">
        <v>6003</v>
      </c>
    </row>
    <row r="71" spans="2:2" x14ac:dyDescent="0.2">
      <c r="B71" s="7" t="s">
        <v>6004</v>
      </c>
    </row>
    <row r="72" spans="2:2" x14ac:dyDescent="0.2">
      <c r="B72" s="7" t="s">
        <v>6005</v>
      </c>
    </row>
    <row r="73" spans="2:2" x14ac:dyDescent="0.2">
      <c r="B73" s="7" t="s">
        <v>6006</v>
      </c>
    </row>
    <row r="74" spans="2:2" x14ac:dyDescent="0.2">
      <c r="B74" s="7" t="s">
        <v>6007</v>
      </c>
    </row>
    <row r="75" spans="2:2" x14ac:dyDescent="0.2">
      <c r="B75" s="7" t="s">
        <v>6008</v>
      </c>
    </row>
    <row r="76" spans="2:2" x14ac:dyDescent="0.2">
      <c r="B76" s="7" t="s">
        <v>6009</v>
      </c>
    </row>
    <row r="77" spans="2:2" x14ac:dyDescent="0.2">
      <c r="B77" s="6"/>
    </row>
    <row r="78" spans="2:2" x14ac:dyDescent="0.2">
      <c r="B78" s="6" t="s">
        <v>6010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BDEF2-F429-4877-8039-526DA625E090}">
  <dimension ref="B1:G82"/>
  <sheetViews>
    <sheetView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6011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月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111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6012</v>
      </c>
      <c r="D7" s="15" t="s">
        <v>6013</v>
      </c>
    </row>
    <row r="8" spans="2:7" ht="78.75" x14ac:dyDescent="0.2">
      <c r="B8" s="24" t="s">
        <v>2914</v>
      </c>
      <c r="C8" s="19" t="s">
        <v>6014</v>
      </c>
      <c r="D8" s="27" t="s">
        <v>6022</v>
      </c>
    </row>
    <row r="9" spans="2:7" ht="78.75" x14ac:dyDescent="0.2">
      <c r="B9" s="25"/>
      <c r="C9" s="20" t="s">
        <v>6015</v>
      </c>
      <c r="D9" s="28"/>
    </row>
    <row r="10" spans="2:7" ht="47.25" x14ac:dyDescent="0.2">
      <c r="B10" s="25"/>
      <c r="C10" s="20" t="s">
        <v>6016</v>
      </c>
      <c r="D10" s="28"/>
    </row>
    <row r="11" spans="2:7" ht="31.5" x14ac:dyDescent="0.2">
      <c r="B11" s="25"/>
      <c r="C11" s="22" t="s">
        <v>6017</v>
      </c>
      <c r="D11" s="28"/>
    </row>
    <row r="12" spans="2:7" ht="31.5" x14ac:dyDescent="0.2">
      <c r="B12" s="25"/>
      <c r="C12" s="22" t="s">
        <v>6018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6019</v>
      </c>
      <c r="D14" s="28"/>
    </row>
    <row r="15" spans="2:7" ht="31.5" x14ac:dyDescent="0.2">
      <c r="B15" s="25"/>
      <c r="C15" s="22" t="s">
        <v>6020</v>
      </c>
      <c r="D15" s="28"/>
    </row>
    <row r="16" spans="2:7" ht="32.25" thickBot="1" x14ac:dyDescent="0.25">
      <c r="B16" s="26"/>
      <c r="C16" s="23" t="s">
        <v>6021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6023</v>
      </c>
      <c r="C22" s="15" t="s">
        <v>6024</v>
      </c>
      <c r="D22" s="15" t="s">
        <v>6025</v>
      </c>
    </row>
    <row r="23" spans="2:7" ht="48" thickBot="1" x14ac:dyDescent="0.25">
      <c r="B23" s="14" t="s">
        <v>6026</v>
      </c>
      <c r="C23" s="15" t="s">
        <v>6027</v>
      </c>
      <c r="D23" s="15" t="s">
        <v>6028</v>
      </c>
      <c r="E23" s="12"/>
    </row>
    <row r="24" spans="2:7" ht="32.25" thickBot="1" x14ac:dyDescent="0.25">
      <c r="B24" s="14" t="s">
        <v>6029</v>
      </c>
      <c r="C24" s="15" t="s">
        <v>6030</v>
      </c>
      <c r="D24" s="15" t="s">
        <v>6031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健康与调整​&lt;/dt&gt;&lt;dd&gt;性属阴火，主健康失常，亦是调整之星。此星入命身，也主交易、婚姻中介，可作介绍人。&lt;/dd&gt;&lt;dd&gt;在疾厄宫，主肠胃消化不佳；在交友宫，可能通过介绍认识朋友。&lt;/dd&gt;&lt;/dl&gt;</v>
      </c>
    </row>
    <row r="25" spans="2:7" ht="32.25" thickBot="1" x14ac:dyDescent="0.25">
      <c r="B25" s="14" t="s">
        <v>3016</v>
      </c>
      <c r="C25" s="14" t="s">
        <v>6032</v>
      </c>
      <c r="D25" s="15" t="s">
        <v>5764</v>
      </c>
      <c r="E25" s="15"/>
      <c r="G25" t="str">
        <f t="shared" si="0"/>
        <v>&lt;dl&gt;&lt;dt&gt;外貌气质​&lt;/dt&gt;&lt;dd&gt;可能面色偏白或欠红润，气质温和安静，给人以与世无争、略显消极的印象。&lt;/dd&gt;&lt;dd&gt;在命宫、身宫时显著，但需结合主星判断。&lt;/dd&gt;&lt;/dl&gt;</v>
      </c>
    </row>
    <row r="26" spans="2:7" ht="32.25" thickBot="1" x14ac:dyDescent="0.25">
      <c r="B26" s="24" t="s">
        <v>3017</v>
      </c>
      <c r="C26" s="19" t="s">
        <v>6033</v>
      </c>
      <c r="D26" s="27"/>
      <c r="E26" s="15"/>
      <c r="G26" t="str">
        <f t="shared" si="0"/>
        <v>&lt;dl&gt;&lt;dt&gt;性格特质​&lt;/dt&gt;&lt;dd&gt;优点：安分守己，与世无争，为人随和，不喜争斗。&lt;/dd&gt;&lt;dd&gt;&lt;/dd&gt;&lt;/dl&gt;</v>
      </c>
    </row>
    <row r="27" spans="2:7" ht="48" thickBot="1" x14ac:dyDescent="0.25">
      <c r="B27" s="26"/>
      <c r="C27" s="21" t="s">
        <v>6034</v>
      </c>
      <c r="D27" s="29"/>
      <c r="E27" s="15"/>
      <c r="G27" t="str">
        <f t="shared" si="0"/>
        <v>&lt;dl&gt;&lt;dt&gt;&lt;/dt&gt;&lt;dd&gt;缺点：缺乏主见，心态消极，缺乏活力，易有无病呻吟倾向，依赖心重，庸人自扰（逢煞时）。&lt;/dd&gt;&lt;dd&gt;&lt;/dd&gt;&lt;/dl&gt;</v>
      </c>
    </row>
    <row r="28" spans="2:7" ht="32.25" thickBot="1" x14ac:dyDescent="0.25">
      <c r="B28" s="14" t="s">
        <v>3419</v>
      </c>
      <c r="C28" s="15" t="s">
        <v>6035</v>
      </c>
      <c r="D28" s="15" t="s">
        <v>6036</v>
      </c>
      <c r="E28" s="15"/>
      <c r="G28" t="str">
        <f t="shared" si="0"/>
        <v>&lt;dl&gt;&lt;dt&gt;健康方面​&lt;/dt&gt;&lt;dd&gt;主慢性疾病、流行病、缠绵宿疾、肠胃消化问题、体质虚弱。尤忌入疾厄宫，主体弱多病。&lt;/dd&gt;&lt;dd&gt;在疾厄宫无吉解时，健康影响很大；有吉星同宫可化解部分凶性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63.75" thickBot="1" x14ac:dyDescent="0.25">
      <c r="B34" s="14" t="s">
        <v>2930</v>
      </c>
      <c r="C34" s="15" t="s">
        <v>6037</v>
      </c>
      <c r="D34" s="15"/>
      <c r="E34" s="12"/>
    </row>
    <row r="35" spans="2:7" ht="32.25" thickBot="1" x14ac:dyDescent="0.25">
      <c r="B35" s="14" t="s">
        <v>2932</v>
      </c>
      <c r="C35" s="15" t="s">
        <v>6038</v>
      </c>
      <c r="D35" s="15"/>
      <c r="E35" s="15"/>
      <c r="G35" t="str">
        <f t="shared" si="0"/>
        <v>&lt;dl&gt;&lt;dt&gt;兄弟宫​&lt;/dt&gt;&lt;dd&gt;与兄弟姐妹凝聚力不够，彼此很少给对方帮助，关系比较低调。&lt;/dd&gt;&lt;dd&gt;&lt;/dd&gt;&lt;/dl&gt;</v>
      </c>
    </row>
    <row r="36" spans="2:7" ht="32.25" thickBot="1" x14ac:dyDescent="0.25">
      <c r="B36" s="14" t="s">
        <v>2934</v>
      </c>
      <c r="C36" s="15" t="s">
        <v>6039</v>
      </c>
      <c r="D36" s="15"/>
      <c r="E36" s="15"/>
      <c r="G36" t="str">
        <f t="shared" si="0"/>
        <v>&lt;dl&gt;&lt;dt&gt;夫妻宫​&lt;/dt&gt;&lt;dd&gt;配偶是个有心人，总想博取注意与认同，但心情不好，容易伤感情。&lt;/dd&gt;&lt;dd&gt;&lt;/dd&gt;&lt;/dl&gt;</v>
      </c>
    </row>
    <row r="37" spans="2:7" ht="32.25" thickBot="1" x14ac:dyDescent="0.25">
      <c r="B37" s="14" t="s">
        <v>2936</v>
      </c>
      <c r="C37" s="15" t="s">
        <v>6040</v>
      </c>
      <c r="D37" s="15"/>
      <c r="E37" s="15"/>
      <c r="G37" t="str">
        <f t="shared" si="0"/>
        <v>&lt;dl&gt;&lt;dt&gt;子女宫​&lt;/dt&gt;&lt;dd&gt;子女相当听话，事事愿意和父母商量，生活平淡但幸福。&lt;/dd&gt;&lt;dd&gt;&lt;/dd&gt;&lt;/dl&gt;</v>
      </c>
    </row>
    <row r="38" spans="2:7" ht="32.25" thickBot="1" x14ac:dyDescent="0.25">
      <c r="B38" s="14" t="s">
        <v>9</v>
      </c>
      <c r="C38" s="15" t="s">
        <v>6041</v>
      </c>
      <c r="D38" s="15"/>
      <c r="E38" s="15"/>
      <c r="G38" t="str">
        <f t="shared" si="0"/>
        <v>&lt;dl&gt;&lt;dt&gt;财帛宫​&lt;/dt&gt;&lt;dd&gt;财运收入有限，但脚踏实地工作可有稳定收入，不致三餐不继，还会有余钱（男命）。&lt;/dd&gt;&lt;dd&gt;&lt;/dd&gt;&lt;/dl&gt;</v>
      </c>
    </row>
    <row r="39" spans="2:7" ht="32.25" thickBot="1" x14ac:dyDescent="0.25">
      <c r="B39" s="14" t="s">
        <v>10</v>
      </c>
      <c r="C39" s="14" t="s">
        <v>6042</v>
      </c>
      <c r="D39" s="15"/>
      <c r="E39" s="15"/>
      <c r="G39" t="str">
        <f t="shared" si="0"/>
        <v>&lt;dl&gt;&lt;dt&gt;疾厄宫​&lt;/dt&gt;&lt;dd&gt;体质较弱，易患慢性病，肠胃消化常不好。需注意压力管理，三餐正常。&lt;/dd&gt;&lt;dd&gt;&lt;/dd&gt;&lt;/dl&gt;</v>
      </c>
    </row>
    <row r="40" spans="2:7" ht="32.25" thickBot="1" x14ac:dyDescent="0.25">
      <c r="B40" s="14" t="s">
        <v>13</v>
      </c>
      <c r="C40" s="15" t="s">
        <v>6043</v>
      </c>
      <c r="D40" s="15"/>
      <c r="E40" s="15"/>
      <c r="G40" t="str">
        <f t="shared" si="0"/>
        <v>&lt;dl&gt;&lt;dt&gt;迁移宫​&lt;/dt&gt;&lt;dd&gt;外出很随性，时间到了、感觉对了就会出去走走。&lt;/dd&gt;&lt;dd&gt;&lt;/dd&gt;&lt;/dl&gt;</v>
      </c>
    </row>
    <row r="41" spans="2:7" ht="32.25" thickBot="1" x14ac:dyDescent="0.25">
      <c r="B41" s="14" t="s">
        <v>3018</v>
      </c>
      <c r="C41" s="14" t="s">
        <v>6044</v>
      </c>
      <c r="D41" s="15"/>
      <c r="E41" s="15"/>
      <c r="G41" t="str">
        <f t="shared" si="0"/>
        <v>&lt;dl&gt;&lt;dt&gt;交友宫（奴仆宫）​&lt;/dt&gt;&lt;dd&gt;朋友不多，多为泛泛之交，遇事多只能依靠自己。&lt;/dd&gt;&lt;dd&gt;&lt;/dd&gt;&lt;/dl&gt;</v>
      </c>
    </row>
    <row r="42" spans="2:7" ht="32.25" thickBot="1" x14ac:dyDescent="0.25">
      <c r="B42" s="14" t="s">
        <v>3019</v>
      </c>
      <c r="C42" s="15" t="s">
        <v>6045</v>
      </c>
      <c r="D42" s="15"/>
      <c r="E42" s="15"/>
      <c r="G42" t="str">
        <f t="shared" si="0"/>
        <v>&lt;dl&gt;&lt;dt&gt;官禄宫（事业宫）​&lt;/dt&gt;&lt;dd&gt;学业平平，少有表现；工作状况不错，能长久维持一份工作，但缺乏企图心。&lt;/dd&gt;&lt;dd&gt;&lt;/dd&gt;&lt;/dl&gt;</v>
      </c>
    </row>
    <row r="43" spans="2:7" ht="32.25" thickBot="1" x14ac:dyDescent="0.25">
      <c r="B43" s="14" t="s">
        <v>8</v>
      </c>
      <c r="C43" s="14" t="s">
        <v>6046</v>
      </c>
      <c r="D43" s="15"/>
      <c r="E43" s="15"/>
      <c r="G43" t="str">
        <f t="shared" si="0"/>
        <v>&lt;dl&gt;&lt;dt&gt;田宅宫​&lt;/dt&gt;&lt;dd&gt;舍得花钱整修居家环境以求住得舒服，精神上富有。&lt;/dd&gt;&lt;dd&gt;&lt;/dd&gt;&lt;/dl&gt;</v>
      </c>
    </row>
    <row r="44" spans="2:7" ht="32.25" thickBot="1" x14ac:dyDescent="0.25">
      <c r="B44" s="14" t="s">
        <v>2945</v>
      </c>
      <c r="C44" s="14" t="s">
        <v>6047</v>
      </c>
      <c r="D44" s="15"/>
    </row>
    <row r="45" spans="2:7" ht="32.25" thickBot="1" x14ac:dyDescent="0.25">
      <c r="B45" s="14" t="s">
        <v>11</v>
      </c>
      <c r="C45" s="15" t="s">
        <v>6048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15"/>
      <c r="G50" t="str">
        <f t="shared" si="0"/>
        <v>&lt;dl&gt;&lt;dt&gt;主星/星曜​&lt;/dt&gt;&lt;dd&gt;组合效应​&lt;/dd&gt;&lt;dd&gt;典型案例/说明​&lt;/dd&gt;&lt;/dl&gt;</v>
      </c>
    </row>
    <row r="51" spans="2:7" ht="32.25" thickBot="1" x14ac:dyDescent="0.25">
      <c r="B51" s="14" t="s">
        <v>6049</v>
      </c>
      <c r="C51" s="14" t="s">
        <v>6050</v>
      </c>
      <c r="D51" s="15" t="s">
        <v>6051</v>
      </c>
      <c r="E51" s="15"/>
      <c r="G51" t="str">
        <f t="shared" si="0"/>
        <v>&lt;dl&gt;&lt;dt&gt;天月+左辅/右弼​&lt;/dt&gt;&lt;dd&gt;月遇辅弼，安分与助力结合，主做事积极。&lt;/dd&gt;&lt;dd&gt;性格温和但做事有帮手，能积极完成事务。&lt;/dd&gt;&lt;/dl&gt;</v>
      </c>
    </row>
    <row r="52" spans="2:7" ht="32.25" thickBot="1" x14ac:dyDescent="0.25">
      <c r="B52" s="14" t="s">
        <v>6052</v>
      </c>
      <c r="C52" s="14" t="s">
        <v>6053</v>
      </c>
      <c r="D52" s="15" t="s">
        <v>6054</v>
      </c>
      <c r="E52" s="15"/>
      <c r="G52" t="str">
        <f t="shared" si="0"/>
        <v>&lt;dl&gt;&lt;dt&gt;天月+文昌/文曲​&lt;/dt&gt;&lt;dd&gt;月遇昌曲，安分与才华结合，主有文采。&lt;/dd&gt;&lt;dd&gt;安分守己但有文艺才华。&lt;/dd&gt;&lt;/dl&gt;</v>
      </c>
    </row>
    <row r="53" spans="2:7" ht="32.25" thickBot="1" x14ac:dyDescent="0.25">
      <c r="B53" s="14" t="s">
        <v>6055</v>
      </c>
      <c r="C53" s="14" t="s">
        <v>6056</v>
      </c>
      <c r="D53" s="15" t="s">
        <v>6057</v>
      </c>
    </row>
    <row r="54" spans="2:7" ht="32.25" thickBot="1" x14ac:dyDescent="0.25">
      <c r="B54" s="14" t="s">
        <v>6058</v>
      </c>
      <c r="C54" s="14" t="s">
        <v>6059</v>
      </c>
      <c r="D54" s="15" t="s">
        <v>6060</v>
      </c>
    </row>
    <row r="55" spans="2:7" ht="32.25" thickBot="1" x14ac:dyDescent="0.25">
      <c r="B55" s="14" t="s">
        <v>6061</v>
      </c>
      <c r="C55" s="14" t="s">
        <v>6062</v>
      </c>
      <c r="D55" s="15" t="s">
        <v>6063</v>
      </c>
    </row>
    <row r="56" spans="2:7" ht="32.25" thickBot="1" x14ac:dyDescent="0.25">
      <c r="B56" s="14" t="s">
        <v>6064</v>
      </c>
      <c r="C56" s="14" t="s">
        <v>6065</v>
      </c>
      <c r="D56" s="15" t="s">
        <v>6066</v>
      </c>
    </row>
    <row r="57" spans="2:7" ht="32.25" thickBot="1" x14ac:dyDescent="0.25">
      <c r="B57" s="14" t="s">
        <v>6067</v>
      </c>
      <c r="C57" s="14" t="s">
        <v>6068</v>
      </c>
      <c r="D57" s="15" t="s">
        <v>6069</v>
      </c>
    </row>
    <row r="58" spans="2:7" ht="32.25" thickBot="1" x14ac:dyDescent="0.25">
      <c r="B58" s="14" t="s">
        <v>6070</v>
      </c>
      <c r="C58" s="14" t="s">
        <v>6071</v>
      </c>
      <c r="D58" s="15" t="s">
        <v>6072</v>
      </c>
    </row>
    <row r="59" spans="2:7" ht="32.25" thickBot="1" x14ac:dyDescent="0.25">
      <c r="B59" s="14" t="s">
        <v>6073</v>
      </c>
      <c r="C59" s="14" t="s">
        <v>6074</v>
      </c>
      <c r="D59" s="15" t="s">
        <v>6075</v>
      </c>
    </row>
    <row r="60" spans="2:7" ht="32.25" thickBot="1" x14ac:dyDescent="0.25">
      <c r="B60" s="14" t="s">
        <v>6076</v>
      </c>
      <c r="C60" s="14" t="s">
        <v>6077</v>
      </c>
      <c r="D60" s="15" t="s">
        <v>6078</v>
      </c>
    </row>
    <row r="61" spans="2:7" ht="32.25" thickBot="1" x14ac:dyDescent="0.25">
      <c r="B61" s="14" t="s">
        <v>6079</v>
      </c>
      <c r="C61" s="14" t="s">
        <v>6080</v>
      </c>
      <c r="D61" s="15" t="s">
        <v>6081</v>
      </c>
    </row>
    <row r="62" spans="2:7" ht="32.25" thickBot="1" x14ac:dyDescent="0.25">
      <c r="B62" s="14" t="s">
        <v>6082</v>
      </c>
      <c r="C62" s="14" t="s">
        <v>6083</v>
      </c>
      <c r="D62" s="15" t="s">
        <v>6084</v>
      </c>
    </row>
    <row r="63" spans="2:7" ht="32.25" thickBot="1" x14ac:dyDescent="0.25">
      <c r="B63" s="14" t="s">
        <v>6085</v>
      </c>
      <c r="C63" s="14" t="s">
        <v>6086</v>
      </c>
      <c r="D63" s="15" t="s">
        <v>6087</v>
      </c>
    </row>
    <row r="64" spans="2:7" ht="32.25" thickBot="1" x14ac:dyDescent="0.25">
      <c r="B64" s="14" t="s">
        <v>6088</v>
      </c>
      <c r="C64" s="14" t="s">
        <v>6089</v>
      </c>
      <c r="D64" s="15" t="s">
        <v>6090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6091</v>
      </c>
    </row>
    <row r="70" spans="2:2" x14ac:dyDescent="0.2">
      <c r="B70" s="7" t="s">
        <v>6092</v>
      </c>
    </row>
    <row r="71" spans="2:2" x14ac:dyDescent="0.2">
      <c r="B71" s="7" t="s">
        <v>6093</v>
      </c>
    </row>
    <row r="72" spans="2:2" x14ac:dyDescent="0.2">
      <c r="B72" s="7" t="s">
        <v>6094</v>
      </c>
    </row>
    <row r="73" spans="2:2" x14ac:dyDescent="0.2">
      <c r="B73" s="7" t="s">
        <v>6095</v>
      </c>
    </row>
    <row r="74" spans="2:2" x14ac:dyDescent="0.2">
      <c r="B74" s="7" t="s">
        <v>6096</v>
      </c>
    </row>
    <row r="75" spans="2:2" x14ac:dyDescent="0.2">
      <c r="B75" s="7" t="s">
        <v>6097</v>
      </c>
    </row>
    <row r="76" spans="2:2" x14ac:dyDescent="0.2">
      <c r="B76" s="7" t="s">
        <v>6098</v>
      </c>
    </row>
    <row r="77" spans="2:2" x14ac:dyDescent="0.2">
      <c r="B77" s="6"/>
    </row>
    <row r="78" spans="2:2" x14ac:dyDescent="0.2">
      <c r="B78" s="6" t="s">
        <v>6099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188C-E030-49BD-9990-589C2C87CD55}">
  <dimension ref="B1:G82"/>
  <sheetViews>
    <sheetView topLeftCell="A66" zoomScaleNormal="100" workbookViewId="0">
      <selection activeCell="B1" sqref="B1:D8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6100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华盖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112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6101</v>
      </c>
      <c r="D7" s="15" t="s">
        <v>6102</v>
      </c>
    </row>
    <row r="8" spans="2:7" ht="94.5" x14ac:dyDescent="0.2">
      <c r="B8" s="24" t="s">
        <v>2914</v>
      </c>
      <c r="C8" s="19" t="s">
        <v>6103</v>
      </c>
      <c r="D8" s="27" t="s">
        <v>6111</v>
      </c>
    </row>
    <row r="9" spans="2:7" ht="78.75" x14ac:dyDescent="0.2">
      <c r="B9" s="25"/>
      <c r="C9" s="20" t="s">
        <v>6104</v>
      </c>
      <c r="D9" s="28"/>
    </row>
    <row r="10" spans="2:7" ht="47.25" x14ac:dyDescent="0.2">
      <c r="B10" s="25"/>
      <c r="C10" s="20" t="s">
        <v>6105</v>
      </c>
      <c r="D10" s="28"/>
    </row>
    <row r="11" spans="2:7" ht="31.5" x14ac:dyDescent="0.2">
      <c r="B11" s="25"/>
      <c r="C11" s="22" t="s">
        <v>6106</v>
      </c>
      <c r="D11" s="28"/>
    </row>
    <row r="12" spans="2:7" ht="31.5" x14ac:dyDescent="0.2">
      <c r="B12" s="25"/>
      <c r="C12" s="22" t="s">
        <v>6107</v>
      </c>
      <c r="D12" s="28"/>
    </row>
    <row r="13" spans="2:7" ht="15.75" x14ac:dyDescent="0.2">
      <c r="B13" s="25"/>
      <c r="C13" s="22" t="s">
        <v>4343</v>
      </c>
      <c r="D13" s="28"/>
      <c r="E13" s="2" t="s">
        <v>7</v>
      </c>
    </row>
    <row r="14" spans="2:7" ht="31.5" x14ac:dyDescent="0.2">
      <c r="B14" s="25"/>
      <c r="C14" s="22" t="s">
        <v>6108</v>
      </c>
      <c r="D14" s="28"/>
      <c r="E14" s="4"/>
    </row>
    <row r="15" spans="2:7" ht="31.5" x14ac:dyDescent="0.2">
      <c r="B15" s="25"/>
      <c r="C15" s="22" t="s">
        <v>6109</v>
      </c>
      <c r="D15" s="28"/>
      <c r="E15" s="4"/>
    </row>
    <row r="16" spans="2:7" ht="32.25" thickBot="1" x14ac:dyDescent="0.25">
      <c r="B16" s="26"/>
      <c r="C16" s="23" t="s">
        <v>6110</v>
      </c>
      <c r="D16" s="29"/>
      <c r="E16" s="4"/>
    </row>
    <row r="17" spans="2:7" x14ac:dyDescent="0.2">
      <c r="E17" s="4"/>
    </row>
    <row r="18" spans="2:7" x14ac:dyDescent="0.2">
      <c r="E18" s="4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63.75" thickBot="1" x14ac:dyDescent="0.25">
      <c r="B22" s="14" t="s">
        <v>6112</v>
      </c>
      <c r="C22" s="15" t="s">
        <v>6113</v>
      </c>
      <c r="D22" s="15" t="s">
        <v>6114</v>
      </c>
    </row>
    <row r="23" spans="2:7" ht="48" thickBot="1" x14ac:dyDescent="0.25">
      <c r="B23" s="14" t="s">
        <v>6115</v>
      </c>
      <c r="C23" s="15" t="s">
        <v>6116</v>
      </c>
      <c r="D23" s="15" t="s">
        <v>6117</v>
      </c>
      <c r="E23" s="2" t="s">
        <v>7</v>
      </c>
    </row>
    <row r="24" spans="2:7" ht="48" thickBot="1" x14ac:dyDescent="0.25">
      <c r="B24" s="14" t="s">
        <v>6118</v>
      </c>
      <c r="C24" s="15" t="s">
        <v>6119</v>
      </c>
      <c r="D24" s="15" t="s">
        <v>6120</v>
      </c>
      <c r="E24" s="4"/>
      <c r="G24" t="str">
        <f t="shared" ref="G24:G52" si="0">"&lt;dl&gt;&lt;dt&gt;" &amp; B24 &amp; "&lt;/dt&gt;&lt;dd&gt;" &amp; C24 &amp; "&lt;/dd&gt;&lt;dd&gt;" &amp; D24 &amp; "&lt;/dd&gt;&lt;/dl&gt;"</f>
        <v>&lt;dl&gt;&lt;dt&gt;宗教与神秘​&lt;/dt&gt;&lt;dd&gt;性属阳木，主向上生长、追求精神境界。是宗教、玄学、神秘学的星曜，有出世倾向，亦主与佛道有缘。&lt;/dd&gt;&lt;dd&gt;在命宫、福德宫，主对宗教、哲学、神秘文化有浓厚兴趣或天赋。&lt;/dd&gt;&lt;/dl&gt;</v>
      </c>
    </row>
    <row r="25" spans="2:7" ht="48" thickBot="1" x14ac:dyDescent="0.25">
      <c r="B25" s="14" t="s">
        <v>3016</v>
      </c>
      <c r="C25" s="14" t="s">
        <v>6121</v>
      </c>
      <c r="D25" s="15" t="s">
        <v>5764</v>
      </c>
      <c r="E25" s="4"/>
      <c r="G25" t="str">
        <f t="shared" si="0"/>
        <v>&lt;dl&gt;&lt;dt&gt;外貌气质​&lt;/dt&gt;&lt;dd&gt;气质清冷、孤高，有出世之姿，眼神常带思考或超然感，给人以不食人间烟火、难以接近的印象。&lt;/dd&gt;&lt;dd&gt;在命宫、身宫时显著，但需结合主星判断。&lt;/dd&gt;&lt;/dl&gt;</v>
      </c>
    </row>
    <row r="26" spans="2:7" ht="31.5" x14ac:dyDescent="0.2">
      <c r="B26" s="24" t="s">
        <v>3017</v>
      </c>
      <c r="C26" s="19" t="s">
        <v>6122</v>
      </c>
      <c r="D26" s="27"/>
      <c r="E26" s="4"/>
      <c r="G26" t="str">
        <f t="shared" si="0"/>
        <v>&lt;dl&gt;&lt;dt&gt;性格特质​&lt;/dt&gt;&lt;dd&gt;优点：才华横溢，有艺术或哲学天赋，精神世界丰富，清高自爱，不随波逐流。&lt;/dd&gt;&lt;dd&gt;&lt;/dd&gt;&lt;/dl&gt;</v>
      </c>
    </row>
    <row r="27" spans="2:7" ht="32.25" thickBot="1" x14ac:dyDescent="0.25">
      <c r="B27" s="26"/>
      <c r="C27" s="21" t="s">
        <v>6123</v>
      </c>
      <c r="D27" s="29"/>
      <c r="E27" s="4"/>
      <c r="G27" t="str">
        <f t="shared" si="0"/>
        <v>&lt;dl&gt;&lt;dt&gt;&lt;/dt&gt;&lt;dd&gt;缺点：性格孤僻，不善交际，易感孤独，人际关系淡薄，有时过于理想化，不切实际。&lt;/dd&gt;&lt;dd&gt;&lt;/dd&gt;&lt;/dl&gt;</v>
      </c>
    </row>
    <row r="28" spans="2:7" ht="32.25" thickBot="1" x14ac:dyDescent="0.25">
      <c r="B28" s="14" t="s">
        <v>3419</v>
      </c>
      <c r="C28" s="15" t="s">
        <v>6124</v>
      </c>
      <c r="D28" s="15" t="s">
        <v>6125</v>
      </c>
      <c r="E28" s="4"/>
      <c r="G28" t="str">
        <f t="shared" si="0"/>
        <v>&lt;dl&gt;&lt;dt&gt;健康方面​&lt;/dt&gt;&lt;dd&gt;主神经衰弱、失眠、思虑过度，或因精神追求导致与现实脱节。&lt;/dd&gt;&lt;dd&gt;在疾厄宫时，需注意精神健康，避免过度思虑。&lt;/dd&gt;&lt;/dl&gt;</v>
      </c>
    </row>
    <row r="29" spans="2:7" x14ac:dyDescent="0.2">
      <c r="E29" s="4"/>
      <c r="G29" t="str">
        <f t="shared" si="0"/>
        <v>&lt;dl&gt;&lt;dt&gt;&lt;/dt&gt;&lt;dd&gt;&lt;/dd&gt;&lt;dd&gt;&lt;/dd&gt;&lt;/dl&gt;</v>
      </c>
    </row>
    <row r="30" spans="2:7" x14ac:dyDescent="0.2">
      <c r="E30" s="4"/>
    </row>
    <row r="31" spans="2:7" ht="17.25" x14ac:dyDescent="0.2">
      <c r="B31" s="5" t="s">
        <v>102</v>
      </c>
      <c r="E31" s="4"/>
    </row>
    <row r="32" spans="2:7" ht="16.5" thickBot="1" x14ac:dyDescent="0.25">
      <c r="B32" s="11"/>
      <c r="E32" s="4"/>
    </row>
    <row r="33" spans="2:7" ht="16.5" thickBot="1" x14ac:dyDescent="0.25">
      <c r="B33" s="12" t="s">
        <v>6</v>
      </c>
      <c r="C33" s="12" t="s">
        <v>107</v>
      </c>
      <c r="D33" s="12" t="s">
        <v>7</v>
      </c>
      <c r="E33" s="4"/>
    </row>
    <row r="34" spans="2:7" ht="63.75" thickBot="1" x14ac:dyDescent="0.25">
      <c r="B34" s="14" t="s">
        <v>2930</v>
      </c>
      <c r="C34" s="15" t="s">
        <v>6126</v>
      </c>
      <c r="D34" s="15"/>
      <c r="E34" s="4"/>
    </row>
    <row r="35" spans="2:7" ht="32.25" thickBot="1" x14ac:dyDescent="0.25">
      <c r="B35" s="14" t="s">
        <v>2932</v>
      </c>
      <c r="C35" s="15" t="s">
        <v>6127</v>
      </c>
      <c r="D35" s="15"/>
      <c r="E35" s="4"/>
      <c r="G35" t="str">
        <f t="shared" si="0"/>
        <v>&lt;dl&gt;&lt;dt&gt;兄弟宫​&lt;/dt&gt;&lt;dd&gt;与兄弟姐妹缘分较淡，彼此思想层面交流少，各自有独立的精神世界。&lt;/dd&gt;&lt;dd&gt;&lt;/dd&gt;&lt;/dl&gt;</v>
      </c>
    </row>
    <row r="36" spans="2:7" ht="32.25" thickBot="1" x14ac:dyDescent="0.25">
      <c r="B36" s="14" t="s">
        <v>2934</v>
      </c>
      <c r="C36" s="15" t="s">
        <v>6128</v>
      </c>
      <c r="D36" s="15"/>
      <c r="G36" t="str">
        <f t="shared" si="0"/>
        <v>&lt;dl&gt;&lt;dt&gt;夫妻宫​&lt;/dt&gt;&lt;dd&gt;配偶可能有艺术气质或宗教情怀，但夫妻关系较淡泊，精神交流多于世俗热情。&lt;/dd&gt;&lt;dd&gt;&lt;/dd&gt;&lt;/dl&gt;</v>
      </c>
    </row>
    <row r="37" spans="2:7" ht="32.25" thickBot="1" x14ac:dyDescent="0.25">
      <c r="B37" s="14" t="s">
        <v>2936</v>
      </c>
      <c r="C37" s="15" t="s">
        <v>6129</v>
      </c>
      <c r="D37" s="15"/>
      <c r="G37" t="str">
        <f t="shared" si="0"/>
        <v>&lt;dl&gt;&lt;dt&gt;子女宫​&lt;/dt&gt;&lt;dd&gt;子女聪明有艺术天赋，但可能与父母思想有隔阂，喜独立。&lt;/dd&gt;&lt;dd&gt;&lt;/dd&gt;&lt;/dl&gt;</v>
      </c>
    </row>
    <row r="38" spans="2:7" ht="32.25" thickBot="1" x14ac:dyDescent="0.25">
      <c r="B38" s="14" t="s">
        <v>9</v>
      </c>
      <c r="C38" s="15" t="s">
        <v>6130</v>
      </c>
      <c r="D38" s="15"/>
      <c r="G38" t="str">
        <f t="shared" si="0"/>
        <v>&lt;dl&gt;&lt;dt&gt;财帛宫​&lt;/dt&gt;&lt;dd&gt;钱财观念淡泊，不重物质，可通过艺术、文化、咨询类工作获利。&lt;/dd&gt;&lt;dd&gt;&lt;/dd&gt;&lt;/dl&gt;</v>
      </c>
    </row>
    <row r="39" spans="2:7" ht="32.25" thickBot="1" x14ac:dyDescent="0.25">
      <c r="B39" s="14" t="s">
        <v>10</v>
      </c>
      <c r="C39" s="14" t="s">
        <v>6131</v>
      </c>
      <c r="D39" s="15"/>
      <c r="G39" t="str">
        <f t="shared" si="0"/>
        <v>&lt;dl&gt;&lt;dt&gt;疾厄宫​&lt;/dt&gt;&lt;dd&gt;易有神经衰弱、失眠、思虑过度等精神方面问题，需注意精神调养。&lt;/dd&gt;&lt;dd&gt;&lt;/dd&gt;&lt;/dl&gt;</v>
      </c>
    </row>
    <row r="40" spans="2:7" ht="32.25" thickBot="1" x14ac:dyDescent="0.25">
      <c r="B40" s="14" t="s">
        <v>13</v>
      </c>
      <c r="C40" s="15" t="s">
        <v>6132</v>
      </c>
      <c r="D40" s="15"/>
      <c r="G40" t="str">
        <f t="shared" si="0"/>
        <v>&lt;dl&gt;&lt;dt&gt;迁移宫​&lt;/dt&gt;&lt;dd&gt;在外喜清静，适合独自旅行或进行文化、宗教之旅，不喜喧闹场所。&lt;/dd&gt;&lt;dd&gt;&lt;/dd&gt;&lt;/dl&gt;</v>
      </c>
    </row>
    <row r="41" spans="2:7" ht="32.25" thickBot="1" x14ac:dyDescent="0.25">
      <c r="B41" s="14" t="s">
        <v>3018</v>
      </c>
      <c r="C41" s="14" t="s">
        <v>6133</v>
      </c>
      <c r="D41" s="15"/>
      <c r="G41" t="str">
        <f t="shared" si="0"/>
        <v>&lt;dl&gt;&lt;dt&gt;交友宫（奴仆宫）​&lt;/dt&gt;&lt;dd&gt;朋友不多，但多为精神层面的知己，不喜泛泛之交。&lt;/dd&gt;&lt;dd&gt;&lt;/dd&gt;&lt;/dl&gt;</v>
      </c>
    </row>
    <row r="42" spans="2:7" ht="32.25" thickBot="1" x14ac:dyDescent="0.25">
      <c r="B42" s="14" t="s">
        <v>3019</v>
      </c>
      <c r="C42" s="15" t="s">
        <v>6134</v>
      </c>
      <c r="D42" s="15"/>
      <c r="E42" s="2" t="s">
        <v>7</v>
      </c>
      <c r="G42" t="str">
        <f t="shared" si="0"/>
        <v>&lt;dl&gt;&lt;dt&gt;官禄宫（事业宫）​&lt;/dt&gt;&lt;dd&gt;适合从事艺术、文化、教育、研究、宗教、哲学、咨询等需要独立思考和创造力的职业。&lt;/dd&gt;&lt;dd&gt;&lt;/dd&gt;&lt;/dl&gt;</v>
      </c>
    </row>
    <row r="43" spans="2:7" ht="32.25" thickBot="1" x14ac:dyDescent="0.25">
      <c r="B43" s="14" t="s">
        <v>8</v>
      </c>
      <c r="C43" s="14" t="s">
        <v>6135</v>
      </c>
      <c r="D43" s="15"/>
      <c r="E43" s="4"/>
      <c r="G43" t="str">
        <f t="shared" si="0"/>
        <v>&lt;dl&gt;&lt;dt&gt;田宅宫​&lt;/dt&gt;&lt;dd&gt;家宅布置清雅，有艺术或宗教气息，喜静，不喜嘈杂环境。&lt;/dd&gt;&lt;dd&gt;&lt;/dd&gt;&lt;/dl&gt;</v>
      </c>
    </row>
    <row r="44" spans="2:7" ht="32.25" thickBot="1" x14ac:dyDescent="0.25">
      <c r="B44" s="14" t="s">
        <v>2945</v>
      </c>
      <c r="C44" s="15" t="s">
        <v>6136</v>
      </c>
      <c r="D44" s="15"/>
      <c r="E44" s="4"/>
    </row>
    <row r="45" spans="2:7" ht="32.25" thickBot="1" x14ac:dyDescent="0.25">
      <c r="B45" s="14" t="s">
        <v>11</v>
      </c>
      <c r="C45" s="15" t="s">
        <v>6137</v>
      </c>
      <c r="D45" s="15"/>
      <c r="E45" s="4"/>
    </row>
    <row r="46" spans="2:7" x14ac:dyDescent="0.2">
      <c r="E46" s="4"/>
    </row>
    <row r="47" spans="2:7" x14ac:dyDescent="0.2">
      <c r="E47" s="4"/>
    </row>
    <row r="48" spans="2:7" ht="17.25" x14ac:dyDescent="0.2">
      <c r="B48" s="5" t="s">
        <v>4689</v>
      </c>
    </row>
    <row r="49" spans="2:7" ht="16.5" thickBot="1" x14ac:dyDescent="0.25">
      <c r="B49" s="11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G50" t="str">
        <f t="shared" si="0"/>
        <v>&lt;dl&gt;&lt;dt&gt;主星/星曜​&lt;/dt&gt;&lt;dd&gt;组合效应​&lt;/dd&gt;&lt;dd&gt;典型案例/说明​&lt;/dd&gt;&lt;/dl&gt;</v>
      </c>
    </row>
    <row r="51" spans="2:7" ht="32.25" thickBot="1" x14ac:dyDescent="0.25">
      <c r="B51" s="14" t="s">
        <v>6138</v>
      </c>
      <c r="C51" s="14" t="s">
        <v>6139</v>
      </c>
      <c r="D51" s="15" t="s">
        <v>6140</v>
      </c>
      <c r="E51" s="2" t="s">
        <v>7</v>
      </c>
      <c r="G51" t="str">
        <f t="shared" si="0"/>
        <v>&lt;dl&gt;&lt;dt&gt;华盖+文昌/文曲​&lt;/dt&gt;&lt;dd&gt;盖遇昌曲，才华与文星叠加，主才华横溢，在文艺、学术领域有极高造诣。&lt;/dd&gt;&lt;dd&gt;杰出的艺术家、学者、作家。&lt;/dd&gt;&lt;/dl&gt;</v>
      </c>
    </row>
    <row r="52" spans="2:7" ht="32.25" thickBot="1" x14ac:dyDescent="0.25">
      <c r="B52" s="14" t="s">
        <v>6141</v>
      </c>
      <c r="C52" s="14" t="s">
        <v>6142</v>
      </c>
      <c r="D52" s="15" t="s">
        <v>6143</v>
      </c>
      <c r="E52" s="4"/>
      <c r="G52" t="str">
        <f t="shared" si="0"/>
        <v>&lt;dl&gt;&lt;dt&gt;华盖+天魁/天钺​&lt;/dt&gt;&lt;dd&gt;盖遇魁钺，才华与贵人结合，主因才华获得贵人赏识，或在宗教、艺术界遇贵人。&lt;/dd&gt;&lt;dd&gt;艺术家的赞助人；宗教上的引路人。&lt;/dd&gt;&lt;/dl&gt;</v>
      </c>
    </row>
    <row r="53" spans="2:7" ht="32.25" thickBot="1" x14ac:dyDescent="0.25">
      <c r="B53" s="14" t="s">
        <v>6144</v>
      </c>
      <c r="C53" s="14" t="s">
        <v>6145</v>
      </c>
      <c r="D53" s="15" t="s">
        <v>6146</v>
      </c>
      <c r="E53" s="4"/>
    </row>
    <row r="54" spans="2:7" ht="32.25" thickBot="1" x14ac:dyDescent="0.25">
      <c r="B54" s="14" t="s">
        <v>6147</v>
      </c>
      <c r="C54" s="14" t="s">
        <v>6148</v>
      </c>
      <c r="D54" s="15" t="s">
        <v>6149</v>
      </c>
      <c r="E54" s="4"/>
    </row>
    <row r="55" spans="2:7" ht="32.25" thickBot="1" x14ac:dyDescent="0.25">
      <c r="B55" s="14" t="s">
        <v>6150</v>
      </c>
      <c r="C55" s="14" t="s">
        <v>6151</v>
      </c>
      <c r="D55" s="15" t="s">
        <v>6152</v>
      </c>
      <c r="E55" s="4"/>
    </row>
    <row r="56" spans="2:7" ht="32.25" thickBot="1" x14ac:dyDescent="0.25">
      <c r="B56" s="14" t="s">
        <v>6153</v>
      </c>
      <c r="C56" s="14" t="s">
        <v>6154</v>
      </c>
      <c r="D56" s="15" t="s">
        <v>6155</v>
      </c>
      <c r="E56" s="4"/>
    </row>
    <row r="57" spans="2:7" ht="32.25" thickBot="1" x14ac:dyDescent="0.25">
      <c r="B57" s="14" t="s">
        <v>6156</v>
      </c>
      <c r="C57" s="14" t="s">
        <v>6157</v>
      </c>
      <c r="D57" s="15" t="s">
        <v>6158</v>
      </c>
    </row>
    <row r="58" spans="2:7" ht="32.25" thickBot="1" x14ac:dyDescent="0.25">
      <c r="B58" s="14" t="s">
        <v>6159</v>
      </c>
      <c r="C58" s="14" t="s">
        <v>6160</v>
      </c>
      <c r="D58" s="15" t="s">
        <v>6161</v>
      </c>
    </row>
    <row r="59" spans="2:7" ht="32.25" thickBot="1" x14ac:dyDescent="0.25">
      <c r="B59" s="14" t="s">
        <v>6162</v>
      </c>
      <c r="C59" s="14" t="s">
        <v>6163</v>
      </c>
      <c r="D59" s="15" t="s">
        <v>6164</v>
      </c>
    </row>
    <row r="60" spans="2:7" ht="32.25" thickBot="1" x14ac:dyDescent="0.25">
      <c r="B60" s="14" t="s">
        <v>6165</v>
      </c>
      <c r="C60" s="14" t="s">
        <v>6166</v>
      </c>
      <c r="D60" s="15" t="s">
        <v>6167</v>
      </c>
    </row>
    <row r="61" spans="2:7" ht="32.25" thickBot="1" x14ac:dyDescent="0.25">
      <c r="B61" s="14" t="s">
        <v>6168</v>
      </c>
      <c r="C61" s="14" t="s">
        <v>6169</v>
      </c>
      <c r="D61" s="15" t="s">
        <v>6170</v>
      </c>
      <c r="E61" s="2" t="s">
        <v>7</v>
      </c>
    </row>
    <row r="62" spans="2:7" ht="32.25" thickBot="1" x14ac:dyDescent="0.25">
      <c r="B62" s="14" t="s">
        <v>6171</v>
      </c>
      <c r="C62" s="14" t="s">
        <v>6172</v>
      </c>
      <c r="D62" s="15" t="s">
        <v>6173</v>
      </c>
      <c r="E62" s="4"/>
    </row>
    <row r="63" spans="2:7" ht="32.25" thickBot="1" x14ac:dyDescent="0.25">
      <c r="B63" s="14" t="s">
        <v>6174</v>
      </c>
      <c r="C63" s="14" t="s">
        <v>6175</v>
      </c>
      <c r="D63" s="15" t="s">
        <v>6176</v>
      </c>
      <c r="E63" s="4"/>
    </row>
    <row r="64" spans="2:7" ht="32.25" thickBot="1" x14ac:dyDescent="0.25">
      <c r="B64" s="14" t="s">
        <v>6177</v>
      </c>
      <c r="C64" s="14" t="s">
        <v>6178</v>
      </c>
      <c r="D64" s="15" t="s">
        <v>6179</v>
      </c>
      <c r="E64" s="4"/>
    </row>
    <row r="65" spans="2:5" ht="48" thickBot="1" x14ac:dyDescent="0.25">
      <c r="B65" s="14" t="s">
        <v>6180</v>
      </c>
      <c r="C65" s="14" t="s">
        <v>6181</v>
      </c>
      <c r="D65" s="15" t="s">
        <v>6182</v>
      </c>
      <c r="E65" s="4"/>
    </row>
    <row r="66" spans="2:5" ht="32.25" thickBot="1" x14ac:dyDescent="0.25">
      <c r="B66" s="14" t="s">
        <v>6183</v>
      </c>
      <c r="C66" s="14" t="s">
        <v>6184</v>
      </c>
      <c r="D66" s="15" t="s">
        <v>6185</v>
      </c>
      <c r="E66" s="4"/>
    </row>
    <row r="67" spans="2:5" ht="48" thickBot="1" x14ac:dyDescent="0.25">
      <c r="B67" s="14" t="s">
        <v>6186</v>
      </c>
      <c r="C67" s="14" t="s">
        <v>6187</v>
      </c>
      <c r="D67" s="15" t="s">
        <v>6188</v>
      </c>
      <c r="E67" s="4"/>
    </row>
    <row r="68" spans="2:5" x14ac:dyDescent="0.2">
      <c r="E68" s="4"/>
    </row>
    <row r="69" spans="2:5" x14ac:dyDescent="0.2">
      <c r="E69" s="4"/>
    </row>
    <row r="70" spans="2:5" ht="17.25" x14ac:dyDescent="0.2">
      <c r="B70" s="5" t="s">
        <v>4715</v>
      </c>
      <c r="E70" s="4"/>
    </row>
    <row r="71" spans="2:5" x14ac:dyDescent="0.2">
      <c r="B71" s="6"/>
    </row>
    <row r="72" spans="2:5" x14ac:dyDescent="0.2">
      <c r="B72" s="7" t="s">
        <v>6189</v>
      </c>
    </row>
    <row r="73" spans="2:5" x14ac:dyDescent="0.2">
      <c r="B73" s="7" t="s">
        <v>6190</v>
      </c>
    </row>
    <row r="74" spans="2:5" x14ac:dyDescent="0.2">
      <c r="B74" s="7" t="s">
        <v>6191</v>
      </c>
    </row>
    <row r="75" spans="2:5" x14ac:dyDescent="0.2">
      <c r="B75" s="7" t="s">
        <v>6192</v>
      </c>
    </row>
    <row r="76" spans="2:5" x14ac:dyDescent="0.2">
      <c r="B76" s="7" t="s">
        <v>6193</v>
      </c>
    </row>
    <row r="77" spans="2:5" x14ac:dyDescent="0.2">
      <c r="B77" s="7" t="s">
        <v>6194</v>
      </c>
    </row>
    <row r="78" spans="2:5" x14ac:dyDescent="0.2">
      <c r="B78" s="7" t="s">
        <v>6195</v>
      </c>
    </row>
    <row r="79" spans="2:5" x14ac:dyDescent="0.2">
      <c r="B79" s="7" t="s">
        <v>6196</v>
      </c>
    </row>
    <row r="80" spans="2:5" x14ac:dyDescent="0.2">
      <c r="B80" s="6"/>
    </row>
    <row r="81" spans="2:2" x14ac:dyDescent="0.2">
      <c r="B81" s="6" t="s">
        <v>6197</v>
      </c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D9FF5-EF0E-4382-9B26-E0BEA0DF8F99}">
  <sheetPr>
    <tabColor rgb="FFFF0000"/>
  </sheetPr>
  <dimension ref="B1:G82"/>
  <sheetViews>
    <sheetView zoomScaleNormal="100" workbookViewId="0">
      <selection activeCell="B1" sqref="B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114</v>
      </c>
      <c r="G1" t="str">
        <f>"&lt;dl&gt;&lt;dt&gt;" &amp; B1 &amp; "&lt;/dt&gt;&lt;dd&gt;" &amp; C1 &amp; "&lt;/dd&gt;&lt;dd&gt;" &amp; D1 &amp; "&lt;/dd&gt;&lt;/dl&gt;"</f>
        <v>&lt;dl&gt;&lt;dt&gt;一、大耗定义&lt;/dt&gt;&lt;dd&gt;&lt;/dd&gt;&lt;dd&gt;&lt;/dd&gt;&lt;/dl&gt;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115</v>
      </c>
      <c r="D4" s="4"/>
    </row>
    <row r="5" spans="2:7" ht="28.5" x14ac:dyDescent="0.2">
      <c r="B5" s="3" t="s">
        <v>61</v>
      </c>
      <c r="C5" s="4" t="s">
        <v>116</v>
      </c>
      <c r="D5" s="4"/>
    </row>
    <row r="6" spans="2:7" ht="28.5" x14ac:dyDescent="0.2">
      <c r="B6" s="3" t="s">
        <v>99</v>
      </c>
      <c r="C6" s="4" t="s">
        <v>117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x14ac:dyDescent="0.2">
      <c r="B14" s="3" t="s">
        <v>118</v>
      </c>
      <c r="C14" s="4" t="s">
        <v>119</v>
      </c>
      <c r="D14" s="4" t="s">
        <v>120</v>
      </c>
    </row>
    <row r="15" spans="2:7" ht="28.5" x14ac:dyDescent="0.2">
      <c r="B15" s="3" t="s">
        <v>121</v>
      </c>
      <c r="C15" s="4" t="s">
        <v>122</v>
      </c>
      <c r="D15" s="4" t="s">
        <v>123</v>
      </c>
    </row>
    <row r="16" spans="2:7" ht="28.5" x14ac:dyDescent="0.2">
      <c r="B16" s="3" t="s">
        <v>124</v>
      </c>
      <c r="C16" s="4" t="s">
        <v>125</v>
      </c>
      <c r="D16" s="4" t="s">
        <v>126</v>
      </c>
    </row>
    <row r="17" spans="2:7" ht="28.5" x14ac:dyDescent="0.2">
      <c r="B17" s="3" t="s">
        <v>127</v>
      </c>
      <c r="C17" s="4" t="s">
        <v>128</v>
      </c>
      <c r="D17" s="4" t="s">
        <v>129</v>
      </c>
    </row>
    <row r="18" spans="2:7" x14ac:dyDescent="0.2">
      <c r="B18" s="3" t="s">
        <v>130</v>
      </c>
      <c r="C18" s="4" t="s">
        <v>131</v>
      </c>
      <c r="D18" s="4" t="s">
        <v>132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133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&lt;dl&gt;&lt;dt&gt;命宫​&lt;/dt&gt;&lt;dd&gt;一生钱财消耗大，易因大事破财；体质易虚耗，需防元气损伤。&lt;/dd&gt;&lt;dd&gt;&lt;/dd&gt;&lt;/dl&gt;</v>
      </c>
    </row>
    <row r="25" spans="2:7" ht="29.25" thickBot="1" x14ac:dyDescent="0.25">
      <c r="B25" s="3" t="s">
        <v>58</v>
      </c>
      <c r="C25" s="4" t="s">
        <v>134</v>
      </c>
      <c r="D25" s="4"/>
      <c r="E25" s="15"/>
      <c r="G25" t="str">
        <f t="shared" si="0"/>
        <v>&lt;dl&gt;&lt;dt&gt;兄弟宫​&lt;/dt&gt;&lt;dd&gt;兄弟姐妹间有大的财务纠纷或拖累；在团队中易因队友造成大损失。&lt;/dd&gt;&lt;dd&gt;&lt;/dd&gt;&lt;/dl&gt;</v>
      </c>
    </row>
    <row r="26" spans="2:7" ht="29.25" thickBot="1" x14ac:dyDescent="0.25">
      <c r="B26" s="3" t="s">
        <v>50</v>
      </c>
      <c r="C26" s="4" t="s">
        <v>135</v>
      </c>
      <c r="D26" s="4"/>
      <c r="E26" s="15"/>
      <c r="G26" t="str">
        <f t="shared" si="0"/>
        <v>&lt;dl&gt;&lt;dt&gt;夫妻宫​&lt;/dt&gt;&lt;dd&gt;婚姻导致财产重大损失（如离婚析产）；配偶有破大财的倾向。&lt;/dd&gt;&lt;dd&gt;&lt;/dd&gt;&lt;/dl&gt;</v>
      </c>
    </row>
    <row r="27" spans="2:7" ht="29.25" thickBot="1" x14ac:dyDescent="0.25">
      <c r="B27" s="3" t="s">
        <v>53</v>
      </c>
      <c r="C27" s="4" t="s">
        <v>136</v>
      </c>
      <c r="D27" s="4"/>
      <c r="E27" s="15"/>
      <c r="G27" t="str">
        <f t="shared" si="0"/>
        <v>&lt;dl&gt;&lt;dt&gt;子女宫​&lt;/dt&gt;&lt;dd&gt;子女花费巨大（如留学、重病）；因投资、投机造成严重亏损。&lt;/dd&gt;&lt;dd&gt;&lt;/dd&gt;&lt;/dl&gt;</v>
      </c>
    </row>
    <row r="28" spans="2:7" ht="29.25" thickBot="1" x14ac:dyDescent="0.25">
      <c r="B28" s="3" t="s">
        <v>1</v>
      </c>
      <c r="C28" s="3" t="s">
        <v>137</v>
      </c>
      <c r="D28" s="4"/>
      <c r="E28" s="15"/>
      <c r="G28" t="str">
        <f t="shared" si="0"/>
        <v>&lt;dl&gt;&lt;dt&gt;财帛宫​&lt;/dt&gt;&lt;dd&gt;核心宫位。钱财进出数额大但存不住，易有意外的大笔支出或损失。&lt;/dd&gt;&lt;dd&gt;&lt;/dd&gt;&lt;/dl&gt;</v>
      </c>
    </row>
    <row r="29" spans="2:7" ht="29.25" thickBot="1" x14ac:dyDescent="0.25">
      <c r="B29" s="3" t="s">
        <v>2</v>
      </c>
      <c r="C29" s="4" t="s">
        <v>138</v>
      </c>
      <c r="D29" s="4"/>
      <c r="E29" s="15"/>
      <c r="G29" t="str">
        <f t="shared" si="0"/>
        <v>&lt;dl&gt;&lt;dt&gt;疾厄宫​&lt;/dt&gt;&lt;dd&gt;大病、大手术导致身体元气严重耗损；患有消耗性疾病（如糖尿病、结核）。&lt;/dd&gt;&lt;dd&gt;&lt;/dd&gt;&lt;/dl&gt;</v>
      </c>
    </row>
    <row r="30" spans="2:7" ht="28.5" x14ac:dyDescent="0.2">
      <c r="B30" s="3" t="s">
        <v>5</v>
      </c>
      <c r="C30" s="4" t="s">
        <v>139</v>
      </c>
      <c r="D30" s="4"/>
    </row>
    <row r="31" spans="2:7" ht="28.5" x14ac:dyDescent="0.2">
      <c r="B31" s="3" t="s">
        <v>4</v>
      </c>
      <c r="C31" s="4" t="s">
        <v>140</v>
      </c>
      <c r="D31" s="4"/>
    </row>
    <row r="32" spans="2:7" ht="28.5" x14ac:dyDescent="0.2">
      <c r="B32" s="3" t="s">
        <v>57</v>
      </c>
      <c r="C32" s="4" t="s">
        <v>141</v>
      </c>
      <c r="D32" s="4"/>
    </row>
    <row r="33" spans="2:7" ht="29.25" thickBot="1" x14ac:dyDescent="0.25">
      <c r="B33" s="3" t="s">
        <v>0</v>
      </c>
      <c r="C33" s="4" t="s">
        <v>142</v>
      </c>
      <c r="D33" s="4"/>
    </row>
    <row r="34" spans="2:7" ht="29.25" thickBot="1" x14ac:dyDescent="0.25">
      <c r="B34" s="3" t="s">
        <v>41</v>
      </c>
      <c r="C34" s="4" t="s">
        <v>143</v>
      </c>
      <c r="D34" s="4"/>
      <c r="E34" s="12"/>
    </row>
    <row r="35" spans="2:7" ht="29.25" thickBot="1" x14ac:dyDescent="0.25">
      <c r="B35" s="3" t="s">
        <v>3</v>
      </c>
      <c r="C35" s="4" t="s">
        <v>144</v>
      </c>
      <c r="D35" s="4"/>
      <c r="E35" s="15"/>
      <c r="G35" t="str">
        <f t="shared" si="0"/>
        <v>&lt;dl&gt;&lt;dt&gt;父母宫​&lt;/dt&gt;&lt;dd&gt;父母破大财或家业衰败；继承遗产时发现巨大债务或漏洞。&lt;/dd&gt;&lt;dd&gt;&lt;/dd&gt;&lt;/dl&gt;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145</v>
      </c>
      <c r="E40" s="15"/>
      <c r="G40" t="str">
        <f t="shared" si="0"/>
        <v>&lt;dl&gt;&lt;dt&gt;1. 强化消耗性质组合&lt;/dt&gt;&lt;dd&gt;&lt;/dd&gt;&lt;dd&gt;&lt;/dd&gt;&lt;/dl&gt;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146</v>
      </c>
      <c r="C43" s="4" t="s">
        <v>147</v>
      </c>
      <c r="D43" s="4" t="s">
        <v>148</v>
      </c>
      <c r="E43" s="15"/>
      <c r="G43" t="str">
        <f t="shared" si="0"/>
        <v>&lt;dl&gt;&lt;dt&gt;大耗+破军​&lt;/dt&gt;&lt;dd&gt;破坏性、颠覆性的大损失。如破产、推倒重来式的投资失败。&lt;/dd&gt;&lt;dd&gt;创业失败，负债累累。&lt;/dd&gt;&lt;/dl&gt;</v>
      </c>
    </row>
    <row r="44" spans="2:7" ht="28.5" x14ac:dyDescent="0.2">
      <c r="B44" s="3" t="s">
        <v>149</v>
      </c>
      <c r="C44" s="4" t="s">
        <v>150</v>
      </c>
      <c r="D44" s="4" t="s">
        <v>151</v>
      </c>
    </row>
    <row r="45" spans="2:7" x14ac:dyDescent="0.2">
      <c r="B45" s="3" t="s">
        <v>152</v>
      </c>
      <c r="C45" s="4" t="s">
        <v>153</v>
      </c>
      <c r="D45" s="4" t="s">
        <v>154</v>
      </c>
    </row>
    <row r="46" spans="2:7" ht="28.5" x14ac:dyDescent="0.2">
      <c r="B46" s="3" t="s">
        <v>155</v>
      </c>
      <c r="C46" s="4" t="s">
        <v>156</v>
      </c>
      <c r="D46" s="4" t="s">
        <v>157</v>
      </c>
    </row>
    <row r="47" spans="2:7" ht="29.25" thickBot="1" x14ac:dyDescent="0.25">
      <c r="B47" s="3" t="s">
        <v>158</v>
      </c>
      <c r="C47" s="4" t="s">
        <v>159</v>
      </c>
      <c r="D47" s="4" t="s">
        <v>160</v>
      </c>
    </row>
    <row r="48" spans="2:7" ht="16.5" thickBot="1" x14ac:dyDescent="0.25">
      <c r="E48" s="12"/>
    </row>
    <row r="49" spans="2:7" ht="16.5" thickBot="1" x14ac:dyDescent="0.25">
      <c r="B49" s="13" t="s">
        <v>110</v>
      </c>
      <c r="E49" s="15"/>
      <c r="G49" t="str">
        <f t="shared" si="0"/>
        <v>&lt;dl&gt;&lt;dt&gt;2. 转化与缓和组合&lt;/dt&gt;&lt;dd&gt;&lt;/dd&gt;&lt;dd&gt;&lt;/dd&gt;&lt;/dl&gt;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161</v>
      </c>
      <c r="C52" s="4" t="s">
        <v>162</v>
      </c>
      <c r="D52" s="4" t="s">
        <v>163</v>
      </c>
      <c r="E52" s="15"/>
      <c r="G52" t="str">
        <f t="shared" si="0"/>
        <v>&lt;dl&gt;&lt;dt&gt;大耗+紫微​&lt;/dt&gt;&lt;dd&gt;损失发生在重要、大型的项目上，但有能力通过权威和格局承担或挽回部分。&lt;/dd&gt;&lt;dd&gt;大型工程超支，但凭借公司实力渡过难关。&lt;/dd&gt;&lt;/dl&gt;</v>
      </c>
    </row>
    <row r="53" spans="2:7" ht="28.5" x14ac:dyDescent="0.2">
      <c r="B53" s="3" t="s">
        <v>164</v>
      </c>
      <c r="C53" s="4" t="s">
        <v>165</v>
      </c>
      <c r="D53" s="4" t="s">
        <v>166</v>
      </c>
    </row>
    <row r="54" spans="2:7" ht="28.5" x14ac:dyDescent="0.2">
      <c r="B54" s="3" t="s">
        <v>167</v>
      </c>
      <c r="C54" s="4" t="s">
        <v>168</v>
      </c>
      <c r="D54" s="4" t="s">
        <v>169</v>
      </c>
    </row>
    <row r="55" spans="2:7" ht="28.5" x14ac:dyDescent="0.2">
      <c r="B55" s="3" t="s">
        <v>170</v>
      </c>
      <c r="C55" s="4" t="s">
        <v>171</v>
      </c>
      <c r="D55" s="4" t="s">
        <v>172</v>
      </c>
    </row>
    <row r="58" spans="2:7" ht="17.25" x14ac:dyDescent="0.2">
      <c r="B58" s="5" t="s">
        <v>71</v>
      </c>
    </row>
    <row r="60" spans="2:7" x14ac:dyDescent="0.2">
      <c r="B60" s="2" t="s">
        <v>14</v>
      </c>
      <c r="C60" s="2" t="s">
        <v>75</v>
      </c>
      <c r="D60" s="2" t="s">
        <v>7</v>
      </c>
    </row>
    <row r="61" spans="2:7" ht="28.5" x14ac:dyDescent="0.2">
      <c r="B61" s="3" t="s">
        <v>173</v>
      </c>
      <c r="C61" s="4" t="s">
        <v>174</v>
      </c>
      <c r="D61" s="4" t="s">
        <v>175</v>
      </c>
    </row>
    <row r="62" spans="2:7" ht="28.5" x14ac:dyDescent="0.2">
      <c r="B62" s="3" t="s">
        <v>176</v>
      </c>
      <c r="C62" s="4" t="s">
        <v>177</v>
      </c>
      <c r="D62" s="4" t="s">
        <v>178</v>
      </c>
    </row>
    <row r="63" spans="2:7" ht="28.5" x14ac:dyDescent="0.2">
      <c r="B63" s="3" t="s">
        <v>179</v>
      </c>
      <c r="C63" s="4" t="s">
        <v>180</v>
      </c>
      <c r="D63" s="4" t="s">
        <v>181</v>
      </c>
    </row>
    <row r="64" spans="2:7" ht="28.5" x14ac:dyDescent="0.2">
      <c r="B64" s="3" t="s">
        <v>182</v>
      </c>
      <c r="C64" s="4" t="s">
        <v>183</v>
      </c>
      <c r="D64" s="4" t="s">
        <v>184</v>
      </c>
    </row>
    <row r="65" spans="2:4" ht="28.5" x14ac:dyDescent="0.2">
      <c r="B65" s="3" t="s">
        <v>185</v>
      </c>
      <c r="C65" s="4" t="s">
        <v>186</v>
      </c>
      <c r="D65" s="4" t="s">
        <v>187</v>
      </c>
    </row>
    <row r="66" spans="2:4" ht="28.5" x14ac:dyDescent="0.2">
      <c r="B66" s="3" t="s">
        <v>188</v>
      </c>
      <c r="C66" s="4" t="s">
        <v>189</v>
      </c>
      <c r="D66" s="4" t="s">
        <v>190</v>
      </c>
    </row>
    <row r="67" spans="2:4" x14ac:dyDescent="0.2">
      <c r="B67" s="3" t="s">
        <v>191</v>
      </c>
      <c r="C67" s="4" t="s">
        <v>192</v>
      </c>
      <c r="D67" s="4" t="s">
        <v>193</v>
      </c>
    </row>
    <row r="68" spans="2:4" x14ac:dyDescent="0.2">
      <c r="B68" s="3" t="s">
        <v>194</v>
      </c>
      <c r="C68" s="4" t="s">
        <v>195</v>
      </c>
      <c r="D68" s="4" t="s">
        <v>196</v>
      </c>
    </row>
    <row r="69" spans="2:4" x14ac:dyDescent="0.2">
      <c r="B69" s="3" t="s">
        <v>197</v>
      </c>
      <c r="C69" s="4" t="s">
        <v>198</v>
      </c>
      <c r="D69" s="4" t="s">
        <v>199</v>
      </c>
    </row>
    <row r="72" spans="2:4" ht="17.25" x14ac:dyDescent="0.2">
      <c r="B72" s="5" t="s">
        <v>103</v>
      </c>
    </row>
    <row r="73" spans="2:4" x14ac:dyDescent="0.2">
      <c r="B73" s="6"/>
    </row>
    <row r="74" spans="2:4" x14ac:dyDescent="0.2">
      <c r="B74" s="7" t="s">
        <v>200</v>
      </c>
    </row>
    <row r="75" spans="2:4" x14ac:dyDescent="0.2">
      <c r="B75" s="7" t="s">
        <v>201</v>
      </c>
    </row>
    <row r="76" spans="2:4" x14ac:dyDescent="0.2">
      <c r="B76" s="7" t="s">
        <v>202</v>
      </c>
    </row>
    <row r="77" spans="2:4" x14ac:dyDescent="0.2">
      <c r="B77" s="7" t="s">
        <v>203</v>
      </c>
    </row>
    <row r="78" spans="2:4" x14ac:dyDescent="0.2">
      <c r="B78" s="6"/>
    </row>
    <row r="79" spans="2:4" x14ac:dyDescent="0.2">
      <c r="B79" s="6" t="s">
        <v>204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AF79-735A-40B6-A5A9-065D3A55E3D0}">
  <dimension ref="B1:G82"/>
  <sheetViews>
    <sheetView zoomScaleNormal="100" workbookViewId="0">
      <selection activeCell="B1" sqref="B1:D7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6198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蜚蠊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6199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6200</v>
      </c>
      <c r="D7" s="15" t="s">
        <v>6201</v>
      </c>
    </row>
    <row r="8" spans="2:7" ht="78.75" x14ac:dyDescent="0.2">
      <c r="B8" s="24" t="s">
        <v>2914</v>
      </c>
      <c r="C8" s="19" t="s">
        <v>6202</v>
      </c>
      <c r="D8" s="27" t="s">
        <v>6210</v>
      </c>
    </row>
    <row r="9" spans="2:7" ht="78.75" x14ac:dyDescent="0.2">
      <c r="B9" s="25"/>
      <c r="C9" s="20" t="s">
        <v>6203</v>
      </c>
      <c r="D9" s="28"/>
    </row>
    <row r="10" spans="2:7" ht="47.25" x14ac:dyDescent="0.2">
      <c r="B10" s="25"/>
      <c r="C10" s="20" t="s">
        <v>6204</v>
      </c>
      <c r="D10" s="28"/>
    </row>
    <row r="11" spans="2:7" ht="31.5" x14ac:dyDescent="0.2">
      <c r="B11" s="25"/>
      <c r="C11" s="22" t="s">
        <v>6205</v>
      </c>
      <c r="D11" s="28"/>
    </row>
    <row r="12" spans="2:7" ht="31.5" x14ac:dyDescent="0.2">
      <c r="B12" s="25"/>
      <c r="C12" s="22" t="s">
        <v>6206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6207</v>
      </c>
      <c r="D14" s="28"/>
    </row>
    <row r="15" spans="2:7" ht="31.5" x14ac:dyDescent="0.2">
      <c r="B15" s="25"/>
      <c r="C15" s="22" t="s">
        <v>6208</v>
      </c>
      <c r="D15" s="28"/>
    </row>
    <row r="16" spans="2:7" ht="32.25" thickBot="1" x14ac:dyDescent="0.25">
      <c r="B16" s="26"/>
      <c r="C16" s="23" t="s">
        <v>6209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6211</v>
      </c>
      <c r="C22" s="15" t="s">
        <v>6212</v>
      </c>
      <c r="D22" s="15" t="s">
        <v>6213</v>
      </c>
    </row>
    <row r="23" spans="2:7" ht="32.25" thickBot="1" x14ac:dyDescent="0.25">
      <c r="B23" s="14" t="s">
        <v>6214</v>
      </c>
      <c r="C23" s="15" t="s">
        <v>6215</v>
      </c>
      <c r="D23" s="15" t="s">
        <v>6216</v>
      </c>
      <c r="E23" s="12"/>
    </row>
    <row r="24" spans="2:7" ht="48" thickBot="1" x14ac:dyDescent="0.25">
      <c r="B24" s="14" t="s">
        <v>6217</v>
      </c>
      <c r="C24" s="15" t="s">
        <v>6218</v>
      </c>
      <c r="D24" s="15" t="s">
        <v>6219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争吵与小人​&lt;/dt&gt;&lt;dd&gt;性属阴火，主暗中的、持续的口舌是非与小人侵害。是非多起于暗处，传播快，破坏人际关系。&lt;/dd&gt;&lt;dd&gt;与巨门同度，主因口舌引发重大纠纷；在夫妻宫，主夫妻间常有争吵。&lt;/dd&gt;&lt;/dl&gt;</v>
      </c>
    </row>
    <row r="25" spans="2:7" ht="32.25" thickBot="1" x14ac:dyDescent="0.25">
      <c r="B25" s="14" t="s">
        <v>3016</v>
      </c>
      <c r="C25" s="14" t="s">
        <v>6220</v>
      </c>
      <c r="D25" s="15" t="s">
        <v>5854</v>
      </c>
      <c r="E25" s="15"/>
      <c r="G25" t="str">
        <f t="shared" si="0"/>
        <v>&lt;dl&gt;&lt;dt&gt;外貌气质​&lt;/dt&gt;&lt;dd&gt;可能眼神锐利或游移，气质中带有些许急躁或不安分，给人以喜议论、难亲近的印象。&lt;/dd&gt;&lt;dd&gt;单独影响不明显，多需结合煞星或特定主星显现。&lt;/dd&gt;&lt;/dl&gt;</v>
      </c>
    </row>
    <row r="26" spans="2:7" ht="32.25" thickBot="1" x14ac:dyDescent="0.25">
      <c r="B26" s="24" t="s">
        <v>3017</v>
      </c>
      <c r="C26" s="19" t="s">
        <v>6221</v>
      </c>
      <c r="D26" s="27"/>
      <c r="E26" s="15"/>
      <c r="G26" t="str">
        <f t="shared" si="0"/>
        <v>&lt;dl&gt;&lt;dt&gt;性格特质​&lt;/dt&gt;&lt;dd&gt;优点：无显著优点，更多体现为人生中需要面对的口舌是非课题。&lt;/dd&gt;&lt;dd&gt;&lt;/dd&gt;&lt;/dl&gt;</v>
      </c>
    </row>
    <row r="27" spans="2:7" ht="32.25" thickBot="1" x14ac:dyDescent="0.25">
      <c r="B27" s="26"/>
      <c r="C27" s="21" t="s">
        <v>6222</v>
      </c>
      <c r="D27" s="29"/>
      <c r="E27" s="15"/>
      <c r="G27" t="str">
        <f t="shared" si="0"/>
        <v>&lt;dl&gt;&lt;dt&gt;&lt;/dt&gt;&lt;dd&gt;缺点：多言多语，易惹是非，喜传播消息，易与人争吵，人缘不佳，易犯小人。&lt;/dd&gt;&lt;dd&gt;&lt;/dd&gt;&lt;/dl&gt;</v>
      </c>
    </row>
    <row r="28" spans="2:7" ht="32.25" thickBot="1" x14ac:dyDescent="0.25">
      <c r="B28" s="14" t="s">
        <v>3419</v>
      </c>
      <c r="C28" s="15" t="s">
        <v>6223</v>
      </c>
      <c r="D28" s="15" t="s">
        <v>6224</v>
      </c>
      <c r="E28" s="15"/>
      <c r="G28" t="str">
        <f t="shared" si="0"/>
        <v>&lt;dl&gt;&lt;dt&gt;健康方面​&lt;/dt&gt;&lt;dd&gt;属阴火，主上火、炎症，尤其是咽喉炎、口腔溃疡、呼吸系统问题，或因怒气伤肝。&lt;/dd&gt;&lt;dd&gt;在疾厄宫时显现，尤其与火星同度时更验上火发炎。&lt;/dd&gt;&lt;/dl&gt;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48" thickBot="1" x14ac:dyDescent="0.25">
      <c r="B34" s="14" t="s">
        <v>2930</v>
      </c>
      <c r="C34" s="15" t="s">
        <v>6225</v>
      </c>
      <c r="D34" s="15"/>
      <c r="E34" s="12"/>
    </row>
    <row r="35" spans="2:7" ht="32.25" thickBot="1" x14ac:dyDescent="0.25">
      <c r="B35" s="14" t="s">
        <v>2932</v>
      </c>
      <c r="C35" s="15" t="s">
        <v>6226</v>
      </c>
      <c r="D35" s="15"/>
      <c r="E35" s="15"/>
      <c r="G35" t="str">
        <f t="shared" si="0"/>
        <v>&lt;dl&gt;&lt;dt&gt;兄弟宫​&lt;/dt&gt;&lt;dd&gt;与兄弟姐妹易有口角争执，或兄弟姐妹间有是非，彼此关系不睦。&lt;/dd&gt;&lt;dd&gt;&lt;/dd&gt;&lt;/dl&gt;</v>
      </c>
    </row>
    <row r="36" spans="2:7" ht="32.25" thickBot="1" x14ac:dyDescent="0.25">
      <c r="B36" s="14" t="s">
        <v>2934</v>
      </c>
      <c r="C36" s="15" t="s">
        <v>6227</v>
      </c>
      <c r="D36" s="15"/>
      <c r="E36" s="15"/>
      <c r="G36" t="str">
        <f t="shared" si="0"/>
        <v>&lt;dl&gt;&lt;dt&gt;夫妻宫​&lt;/dt&gt;&lt;dd&gt;夫妻间易因琐事争吵，沟通不良，或配偶多言惹事，需注意言语和谐。&lt;/dd&gt;&lt;dd&gt;&lt;/dd&gt;&lt;/dl&gt;</v>
      </c>
    </row>
    <row r="37" spans="2:7" ht="32.25" thickBot="1" x14ac:dyDescent="0.25">
      <c r="B37" s="14" t="s">
        <v>2936</v>
      </c>
      <c r="C37" s="15" t="s">
        <v>6228</v>
      </c>
      <c r="D37" s="15"/>
      <c r="E37" s="15"/>
      <c r="G37" t="str">
        <f t="shared" si="0"/>
        <v>&lt;dl&gt;&lt;dt&gt;子女宫​&lt;/dt&gt;&lt;dd&gt;子女调皮，易与人发生口角，或子女让你操心口舌之事。&lt;/dd&gt;&lt;dd&gt;&lt;/dd&gt;&lt;/dl&gt;</v>
      </c>
    </row>
    <row r="38" spans="2:7" ht="32.25" thickBot="1" x14ac:dyDescent="0.25">
      <c r="B38" s="14" t="s">
        <v>9</v>
      </c>
      <c r="C38" s="15" t="s">
        <v>6229</v>
      </c>
      <c r="D38" s="15"/>
      <c r="E38" s="15"/>
      <c r="G38" t="str">
        <f t="shared" si="0"/>
        <v>&lt;dl&gt;&lt;dt&gt;财帛宫​&lt;/dt&gt;&lt;dd&gt;钱财易因是非、官司而破耗，或因合作纠纷损财。&lt;/dd&gt;&lt;dd&gt;&lt;/dd&gt;&lt;/dl&gt;</v>
      </c>
    </row>
    <row r="39" spans="2:7" ht="32.25" thickBot="1" x14ac:dyDescent="0.25">
      <c r="B39" s="14" t="s">
        <v>10</v>
      </c>
      <c r="C39" s="14" t="s">
        <v>6230</v>
      </c>
      <c r="D39" s="15"/>
      <c r="E39" s="15"/>
      <c r="G39" t="str">
        <f t="shared" si="0"/>
        <v>&lt;dl&gt;&lt;dt&gt;疾厄宫​&lt;/dt&gt;&lt;dd&gt;易患咽喉炎、口腔疾病、呼吸系统炎症，或因生气导致肝火旺盛。&lt;/dd&gt;&lt;dd&gt;&lt;/dd&gt;&lt;/dl&gt;</v>
      </c>
    </row>
    <row r="40" spans="2:7" ht="32.25" thickBot="1" x14ac:dyDescent="0.25">
      <c r="B40" s="14" t="s">
        <v>13</v>
      </c>
      <c r="C40" s="15" t="s">
        <v>6231</v>
      </c>
      <c r="D40" s="15"/>
      <c r="E40" s="15"/>
      <c r="G40" t="str">
        <f t="shared" si="0"/>
        <v>&lt;dl&gt;&lt;dt&gt;迁移宫​&lt;/dt&gt;&lt;dd&gt;在外易与人发生口角冲突，需谨言慎行，防旅途是非。&lt;/dd&gt;&lt;dd&gt;&lt;/dd&gt;&lt;/dl&gt;</v>
      </c>
    </row>
    <row r="41" spans="2:7" ht="32.25" thickBot="1" x14ac:dyDescent="0.25">
      <c r="B41" s="14" t="s">
        <v>3018</v>
      </c>
      <c r="C41" s="14" t="s">
        <v>6232</v>
      </c>
      <c r="D41" s="15"/>
      <c r="E41" s="15"/>
      <c r="G41" t="str">
        <f t="shared" si="0"/>
        <v>&lt;dl&gt;&lt;dt&gt;交友宫（奴仆宫）​&lt;/dt&gt;&lt;dd&gt;易交到多言多语、搬弄是非的朋友，或下属、同事中多小人，需防背后中伤。&lt;/dd&gt;&lt;dd&gt;&lt;/dd&gt;&lt;/dl&gt;</v>
      </c>
    </row>
    <row r="42" spans="2:7" ht="32.25" thickBot="1" x14ac:dyDescent="0.25">
      <c r="B42" s="14" t="s">
        <v>3019</v>
      </c>
      <c r="C42" s="15" t="s">
        <v>6233</v>
      </c>
      <c r="D42" s="15"/>
      <c r="E42" s="15"/>
      <c r="G42" t="str">
        <f t="shared" si="0"/>
        <v>&lt;dl&gt;&lt;dt&gt;官禄宫（事业宫）​&lt;/dt&gt;&lt;dd&gt;事业上易有口舌是非，与同事、客户关系紧张，或事业因谣言受损。&lt;/dd&gt;&lt;dd&gt;&lt;/dd&gt;&lt;/dl&gt;</v>
      </c>
    </row>
    <row r="43" spans="2:7" ht="16.5" thickBot="1" x14ac:dyDescent="0.25">
      <c r="B43" s="14" t="s">
        <v>8</v>
      </c>
      <c r="C43" s="14" t="s">
        <v>6234</v>
      </c>
      <c r="D43" s="15"/>
      <c r="E43" s="15"/>
      <c r="G43" t="str">
        <f t="shared" si="0"/>
        <v>&lt;dl&gt;&lt;dt&gt;田宅宫​&lt;/dt&gt;&lt;dd&gt;家宅不宁，家人间易有口角，或邻居是非多。&lt;/dd&gt;&lt;dd&gt;&lt;/dd&gt;&lt;/dl&gt;</v>
      </c>
    </row>
    <row r="44" spans="2:7" ht="32.25" thickBot="1" x14ac:dyDescent="0.25">
      <c r="B44" s="14" t="s">
        <v>2945</v>
      </c>
      <c r="C44" s="15" t="s">
        <v>6235</v>
      </c>
      <c r="D44" s="15"/>
    </row>
    <row r="45" spans="2:7" ht="32.25" thickBot="1" x14ac:dyDescent="0.25">
      <c r="B45" s="14" t="s">
        <v>11</v>
      </c>
      <c r="C45" s="15" t="s">
        <v>6236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15"/>
      <c r="G50" t="str">
        <f t="shared" si="0"/>
        <v>&lt;dl&gt;&lt;dt&gt;主星/星曜​&lt;/dt&gt;&lt;dd&gt;组合效应​&lt;/dd&gt;&lt;dd&gt;典型案例/说明​&lt;/dd&gt;&lt;/dl&gt;</v>
      </c>
    </row>
    <row r="51" spans="2:7" ht="32.25" thickBot="1" x14ac:dyDescent="0.25">
      <c r="B51" s="14" t="s">
        <v>6237</v>
      </c>
      <c r="C51" s="14" t="s">
        <v>6238</v>
      </c>
      <c r="D51" s="15" t="s">
        <v>6239</v>
      </c>
      <c r="E51" s="15"/>
      <c r="G51" t="str">
        <f t="shared" si="0"/>
        <v>&lt;dl&gt;&lt;dt&gt;蜚蠊+巨门​&lt;/dt&gt;&lt;dd&gt;口舌叠加，是非与暗星结合，主重大口舌是非、官司诉讼、公开的诽谤，杀伤力极强。&lt;/dd&gt;&lt;dd&gt;因言论引发官司；遭受严重的公开诽谤。&lt;/dd&gt;&lt;/dl&gt;</v>
      </c>
    </row>
    <row r="52" spans="2:7" ht="32.25" thickBot="1" x14ac:dyDescent="0.25">
      <c r="B52" s="14" t="s">
        <v>6240</v>
      </c>
      <c r="C52" s="14" t="s">
        <v>6241</v>
      </c>
      <c r="D52" s="15" t="s">
        <v>6242</v>
      </c>
      <c r="E52" s="15"/>
      <c r="G52" t="str">
        <f t="shared" si="0"/>
        <v>&lt;dl&gt;&lt;dt&gt;蜚蠊+太阳​&lt;/dt&gt;&lt;dd&gt;口舌公开，是非与光明结合，主是非公开化，易因公开言论惹祸，或名誉受损。&lt;/dd&gt;&lt;dd&gt;公开场合发言失当引发争议；名誉受公开攻击。&lt;/dd&gt;&lt;/dl&gt;</v>
      </c>
    </row>
    <row r="53" spans="2:7" ht="32.25" thickBot="1" x14ac:dyDescent="0.25">
      <c r="B53" s="14" t="s">
        <v>6243</v>
      </c>
      <c r="C53" s="14" t="s">
        <v>6244</v>
      </c>
      <c r="D53" s="15" t="s">
        <v>6245</v>
      </c>
    </row>
    <row r="54" spans="2:7" ht="32.25" thickBot="1" x14ac:dyDescent="0.25">
      <c r="B54" s="14" t="s">
        <v>6246</v>
      </c>
      <c r="C54" s="14" t="s">
        <v>6247</v>
      </c>
      <c r="D54" s="15" t="s">
        <v>6248</v>
      </c>
    </row>
    <row r="55" spans="2:7" ht="32.25" thickBot="1" x14ac:dyDescent="0.25">
      <c r="B55" s="14" t="s">
        <v>6249</v>
      </c>
      <c r="C55" s="14" t="s">
        <v>6250</v>
      </c>
      <c r="D55" s="15" t="s">
        <v>6251</v>
      </c>
    </row>
    <row r="56" spans="2:7" ht="32.25" thickBot="1" x14ac:dyDescent="0.25">
      <c r="B56" s="14" t="s">
        <v>6252</v>
      </c>
      <c r="C56" s="14" t="s">
        <v>6253</v>
      </c>
      <c r="D56" s="15" t="s">
        <v>6254</v>
      </c>
    </row>
    <row r="57" spans="2:7" ht="32.25" thickBot="1" x14ac:dyDescent="0.25">
      <c r="B57" s="14" t="s">
        <v>6255</v>
      </c>
      <c r="C57" s="14" t="s">
        <v>6256</v>
      </c>
      <c r="D57" s="15" t="s">
        <v>6257</v>
      </c>
    </row>
    <row r="58" spans="2:7" ht="32.25" thickBot="1" x14ac:dyDescent="0.25">
      <c r="B58" s="14" t="s">
        <v>6258</v>
      </c>
      <c r="C58" s="14" t="s">
        <v>6259</v>
      </c>
      <c r="D58" s="15" t="s">
        <v>6260</v>
      </c>
    </row>
    <row r="59" spans="2:7" ht="32.25" thickBot="1" x14ac:dyDescent="0.25">
      <c r="B59" s="14" t="s">
        <v>6261</v>
      </c>
      <c r="C59" s="14" t="s">
        <v>6262</v>
      </c>
      <c r="D59" s="15" t="s">
        <v>6263</v>
      </c>
    </row>
    <row r="60" spans="2:7" ht="32.25" thickBot="1" x14ac:dyDescent="0.25">
      <c r="B60" s="14" t="s">
        <v>6264</v>
      </c>
      <c r="C60" s="14" t="s">
        <v>6265</v>
      </c>
      <c r="D60" s="15" t="s">
        <v>6266</v>
      </c>
    </row>
    <row r="61" spans="2:7" ht="32.25" thickBot="1" x14ac:dyDescent="0.25">
      <c r="B61" s="14" t="s">
        <v>6267</v>
      </c>
      <c r="C61" s="14" t="s">
        <v>6268</v>
      </c>
      <c r="D61" s="15" t="s">
        <v>6269</v>
      </c>
    </row>
    <row r="62" spans="2:7" ht="32.25" thickBot="1" x14ac:dyDescent="0.25">
      <c r="B62" s="14" t="s">
        <v>6270</v>
      </c>
      <c r="C62" s="14" t="s">
        <v>6271</v>
      </c>
      <c r="D62" s="15" t="s">
        <v>6272</v>
      </c>
    </row>
    <row r="63" spans="2:7" ht="32.25" thickBot="1" x14ac:dyDescent="0.25">
      <c r="B63" s="14" t="s">
        <v>6273</v>
      </c>
      <c r="C63" s="14" t="s">
        <v>6274</v>
      </c>
      <c r="D63" s="15" t="s">
        <v>6275</v>
      </c>
    </row>
    <row r="64" spans="2:7" ht="32.25" thickBot="1" x14ac:dyDescent="0.25">
      <c r="B64" s="14" t="s">
        <v>6276</v>
      </c>
      <c r="C64" s="14" t="s">
        <v>6277</v>
      </c>
      <c r="D64" s="15" t="s">
        <v>6278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6279</v>
      </c>
    </row>
    <row r="70" spans="2:2" x14ac:dyDescent="0.2">
      <c r="B70" s="7" t="s">
        <v>6280</v>
      </c>
    </row>
    <row r="71" spans="2:2" x14ac:dyDescent="0.2">
      <c r="B71" s="7" t="s">
        <v>6281</v>
      </c>
    </row>
    <row r="72" spans="2:2" x14ac:dyDescent="0.2">
      <c r="B72" s="7" t="s">
        <v>6282</v>
      </c>
    </row>
    <row r="73" spans="2:2" x14ac:dyDescent="0.2">
      <c r="B73" s="7" t="s">
        <v>6283</v>
      </c>
    </row>
    <row r="74" spans="2:2" x14ac:dyDescent="0.2">
      <c r="B74" s="7" t="s">
        <v>6284</v>
      </c>
    </row>
    <row r="75" spans="2:2" x14ac:dyDescent="0.2">
      <c r="B75" s="7" t="s">
        <v>6285</v>
      </c>
    </row>
    <row r="76" spans="2:2" x14ac:dyDescent="0.2">
      <c r="B76" s="6"/>
    </row>
    <row r="77" spans="2:2" x14ac:dyDescent="0.2">
      <c r="B77" s="6" t="s">
        <v>6286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624D0-95FF-435C-8013-5164C9C5C4C1}">
  <dimension ref="B1:G82"/>
  <sheetViews>
    <sheetView zoomScaleNormal="100" workbookViewId="0">
      <selection activeCell="B1" sqref="B1:D80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6287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哭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205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6288</v>
      </c>
      <c r="D7" s="15" t="s">
        <v>6289</v>
      </c>
    </row>
    <row r="8" spans="2:7" ht="78.75" x14ac:dyDescent="0.2">
      <c r="B8" s="24" t="s">
        <v>2914</v>
      </c>
      <c r="C8" s="19" t="s">
        <v>6290</v>
      </c>
      <c r="D8" s="27" t="s">
        <v>6298</v>
      </c>
    </row>
    <row r="9" spans="2:7" ht="78.75" x14ac:dyDescent="0.2">
      <c r="B9" s="25"/>
      <c r="C9" s="20" t="s">
        <v>6291</v>
      </c>
      <c r="D9" s="28"/>
    </row>
    <row r="10" spans="2:7" ht="47.25" x14ac:dyDescent="0.2">
      <c r="B10" s="25"/>
      <c r="C10" s="20" t="s">
        <v>6292</v>
      </c>
      <c r="D10" s="28"/>
    </row>
    <row r="11" spans="2:7" ht="31.5" x14ac:dyDescent="0.2">
      <c r="B11" s="25"/>
      <c r="C11" s="22" t="s">
        <v>6293</v>
      </c>
      <c r="D11" s="28"/>
    </row>
    <row r="12" spans="2:7" ht="31.5" x14ac:dyDescent="0.2">
      <c r="B12" s="25"/>
      <c r="C12" s="22" t="s">
        <v>6294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6295</v>
      </c>
      <c r="D14" s="28"/>
    </row>
    <row r="15" spans="2:7" ht="31.5" x14ac:dyDescent="0.2">
      <c r="B15" s="25"/>
      <c r="C15" s="22" t="s">
        <v>6296</v>
      </c>
      <c r="D15" s="28"/>
    </row>
    <row r="16" spans="2:7" ht="32.25" thickBot="1" x14ac:dyDescent="0.25">
      <c r="B16" s="26"/>
      <c r="C16" s="23" t="s">
        <v>6297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63.75" thickBot="1" x14ac:dyDescent="0.25">
      <c r="B22" s="14" t="s">
        <v>6299</v>
      </c>
      <c r="C22" s="15" t="s">
        <v>6300</v>
      </c>
      <c r="D22" s="15" t="s">
        <v>6301</v>
      </c>
    </row>
    <row r="23" spans="2:7" ht="48" thickBot="1" x14ac:dyDescent="0.25">
      <c r="B23" s="14" t="s">
        <v>6302</v>
      </c>
      <c r="C23" s="15" t="s">
        <v>6303</v>
      </c>
      <c r="D23" s="15" t="s">
        <v>6304</v>
      </c>
      <c r="E23" s="12"/>
    </row>
    <row r="24" spans="2:7" ht="48" thickBot="1" x14ac:dyDescent="0.25">
      <c r="B24" s="14" t="s">
        <v>6305</v>
      </c>
      <c r="C24" s="15" t="s">
        <v>6306</v>
      </c>
      <c r="D24" s="15" t="s">
        <v>6307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刑克与是非​&lt;/dt&gt;&lt;dd&gt;性属丙火，主情感上的刑克与是非。火性炎上，悲伤情绪易外露，引发口舌是非。亦主哭丧、白事。&lt;/dd&gt;&lt;dd&gt;在夫妻宫、子女宫时，主刑伤、离别；在迁移宫，主外出多招口舌是非。&lt;/dd&gt;&lt;/dl&gt;</v>
      </c>
    </row>
    <row r="25" spans="2:7" ht="32.25" thickBot="1" x14ac:dyDescent="0.25">
      <c r="B25" s="14" t="s">
        <v>3016</v>
      </c>
      <c r="C25" s="14" t="s">
        <v>6308</v>
      </c>
      <c r="D25" s="15" t="s">
        <v>6309</v>
      </c>
      <c r="E25" s="15"/>
      <c r="G25" t="str">
        <f t="shared" si="0"/>
        <v>&lt;dl&gt;&lt;dt&gt;外貌气质​&lt;/dt&gt;&lt;dd&gt;可能面带愁容，或眼带泪光，气质忧郁，给人以悲伤、孤僻的印象。&lt;/dd&gt;&lt;dd&gt;单独影响不明显，多需结合主星综合判断。&lt;/dd&gt;&lt;/dl&gt;</v>
      </c>
    </row>
    <row r="26" spans="2:7" ht="32.25" thickBot="1" x14ac:dyDescent="0.25">
      <c r="B26" s="24" t="s">
        <v>3017</v>
      </c>
      <c r="C26" s="19" t="s">
        <v>6310</v>
      </c>
      <c r="D26" s="27"/>
      <c r="E26" s="15"/>
      <c r="G26" t="str">
        <f t="shared" si="0"/>
        <v>&lt;dl&gt;&lt;dt&gt;性格特质​&lt;/dt&gt;&lt;dd&gt;优点：情感丰富，有同情心，在某些艺术表达（如悲剧）上有天赋（主星吉时）。&lt;/dd&gt;&lt;dd&gt;&lt;/dd&gt;&lt;/dl&gt;</v>
      </c>
    </row>
    <row r="27" spans="2:7" ht="32.25" thickBot="1" x14ac:dyDescent="0.25">
      <c r="B27" s="26"/>
      <c r="C27" s="21" t="s">
        <v>6311</v>
      </c>
      <c r="D27" s="29"/>
      <c r="E27" s="15"/>
      <c r="G27" t="str">
        <f t="shared" si="0"/>
        <v>&lt;dl&gt;&lt;dt&gt;&lt;/dt&gt;&lt;dd&gt;缺点：性格孤僻，多愁善感，易哭，内心痛苦，不合群，六亲缘薄，感情易冲动。&lt;/dd&gt;&lt;dd&gt;&lt;/dd&gt;&lt;/dl&gt;</v>
      </c>
    </row>
    <row r="28" spans="2:7" ht="48" thickBot="1" x14ac:dyDescent="0.25">
      <c r="B28" s="14" t="s">
        <v>3419</v>
      </c>
      <c r="C28" s="15" t="s">
        <v>6312</v>
      </c>
      <c r="D28" s="15" t="s">
        <v>6313</v>
      </c>
      <c r="E28" s="15"/>
      <c r="G28" t="str">
        <f t="shared" si="0"/>
        <v>&lt;dl&gt;&lt;dt&gt;健康方面​&lt;/dt&gt;&lt;dd&gt;属丙火，主肺、肝、脾易患疾病，如肺部疾病、肝火旺、脾虚，或经血不足（女命）。亦主因忧伤过度影响健康。&lt;/dd&gt;&lt;dd&gt;在疾厄宫时显现，尤其与煞星同度时更验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79.5" thickBot="1" x14ac:dyDescent="0.25">
      <c r="B34" s="14" t="s">
        <v>2930</v>
      </c>
      <c r="C34" s="15" t="s">
        <v>6314</v>
      </c>
      <c r="D34" s="15"/>
      <c r="E34" s="12"/>
    </row>
    <row r="35" spans="2:7" ht="16.5" thickBot="1" x14ac:dyDescent="0.25">
      <c r="B35" s="14" t="s">
        <v>2932</v>
      </c>
      <c r="C35" s="15" t="s">
        <v>6315</v>
      </c>
      <c r="D35" s="15"/>
      <c r="E35" s="15"/>
      <c r="G35" t="str">
        <f t="shared" si="0"/>
        <v>&lt;dl&gt;&lt;dt&gt;兄弟宫​&lt;/dt&gt;&lt;dd&gt;与兄弟姐妹感情淡薄，易争吵，缘分较薄。&lt;/dd&gt;&lt;dd&gt;&lt;/dd&gt;&lt;/dl&gt;</v>
      </c>
    </row>
    <row r="36" spans="2:7" ht="32.25" thickBot="1" x14ac:dyDescent="0.25">
      <c r="B36" s="14" t="s">
        <v>2934</v>
      </c>
      <c r="C36" s="15" t="s">
        <v>6316</v>
      </c>
      <c r="D36" s="15"/>
      <c r="E36" s="15"/>
      <c r="G36" t="str">
        <f t="shared" si="0"/>
        <v>&lt;dl&gt;&lt;dt&gt;夫妻宫​&lt;/dt&gt;&lt;dd&gt;夫妻关系主刑伤，易起争执或争吵，难沟通，聚少离多。&lt;/dd&gt;&lt;dd&gt;&lt;/dd&gt;&lt;/dl&gt;</v>
      </c>
    </row>
    <row r="37" spans="2:7" ht="32.25" thickBot="1" x14ac:dyDescent="0.25">
      <c r="B37" s="14" t="s">
        <v>2936</v>
      </c>
      <c r="C37" s="15" t="s">
        <v>6317</v>
      </c>
      <c r="D37" s="15"/>
      <c r="E37" s="15"/>
      <c r="G37" t="str">
        <f t="shared" si="0"/>
        <v>&lt;dl&gt;&lt;dt&gt;子女宫​&lt;/dt&gt;&lt;dd&gt;子女缘分较薄，难沟通，或子女长大后远离自己。女命主易有堕胎、流产等事。&lt;/dd&gt;&lt;dd&gt;&lt;/dd&gt;&lt;/dl&gt;</v>
      </c>
    </row>
    <row r="38" spans="2:7" ht="32.25" thickBot="1" x14ac:dyDescent="0.25">
      <c r="B38" s="14" t="s">
        <v>9</v>
      </c>
      <c r="C38" s="15" t="s">
        <v>6318</v>
      </c>
      <c r="D38" s="15"/>
      <c r="E38" s="15"/>
      <c r="G38" t="str">
        <f t="shared" si="0"/>
        <v>&lt;dl&gt;&lt;dt&gt;财帛宫​&lt;/dt&gt;&lt;dd&gt;钱财易破耗，左手进右手出，如过路财神，不容易存住钱。大小限逢之，多虚名虚利。&lt;/dd&gt;&lt;dd&gt;&lt;/dd&gt;&lt;/dl&gt;</v>
      </c>
    </row>
    <row r="39" spans="2:7" ht="32.25" thickBot="1" x14ac:dyDescent="0.25">
      <c r="B39" s="14" t="s">
        <v>10</v>
      </c>
      <c r="C39" s="14" t="s">
        <v>6319</v>
      </c>
      <c r="D39" s="15"/>
      <c r="E39" s="15"/>
      <c r="G39" t="str">
        <f t="shared" si="0"/>
        <v>&lt;dl&gt;&lt;dt&gt;疾厄宫​&lt;/dt&gt;&lt;dd&gt;脾脏、肝脏、肺部易患疾病，或有经血不足等疾病。&lt;/dd&gt;&lt;dd&gt;&lt;/dd&gt;&lt;/dl&gt;</v>
      </c>
    </row>
    <row r="40" spans="2:7" ht="32.25" thickBot="1" x14ac:dyDescent="0.25">
      <c r="B40" s="14" t="s">
        <v>13</v>
      </c>
      <c r="C40" s="15" t="s">
        <v>6320</v>
      </c>
      <c r="D40" s="15"/>
      <c r="E40" s="15"/>
      <c r="G40" t="str">
        <f t="shared" si="0"/>
        <v>&lt;dl&gt;&lt;dt&gt;迁移宫​&lt;/dt&gt;&lt;dd&gt;外出主出外离祖，多招口舌是非。限行遇之，主有伤心哀泣之事临头。&lt;/dd&gt;&lt;dd&gt;&lt;/dd&gt;&lt;/dl&gt;</v>
      </c>
    </row>
    <row r="41" spans="2:7" ht="32.25" thickBot="1" x14ac:dyDescent="0.25">
      <c r="B41" s="14" t="s">
        <v>3018</v>
      </c>
      <c r="C41" s="14" t="s">
        <v>6321</v>
      </c>
      <c r="D41" s="15"/>
      <c r="E41" s="15"/>
      <c r="G41" t="str">
        <f t="shared" si="0"/>
        <v>&lt;dl&gt;&lt;dt&gt;交友宫（奴仆宫）​&lt;/dt&gt;&lt;dd&gt;易与朋友、同事或属下不和，或者被别人欺侮。&lt;/dd&gt;&lt;dd&gt;&lt;/dd&gt;&lt;/dl&gt;</v>
      </c>
    </row>
    <row r="42" spans="2:7" ht="32.25" thickBot="1" x14ac:dyDescent="0.25">
      <c r="B42" s="14" t="s">
        <v>3019</v>
      </c>
      <c r="C42" s="15" t="s">
        <v>6322</v>
      </c>
      <c r="D42" s="15"/>
      <c r="E42" s="15"/>
      <c r="G42" t="str">
        <f t="shared" si="0"/>
        <v>&lt;dl&gt;&lt;dt&gt;官禄宫（事业宫）​&lt;/dt&gt;&lt;dd&gt;事业上主虚名，做事易患得患失、爱幻想、不切实际。&lt;/dd&gt;&lt;dd&gt;&lt;/dd&gt;&lt;/dl&gt;</v>
      </c>
    </row>
    <row r="43" spans="2:7" ht="32.25" thickBot="1" x14ac:dyDescent="0.25">
      <c r="B43" s="14" t="s">
        <v>8</v>
      </c>
      <c r="C43" s="14" t="s">
        <v>6323</v>
      </c>
      <c r="D43" s="15"/>
      <c r="E43" s="15"/>
      <c r="G43" t="str">
        <f t="shared" si="0"/>
        <v>&lt;dl&gt;&lt;dt&gt;田宅宫​&lt;/dt&gt;&lt;dd&gt;很难有自己的房子，通常会租住别人的房子。如宫中有吉星坐守，主中年以后置产。&lt;/dd&gt;&lt;dd&gt;&lt;/dd&gt;&lt;/dl&gt;</v>
      </c>
    </row>
    <row r="44" spans="2:7" ht="16.5" thickBot="1" x14ac:dyDescent="0.25">
      <c r="B44" s="14" t="s">
        <v>2945</v>
      </c>
      <c r="C44" s="15" t="s">
        <v>6324</v>
      </c>
      <c r="D44" s="15"/>
    </row>
    <row r="45" spans="2:7" ht="32.25" thickBot="1" x14ac:dyDescent="0.25">
      <c r="B45" s="14" t="s">
        <v>11</v>
      </c>
      <c r="C45" s="15" t="s">
        <v>6325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15"/>
      <c r="G50" t="str">
        <f t="shared" si="0"/>
        <v>&lt;dl&gt;&lt;dt&gt;主星/星曜​&lt;/dt&gt;&lt;dd&gt;组合效应​&lt;/dd&gt;&lt;dd&gt;典型案例/说明​&lt;/dd&gt;&lt;/dl&gt;</v>
      </c>
    </row>
    <row r="51" spans="2:7" ht="48" thickBot="1" x14ac:dyDescent="0.25">
      <c r="B51" s="14" t="s">
        <v>6326</v>
      </c>
      <c r="C51" s="14" t="s">
        <v>6327</v>
      </c>
      <c r="D51" s="15" t="s">
        <v>6328</v>
      </c>
      <c r="E51" s="15"/>
      <c r="G51" t="str">
        <f t="shared" si="0"/>
        <v>&lt;dl&gt;&lt;dt&gt;天哭+巨门​&lt;/dt&gt;&lt;dd&gt;哭遇暗星，悲伤与是非结合，主重大悲伤事，哭丧，或因口舌是非引发巨大悲伤。此为典型的“哭丧队”组合，凶性显著。&lt;/dd&gt;&lt;dd&gt;亲人离世；因诽谤谣言导致极度悲伤。&lt;/dd&gt;&lt;/dl&gt;</v>
      </c>
    </row>
    <row r="52" spans="2:7" ht="48" thickBot="1" x14ac:dyDescent="0.25">
      <c r="B52" s="14" t="s">
        <v>6329</v>
      </c>
      <c r="C52" s="14" t="s">
        <v>6330</v>
      </c>
      <c r="D52" s="15" t="s">
        <v>6331</v>
      </c>
      <c r="E52" s="15"/>
      <c r="G52" t="str">
        <f t="shared" si="0"/>
        <v>&lt;dl&gt;&lt;dt&gt;天哭+太阳​&lt;/dt&gt;&lt;dd&gt;哭遇日星，悲伤与公开结合，主公开的悲伤、哭泣，或名誉受损引发的伤心（太阳庙旺则公开，落陷则隐藏）。&lt;/dd&gt;&lt;dd&gt;公开场合失态痛哭；因公开事件名誉受损而伤心。&lt;/dd&gt;&lt;/dl&gt;</v>
      </c>
    </row>
    <row r="53" spans="2:7" ht="48" thickBot="1" x14ac:dyDescent="0.25">
      <c r="B53" s="14" t="s">
        <v>6332</v>
      </c>
      <c r="C53" s="14" t="s">
        <v>6333</v>
      </c>
      <c r="D53" s="15" t="s">
        <v>6334</v>
      </c>
    </row>
    <row r="54" spans="2:7" ht="32.25" thickBot="1" x14ac:dyDescent="0.25">
      <c r="B54" s="14" t="s">
        <v>6335</v>
      </c>
      <c r="C54" s="14" t="s">
        <v>6336</v>
      </c>
      <c r="D54" s="15" t="s">
        <v>6337</v>
      </c>
    </row>
    <row r="55" spans="2:7" ht="32.25" thickBot="1" x14ac:dyDescent="0.25">
      <c r="B55" s="14" t="s">
        <v>6338</v>
      </c>
      <c r="C55" s="14" t="s">
        <v>6339</v>
      </c>
      <c r="D55" s="15" t="s">
        <v>6340</v>
      </c>
    </row>
    <row r="56" spans="2:7" ht="32.25" thickBot="1" x14ac:dyDescent="0.25">
      <c r="B56" s="14" t="s">
        <v>6341</v>
      </c>
      <c r="C56" s="14" t="s">
        <v>6342</v>
      </c>
      <c r="D56" s="15" t="s">
        <v>6343</v>
      </c>
    </row>
    <row r="57" spans="2:7" ht="32.25" thickBot="1" x14ac:dyDescent="0.25">
      <c r="B57" s="14" t="s">
        <v>6344</v>
      </c>
      <c r="C57" s="14" t="s">
        <v>6345</v>
      </c>
      <c r="D57" s="15" t="s">
        <v>6346</v>
      </c>
    </row>
    <row r="58" spans="2:7" ht="32.25" thickBot="1" x14ac:dyDescent="0.25">
      <c r="B58" s="14" t="s">
        <v>6347</v>
      </c>
      <c r="C58" s="14" t="s">
        <v>6348</v>
      </c>
      <c r="D58" s="15" t="s">
        <v>6349</v>
      </c>
    </row>
    <row r="59" spans="2:7" ht="32.25" thickBot="1" x14ac:dyDescent="0.25">
      <c r="B59" s="14" t="s">
        <v>6350</v>
      </c>
      <c r="C59" s="14" t="s">
        <v>6351</v>
      </c>
      <c r="D59" s="15" t="s">
        <v>6352</v>
      </c>
    </row>
    <row r="60" spans="2:7" ht="32.25" thickBot="1" x14ac:dyDescent="0.25">
      <c r="B60" s="14" t="s">
        <v>6353</v>
      </c>
      <c r="C60" s="14" t="s">
        <v>6354</v>
      </c>
      <c r="D60" s="15" t="s">
        <v>6355</v>
      </c>
    </row>
    <row r="61" spans="2:7" ht="32.25" thickBot="1" x14ac:dyDescent="0.25">
      <c r="B61" s="14" t="s">
        <v>6356</v>
      </c>
      <c r="C61" s="14" t="s">
        <v>6357</v>
      </c>
      <c r="D61" s="15" t="s">
        <v>6358</v>
      </c>
    </row>
    <row r="62" spans="2:7" ht="32.25" thickBot="1" x14ac:dyDescent="0.25">
      <c r="B62" s="14" t="s">
        <v>6359</v>
      </c>
      <c r="C62" s="14" t="s">
        <v>6360</v>
      </c>
      <c r="D62" s="15" t="s">
        <v>6361</v>
      </c>
    </row>
    <row r="63" spans="2:7" ht="32.25" thickBot="1" x14ac:dyDescent="0.25">
      <c r="B63" s="14" t="s">
        <v>6362</v>
      </c>
      <c r="C63" s="14" t="s">
        <v>6363</v>
      </c>
      <c r="D63" s="15" t="s">
        <v>6364</v>
      </c>
    </row>
    <row r="64" spans="2:7" ht="16.5" thickBot="1" x14ac:dyDescent="0.25">
      <c r="B64" s="14" t="s">
        <v>6365</v>
      </c>
      <c r="C64" s="14" t="s">
        <v>6366</v>
      </c>
      <c r="D64" s="15" t="s">
        <v>6367</v>
      </c>
    </row>
    <row r="65" spans="2:4" ht="32.25" thickBot="1" x14ac:dyDescent="0.25">
      <c r="B65" s="14" t="s">
        <v>6368</v>
      </c>
      <c r="C65" s="14" t="s">
        <v>6369</v>
      </c>
      <c r="D65" s="15" t="s">
        <v>6370</v>
      </c>
    </row>
    <row r="66" spans="2:4" ht="32.25" thickBot="1" x14ac:dyDescent="0.25">
      <c r="B66" s="14" t="s">
        <v>6371</v>
      </c>
      <c r="C66" s="14" t="s">
        <v>6372</v>
      </c>
      <c r="D66" s="15" t="s">
        <v>6373</v>
      </c>
    </row>
    <row r="67" spans="2:4" ht="32.25" thickBot="1" x14ac:dyDescent="0.25">
      <c r="B67" s="14" t="s">
        <v>6374</v>
      </c>
      <c r="C67" s="14" t="s">
        <v>6375</v>
      </c>
      <c r="D67" s="15" t="s">
        <v>6376</v>
      </c>
    </row>
    <row r="70" spans="2:4" ht="17.25" x14ac:dyDescent="0.2">
      <c r="B70" s="5" t="s">
        <v>4715</v>
      </c>
    </row>
    <row r="71" spans="2:4" x14ac:dyDescent="0.2">
      <c r="B71" s="6"/>
    </row>
    <row r="72" spans="2:4" x14ac:dyDescent="0.2">
      <c r="B72" s="7" t="s">
        <v>6377</v>
      </c>
    </row>
    <row r="73" spans="2:4" x14ac:dyDescent="0.2">
      <c r="B73" s="7" t="s">
        <v>6378</v>
      </c>
    </row>
    <row r="74" spans="2:4" x14ac:dyDescent="0.2">
      <c r="B74" s="7" t="s">
        <v>6379</v>
      </c>
    </row>
    <row r="75" spans="2:4" x14ac:dyDescent="0.2">
      <c r="B75" s="7" t="s">
        <v>6380</v>
      </c>
    </row>
    <row r="76" spans="2:4" x14ac:dyDescent="0.2">
      <c r="B76" s="7" t="s">
        <v>6381</v>
      </c>
    </row>
    <row r="77" spans="2:4" x14ac:dyDescent="0.2">
      <c r="B77" s="7" t="s">
        <v>6382</v>
      </c>
    </row>
    <row r="78" spans="2:4" x14ac:dyDescent="0.2">
      <c r="B78" s="7" t="s">
        <v>6383</v>
      </c>
    </row>
    <row r="79" spans="2:4" x14ac:dyDescent="0.2">
      <c r="B79" s="6"/>
    </row>
    <row r="80" spans="2:4" x14ac:dyDescent="0.2">
      <c r="B80" s="6" t="s">
        <v>6384</v>
      </c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EF873-7CC4-4388-B3C6-2355C43FF6A6}">
  <sheetPr>
    <tabColor rgb="FFFFFF00"/>
  </sheetPr>
  <dimension ref="B1:G82"/>
  <sheetViews>
    <sheetView tabSelected="1" zoomScaleNormal="100" workbookViewId="0">
      <selection activeCell="B1" sqref="B1:D7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6385</v>
      </c>
      <c r="G1" t="str">
        <f>"&lt;dl&gt;&lt;dt&gt;" &amp; B1 &amp; "&lt;/dt&gt;&lt;dd&gt;" &amp; C1 &amp; "&lt;/dd&gt;&lt;dd&gt;" &amp; D1 &amp; "&lt;/dd&gt;&lt;/dl&gt;"</f>
        <v>&lt;dl&gt;&lt;dt&gt;根据《金刚佛光-紫占课程手册》及紫微斗数体系，并严格应用修正后的逻辑，现对天厨星进行完整象义解析。本次解析将首先穷举其核心象征网络，并确保每个象征都在“人、事、物”三层中得到彻底展开。&lt;/dt&gt;&lt;dd&gt;&lt;/dd&gt;&lt;dd&gt;&lt;/dd&gt;&lt;/dl&gt;</v>
      </c>
    </row>
    <row r="4" spans="2:7" ht="17.25" x14ac:dyDescent="0.2">
      <c r="B4" s="5" t="s">
        <v>207</v>
      </c>
    </row>
    <row r="5" spans="2:7" ht="16.5" thickBot="1" x14ac:dyDescent="0.25">
      <c r="B5" s="11"/>
    </row>
    <row r="6" spans="2:7" ht="16.5" thickBot="1" x14ac:dyDescent="0.25">
      <c r="B6" s="12" t="s">
        <v>59</v>
      </c>
      <c r="C6" s="12" t="s">
        <v>60</v>
      </c>
      <c r="D6" s="12" t="s">
        <v>7</v>
      </c>
    </row>
    <row r="7" spans="2:7" ht="79.5" thickBot="1" x14ac:dyDescent="0.25">
      <c r="B7" s="14" t="s">
        <v>2913</v>
      </c>
      <c r="C7" s="14" t="s">
        <v>6386</v>
      </c>
      <c r="D7" s="15" t="s">
        <v>6387</v>
      </c>
    </row>
    <row r="8" spans="2:7" ht="78.75" x14ac:dyDescent="0.2">
      <c r="B8" s="24" t="s">
        <v>2914</v>
      </c>
      <c r="C8" s="19" t="s">
        <v>6388</v>
      </c>
      <c r="D8" s="27" t="s">
        <v>6396</v>
      </c>
    </row>
    <row r="9" spans="2:7" ht="78.75" x14ac:dyDescent="0.2">
      <c r="B9" s="25"/>
      <c r="C9" s="20" t="s">
        <v>6389</v>
      </c>
      <c r="D9" s="28"/>
    </row>
    <row r="10" spans="2:7" ht="47.25" x14ac:dyDescent="0.2">
      <c r="B10" s="25"/>
      <c r="C10" s="20" t="s">
        <v>6390</v>
      </c>
      <c r="D10" s="28"/>
    </row>
    <row r="11" spans="2:7" ht="31.5" x14ac:dyDescent="0.2">
      <c r="B11" s="25"/>
      <c r="C11" s="22" t="s">
        <v>6391</v>
      </c>
      <c r="D11" s="28"/>
    </row>
    <row r="12" spans="2:7" ht="31.5" x14ac:dyDescent="0.2">
      <c r="B12" s="25"/>
      <c r="C12" s="22" t="s">
        <v>6392</v>
      </c>
      <c r="D12" s="28"/>
    </row>
    <row r="13" spans="2:7" ht="15.75" x14ac:dyDescent="0.2">
      <c r="B13" s="25"/>
      <c r="C13" s="22" t="s">
        <v>4343</v>
      </c>
      <c r="D13" s="28"/>
    </row>
    <row r="14" spans="2:7" ht="31.5" x14ac:dyDescent="0.2">
      <c r="B14" s="25"/>
      <c r="C14" s="22" t="s">
        <v>6393</v>
      </c>
      <c r="D14" s="28"/>
    </row>
    <row r="15" spans="2:7" ht="31.5" x14ac:dyDescent="0.2">
      <c r="B15" s="25"/>
      <c r="C15" s="22" t="s">
        <v>6394</v>
      </c>
      <c r="D15" s="28"/>
    </row>
    <row r="16" spans="2:7" ht="32.25" thickBot="1" x14ac:dyDescent="0.25">
      <c r="B16" s="26"/>
      <c r="C16" s="23" t="s">
        <v>6395</v>
      </c>
      <c r="D16" s="29"/>
    </row>
    <row r="19" spans="2:7" ht="17.25" x14ac:dyDescent="0.2">
      <c r="B19" s="5" t="s">
        <v>100</v>
      </c>
    </row>
    <row r="20" spans="2:7" ht="16.5" thickBot="1" x14ac:dyDescent="0.25">
      <c r="B20" s="11"/>
    </row>
    <row r="21" spans="2:7" ht="16.5" thickBot="1" x14ac:dyDescent="0.25">
      <c r="B21" s="12" t="s">
        <v>62</v>
      </c>
      <c r="C21" s="12" t="s">
        <v>107</v>
      </c>
      <c r="D21" s="12" t="s">
        <v>108</v>
      </c>
    </row>
    <row r="22" spans="2:7" ht="48" thickBot="1" x14ac:dyDescent="0.25">
      <c r="B22" s="14" t="s">
        <v>6397</v>
      </c>
      <c r="C22" s="15" t="s">
        <v>6398</v>
      </c>
      <c r="D22" s="15" t="s">
        <v>6399</v>
      </c>
    </row>
    <row r="23" spans="2:7" ht="48" thickBot="1" x14ac:dyDescent="0.25">
      <c r="B23" s="14" t="s">
        <v>6400</v>
      </c>
      <c r="C23" s="15" t="s">
        <v>6401</v>
      </c>
      <c r="D23" s="15" t="s">
        <v>6402</v>
      </c>
      <c r="E23" s="12"/>
    </row>
    <row r="24" spans="2:7" ht="48" thickBot="1" x14ac:dyDescent="0.25">
      <c r="B24" s="14" t="s">
        <v>6403</v>
      </c>
      <c r="C24" s="15" t="s">
        <v>6404</v>
      </c>
      <c r="D24" s="15" t="s">
        <v>6405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烹饪与宴饮​&lt;/dt&gt;&lt;dd&gt;性属阴土，主滋养、稳定、积累。是烹饪、美食、宴请的星曜，亦主通过才华获得稳定回报。&lt;/dd&gt;&lt;dd&gt;在命宫、田宅宫，主家中饮食丰盛，喜宴客；在官禄宫，主工作与食品、餐饮、福利相关。&lt;/dd&gt;&lt;/dl&gt;</v>
      </c>
    </row>
    <row r="25" spans="2:7" ht="32.25" thickBot="1" x14ac:dyDescent="0.25">
      <c r="B25" s="14" t="s">
        <v>3016</v>
      </c>
      <c r="C25" s="14" t="s">
        <v>6406</v>
      </c>
      <c r="D25" s="15" t="s">
        <v>5764</v>
      </c>
      <c r="E25" s="15"/>
      <c r="G25" t="str">
        <f t="shared" si="0"/>
        <v>&lt;dl&gt;&lt;dt&gt;外貌气质​&lt;/dt&gt;&lt;dd&gt;面容丰润，气质温和，给人以和善、有福气、懂得生活的印象。&lt;/dd&gt;&lt;dd&gt;在命宫、身宫时显著，但需结合主星判断。&lt;/dd&gt;&lt;/dl&gt;</v>
      </c>
    </row>
    <row r="26" spans="2:7" ht="48" thickBot="1" x14ac:dyDescent="0.25">
      <c r="B26" s="24" t="s">
        <v>3017</v>
      </c>
      <c r="C26" s="19" t="s">
        <v>6407</v>
      </c>
      <c r="D26" s="27"/>
      <c r="E26" s="15"/>
      <c r="G26" t="str">
        <f t="shared" si="0"/>
        <v>&lt;dl&gt;&lt;dt&gt;性格特质​&lt;/dt&gt;&lt;dd&gt;优点：温和宽厚，懂得享受生活，有口福，在烹饪或相关领域有才华，人缘好，有稳定收入。&lt;/dd&gt;&lt;dd&gt;&lt;/dd&gt;&lt;/dl&gt;</v>
      </c>
    </row>
    <row r="27" spans="2:7" ht="32.25" thickBot="1" x14ac:dyDescent="0.25">
      <c r="B27" s="26"/>
      <c r="C27" s="21" t="s">
        <v>6408</v>
      </c>
      <c r="D27" s="29"/>
      <c r="E27" s="15"/>
      <c r="G27" t="str">
        <f t="shared" si="0"/>
        <v>&lt;dl&gt;&lt;dt&gt;&lt;/dt&gt;&lt;dd&gt;缺点：可能安于现状，缺乏进取心，易发福（若不加节制）。&lt;/dd&gt;&lt;dd&gt;&lt;/dd&gt;&lt;/dl&gt;</v>
      </c>
    </row>
    <row r="28" spans="2:7" ht="32.25" thickBot="1" x14ac:dyDescent="0.25">
      <c r="B28" s="14" t="s">
        <v>3419</v>
      </c>
      <c r="C28" s="15" t="s">
        <v>6409</v>
      </c>
      <c r="D28" s="15" t="s">
        <v>6410</v>
      </c>
      <c r="E28" s="15"/>
      <c r="G28" t="str">
        <f t="shared" si="0"/>
        <v>&lt;dl&gt;&lt;dt&gt;健康方面​&lt;/dt&gt;&lt;dd&gt;主脾胃功能佳，消化吸收好，但过之则易因饮食不节导致肥胖、脾胃负担过重。&lt;/dd&gt;&lt;dd&gt;在疾厄宫时，主脾胃健康，但需注意饮食均衡。&lt;/dd&gt;&lt;/dl&gt;</v>
      </c>
    </row>
    <row r="29" spans="2:7" ht="16.5" thickBot="1" x14ac:dyDescent="0.25">
      <c r="E29" s="15"/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102</v>
      </c>
    </row>
    <row r="32" spans="2:7" ht="16.5" thickBot="1" x14ac:dyDescent="0.25">
      <c r="B32" s="11"/>
    </row>
    <row r="33" spans="2:7" ht="16.5" thickBot="1" x14ac:dyDescent="0.25">
      <c r="B33" s="12" t="s">
        <v>6</v>
      </c>
      <c r="C33" s="12" t="s">
        <v>107</v>
      </c>
      <c r="D33" s="12" t="s">
        <v>7</v>
      </c>
    </row>
    <row r="34" spans="2:7" ht="79.5" thickBot="1" x14ac:dyDescent="0.25">
      <c r="B34" s="14" t="s">
        <v>2930</v>
      </c>
      <c r="C34" s="15" t="s">
        <v>6411</v>
      </c>
      <c r="D34" s="15"/>
      <c r="E34" s="12"/>
    </row>
    <row r="35" spans="2:7" ht="32.25" thickBot="1" x14ac:dyDescent="0.25">
      <c r="B35" s="14" t="s">
        <v>2932</v>
      </c>
      <c r="C35" s="15" t="s">
        <v>6412</v>
      </c>
      <c r="D35" s="15"/>
      <c r="E35" s="15"/>
      <c r="G35" t="str">
        <f t="shared" si="0"/>
        <v>&lt;dl&gt;&lt;dt&gt;兄弟宫​&lt;/dt&gt;&lt;dd&gt;兄弟姐妹中有擅长烹饪或懂得享受生活者，彼此关系和睦，常聚餐。&lt;/dd&gt;&lt;dd&gt;&lt;/dd&gt;&lt;/dl&gt;</v>
      </c>
    </row>
    <row r="36" spans="2:7" ht="32.25" thickBot="1" x14ac:dyDescent="0.25">
      <c r="B36" s="14" t="s">
        <v>2934</v>
      </c>
      <c r="C36" s="15" t="s">
        <v>6413</v>
      </c>
      <c r="D36" s="15"/>
      <c r="E36" s="15"/>
      <c r="G36" t="str">
        <f t="shared" si="0"/>
        <v>&lt;dl&gt;&lt;dt&gt;夫妻宫​&lt;/dt&gt;&lt;dd&gt;配偶懂得生活情趣，可能擅长烹饪，夫妻生活和谐，常有美食享受。&lt;/dd&gt;&lt;dd&gt;&lt;/dd&gt;&lt;/dl&gt;</v>
      </c>
    </row>
    <row r="37" spans="2:7" ht="32.25" thickBot="1" x14ac:dyDescent="0.25">
      <c r="B37" s="14" t="s">
        <v>2936</v>
      </c>
      <c r="C37" s="15" t="s">
        <v>6414</v>
      </c>
      <c r="D37" s="15"/>
      <c r="E37" s="15"/>
      <c r="G37" t="str">
        <f t="shared" si="0"/>
        <v>&lt;dl&gt;&lt;dt&gt;子女宫​&lt;/dt&gt;&lt;dd&gt;子女有口福，可能对烹饪有兴趣，与子女关系融洽，常一起享受美食。&lt;/dd&gt;&lt;dd&gt;&lt;/dd&gt;&lt;/dl&gt;</v>
      </c>
    </row>
    <row r="38" spans="2:7" ht="32.25" thickBot="1" x14ac:dyDescent="0.25">
      <c r="B38" s="14" t="s">
        <v>9</v>
      </c>
      <c r="C38" s="15" t="s">
        <v>6415</v>
      </c>
      <c r="D38" s="15"/>
      <c r="E38" s="15"/>
      <c r="G38" t="str">
        <f t="shared" si="0"/>
        <v>&lt;dl&gt;&lt;dt&gt;财帛宫​&lt;/dt&gt;&lt;dd&gt;钱财来源稳定，易得俸禄、津贴或通过餐饮、食品相关行业获利，不愁吃穿。&lt;/dd&gt;&lt;dd&gt;&lt;/dd&gt;&lt;/dl&gt;</v>
      </c>
    </row>
    <row r="39" spans="2:7" ht="32.25" thickBot="1" x14ac:dyDescent="0.25">
      <c r="B39" s="14" t="s">
        <v>10</v>
      </c>
      <c r="C39" s="14" t="s">
        <v>6416</v>
      </c>
      <c r="D39" s="15"/>
      <c r="E39" s="15"/>
      <c r="G39" t="str">
        <f t="shared" si="0"/>
        <v>&lt;dl&gt;&lt;dt&gt;疾厄宫​&lt;/dt&gt;&lt;dd&gt;脾胃功能良好，消化吸收佳，但需注意饮食过量导致的肥胖问题。&lt;/dd&gt;&lt;dd&gt;&lt;/dd&gt;&lt;/dl&gt;</v>
      </c>
    </row>
    <row r="40" spans="2:7" ht="32.25" thickBot="1" x14ac:dyDescent="0.25">
      <c r="B40" s="14" t="s">
        <v>13</v>
      </c>
      <c r="C40" s="15" t="s">
        <v>6417</v>
      </c>
      <c r="D40" s="15"/>
      <c r="E40" s="15"/>
      <c r="G40" t="str">
        <f t="shared" si="0"/>
        <v>&lt;dl&gt;&lt;dt&gt;迁移宫​&lt;/dt&gt;&lt;dd&gt;在外常有口福，易受招待，或在外发展利于餐饮、食品行业。&lt;/dd&gt;&lt;dd&gt;&lt;/dd&gt;&lt;/dl&gt;</v>
      </c>
    </row>
    <row r="41" spans="2:7" ht="32.25" thickBot="1" x14ac:dyDescent="0.25">
      <c r="B41" s="14" t="s">
        <v>3018</v>
      </c>
      <c r="C41" s="14" t="s">
        <v>6418</v>
      </c>
      <c r="D41" s="15"/>
      <c r="E41" s="15"/>
      <c r="G41" t="str">
        <f t="shared" si="0"/>
        <v>&lt;dl&gt;&lt;dt&gt;交友宫（奴仆宫）​&lt;/dt&gt;&lt;dd&gt;朋友、同事中多懂得享受生活或有烹饪才华者，常因聚餐、宴请增进感情。&lt;/dd&gt;&lt;dd&gt;&lt;/dd&gt;&lt;/dl&gt;</v>
      </c>
    </row>
    <row r="42" spans="2:7" ht="32.25" thickBot="1" x14ac:dyDescent="0.25">
      <c r="B42" s="14" t="s">
        <v>3019</v>
      </c>
      <c r="C42" s="15" t="s">
        <v>6419</v>
      </c>
      <c r="D42" s="15"/>
      <c r="E42" s="15"/>
      <c r="G42" t="str">
        <f t="shared" si="0"/>
        <v>&lt;dl&gt;&lt;dt&gt;官禄宫（事业宫）​&lt;/dt&gt;&lt;dd&gt;适合从事餐饮、食品、酒店、福利、后勤、稳定收入的公职等职业，工作环境好，有口福。&lt;/dd&gt;&lt;dd&gt;&lt;/dd&gt;&lt;/dl&gt;</v>
      </c>
    </row>
    <row r="43" spans="2:7" ht="32.25" thickBot="1" x14ac:dyDescent="0.25">
      <c r="B43" s="14" t="s">
        <v>8</v>
      </c>
      <c r="C43" s="14" t="s">
        <v>6420</v>
      </c>
      <c r="D43" s="15"/>
      <c r="E43" s="15"/>
      <c r="G43" t="str">
        <f t="shared" si="0"/>
        <v>&lt;dl&gt;&lt;dt&gt;田宅宫​&lt;/dt&gt;&lt;dd&gt;家中饮食丰盛，厨房宽敞，喜宴客，家庭生活安逸幸福。&lt;/dd&gt;&lt;dd&gt;&lt;/dd&gt;&lt;/dl&gt;</v>
      </c>
    </row>
    <row r="44" spans="2:7" ht="32.25" thickBot="1" x14ac:dyDescent="0.25">
      <c r="B44" s="14" t="s">
        <v>2945</v>
      </c>
      <c r="C44" s="15" t="s">
        <v>6421</v>
      </c>
      <c r="D44" s="15"/>
    </row>
    <row r="45" spans="2:7" ht="32.25" thickBot="1" x14ac:dyDescent="0.25">
      <c r="B45" s="14" t="s">
        <v>11</v>
      </c>
      <c r="C45" s="15" t="s">
        <v>6422</v>
      </c>
      <c r="D45" s="15"/>
    </row>
    <row r="47" spans="2:7" ht="15" thickBot="1" x14ac:dyDescent="0.25"/>
    <row r="48" spans="2:7" ht="18" thickBot="1" x14ac:dyDescent="0.25">
      <c r="B48" s="5" t="s">
        <v>4689</v>
      </c>
      <c r="E48" s="12"/>
    </row>
    <row r="49" spans="2:7" ht="16.5" thickBot="1" x14ac:dyDescent="0.25">
      <c r="B49" s="11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2" t="s">
        <v>5693</v>
      </c>
      <c r="C50" s="12" t="s">
        <v>75</v>
      </c>
      <c r="D50" s="12" t="s">
        <v>108</v>
      </c>
      <c r="E50" s="15"/>
      <c r="G50" t="str">
        <f t="shared" si="0"/>
        <v>&lt;dl&gt;&lt;dt&gt;主星/星曜​&lt;/dt&gt;&lt;dd&gt;组合效应​&lt;/dd&gt;&lt;dd&gt;典型案例/说明​&lt;/dd&gt;&lt;/dl&gt;</v>
      </c>
    </row>
    <row r="51" spans="2:7" ht="48" thickBot="1" x14ac:dyDescent="0.25">
      <c r="B51" s="14" t="s">
        <v>6423</v>
      </c>
      <c r="C51" s="14" t="s">
        <v>6424</v>
      </c>
      <c r="D51" s="15" t="s">
        <v>6425</v>
      </c>
      <c r="E51" s="15"/>
      <c r="G51" t="str">
        <f t="shared" si="0"/>
        <v>&lt;dl&gt;&lt;dt&gt;天厨+天同​&lt;/dt&gt;&lt;dd&gt;厨遇福星，食禄与享乐叠加，主福气深厚，极有口福，生活安逸享受，在餐饮、娱乐行业有发展。&lt;/dd&gt;&lt;dd&gt;美食家、餐饮业老板、生活享受家。&lt;/dd&gt;&lt;/dl&gt;</v>
      </c>
    </row>
    <row r="52" spans="2:7" ht="48" thickBot="1" x14ac:dyDescent="0.25">
      <c r="B52" s="14" t="s">
        <v>6426</v>
      </c>
      <c r="C52" s="14" t="s">
        <v>6427</v>
      </c>
      <c r="D52" s="15" t="s">
        <v>6428</v>
      </c>
      <c r="E52" s="15"/>
      <c r="G52" t="str">
        <f t="shared" si="0"/>
        <v>&lt;dl&gt;&lt;dt&gt;天厨+天梁​&lt;/dt&gt;&lt;dd&gt;厨遇荫星，食禄与庇护结合，主通过餐饮、食品或福利事业获得声望，或得长辈福荫而衣食无忧。&lt;/dd&gt;&lt;dd&gt;福利机构负责人、老字号餐饮传承人。&lt;/dd&gt;&lt;/dl&gt;</v>
      </c>
    </row>
    <row r="53" spans="2:7" ht="48" thickBot="1" x14ac:dyDescent="0.25">
      <c r="B53" s="14" t="s">
        <v>6429</v>
      </c>
      <c r="C53" s="14" t="s">
        <v>6430</v>
      </c>
      <c r="D53" s="15" t="s">
        <v>6431</v>
      </c>
    </row>
    <row r="54" spans="2:7" ht="48" thickBot="1" x14ac:dyDescent="0.25">
      <c r="B54" s="14" t="s">
        <v>6432</v>
      </c>
      <c r="C54" s="14" t="s">
        <v>6433</v>
      </c>
      <c r="D54" s="15" t="s">
        <v>6434</v>
      </c>
    </row>
    <row r="55" spans="2:7" ht="48" thickBot="1" x14ac:dyDescent="0.25">
      <c r="B55" s="14" t="s">
        <v>6435</v>
      </c>
      <c r="C55" s="14" t="s">
        <v>6436</v>
      </c>
      <c r="D55" s="15" t="s">
        <v>6437</v>
      </c>
    </row>
    <row r="56" spans="2:7" ht="32.25" thickBot="1" x14ac:dyDescent="0.25">
      <c r="B56" s="14" t="s">
        <v>6438</v>
      </c>
      <c r="C56" s="14" t="s">
        <v>6439</v>
      </c>
      <c r="D56" s="15" t="s">
        <v>6440</v>
      </c>
    </row>
    <row r="57" spans="2:7" ht="48" thickBot="1" x14ac:dyDescent="0.25">
      <c r="B57" s="14" t="s">
        <v>6441</v>
      </c>
      <c r="C57" s="14" t="s">
        <v>6442</v>
      </c>
      <c r="D57" s="15" t="s">
        <v>6443</v>
      </c>
    </row>
    <row r="58" spans="2:7" ht="32.25" thickBot="1" x14ac:dyDescent="0.25">
      <c r="B58" s="14" t="s">
        <v>6444</v>
      </c>
      <c r="C58" s="14" t="s">
        <v>6445</v>
      </c>
      <c r="D58" s="15" t="s">
        <v>6446</v>
      </c>
    </row>
    <row r="59" spans="2:7" ht="32.25" thickBot="1" x14ac:dyDescent="0.25">
      <c r="B59" s="14" t="s">
        <v>6447</v>
      </c>
      <c r="C59" s="14" t="s">
        <v>6448</v>
      </c>
      <c r="D59" s="15" t="s">
        <v>6449</v>
      </c>
    </row>
    <row r="60" spans="2:7" ht="32.25" thickBot="1" x14ac:dyDescent="0.25">
      <c r="B60" s="14" t="s">
        <v>6450</v>
      </c>
      <c r="C60" s="14" t="s">
        <v>6451</v>
      </c>
      <c r="D60" s="15" t="s">
        <v>6452</v>
      </c>
    </row>
    <row r="61" spans="2:7" ht="32.25" thickBot="1" x14ac:dyDescent="0.25">
      <c r="B61" s="14" t="s">
        <v>6453</v>
      </c>
      <c r="C61" s="14" t="s">
        <v>6454</v>
      </c>
      <c r="D61" s="15" t="s">
        <v>6455</v>
      </c>
    </row>
    <row r="62" spans="2:7" ht="32.25" thickBot="1" x14ac:dyDescent="0.25">
      <c r="B62" s="14" t="s">
        <v>6456</v>
      </c>
      <c r="C62" s="14" t="s">
        <v>6457</v>
      </c>
      <c r="D62" s="15" t="s">
        <v>6458</v>
      </c>
    </row>
    <row r="63" spans="2:7" ht="32.25" thickBot="1" x14ac:dyDescent="0.25">
      <c r="B63" s="14" t="s">
        <v>6459</v>
      </c>
      <c r="C63" s="14" t="s">
        <v>6460</v>
      </c>
      <c r="D63" s="15" t="s">
        <v>6461</v>
      </c>
    </row>
    <row r="64" spans="2:7" ht="48" thickBot="1" x14ac:dyDescent="0.25">
      <c r="B64" s="14" t="s">
        <v>6462</v>
      </c>
      <c r="C64" s="14" t="s">
        <v>6463</v>
      </c>
      <c r="D64" s="15" t="s">
        <v>6464</v>
      </c>
    </row>
    <row r="67" spans="2:2" ht="17.25" x14ac:dyDescent="0.2">
      <c r="B67" s="5" t="s">
        <v>4715</v>
      </c>
    </row>
    <row r="68" spans="2:2" x14ac:dyDescent="0.2">
      <c r="B68" s="6"/>
    </row>
    <row r="69" spans="2:2" x14ac:dyDescent="0.2">
      <c r="B69" s="7" t="s">
        <v>6465</v>
      </c>
    </row>
    <row r="70" spans="2:2" x14ac:dyDescent="0.2">
      <c r="B70" s="7" t="s">
        <v>6466</v>
      </c>
    </row>
    <row r="71" spans="2:2" x14ac:dyDescent="0.2">
      <c r="B71" s="7" t="s">
        <v>6467</v>
      </c>
    </row>
    <row r="72" spans="2:2" x14ac:dyDescent="0.2">
      <c r="B72" s="7" t="s">
        <v>6468</v>
      </c>
    </row>
    <row r="73" spans="2:2" x14ac:dyDescent="0.2">
      <c r="B73" s="7" t="s">
        <v>6469</v>
      </c>
    </row>
    <row r="74" spans="2:2" x14ac:dyDescent="0.2">
      <c r="B74" s="7" t="s">
        <v>6470</v>
      </c>
    </row>
    <row r="75" spans="2:2" x14ac:dyDescent="0.2">
      <c r="B75" s="7" t="s">
        <v>6471</v>
      </c>
    </row>
    <row r="76" spans="2:2" x14ac:dyDescent="0.2">
      <c r="B76" s="6"/>
    </row>
    <row r="77" spans="2:2" x14ac:dyDescent="0.2">
      <c r="B77" s="6" t="s">
        <v>6472</v>
      </c>
    </row>
    <row r="78" spans="2:2" x14ac:dyDescent="0.2">
      <c r="B78" s="7" t="s">
        <v>209</v>
      </c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mergeCells count="4">
    <mergeCell ref="B8:B16"/>
    <mergeCell ref="D8:D16"/>
    <mergeCell ref="B26:B27"/>
    <mergeCell ref="D26:D27"/>
  </mergeCells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09000-E233-4141-ACF1-656B68F6EC22}">
  <dimension ref="B1:G82"/>
  <sheetViews>
    <sheetView zoomScaleNormal="100" workbookViewId="0">
      <selection activeCell="B1" sqref="B1:D7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210</v>
      </c>
      <c r="G1" t="str">
        <f>"&lt;dl&gt;&lt;dt&gt;" &amp; B1 &amp; "&lt;/dt&gt;&lt;dd&gt;" &amp; C1 &amp; "&lt;/dd&gt;&lt;dd&gt;" &amp; D1 &amp; "&lt;/dd&gt;&lt;/dl&gt;"</f>
        <v>&lt;dl&gt;&lt;dt&gt;一、恩光定义&lt;/dt&gt;&lt;dd&gt;&lt;/dd&gt;&lt;dd&gt;&lt;/dd&gt;&lt;/dl&gt;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211</v>
      </c>
      <c r="D4" s="4"/>
    </row>
    <row r="5" spans="2:7" ht="28.5" x14ac:dyDescent="0.2">
      <c r="B5" s="3" t="s">
        <v>61</v>
      </c>
      <c r="C5" s="4" t="s">
        <v>212</v>
      </c>
      <c r="D5" s="4"/>
    </row>
    <row r="6" spans="2:7" ht="28.5" x14ac:dyDescent="0.2">
      <c r="B6" s="3" t="s">
        <v>99</v>
      </c>
      <c r="C6" s="4" t="s">
        <v>213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x14ac:dyDescent="0.2">
      <c r="B14" s="3" t="s">
        <v>214</v>
      </c>
      <c r="C14" s="4" t="s">
        <v>215</v>
      </c>
      <c r="D14" s="4" t="s">
        <v>216</v>
      </c>
    </row>
    <row r="15" spans="2:7" x14ac:dyDescent="0.2">
      <c r="B15" s="3" t="s">
        <v>217</v>
      </c>
      <c r="C15" s="4" t="s">
        <v>218</v>
      </c>
      <c r="D15" s="4" t="s">
        <v>219</v>
      </c>
    </row>
    <row r="16" spans="2:7" x14ac:dyDescent="0.2">
      <c r="B16" s="3" t="s">
        <v>220</v>
      </c>
      <c r="C16" s="4" t="s">
        <v>221</v>
      </c>
      <c r="D16" s="4" t="s">
        <v>222</v>
      </c>
    </row>
    <row r="17" spans="2:7" x14ac:dyDescent="0.2">
      <c r="B17" s="3" t="s">
        <v>223</v>
      </c>
      <c r="C17" s="4" t="s">
        <v>224</v>
      </c>
      <c r="D17" s="4" t="s">
        <v>225</v>
      </c>
    </row>
    <row r="18" spans="2:7" x14ac:dyDescent="0.2">
      <c r="B18" s="3" t="s">
        <v>226</v>
      </c>
      <c r="C18" s="4" t="s">
        <v>227</v>
      </c>
      <c r="D18" s="4" t="s">
        <v>228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229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&lt;dl&gt;&lt;dt&gt;命宫​&lt;/dt&gt;&lt;dd&gt;一生易得贵人赏识，有荣誉加身的机会，为人重名誉、有光彩。&lt;/dd&gt;&lt;dd&gt;&lt;/dd&gt;&lt;/dl&gt;</v>
      </c>
    </row>
    <row r="25" spans="2:7" ht="29.25" thickBot="1" x14ac:dyDescent="0.25">
      <c r="B25" s="3" t="s">
        <v>58</v>
      </c>
      <c r="C25" s="4" t="s">
        <v>230</v>
      </c>
      <c r="D25" s="4"/>
      <c r="E25" s="15"/>
      <c r="G25" t="str">
        <f t="shared" si="0"/>
        <v>&lt;dl&gt;&lt;dt&gt;兄弟宫​&lt;/dt&gt;&lt;dd&gt;兄弟姐妹中有显荣者，能给自己带来荣耀；在团队中易受嘉奖。&lt;/dd&gt;&lt;dd&gt;&lt;/dd&gt;&lt;/dl&gt;</v>
      </c>
    </row>
    <row r="26" spans="2:7" ht="29.25" thickBot="1" x14ac:dyDescent="0.25">
      <c r="B26" s="3" t="s">
        <v>50</v>
      </c>
      <c r="C26" s="4" t="s">
        <v>231</v>
      </c>
      <c r="D26" s="4"/>
      <c r="E26" s="15"/>
      <c r="G26" t="str">
        <f t="shared" si="0"/>
        <v>&lt;dl&gt;&lt;dt&gt;夫妻宫​&lt;/dt&gt;&lt;dd&gt;配偶体面或有荣誉，婚姻能为自己增添光彩；易得配偶方长辈提携。&lt;/dd&gt;&lt;dd&gt;&lt;/dd&gt;&lt;/dl&gt;</v>
      </c>
    </row>
    <row r="27" spans="2:7" ht="29.25" thickBot="1" x14ac:dyDescent="0.25">
      <c r="B27" s="3" t="s">
        <v>53</v>
      </c>
      <c r="C27" s="4" t="s">
        <v>232</v>
      </c>
      <c r="D27" s="4"/>
      <c r="E27" s="15"/>
      <c r="G27" t="str">
        <f t="shared" si="0"/>
        <v>&lt;dl&gt;&lt;dt&gt;子女宫​&lt;/dt&gt;&lt;dd&gt;子女有出息、获奖，为自己争光；在投资、娱乐方面获得荣誉性回报。&lt;/dd&gt;&lt;dd&gt;&lt;/dd&gt;&lt;/dl&gt;</v>
      </c>
    </row>
    <row r="28" spans="2:7" ht="29.25" thickBot="1" x14ac:dyDescent="0.25">
      <c r="B28" s="3" t="s">
        <v>1</v>
      </c>
      <c r="C28" s="4" t="s">
        <v>233</v>
      </c>
      <c r="D28" s="4"/>
      <c r="E28" s="15"/>
      <c r="G28" t="str">
        <f t="shared" si="0"/>
        <v>&lt;dl&gt;&lt;dt&gt;财帛宫​&lt;/dt&gt;&lt;dd&gt;钱财来源于正当荣誉（如奖金、奖学金），或因好名声得财。&lt;/dd&gt;&lt;dd&gt;&lt;/dd&gt;&lt;/dl&gt;</v>
      </c>
    </row>
    <row r="29" spans="2:7" ht="29.25" thickBot="1" x14ac:dyDescent="0.25">
      <c r="B29" s="3" t="s">
        <v>2</v>
      </c>
      <c r="C29" s="4" t="s">
        <v>234</v>
      </c>
      <c r="D29" s="4"/>
      <c r="E29" s="15"/>
      <c r="G29" t="str">
        <f t="shared" si="0"/>
        <v>&lt;dl&gt;&lt;dt&gt;疾厄宫​&lt;/dt&gt;&lt;dd&gt;得到名医诊治，或使用荣誉性的先进疗法；病情易公开并获得关怀。&lt;/dd&gt;&lt;dd&gt;&lt;/dd&gt;&lt;/dl&gt;</v>
      </c>
    </row>
    <row r="30" spans="2:7" ht="28.5" x14ac:dyDescent="0.2">
      <c r="B30" s="3" t="s">
        <v>5</v>
      </c>
      <c r="C30" s="4" t="s">
        <v>235</v>
      </c>
      <c r="D30" s="4"/>
    </row>
    <row r="31" spans="2:7" ht="28.5" x14ac:dyDescent="0.2">
      <c r="B31" s="3" t="s">
        <v>4</v>
      </c>
      <c r="C31" s="4" t="s">
        <v>236</v>
      </c>
      <c r="D31" s="4"/>
    </row>
    <row r="32" spans="2:7" ht="28.5" x14ac:dyDescent="0.2">
      <c r="B32" s="3" t="s">
        <v>57</v>
      </c>
      <c r="C32" s="3" t="s">
        <v>237</v>
      </c>
      <c r="D32" s="4"/>
    </row>
    <row r="33" spans="2:7" ht="29.25" thickBot="1" x14ac:dyDescent="0.25">
      <c r="B33" s="3" t="s">
        <v>0</v>
      </c>
      <c r="C33" s="4" t="s">
        <v>238</v>
      </c>
      <c r="D33" s="4"/>
    </row>
    <row r="34" spans="2:7" ht="29.25" thickBot="1" x14ac:dyDescent="0.25">
      <c r="B34" s="3" t="s">
        <v>41</v>
      </c>
      <c r="C34" s="4" t="s">
        <v>239</v>
      </c>
      <c r="D34" s="4"/>
      <c r="E34" s="12"/>
    </row>
    <row r="35" spans="2:7" ht="29.25" thickBot="1" x14ac:dyDescent="0.25">
      <c r="B35" s="3" t="s">
        <v>3</v>
      </c>
      <c r="C35" s="4" t="s">
        <v>240</v>
      </c>
      <c r="D35" s="4"/>
      <c r="E35" s="15"/>
      <c r="G35" t="str">
        <f t="shared" si="0"/>
        <v>&lt;dl&gt;&lt;dt&gt;父母宫​&lt;/dt&gt;&lt;dd&gt;父母有社会地位或荣誉，自己易得父母福荫及长辈上司关照。&lt;/dd&gt;&lt;dd&gt;&lt;/dd&gt;&lt;/dl&gt;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241</v>
      </c>
      <c r="E40" s="15"/>
      <c r="G40" t="str">
        <f t="shared" si="0"/>
        <v>&lt;dl&gt;&lt;dt&gt;1. 强化贵气荣耀组合&lt;/dt&gt;&lt;dd&gt;&lt;/dd&gt;&lt;dd&gt;&lt;/dd&gt;&lt;/dl&gt;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242</v>
      </c>
      <c r="C43" s="4" t="s">
        <v>243</v>
      </c>
      <c r="D43" s="4" t="s">
        <v>244</v>
      </c>
      <c r="E43" s="15"/>
      <c r="G43" t="str">
        <f t="shared" si="0"/>
        <v>&lt;dl&gt;&lt;dt&gt;恩光+紫微​&lt;/dt&gt;&lt;dd&gt;帝星得恩光，贵气非凡，易获最高级别的嘉奖与权位荣耀。&lt;/dd&gt;&lt;dd&gt;获得国家勋章；成为行业领袖并受表彰。&lt;/dd&gt;&lt;/dl&gt;</v>
      </c>
    </row>
    <row r="44" spans="2:7" ht="28.5" x14ac:dyDescent="0.2">
      <c r="B44" s="3" t="s">
        <v>245</v>
      </c>
      <c r="C44" s="4" t="s">
        <v>246</v>
      </c>
      <c r="D44" s="4" t="s">
        <v>247</v>
      </c>
    </row>
    <row r="45" spans="2:7" ht="28.5" x14ac:dyDescent="0.2">
      <c r="B45" s="3" t="s">
        <v>248</v>
      </c>
      <c r="C45" s="4" t="s">
        <v>249</v>
      </c>
      <c r="D45" s="4" t="s">
        <v>250</v>
      </c>
    </row>
    <row r="46" spans="2:7" ht="28.5" x14ac:dyDescent="0.2">
      <c r="B46" s="3" t="s">
        <v>251</v>
      </c>
      <c r="C46" s="4" t="s">
        <v>252</v>
      </c>
      <c r="D46" s="4" t="s">
        <v>253</v>
      </c>
    </row>
    <row r="47" spans="2:7" ht="29.25" thickBot="1" x14ac:dyDescent="0.25">
      <c r="B47" s="3" t="s">
        <v>254</v>
      </c>
      <c r="C47" s="4" t="s">
        <v>255</v>
      </c>
      <c r="D47" s="4" t="s">
        <v>256</v>
      </c>
    </row>
    <row r="48" spans="2:7" ht="16.5" thickBot="1" x14ac:dyDescent="0.25">
      <c r="E48" s="12"/>
    </row>
    <row r="49" spans="2:7" ht="16.5" thickBot="1" x14ac:dyDescent="0.25">
      <c r="B49" s="13" t="s">
        <v>257</v>
      </c>
      <c r="E49" s="15"/>
      <c r="G49" t="str">
        <f t="shared" si="0"/>
        <v>&lt;dl&gt;&lt;dt&gt;2. 转化与具体化组合&lt;/dt&gt;&lt;dd&gt;&lt;/dd&gt;&lt;dd&gt;&lt;/dd&gt;&lt;/dl&gt;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16.5" thickBot="1" x14ac:dyDescent="0.25">
      <c r="B52" s="3" t="s">
        <v>258</v>
      </c>
      <c r="C52" s="4" t="s">
        <v>259</v>
      </c>
      <c r="D52" s="4" t="s">
        <v>260</v>
      </c>
      <c r="E52" s="15"/>
      <c r="G52" t="str">
        <f t="shared" si="0"/>
        <v>&lt;dl&gt;&lt;dt&gt;恩光+武曲​&lt;/dt&gt;&lt;dd&gt;在财经、金融、军事领域因功绩获得荣誉与奖金。&lt;/dd&gt;&lt;dd&gt;获得金融创新大奖；军功章。&lt;/dd&gt;&lt;/dl&gt;</v>
      </c>
    </row>
    <row r="53" spans="2:7" ht="28.5" x14ac:dyDescent="0.2">
      <c r="B53" s="3" t="s">
        <v>261</v>
      </c>
      <c r="C53" s="4" t="s">
        <v>262</v>
      </c>
      <c r="D53" s="4" t="s">
        <v>263</v>
      </c>
    </row>
    <row r="54" spans="2:7" ht="28.5" x14ac:dyDescent="0.2">
      <c r="B54" s="3" t="s">
        <v>264</v>
      </c>
      <c r="C54" s="4" t="s">
        <v>265</v>
      </c>
      <c r="D54" s="4" t="s">
        <v>266</v>
      </c>
    </row>
    <row r="55" spans="2:7" ht="28.5" x14ac:dyDescent="0.2">
      <c r="B55" s="3" t="s">
        <v>267</v>
      </c>
      <c r="C55" s="4" t="s">
        <v>268</v>
      </c>
      <c r="D55" s="4" t="s">
        <v>269</v>
      </c>
    </row>
    <row r="56" spans="2:7" ht="28.5" x14ac:dyDescent="0.2">
      <c r="B56" s="3" t="s">
        <v>270</v>
      </c>
      <c r="C56" s="4" t="s">
        <v>271</v>
      </c>
      <c r="D56" s="4" t="s">
        <v>272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273</v>
      </c>
      <c r="C62" s="3" t="s">
        <v>274</v>
      </c>
      <c r="D62" s="4" t="s">
        <v>275</v>
      </c>
    </row>
    <row r="63" spans="2:7" ht="28.5" x14ac:dyDescent="0.2">
      <c r="B63" s="3" t="s">
        <v>276</v>
      </c>
      <c r="C63" s="4" t="s">
        <v>277</v>
      </c>
      <c r="D63" s="4" t="s">
        <v>278</v>
      </c>
    </row>
    <row r="64" spans="2:7" ht="28.5" x14ac:dyDescent="0.2">
      <c r="B64" s="3" t="s">
        <v>279</v>
      </c>
      <c r="C64" s="4" t="s">
        <v>280</v>
      </c>
      <c r="D64" s="4" t="s">
        <v>281</v>
      </c>
    </row>
    <row r="65" spans="2:4" x14ac:dyDescent="0.2">
      <c r="B65" s="3" t="s">
        <v>282</v>
      </c>
      <c r="C65" s="4" t="s">
        <v>283</v>
      </c>
      <c r="D65" s="4" t="s">
        <v>284</v>
      </c>
    </row>
    <row r="66" spans="2:4" ht="28.5" x14ac:dyDescent="0.2">
      <c r="B66" s="3" t="s">
        <v>285</v>
      </c>
      <c r="C66" s="4" t="s">
        <v>286</v>
      </c>
      <c r="D66" s="4" t="s">
        <v>287</v>
      </c>
    </row>
    <row r="67" spans="2:4" ht="28.5" x14ac:dyDescent="0.2">
      <c r="B67" s="3" t="s">
        <v>288</v>
      </c>
      <c r="C67" s="4" t="s">
        <v>289</v>
      </c>
      <c r="D67" s="4" t="s">
        <v>290</v>
      </c>
    </row>
    <row r="68" spans="2:4" ht="28.5" x14ac:dyDescent="0.2">
      <c r="B68" s="3" t="s">
        <v>291</v>
      </c>
      <c r="C68" s="4" t="s">
        <v>292</v>
      </c>
      <c r="D68" s="4" t="s">
        <v>293</v>
      </c>
    </row>
    <row r="69" spans="2:4" ht="28.5" x14ac:dyDescent="0.2">
      <c r="B69" s="3" t="s">
        <v>294</v>
      </c>
      <c r="C69" s="4" t="s">
        <v>295</v>
      </c>
      <c r="D69" s="4" t="s">
        <v>296</v>
      </c>
    </row>
    <row r="70" spans="2:4" x14ac:dyDescent="0.2">
      <c r="B70" s="3" t="s">
        <v>297</v>
      </c>
      <c r="C70" s="4" t="s">
        <v>298</v>
      </c>
      <c r="D70" s="4" t="s">
        <v>299</v>
      </c>
    </row>
    <row r="73" spans="2:4" ht="17.25" x14ac:dyDescent="0.2">
      <c r="B73" s="5" t="s">
        <v>103</v>
      </c>
    </row>
    <row r="74" spans="2:4" x14ac:dyDescent="0.2">
      <c r="B74" s="6"/>
    </row>
    <row r="75" spans="2:4" x14ac:dyDescent="0.2">
      <c r="B75" s="7" t="s">
        <v>300</v>
      </c>
    </row>
    <row r="76" spans="2:4" x14ac:dyDescent="0.2">
      <c r="B76" s="7" t="s">
        <v>301</v>
      </c>
    </row>
    <row r="77" spans="2:4" x14ac:dyDescent="0.2">
      <c r="B77" s="7" t="s">
        <v>302</v>
      </c>
    </row>
    <row r="78" spans="2:4" x14ac:dyDescent="0.2">
      <c r="B78" s="7" t="s">
        <v>303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DB8E2-FD51-4A10-9482-A4BCA6FE2326}">
  <dimension ref="B1:G82"/>
  <sheetViews>
    <sheetView zoomScaleNormal="100" workbookViewId="0">
      <selection activeCell="E22" sqref="E2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1167</v>
      </c>
      <c r="G1" t="str">
        <f>"&lt;dl&gt;&lt;dt&gt;" &amp; B1 &amp; "&lt;/dt&gt;&lt;dd&gt;" &amp; C1 &amp; "&lt;/dd&gt;&lt;dd&gt;" &amp; D1 &amp; "&lt;/dd&gt;&lt;/dl&gt;"</f>
        <v>&lt;dl&gt;&lt;dt&gt;一、天贵定义&lt;/dt&gt;&lt;dd&gt;&lt;/dd&gt;&lt;dd&gt;&lt;/dd&gt;&lt;/dl&gt;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1168</v>
      </c>
      <c r="D4" s="4"/>
    </row>
    <row r="5" spans="2:7" ht="42.75" x14ac:dyDescent="0.2">
      <c r="B5" s="3" t="s">
        <v>61</v>
      </c>
      <c r="C5" s="4" t="s">
        <v>1169</v>
      </c>
      <c r="D5" s="4"/>
    </row>
    <row r="6" spans="2:7" ht="42.75" x14ac:dyDescent="0.2">
      <c r="B6" s="3" t="s">
        <v>99</v>
      </c>
      <c r="C6" s="4" t="s">
        <v>1170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1171</v>
      </c>
      <c r="C14" s="4" t="s">
        <v>1172</v>
      </c>
      <c r="D14" s="4" t="s">
        <v>1173</v>
      </c>
    </row>
    <row r="15" spans="2:7" x14ac:dyDescent="0.2">
      <c r="B15" s="3" t="s">
        <v>1174</v>
      </c>
      <c r="C15" s="4" t="s">
        <v>1175</v>
      </c>
      <c r="D15" s="4" t="s">
        <v>1176</v>
      </c>
    </row>
    <row r="16" spans="2:7" x14ac:dyDescent="0.2">
      <c r="B16" s="3" t="s">
        <v>1177</v>
      </c>
      <c r="C16" s="4" t="s">
        <v>1178</v>
      </c>
      <c r="D16" s="4" t="s">
        <v>1179</v>
      </c>
    </row>
    <row r="17" spans="2:7" x14ac:dyDescent="0.2">
      <c r="B17" s="3" t="s">
        <v>800</v>
      </c>
      <c r="C17" s="4" t="s">
        <v>1180</v>
      </c>
      <c r="D17" s="4" t="s">
        <v>802</v>
      </c>
    </row>
    <row r="18" spans="2:7" x14ac:dyDescent="0.2">
      <c r="B18" s="3" t="s">
        <v>1181</v>
      </c>
      <c r="C18" s="4" t="s">
        <v>1182</v>
      </c>
      <c r="D18" s="4" t="s">
        <v>1183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1184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&lt;dl&gt;&lt;dt&gt;命宫​&lt;/dt&gt;&lt;dd&gt;为人端庄有礼，天生有贵气，易得长辈疼爱，一生受人尊重。&lt;/dd&gt;&lt;dd&gt;&lt;/dd&gt;&lt;/dl&gt;</v>
      </c>
    </row>
    <row r="25" spans="2:7" ht="29.25" thickBot="1" x14ac:dyDescent="0.25">
      <c r="B25" s="3" t="s">
        <v>58</v>
      </c>
      <c r="C25" s="4" t="s">
        <v>1185</v>
      </c>
      <c r="D25" s="4"/>
      <c r="E25" s="15"/>
      <c r="G25" t="str">
        <f t="shared" si="0"/>
        <v>&lt;dl&gt;&lt;dt&gt;兄弟宫​&lt;/dt&gt;&lt;dd&gt;兄弟姐妹中有贵气或受长辈宠爱者；在团队中易受领导偏爱。&lt;/dd&gt;&lt;dd&gt;&lt;/dd&gt;&lt;/dl&gt;</v>
      </c>
    </row>
    <row r="26" spans="2:7" ht="29.25" thickBot="1" x14ac:dyDescent="0.25">
      <c r="B26" s="3" t="s">
        <v>50</v>
      </c>
      <c r="C26" s="4" t="s">
        <v>1186</v>
      </c>
      <c r="D26" s="4"/>
      <c r="E26" s="15"/>
      <c r="G26" t="str">
        <f t="shared" si="0"/>
        <v>&lt;dl&gt;&lt;dt&gt;夫妻宫​&lt;/dt&gt;&lt;dd&gt;配偶家世好或有贵气，得配偶家族关爱；婚姻受长辈祝福。&lt;/dd&gt;&lt;dd&gt;&lt;/dd&gt;&lt;/dl&gt;</v>
      </c>
    </row>
    <row r="27" spans="2:7" ht="29.25" thickBot="1" x14ac:dyDescent="0.25">
      <c r="B27" s="3" t="s">
        <v>53</v>
      </c>
      <c r="C27" s="4" t="s">
        <v>1187</v>
      </c>
      <c r="D27" s="4"/>
      <c r="E27" s="15"/>
      <c r="G27" t="str">
        <f t="shared" si="0"/>
        <v>&lt;dl&gt;&lt;dt&gt;子女宫​&lt;/dt&gt;&lt;dd&gt;子女有贵气，得长辈宠爱；在合作中易得对方优待。&lt;/dd&gt;&lt;dd&gt;&lt;/dd&gt;&lt;/dl&gt;</v>
      </c>
    </row>
    <row r="28" spans="2:7" ht="29.25" thickBot="1" x14ac:dyDescent="0.25">
      <c r="B28" s="3" t="s">
        <v>1</v>
      </c>
      <c r="C28" s="4" t="s">
        <v>1188</v>
      </c>
      <c r="D28" s="4"/>
      <c r="E28" s="15"/>
      <c r="G28" t="str">
        <f t="shared" si="0"/>
        <v>&lt;dl&gt;&lt;dt&gt;财帛宫​&lt;/dt&gt;&lt;dd&gt;钱财来源正派，易因长辈赠与、遗产或上级嘉奖得财。&lt;/dd&gt;&lt;dd&gt;&lt;/dd&gt;&lt;/dl&gt;</v>
      </c>
    </row>
    <row r="29" spans="2:7" ht="16.5" thickBot="1" x14ac:dyDescent="0.25">
      <c r="B29" s="3" t="s">
        <v>2</v>
      </c>
      <c r="C29" s="4" t="s">
        <v>1189</v>
      </c>
      <c r="D29" s="4"/>
      <c r="E29" s="15"/>
      <c r="G29" t="str">
        <f t="shared" si="0"/>
        <v>&lt;dl&gt;&lt;dt&gt;疾厄宫​&lt;/dt&gt;&lt;dd&gt;能得到贵重的医疗资源或名医诊治；病情受关照。&lt;/dd&gt;&lt;dd&gt;&lt;/dd&gt;&lt;/dl&gt;</v>
      </c>
    </row>
    <row r="30" spans="2:7" ht="28.5" x14ac:dyDescent="0.2">
      <c r="B30" s="3" t="s">
        <v>5</v>
      </c>
      <c r="C30" s="4" t="s">
        <v>1190</v>
      </c>
      <c r="D30" s="4"/>
    </row>
    <row r="31" spans="2:7" ht="28.5" x14ac:dyDescent="0.2">
      <c r="B31" s="3" t="s">
        <v>4</v>
      </c>
      <c r="C31" s="4" t="s">
        <v>1191</v>
      </c>
      <c r="D31" s="4"/>
    </row>
    <row r="32" spans="2:7" ht="28.5" x14ac:dyDescent="0.2">
      <c r="B32" s="3" t="s">
        <v>57</v>
      </c>
      <c r="C32" s="3" t="s">
        <v>1192</v>
      </c>
      <c r="D32" s="4"/>
    </row>
    <row r="33" spans="2:7" ht="29.25" thickBot="1" x14ac:dyDescent="0.25">
      <c r="B33" s="3" t="s">
        <v>0</v>
      </c>
      <c r="C33" s="4" t="s">
        <v>1193</v>
      </c>
      <c r="D33" s="4"/>
    </row>
    <row r="34" spans="2:7" ht="29.25" thickBot="1" x14ac:dyDescent="0.25">
      <c r="B34" s="3" t="s">
        <v>41</v>
      </c>
      <c r="C34" s="4" t="s">
        <v>1194</v>
      </c>
      <c r="D34" s="4"/>
      <c r="E34" s="12"/>
    </row>
    <row r="35" spans="2:7" ht="29.25" thickBot="1" x14ac:dyDescent="0.25">
      <c r="B35" s="3" t="s">
        <v>3</v>
      </c>
      <c r="C35" s="3" t="s">
        <v>1195</v>
      </c>
      <c r="D35" s="4"/>
      <c r="E35" s="15"/>
      <c r="G35" t="str">
        <f t="shared" si="0"/>
        <v>&lt;dl&gt;&lt;dt&gt;父母宫​&lt;/dt&gt;&lt;dd&gt;核心宫位。父母有贵气或社会地位，得父母极度宠爱与庇荫。&lt;/dd&gt;&lt;dd&gt;&lt;/dd&gt;&lt;/dl&gt;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1196</v>
      </c>
      <c r="E40" s="15"/>
      <c r="G40" t="str">
        <f t="shared" si="0"/>
        <v>&lt;dl&gt;&lt;dt&gt;1. 增强贵气受宠组合&lt;/dt&gt;&lt;dd&gt;&lt;/dd&gt;&lt;dd&gt;&lt;/dd&gt;&lt;/dl&gt;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1197</v>
      </c>
      <c r="C43" s="4" t="s">
        <v>1198</v>
      </c>
      <c r="D43" s="4" t="s">
        <v>1199</v>
      </c>
      <c r="E43" s="15"/>
      <c r="G43" t="str">
        <f t="shared" si="0"/>
        <v>&lt;dl&gt;&lt;dt&gt;天贵+紫微​&lt;/dt&gt;&lt;dd&gt;贵气逼人，有帝王般的尊崇，易得最高层长辈或权威人士的极度赏识与宠爱。&lt;/dd&gt;&lt;dd&gt;世家子弟；被公司创始人视为接班人培养。&lt;/dd&gt;&lt;/dl&gt;</v>
      </c>
    </row>
    <row r="44" spans="2:7" ht="28.5" x14ac:dyDescent="0.2">
      <c r="B44" s="3" t="s">
        <v>1200</v>
      </c>
      <c r="C44" s="4" t="s">
        <v>1201</v>
      </c>
      <c r="D44" s="4" t="s">
        <v>1202</v>
      </c>
    </row>
    <row r="45" spans="2:7" ht="28.5" x14ac:dyDescent="0.2">
      <c r="B45" s="3" t="s">
        <v>1203</v>
      </c>
      <c r="C45" s="4" t="s">
        <v>1204</v>
      </c>
      <c r="D45" s="4" t="s">
        <v>1205</v>
      </c>
    </row>
    <row r="46" spans="2:7" ht="28.5" x14ac:dyDescent="0.2">
      <c r="B46" s="3" t="s">
        <v>1206</v>
      </c>
      <c r="C46" s="4" t="s">
        <v>1207</v>
      </c>
      <c r="D46" s="4" t="s">
        <v>1208</v>
      </c>
    </row>
    <row r="47" spans="2:7" ht="29.25" thickBot="1" x14ac:dyDescent="0.25">
      <c r="B47" s="3" t="s">
        <v>1209</v>
      </c>
      <c r="C47" s="4" t="s">
        <v>1210</v>
      </c>
      <c r="D47" s="4" t="s">
        <v>1211</v>
      </c>
    </row>
    <row r="48" spans="2:7" ht="16.5" thickBot="1" x14ac:dyDescent="0.25">
      <c r="E48" s="12"/>
    </row>
    <row r="49" spans="2:7" ht="16.5" thickBot="1" x14ac:dyDescent="0.25">
      <c r="B49" s="13" t="s">
        <v>1212</v>
      </c>
      <c r="E49" s="15"/>
      <c r="G49" t="str">
        <f t="shared" si="0"/>
        <v>&lt;dl&gt;&lt;dt&gt;2. 专业化与受赏识组合&lt;/dt&gt;&lt;dd&gt;&lt;/dd&gt;&lt;dd&gt;&lt;/dd&gt;&lt;/dl&gt;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1213</v>
      </c>
      <c r="C52" s="4" t="s">
        <v>1214</v>
      </c>
      <c r="D52" s="4" t="s">
        <v>1215</v>
      </c>
      <c r="E52" s="15"/>
      <c r="G52" t="str">
        <f t="shared" si="0"/>
        <v>&lt;dl&gt;&lt;dt&gt;天贵+天机​&lt;/dt&gt;&lt;dd&gt;因聪明、机巧而得长辈喜爱，易得师长、前辈的智慧点拨与提携。&lt;/dd&gt;&lt;dd&gt;老师的得意门生；被技术前辈收为徒弟。&lt;/dd&gt;&lt;/dl&gt;</v>
      </c>
    </row>
    <row r="53" spans="2:7" ht="28.5" x14ac:dyDescent="0.2">
      <c r="B53" s="3" t="s">
        <v>1216</v>
      </c>
      <c r="C53" s="4" t="s">
        <v>1217</v>
      </c>
      <c r="D53" s="4" t="s">
        <v>1218</v>
      </c>
    </row>
    <row r="54" spans="2:7" ht="28.5" x14ac:dyDescent="0.2">
      <c r="B54" s="3" t="s">
        <v>1219</v>
      </c>
      <c r="C54" s="4" t="s">
        <v>1220</v>
      </c>
      <c r="D54" s="4" t="s">
        <v>1221</v>
      </c>
    </row>
    <row r="55" spans="2:7" ht="28.5" x14ac:dyDescent="0.2">
      <c r="B55" s="3" t="s">
        <v>1222</v>
      </c>
      <c r="C55" s="4" t="s">
        <v>1223</v>
      </c>
      <c r="D55" s="4" t="s">
        <v>1224</v>
      </c>
    </row>
    <row r="56" spans="2:7" ht="28.5" x14ac:dyDescent="0.2">
      <c r="B56" s="3" t="s">
        <v>1225</v>
      </c>
      <c r="C56" s="4" t="s">
        <v>1226</v>
      </c>
      <c r="D56" s="4" t="s">
        <v>1227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1228</v>
      </c>
      <c r="C62" s="3" t="s">
        <v>1229</v>
      </c>
      <c r="D62" s="4" t="s">
        <v>1230</v>
      </c>
    </row>
    <row r="63" spans="2:7" ht="28.5" x14ac:dyDescent="0.2">
      <c r="B63" s="3" t="s">
        <v>1231</v>
      </c>
      <c r="C63" s="3" t="s">
        <v>1232</v>
      </c>
      <c r="D63" s="4" t="s">
        <v>1233</v>
      </c>
    </row>
    <row r="64" spans="2:7" ht="28.5" x14ac:dyDescent="0.2">
      <c r="B64" s="3" t="s">
        <v>1234</v>
      </c>
      <c r="C64" s="4" t="s">
        <v>1235</v>
      </c>
      <c r="D64" s="4" t="s">
        <v>1236</v>
      </c>
    </row>
    <row r="65" spans="2:4" ht="28.5" x14ac:dyDescent="0.2">
      <c r="B65" s="3" t="s">
        <v>1237</v>
      </c>
      <c r="C65" s="4" t="s">
        <v>1238</v>
      </c>
      <c r="D65" s="4" t="s">
        <v>1239</v>
      </c>
    </row>
    <row r="66" spans="2:4" ht="28.5" x14ac:dyDescent="0.2">
      <c r="B66" s="3" t="s">
        <v>1240</v>
      </c>
      <c r="C66" s="4" t="s">
        <v>1241</v>
      </c>
      <c r="D66" s="4" t="s">
        <v>1242</v>
      </c>
    </row>
    <row r="67" spans="2:4" ht="28.5" x14ac:dyDescent="0.2">
      <c r="B67" s="3" t="s">
        <v>1243</v>
      </c>
      <c r="C67" s="4" t="s">
        <v>1244</v>
      </c>
      <c r="D67" s="4" t="s">
        <v>1245</v>
      </c>
    </row>
    <row r="68" spans="2:4" ht="28.5" x14ac:dyDescent="0.2">
      <c r="B68" s="3" t="s">
        <v>1246</v>
      </c>
      <c r="C68" s="4" t="s">
        <v>1247</v>
      </c>
      <c r="D68" s="4" t="s">
        <v>1248</v>
      </c>
    </row>
    <row r="69" spans="2:4" ht="28.5" x14ac:dyDescent="0.2">
      <c r="B69" s="3" t="s">
        <v>1249</v>
      </c>
      <c r="C69" s="4" t="s">
        <v>1250</v>
      </c>
      <c r="D69" s="4" t="s">
        <v>1251</v>
      </c>
    </row>
    <row r="70" spans="2:4" ht="28.5" x14ac:dyDescent="0.2">
      <c r="B70" s="3" t="s">
        <v>1252</v>
      </c>
      <c r="C70" s="4" t="s">
        <v>1253</v>
      </c>
      <c r="D70" s="4" t="s">
        <v>1254</v>
      </c>
    </row>
    <row r="71" spans="2:4" ht="28.5" x14ac:dyDescent="0.2">
      <c r="B71" s="3" t="s">
        <v>1255</v>
      </c>
      <c r="C71" s="4" t="s">
        <v>1256</v>
      </c>
      <c r="D71" s="4" t="s">
        <v>1257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1258</v>
      </c>
    </row>
    <row r="77" spans="2:4" x14ac:dyDescent="0.2">
      <c r="B77" s="7" t="s">
        <v>1259</v>
      </c>
    </row>
    <row r="78" spans="2:4" x14ac:dyDescent="0.2">
      <c r="B78" s="7" t="s">
        <v>1260</v>
      </c>
    </row>
    <row r="79" spans="2:4" x14ac:dyDescent="0.2">
      <c r="B79" s="7" t="s">
        <v>1261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C5A7-FEE7-4544-8CBF-C75B10B1067D}">
  <dimension ref="B1:G82"/>
  <sheetViews>
    <sheetView zoomScaleNormal="100" workbookViewId="0">
      <selection activeCell="D23" sqref="D23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304</v>
      </c>
      <c r="G1" t="str">
        <f>"&lt;dl&gt;&lt;dt&gt;" &amp; B1 &amp; "&lt;/dt&gt;&lt;dd&gt;" &amp; C1 &amp; "&lt;/dd&gt;&lt;dd&gt;" &amp; D1 &amp; "&lt;/dd&gt;&lt;/dl&gt;"</f>
        <v>&lt;dl&gt;&lt;dt&gt;一、红鸾定义&lt;/dt&gt;&lt;dd&gt;&lt;/dd&gt;&lt;dd&gt;&lt;/dd&gt;&lt;/dl&gt;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305</v>
      </c>
      <c r="D4" s="4"/>
    </row>
    <row r="5" spans="2:7" ht="42.75" x14ac:dyDescent="0.2">
      <c r="B5" s="3" t="s">
        <v>61</v>
      </c>
      <c r="C5" s="4" t="s">
        <v>306</v>
      </c>
      <c r="D5" s="4"/>
    </row>
    <row r="6" spans="2:7" ht="28.5" x14ac:dyDescent="0.2">
      <c r="B6" s="3" t="s">
        <v>99</v>
      </c>
      <c r="C6" s="4" t="s">
        <v>307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308</v>
      </c>
      <c r="C14" s="4" t="s">
        <v>309</v>
      </c>
      <c r="D14" s="4" t="s">
        <v>310</v>
      </c>
    </row>
    <row r="15" spans="2:7" x14ac:dyDescent="0.2">
      <c r="B15" s="3" t="s">
        <v>311</v>
      </c>
      <c r="C15" s="4" t="s">
        <v>312</v>
      </c>
      <c r="D15" s="4" t="s">
        <v>313</v>
      </c>
    </row>
    <row r="16" spans="2:7" x14ac:dyDescent="0.2">
      <c r="B16" s="3" t="s">
        <v>314</v>
      </c>
      <c r="C16" s="4" t="s">
        <v>315</v>
      </c>
      <c r="D16" s="4" t="s">
        <v>316</v>
      </c>
    </row>
    <row r="17" spans="2:7" x14ac:dyDescent="0.2">
      <c r="B17" s="3" t="s">
        <v>317</v>
      </c>
      <c r="C17" s="4" t="s">
        <v>318</v>
      </c>
      <c r="D17" s="4" t="s">
        <v>319</v>
      </c>
    </row>
    <row r="18" spans="2:7" x14ac:dyDescent="0.2">
      <c r="B18" s="3" t="s">
        <v>320</v>
      </c>
      <c r="C18" s="4" t="s">
        <v>321</v>
      </c>
      <c r="D18" s="4" t="s">
        <v>322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323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&lt;dl&gt;&lt;dt&gt;命宫​&lt;/dt&gt;&lt;dd&gt;相貌讨喜，性格热情，异性缘佳，一生多喜庆机遇，亦需注意血光。&lt;/dd&gt;&lt;dd&gt;&lt;/dd&gt;&lt;/dl&gt;</v>
      </c>
    </row>
    <row r="25" spans="2:7" ht="29.25" thickBot="1" x14ac:dyDescent="0.25">
      <c r="B25" s="3" t="s">
        <v>58</v>
      </c>
      <c r="C25" s="4" t="s">
        <v>324</v>
      </c>
      <c r="D25" s="4"/>
      <c r="E25" s="15"/>
      <c r="G25" t="str">
        <f t="shared" si="0"/>
        <v>&lt;dl&gt;&lt;dt&gt;兄弟宫​&lt;/dt&gt;&lt;dd&gt;兄弟姐妹中多早婚或人缘好；与同事、同学关系融洽。&lt;/dd&gt;&lt;dd&gt;&lt;/dd&gt;&lt;/dl&gt;</v>
      </c>
    </row>
    <row r="26" spans="2:7" ht="29.25" thickBot="1" x14ac:dyDescent="0.25">
      <c r="B26" s="3" t="s">
        <v>50</v>
      </c>
      <c r="C26" s="3" t="s">
        <v>325</v>
      </c>
      <c r="D26" s="4"/>
      <c r="E26" s="15"/>
      <c r="G26" t="str">
        <f t="shared" si="0"/>
        <v>&lt;dl&gt;&lt;dt&gt;夫妻宫​&lt;/dt&gt;&lt;dd&gt;核心宫位。配偶貌美或有魅力，婚姻生活多情趣，为正式婚缘的标志。&lt;/dd&gt;&lt;dd&gt;&lt;/dd&gt;&lt;/dl&gt;</v>
      </c>
    </row>
    <row r="27" spans="2:7" ht="29.25" thickBot="1" x14ac:dyDescent="0.25">
      <c r="B27" s="3" t="s">
        <v>53</v>
      </c>
      <c r="C27" s="4" t="s">
        <v>326</v>
      </c>
      <c r="D27" s="4"/>
      <c r="E27" s="15"/>
      <c r="G27" t="str">
        <f t="shared" si="0"/>
        <v>&lt;dl&gt;&lt;dt&gt;子女宫​&lt;/dt&gt;&lt;dd&gt;子女可爱讨喜；有怀孕、生产之象；在娱乐、创作方面有喜事。&lt;/dd&gt;&lt;dd&gt;&lt;/dd&gt;&lt;/dl&gt;</v>
      </c>
    </row>
    <row r="28" spans="2:7" ht="29.25" thickBot="1" x14ac:dyDescent="0.25">
      <c r="B28" s="3" t="s">
        <v>1</v>
      </c>
      <c r="C28" s="4" t="s">
        <v>327</v>
      </c>
      <c r="D28" s="4"/>
      <c r="E28" s="15"/>
      <c r="G28" t="str">
        <f t="shared" si="0"/>
        <v>&lt;dl&gt;&lt;dt&gt;财帛宫​&lt;/dt&gt;&lt;dd&gt;钱财来源于与人缘、喜庆相关的行业（如婚庆、娱乐）；因喜事得财。&lt;/dd&gt;&lt;dd&gt;&lt;/dd&gt;&lt;/dl&gt;</v>
      </c>
    </row>
    <row r="29" spans="2:7" ht="29.25" thickBot="1" x14ac:dyDescent="0.25">
      <c r="B29" s="3" t="s">
        <v>2</v>
      </c>
      <c r="C29" s="4" t="s">
        <v>328</v>
      </c>
      <c r="D29" s="4"/>
      <c r="E29" s="15"/>
      <c r="G29" t="str">
        <f t="shared" si="0"/>
        <v>&lt;dl&gt;&lt;dt&gt;疾厄宫​&lt;/dt&gt;&lt;dd&gt;注意与血液、生殖系统相关的疾病；有手术、生产之象。&lt;/dd&gt;&lt;dd&gt;&lt;/dd&gt;&lt;/dl&gt;</v>
      </c>
    </row>
    <row r="30" spans="2:7" ht="28.5" x14ac:dyDescent="0.2">
      <c r="B30" s="3" t="s">
        <v>5</v>
      </c>
      <c r="C30" s="4" t="s">
        <v>329</v>
      </c>
      <c r="D30" s="4"/>
    </row>
    <row r="31" spans="2:7" ht="28.5" x14ac:dyDescent="0.2">
      <c r="B31" s="3" t="s">
        <v>4</v>
      </c>
      <c r="C31" s="4" t="s">
        <v>330</v>
      </c>
      <c r="D31" s="4"/>
    </row>
    <row r="32" spans="2:7" ht="28.5" x14ac:dyDescent="0.2">
      <c r="B32" s="3" t="s">
        <v>57</v>
      </c>
      <c r="C32" s="4" t="s">
        <v>331</v>
      </c>
      <c r="D32" s="4"/>
    </row>
    <row r="33" spans="2:7" ht="29.25" thickBot="1" x14ac:dyDescent="0.25">
      <c r="B33" s="3" t="s">
        <v>0</v>
      </c>
      <c r="C33" s="4" t="s">
        <v>332</v>
      </c>
      <c r="D33" s="4"/>
    </row>
    <row r="34" spans="2:7" ht="29.25" thickBot="1" x14ac:dyDescent="0.25">
      <c r="B34" s="3" t="s">
        <v>41</v>
      </c>
      <c r="C34" s="4" t="s">
        <v>333</v>
      </c>
      <c r="D34" s="4"/>
      <c r="E34" s="12"/>
    </row>
    <row r="35" spans="2:7" ht="29.25" thickBot="1" x14ac:dyDescent="0.25">
      <c r="B35" s="3" t="s">
        <v>3</v>
      </c>
      <c r="C35" s="4" t="s">
        <v>334</v>
      </c>
      <c r="D35" s="4"/>
      <c r="E35" s="15"/>
      <c r="G35" t="str">
        <f t="shared" si="0"/>
        <v>&lt;dl&gt;&lt;dt&gt;父母宫​&lt;/dt&gt;&lt;dd&gt;父母感情好，家庭和睦；父母可能是介绍姻缘的贵人。&lt;/dd&gt;&lt;dd&gt;&lt;/dd&gt;&lt;/dl&gt;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335</v>
      </c>
      <c r="E40" s="15"/>
      <c r="G40" t="str">
        <f t="shared" si="0"/>
        <v>&lt;dl&gt;&lt;dt&gt;1. 吉庆增强组合&lt;/dt&gt;&lt;dd&gt;&lt;/dd&gt;&lt;dd&gt;&lt;/dd&gt;&lt;/dl&gt;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336</v>
      </c>
      <c r="C43" s="4" t="s">
        <v>337</v>
      </c>
      <c r="D43" s="4" t="s">
        <v>338</v>
      </c>
      <c r="E43" s="15"/>
      <c r="G43" t="str">
        <f t="shared" si="0"/>
        <v>&lt;dl&gt;&lt;dt&gt;红鸾+天同​&lt;/dt&gt;&lt;dd&gt;感情丰富，享受恋爱与婚姻生活，婚缘美满，多情趣。&lt;/dd&gt;&lt;dd&gt;夫妻恩爱，生活充满小确幸。&lt;/dd&gt;&lt;/dl&gt;</v>
      </c>
    </row>
    <row r="44" spans="2:7" ht="28.5" x14ac:dyDescent="0.2">
      <c r="B44" s="3" t="s">
        <v>339</v>
      </c>
      <c r="C44" s="4" t="s">
        <v>340</v>
      </c>
      <c r="D44" s="4" t="s">
        <v>341</v>
      </c>
    </row>
    <row r="45" spans="2:7" ht="28.5" x14ac:dyDescent="0.2">
      <c r="B45" s="3" t="s">
        <v>342</v>
      </c>
      <c r="C45" s="4" t="s">
        <v>343</v>
      </c>
      <c r="D45" s="4" t="s">
        <v>344</v>
      </c>
    </row>
    <row r="46" spans="2:7" ht="28.5" x14ac:dyDescent="0.2">
      <c r="B46" s="3" t="s">
        <v>345</v>
      </c>
      <c r="C46" s="4" t="s">
        <v>346</v>
      </c>
      <c r="D46" s="4" t="s">
        <v>347</v>
      </c>
    </row>
    <row r="47" spans="2:7" ht="29.25" thickBot="1" x14ac:dyDescent="0.25">
      <c r="B47" s="3" t="s">
        <v>348</v>
      </c>
      <c r="C47" s="4" t="s">
        <v>349</v>
      </c>
      <c r="D47" s="4" t="s">
        <v>350</v>
      </c>
    </row>
    <row r="48" spans="2:7" ht="16.5" thickBot="1" x14ac:dyDescent="0.25">
      <c r="E48" s="12"/>
    </row>
    <row r="49" spans="2:7" ht="16.5" thickBot="1" x14ac:dyDescent="0.25">
      <c r="B49" s="13" t="s">
        <v>351</v>
      </c>
      <c r="E49" s="15"/>
      <c r="G49" t="str">
        <f t="shared" si="0"/>
        <v>&lt;dl&gt;&lt;dt&gt;2. 感情复杂组合&lt;/dt&gt;&lt;dd&gt;&lt;/dd&gt;&lt;dd&gt;&lt;/dd&gt;&lt;/dl&gt;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352</v>
      </c>
      <c r="C52" s="3" t="s">
        <v>353</v>
      </c>
      <c r="D52" s="4" t="s">
        <v>354</v>
      </c>
      <c r="E52" s="15"/>
      <c r="G52" t="str">
        <f t="shared" si="0"/>
        <v>&lt;dl&gt;&lt;dt&gt;红鸾+贪狼​&lt;/dt&gt;&lt;dd&gt;标准桃花组合。感情机会多，欲望强烈，易有复杂恋情或婚外情。&lt;/dd&gt;&lt;dd&gt;风流多情，恋情不断，难定于一人。&lt;/dd&gt;&lt;/dl&gt;</v>
      </c>
    </row>
    <row r="53" spans="2:7" ht="28.5" x14ac:dyDescent="0.2">
      <c r="B53" s="3" t="s">
        <v>355</v>
      </c>
      <c r="C53" s="4" t="s">
        <v>356</v>
      </c>
      <c r="D53" s="4" t="s">
        <v>357</v>
      </c>
    </row>
    <row r="54" spans="2:7" ht="28.5" x14ac:dyDescent="0.2">
      <c r="B54" s="3" t="s">
        <v>358</v>
      </c>
      <c r="C54" s="4" t="s">
        <v>359</v>
      </c>
      <c r="D54" s="4" t="s">
        <v>360</v>
      </c>
    </row>
    <row r="55" spans="2:7" ht="28.5" x14ac:dyDescent="0.2">
      <c r="B55" s="3" t="s">
        <v>361</v>
      </c>
      <c r="C55" s="4" t="s">
        <v>362</v>
      </c>
      <c r="D55" s="4" t="s">
        <v>363</v>
      </c>
    </row>
    <row r="56" spans="2:7" ht="28.5" x14ac:dyDescent="0.2">
      <c r="B56" s="3" t="s">
        <v>364</v>
      </c>
      <c r="C56" s="4" t="s">
        <v>365</v>
      </c>
      <c r="D56" s="4" t="s">
        <v>366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367</v>
      </c>
      <c r="C62" s="3" t="s">
        <v>368</v>
      </c>
      <c r="D62" s="4" t="s">
        <v>369</v>
      </c>
    </row>
    <row r="63" spans="2:7" x14ac:dyDescent="0.2">
      <c r="B63" s="3" t="s">
        <v>370</v>
      </c>
      <c r="C63" s="4" t="s">
        <v>371</v>
      </c>
      <c r="D63" s="4" t="s">
        <v>372</v>
      </c>
    </row>
    <row r="64" spans="2:7" ht="28.5" x14ac:dyDescent="0.2">
      <c r="B64" s="3" t="s">
        <v>373</v>
      </c>
      <c r="C64" s="3" t="s">
        <v>374</v>
      </c>
      <c r="D64" s="4" t="s">
        <v>375</v>
      </c>
    </row>
    <row r="65" spans="2:4" ht="28.5" x14ac:dyDescent="0.2">
      <c r="B65" s="3" t="s">
        <v>376</v>
      </c>
      <c r="C65" s="4" t="s">
        <v>377</v>
      </c>
      <c r="D65" s="4" t="s">
        <v>378</v>
      </c>
    </row>
    <row r="66" spans="2:4" ht="28.5" x14ac:dyDescent="0.2">
      <c r="B66" s="3" t="s">
        <v>379</v>
      </c>
      <c r="C66" s="4" t="s">
        <v>380</v>
      </c>
      <c r="D66" s="4" t="s">
        <v>381</v>
      </c>
    </row>
    <row r="67" spans="2:4" ht="28.5" x14ac:dyDescent="0.2">
      <c r="B67" s="3" t="s">
        <v>382</v>
      </c>
      <c r="C67" s="4" t="s">
        <v>383</v>
      </c>
      <c r="D67" s="4" t="s">
        <v>384</v>
      </c>
    </row>
    <row r="68" spans="2:4" ht="28.5" x14ac:dyDescent="0.2">
      <c r="B68" s="3" t="s">
        <v>385</v>
      </c>
      <c r="C68" s="4" t="s">
        <v>386</v>
      </c>
      <c r="D68" s="4" t="s">
        <v>387</v>
      </c>
    </row>
    <row r="69" spans="2:4" ht="28.5" x14ac:dyDescent="0.2">
      <c r="B69" s="3" t="s">
        <v>388</v>
      </c>
      <c r="C69" s="4" t="s">
        <v>389</v>
      </c>
      <c r="D69" s="4" t="s">
        <v>390</v>
      </c>
    </row>
    <row r="70" spans="2:4" ht="28.5" x14ac:dyDescent="0.2">
      <c r="B70" s="3" t="s">
        <v>391</v>
      </c>
      <c r="C70" s="4" t="s">
        <v>392</v>
      </c>
      <c r="D70" s="4" t="s">
        <v>393</v>
      </c>
    </row>
    <row r="71" spans="2:4" ht="28.5" x14ac:dyDescent="0.2">
      <c r="B71" s="3" t="s">
        <v>394</v>
      </c>
      <c r="C71" s="4" t="s">
        <v>395</v>
      </c>
      <c r="D71" s="4" t="s">
        <v>396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397</v>
      </c>
    </row>
    <row r="77" spans="2:4" x14ac:dyDescent="0.2">
      <c r="B77" s="7" t="s">
        <v>398</v>
      </c>
    </row>
    <row r="78" spans="2:4" x14ac:dyDescent="0.2">
      <c r="B78" s="7" t="s">
        <v>399</v>
      </c>
    </row>
    <row r="79" spans="2:4" x14ac:dyDescent="0.2">
      <c r="B79" s="7" t="s">
        <v>400</v>
      </c>
    </row>
    <row r="80" spans="2:4" x14ac:dyDescent="0.2">
      <c r="B80" s="7" t="s">
        <v>401</v>
      </c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8F226-0583-4AD6-8C5C-D1113A0D21FC}">
  <dimension ref="B1:G82"/>
  <sheetViews>
    <sheetView zoomScaleNormal="100" workbookViewId="0">
      <selection activeCell="B1" sqref="B1:D8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402</v>
      </c>
      <c r="G1" t="str">
        <f>"&lt;dl&gt;&lt;dt&gt;" &amp; B1 &amp; "&lt;/dt&gt;&lt;dd&gt;" &amp; C1 &amp; "&lt;/dd&gt;&lt;dd&gt;" &amp; D1 &amp; "&lt;/dd&gt;&lt;/dl&gt;"</f>
        <v>&lt;dl&gt;&lt;dt&gt;一、天喜定义&lt;/dt&gt;&lt;dd&gt;&lt;/dd&gt;&lt;dd&gt;&lt;/dd&gt;&lt;/dl&gt;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403</v>
      </c>
      <c r="D4" s="4"/>
    </row>
    <row r="5" spans="2:7" ht="42.75" x14ac:dyDescent="0.2">
      <c r="B5" s="3" t="s">
        <v>61</v>
      </c>
      <c r="C5" s="4" t="s">
        <v>404</v>
      </c>
      <c r="D5" s="4"/>
    </row>
    <row r="6" spans="2:7" ht="28.5" x14ac:dyDescent="0.2">
      <c r="B6" s="3" t="s">
        <v>99</v>
      </c>
      <c r="C6" s="4" t="s">
        <v>405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x14ac:dyDescent="0.2">
      <c r="B14" s="3" t="s">
        <v>406</v>
      </c>
      <c r="C14" s="4" t="s">
        <v>407</v>
      </c>
      <c r="D14" s="4" t="s">
        <v>408</v>
      </c>
    </row>
    <row r="15" spans="2:7" x14ac:dyDescent="0.2">
      <c r="B15" s="3" t="s">
        <v>409</v>
      </c>
      <c r="C15" s="4" t="s">
        <v>410</v>
      </c>
      <c r="D15" s="4" t="s">
        <v>411</v>
      </c>
    </row>
    <row r="16" spans="2:7" ht="28.5" x14ac:dyDescent="0.2">
      <c r="B16" s="3" t="s">
        <v>412</v>
      </c>
      <c r="C16" s="4" t="s">
        <v>413</v>
      </c>
      <c r="D16" s="4" t="s">
        <v>414</v>
      </c>
    </row>
    <row r="17" spans="2:7" ht="28.5" x14ac:dyDescent="0.2">
      <c r="B17" s="3" t="s">
        <v>415</v>
      </c>
      <c r="C17" s="4" t="s">
        <v>416</v>
      </c>
      <c r="D17" s="4" t="s">
        <v>417</v>
      </c>
    </row>
    <row r="18" spans="2:7" x14ac:dyDescent="0.2">
      <c r="B18" s="3" t="s">
        <v>418</v>
      </c>
      <c r="C18" s="4" t="s">
        <v>419</v>
      </c>
      <c r="D18" s="4" t="s">
        <v>420</v>
      </c>
    </row>
    <row r="19" spans="2:7" ht="28.5" x14ac:dyDescent="0.2">
      <c r="B19" s="3" t="s">
        <v>421</v>
      </c>
      <c r="C19" s="4" t="s">
        <v>422</v>
      </c>
      <c r="D19" s="4" t="s">
        <v>423</v>
      </c>
    </row>
    <row r="22" spans="2:7" ht="18" thickBot="1" x14ac:dyDescent="0.25">
      <c r="B22" s="5" t="s">
        <v>102</v>
      </c>
    </row>
    <row r="23" spans="2:7" ht="16.5" thickBot="1" x14ac:dyDescent="0.25">
      <c r="E23" s="12"/>
    </row>
    <row r="24" spans="2:7" ht="16.5" thickBot="1" x14ac:dyDescent="0.25">
      <c r="B24" s="2" t="s">
        <v>6</v>
      </c>
      <c r="C24" s="2" t="s">
        <v>107</v>
      </c>
      <c r="D24" s="2" t="s">
        <v>7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&lt;dl&gt;&lt;dt&gt;宫位​&lt;/dt&gt;&lt;dd&gt;具体象义​&lt;/dd&gt;&lt;dd&gt;文献依据​&lt;/dd&gt;&lt;/dl&gt;</v>
      </c>
    </row>
    <row r="25" spans="2:7" ht="29.25" thickBot="1" x14ac:dyDescent="0.25">
      <c r="B25" s="3" t="s">
        <v>56</v>
      </c>
      <c r="C25" s="4" t="s">
        <v>424</v>
      </c>
      <c r="D25" s="4"/>
      <c r="E25" s="15"/>
      <c r="G25" t="str">
        <f t="shared" si="0"/>
        <v>&lt;dl&gt;&lt;dt&gt;命宫​&lt;/dt&gt;&lt;dd&gt;性格乐观讨喜，一生多喜庆机遇，易有添丁等喜事，人缘佳。&lt;/dd&gt;&lt;dd&gt;&lt;/dd&gt;&lt;/dl&gt;</v>
      </c>
    </row>
    <row r="26" spans="2:7" ht="29.25" thickBot="1" x14ac:dyDescent="0.25">
      <c r="B26" s="3" t="s">
        <v>58</v>
      </c>
      <c r="C26" s="4" t="s">
        <v>425</v>
      </c>
      <c r="D26" s="4"/>
      <c r="E26" s="15"/>
      <c r="G26" t="str">
        <f t="shared" si="0"/>
        <v>&lt;dl&gt;&lt;dt&gt;兄弟宫​&lt;/dt&gt;&lt;dd&gt;兄弟姐妹中多喜事，或与同事、同学关系融洽，团队气氛欢乐。&lt;/dd&gt;&lt;dd&gt;&lt;/dd&gt;&lt;/dl&gt;</v>
      </c>
    </row>
    <row r="27" spans="2:7" ht="29.25" thickBot="1" x14ac:dyDescent="0.25">
      <c r="B27" s="3" t="s">
        <v>50</v>
      </c>
      <c r="C27" s="4" t="s">
        <v>426</v>
      </c>
      <c r="D27" s="4"/>
      <c r="E27" s="15"/>
      <c r="G27" t="str">
        <f t="shared" si="0"/>
        <v>&lt;dl&gt;&lt;dt&gt;夫妻宫​&lt;/dt&gt;&lt;dd&gt;婚姻生活和谐愉快，配偶性格开朗，能带来喜悦；利怀孕。&lt;/dd&gt;&lt;dd&gt;&lt;/dd&gt;&lt;/dl&gt;</v>
      </c>
    </row>
    <row r="28" spans="2:7" ht="29.25" thickBot="1" x14ac:dyDescent="0.25">
      <c r="B28" s="3" t="s">
        <v>53</v>
      </c>
      <c r="C28" s="3" t="s">
        <v>427</v>
      </c>
      <c r="D28" s="4"/>
      <c r="E28" s="15"/>
      <c r="G28" t="str">
        <f t="shared" si="0"/>
        <v>&lt;dl&gt;&lt;dt&gt;子女宫​&lt;/dt&gt;&lt;dd&gt;核心宫位。易怀孕得子，子女活泼可爱；在娱乐、创作方面有喜事。&lt;/dd&gt;&lt;dd&gt;&lt;/dd&gt;&lt;/dl&gt;</v>
      </c>
    </row>
    <row r="29" spans="2:7" ht="29.25" thickBot="1" x14ac:dyDescent="0.25">
      <c r="B29" s="3" t="s">
        <v>1</v>
      </c>
      <c r="C29" s="4" t="s">
        <v>428</v>
      </c>
      <c r="D29" s="4"/>
      <c r="E29" s="15"/>
      <c r="G29" t="str">
        <f t="shared" si="0"/>
        <v>&lt;dl&gt;&lt;dt&gt;财帛宫​&lt;/dt&gt;&lt;dd&gt;钱财来源于喜庆行业（如母婴、婚庆）；因喜事得财或破财。&lt;/dd&gt;&lt;dd&gt;&lt;/dd&gt;&lt;/dl&gt;</v>
      </c>
    </row>
    <row r="30" spans="2:7" ht="28.5" x14ac:dyDescent="0.2">
      <c r="B30" s="3" t="s">
        <v>2</v>
      </c>
      <c r="C30" s="4" t="s">
        <v>429</v>
      </c>
      <c r="D30" s="4"/>
    </row>
    <row r="31" spans="2:7" ht="28.5" x14ac:dyDescent="0.2">
      <c r="B31" s="3" t="s">
        <v>5</v>
      </c>
      <c r="C31" s="4" t="s">
        <v>430</v>
      </c>
      <c r="D31" s="4"/>
    </row>
    <row r="32" spans="2:7" ht="28.5" x14ac:dyDescent="0.2">
      <c r="B32" s="3" t="s">
        <v>4</v>
      </c>
      <c r="C32" s="4" t="s">
        <v>431</v>
      </c>
      <c r="D32" s="4"/>
    </row>
    <row r="33" spans="2:7" ht="29.25" thickBot="1" x14ac:dyDescent="0.25">
      <c r="B33" s="3" t="s">
        <v>57</v>
      </c>
      <c r="C33" s="4" t="s">
        <v>432</v>
      </c>
      <c r="D33" s="4"/>
    </row>
    <row r="34" spans="2:7" ht="29.25" thickBot="1" x14ac:dyDescent="0.25">
      <c r="B34" s="3" t="s">
        <v>0</v>
      </c>
      <c r="C34" s="4" t="s">
        <v>433</v>
      </c>
      <c r="D34" s="4"/>
      <c r="E34" s="12"/>
    </row>
    <row r="35" spans="2:7" ht="16.5" thickBot="1" x14ac:dyDescent="0.25">
      <c r="B35" s="3" t="s">
        <v>41</v>
      </c>
      <c r="C35" s="4" t="s">
        <v>434</v>
      </c>
      <c r="D35" s="4"/>
      <c r="E35" s="15"/>
      <c r="G35" t="str">
        <f t="shared" si="0"/>
        <v>&lt;dl&gt;&lt;dt&gt;福德宫​&lt;/dt&gt;&lt;dd&gt;内心常怀喜悦，精神乐观，懂得享受生活乐趣。&lt;/dd&gt;&lt;dd&gt;&lt;/dd&gt;&lt;/dl&gt;</v>
      </c>
    </row>
    <row r="36" spans="2:7" ht="29.25" thickBot="1" x14ac:dyDescent="0.25">
      <c r="B36" s="3" t="s">
        <v>3</v>
      </c>
      <c r="C36" s="4" t="s">
        <v>435</v>
      </c>
      <c r="D36" s="4"/>
      <c r="E36" s="15"/>
      <c r="G36" t="str">
        <f t="shared" si="0"/>
        <v>&lt;dl&gt;&lt;dt&gt;父母宫​&lt;/dt&gt;&lt;dd&gt;父母关系融洽，家庭温暖；易得长辈馈赠或分享其喜事。&lt;/dd&gt;&lt;dd&gt;&lt;/dd&gt;&lt;/dl&gt;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E38" s="15"/>
      <c r="G38" t="str">
        <f t="shared" si="0"/>
        <v>&lt;dl&gt;&lt;dt&gt;&lt;/dt&gt;&lt;dd&gt;&lt;/dd&gt;&lt;dd&gt;&lt;/dd&gt;&lt;/dl&gt;</v>
      </c>
    </row>
    <row r="39" spans="2:7" ht="18" thickBot="1" x14ac:dyDescent="0.25">
      <c r="B39" s="5" t="s">
        <v>70</v>
      </c>
      <c r="E39" s="15"/>
      <c r="G39" t="str">
        <f t="shared" si="0"/>
        <v>&lt;dl&gt;&lt;dt&gt;四、主星组合象义&lt;/dt&gt;&lt;dd&gt;&lt;/dd&gt;&lt;dd&gt;&lt;/dd&gt;&lt;/dl&gt;</v>
      </c>
    </row>
    <row r="40" spans="2:7" ht="16.5" thickBot="1" x14ac:dyDescent="0.25"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3" t="s">
        <v>335</v>
      </c>
      <c r="E41" s="15"/>
      <c r="G41" t="str">
        <f t="shared" si="0"/>
        <v>&lt;dl&gt;&lt;dt&gt;1. 吉庆增强组合&lt;/dt&gt;&lt;dd&gt;&lt;/dd&gt;&lt;dd&gt;&lt;/dd&gt;&lt;/dl&gt;</v>
      </c>
    </row>
    <row r="42" spans="2:7" ht="16.5" thickBot="1" x14ac:dyDescent="0.25"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2" t="s">
        <v>19</v>
      </c>
      <c r="C43" s="2" t="s">
        <v>73</v>
      </c>
      <c r="D43" s="2" t="s">
        <v>20</v>
      </c>
      <c r="E43" s="15"/>
      <c r="G43" t="str">
        <f t="shared" si="0"/>
        <v>&lt;dl&gt;&lt;dt&gt;组合​&lt;/dt&gt;&lt;dd&gt;效应​&lt;/dd&gt;&lt;dd&gt;典型案例​&lt;/dd&gt;&lt;/dl&gt;</v>
      </c>
    </row>
    <row r="44" spans="2:7" ht="28.5" x14ac:dyDescent="0.2">
      <c r="B44" s="3" t="s">
        <v>436</v>
      </c>
      <c r="C44" s="4" t="s">
        <v>437</v>
      </c>
      <c r="D44" s="4" t="s">
        <v>438</v>
      </c>
    </row>
    <row r="45" spans="2:7" ht="28.5" x14ac:dyDescent="0.2">
      <c r="B45" s="3" t="s">
        <v>439</v>
      </c>
      <c r="C45" s="4" t="s">
        <v>440</v>
      </c>
      <c r="D45" s="4" t="s">
        <v>441</v>
      </c>
    </row>
    <row r="46" spans="2:7" ht="28.5" x14ac:dyDescent="0.2">
      <c r="B46" s="3" t="s">
        <v>442</v>
      </c>
      <c r="C46" s="4" t="s">
        <v>443</v>
      </c>
      <c r="D46" s="4" t="s">
        <v>444</v>
      </c>
    </row>
    <row r="47" spans="2:7" ht="29.25" thickBot="1" x14ac:dyDescent="0.25">
      <c r="B47" s="3" t="s">
        <v>445</v>
      </c>
      <c r="C47" s="4" t="s">
        <v>446</v>
      </c>
      <c r="D47" s="4" t="s">
        <v>447</v>
      </c>
    </row>
    <row r="48" spans="2:7" ht="29.25" thickBot="1" x14ac:dyDescent="0.25">
      <c r="B48" s="3" t="s">
        <v>448</v>
      </c>
      <c r="C48" s="4" t="s">
        <v>449</v>
      </c>
      <c r="D48" s="4" t="s">
        <v>450</v>
      </c>
      <c r="E48" s="12"/>
    </row>
    <row r="49" spans="2:7" ht="16.5" thickBot="1" x14ac:dyDescent="0.25"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3" t="s">
        <v>451</v>
      </c>
      <c r="E50" s="15"/>
      <c r="G50" t="str">
        <f t="shared" si="0"/>
        <v>&lt;dl&gt;&lt;dt&gt;2. 喜庆带变动组合&lt;/dt&gt;&lt;dd&gt;&lt;/dd&gt;&lt;dd&gt;&lt;/dd&gt;&lt;/dl&gt;</v>
      </c>
    </row>
    <row r="51" spans="2:7" ht="16.5" thickBot="1" x14ac:dyDescent="0.25"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2" t="s">
        <v>19</v>
      </c>
      <c r="C52" s="2" t="s">
        <v>73</v>
      </c>
      <c r="D52" s="2" t="s">
        <v>20</v>
      </c>
      <c r="E52" s="15"/>
      <c r="G52" t="str">
        <f t="shared" si="0"/>
        <v>&lt;dl&gt;&lt;dt&gt;组合​&lt;/dt&gt;&lt;dd&gt;效应​&lt;/dd&gt;&lt;dd&gt;典型案例​&lt;/dd&gt;&lt;/dl&gt;</v>
      </c>
    </row>
    <row r="53" spans="2:7" ht="28.5" x14ac:dyDescent="0.2">
      <c r="B53" s="3" t="s">
        <v>452</v>
      </c>
      <c r="C53" s="4" t="s">
        <v>453</v>
      </c>
      <c r="D53" s="4" t="s">
        <v>454</v>
      </c>
    </row>
    <row r="54" spans="2:7" ht="28.5" x14ac:dyDescent="0.2">
      <c r="B54" s="3" t="s">
        <v>455</v>
      </c>
      <c r="C54" s="4" t="s">
        <v>456</v>
      </c>
      <c r="D54" s="4" t="s">
        <v>457</v>
      </c>
    </row>
    <row r="55" spans="2:7" ht="28.5" x14ac:dyDescent="0.2">
      <c r="B55" s="3" t="s">
        <v>458</v>
      </c>
      <c r="C55" s="4" t="s">
        <v>459</v>
      </c>
      <c r="D55" s="4" t="s">
        <v>460</v>
      </c>
    </row>
    <row r="56" spans="2:7" ht="28.5" x14ac:dyDescent="0.2">
      <c r="B56" s="3" t="s">
        <v>461</v>
      </c>
      <c r="C56" s="4" t="s">
        <v>462</v>
      </c>
      <c r="D56" s="4" t="s">
        <v>463</v>
      </c>
    </row>
    <row r="57" spans="2:7" ht="28.5" x14ac:dyDescent="0.2">
      <c r="B57" s="3" t="s">
        <v>464</v>
      </c>
      <c r="C57" s="4" t="s">
        <v>465</v>
      </c>
      <c r="D57" s="4" t="s">
        <v>466</v>
      </c>
    </row>
    <row r="60" spans="2:7" ht="17.25" x14ac:dyDescent="0.2">
      <c r="B60" s="5" t="s">
        <v>71</v>
      </c>
    </row>
    <row r="62" spans="2:7" x14ac:dyDescent="0.2">
      <c r="B62" s="2" t="s">
        <v>14</v>
      </c>
      <c r="C62" s="2" t="s">
        <v>75</v>
      </c>
      <c r="D62" s="2" t="s">
        <v>7</v>
      </c>
    </row>
    <row r="63" spans="2:7" ht="28.5" x14ac:dyDescent="0.2">
      <c r="B63" s="3" t="s">
        <v>467</v>
      </c>
      <c r="C63" s="3" t="s">
        <v>468</v>
      </c>
      <c r="D63" s="4" t="s">
        <v>469</v>
      </c>
    </row>
    <row r="64" spans="2:7" ht="28.5" x14ac:dyDescent="0.2">
      <c r="B64" s="3" t="s">
        <v>470</v>
      </c>
      <c r="C64" s="4" t="s">
        <v>471</v>
      </c>
      <c r="D64" s="4" t="s">
        <v>472</v>
      </c>
    </row>
    <row r="65" spans="2:4" ht="28.5" x14ac:dyDescent="0.2">
      <c r="B65" s="3" t="s">
        <v>473</v>
      </c>
      <c r="C65" s="4" t="s">
        <v>474</v>
      </c>
      <c r="D65" s="4" t="s">
        <v>475</v>
      </c>
    </row>
    <row r="66" spans="2:4" x14ac:dyDescent="0.2">
      <c r="B66" s="3" t="s">
        <v>476</v>
      </c>
      <c r="C66" s="4" t="s">
        <v>477</v>
      </c>
      <c r="D66" s="4" t="s">
        <v>478</v>
      </c>
    </row>
    <row r="67" spans="2:4" ht="28.5" x14ac:dyDescent="0.2">
      <c r="B67" s="3" t="s">
        <v>479</v>
      </c>
      <c r="C67" s="4" t="s">
        <v>480</v>
      </c>
      <c r="D67" s="4" t="s">
        <v>481</v>
      </c>
    </row>
    <row r="68" spans="2:4" ht="28.5" x14ac:dyDescent="0.2">
      <c r="B68" s="3" t="s">
        <v>482</v>
      </c>
      <c r="C68" s="4" t="s">
        <v>483</v>
      </c>
      <c r="D68" s="4" t="s">
        <v>484</v>
      </c>
    </row>
    <row r="69" spans="2:4" ht="28.5" x14ac:dyDescent="0.2">
      <c r="B69" s="3" t="s">
        <v>485</v>
      </c>
      <c r="C69" s="4" t="s">
        <v>486</v>
      </c>
      <c r="D69" s="4" t="s">
        <v>487</v>
      </c>
    </row>
    <row r="70" spans="2:4" x14ac:dyDescent="0.2">
      <c r="B70" s="3" t="s">
        <v>488</v>
      </c>
      <c r="C70" s="4" t="s">
        <v>489</v>
      </c>
      <c r="D70" s="4" t="s">
        <v>490</v>
      </c>
    </row>
    <row r="71" spans="2:4" ht="28.5" x14ac:dyDescent="0.2">
      <c r="B71" s="3" t="s">
        <v>491</v>
      </c>
      <c r="C71" s="4" t="s">
        <v>492</v>
      </c>
      <c r="D71" s="4" t="s">
        <v>493</v>
      </c>
    </row>
    <row r="72" spans="2:4" ht="28.5" x14ac:dyDescent="0.2">
      <c r="B72" s="3" t="s">
        <v>494</v>
      </c>
      <c r="C72" s="4" t="s">
        <v>495</v>
      </c>
      <c r="D72" s="4" t="s">
        <v>496</v>
      </c>
    </row>
    <row r="75" spans="2:4" ht="17.25" x14ac:dyDescent="0.2">
      <c r="B75" s="5" t="s">
        <v>103</v>
      </c>
    </row>
    <row r="76" spans="2:4" x14ac:dyDescent="0.2">
      <c r="B76" s="6"/>
    </row>
    <row r="77" spans="2:4" x14ac:dyDescent="0.2">
      <c r="B77" s="7" t="s">
        <v>497</v>
      </c>
    </row>
    <row r="78" spans="2:4" x14ac:dyDescent="0.2">
      <c r="B78" s="7" t="s">
        <v>498</v>
      </c>
    </row>
    <row r="79" spans="2:4" x14ac:dyDescent="0.2">
      <c r="B79" s="7" t="s">
        <v>499</v>
      </c>
    </row>
    <row r="80" spans="2:4" x14ac:dyDescent="0.2">
      <c r="B80" s="7" t="s">
        <v>500</v>
      </c>
    </row>
    <row r="81" spans="2:2" x14ac:dyDescent="0.2">
      <c r="B81" s="7" t="s">
        <v>501</v>
      </c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7ECCD-415E-4157-A1CD-05DED01DD518}">
  <dimension ref="B1:G82"/>
  <sheetViews>
    <sheetView zoomScaleNormal="100" workbookViewId="0">
      <selection activeCell="I9" sqref="I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502</v>
      </c>
      <c r="G1" t="str">
        <f>"&lt;dl&gt;&lt;dt&gt;" &amp; B1 &amp; "&lt;/dt&gt;&lt;dd&gt;" &amp; C1 &amp; "&lt;/dd&gt;&lt;dd&gt;" &amp; D1 &amp; "&lt;/dd&gt;&lt;/dl&gt;"</f>
        <v>&lt;dl&gt;&lt;dt&gt;一、天虚定义&lt;/dt&gt;&lt;dd&gt;&lt;/dd&gt;&lt;dd&gt;&lt;/dd&gt;&lt;/dl&gt;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503</v>
      </c>
      <c r="D4" s="4"/>
    </row>
    <row r="5" spans="2:7" ht="28.5" x14ac:dyDescent="0.2">
      <c r="B5" s="3" t="s">
        <v>61</v>
      </c>
      <c r="C5" s="4" t="s">
        <v>504</v>
      </c>
      <c r="D5" s="4"/>
    </row>
    <row r="6" spans="2:7" ht="28.5" x14ac:dyDescent="0.2">
      <c r="B6" s="3" t="s">
        <v>99</v>
      </c>
      <c r="C6" s="4" t="s">
        <v>505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506</v>
      </c>
      <c r="C14" s="4" t="s">
        <v>507</v>
      </c>
      <c r="D14" s="4" t="s">
        <v>206</v>
      </c>
    </row>
    <row r="15" spans="2:7" ht="28.5" x14ac:dyDescent="0.2">
      <c r="B15" s="3" t="s">
        <v>508</v>
      </c>
      <c r="C15" s="4" t="s">
        <v>509</v>
      </c>
      <c r="D15" s="4" t="s">
        <v>510</v>
      </c>
    </row>
    <row r="16" spans="2:7" ht="28.5" x14ac:dyDescent="0.2">
      <c r="B16" s="3" t="s">
        <v>511</v>
      </c>
      <c r="C16" s="4" t="s">
        <v>512</v>
      </c>
      <c r="D16" s="4" t="s">
        <v>513</v>
      </c>
    </row>
    <row r="17" spans="2:7" ht="28.5" x14ac:dyDescent="0.2">
      <c r="B17" s="3" t="s">
        <v>514</v>
      </c>
      <c r="C17" s="4" t="s">
        <v>515</v>
      </c>
      <c r="D17" s="4" t="s">
        <v>516</v>
      </c>
    </row>
    <row r="18" spans="2:7" ht="28.5" x14ac:dyDescent="0.2">
      <c r="B18" s="3" t="s">
        <v>517</v>
      </c>
      <c r="C18" s="4" t="s">
        <v>518</v>
      </c>
      <c r="D18" s="4" t="s">
        <v>519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520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&lt;dl&gt;&lt;dt&gt;命宫​&lt;/dt&gt;&lt;dd&gt;性格内向多忧，自信心不足，身体较弱，一生易有虚耗之事。&lt;/dd&gt;&lt;dd&gt;&lt;/dd&gt;&lt;/dl&gt;</v>
      </c>
    </row>
    <row r="25" spans="2:7" ht="29.25" thickBot="1" x14ac:dyDescent="0.25">
      <c r="B25" s="3" t="s">
        <v>58</v>
      </c>
      <c r="C25" s="4" t="s">
        <v>521</v>
      </c>
      <c r="D25" s="4"/>
      <c r="E25" s="15"/>
      <c r="G25" t="str">
        <f t="shared" si="0"/>
        <v>&lt;dl&gt;&lt;dt&gt;兄弟宫​&lt;/dt&gt;&lt;dd&gt;与兄弟姐妹缘薄或助力少；在团队中易感孤立，同僚关系虚浮。&lt;/dd&gt;&lt;dd&gt;&lt;/dd&gt;&lt;/dl&gt;</v>
      </c>
    </row>
    <row r="26" spans="2:7" ht="29.25" thickBot="1" x14ac:dyDescent="0.25">
      <c r="B26" s="3" t="s">
        <v>50</v>
      </c>
      <c r="C26" s="4" t="s">
        <v>522</v>
      </c>
      <c r="D26" s="4"/>
      <c r="E26" s="15"/>
      <c r="G26" t="str">
        <f t="shared" si="0"/>
        <v>&lt;dl&gt;&lt;dt&gt;夫妻宫​&lt;/dt&gt;&lt;dd&gt;配偶身体可能较弱；感情关系中有不实在的感觉，或婚姻有名无实。&lt;/dd&gt;&lt;dd&gt;&lt;/dd&gt;&lt;/dl&gt;</v>
      </c>
    </row>
    <row r="27" spans="2:7" ht="29.25" thickBot="1" x14ac:dyDescent="0.25">
      <c r="B27" s="3" t="s">
        <v>53</v>
      </c>
      <c r="C27" s="4" t="s">
        <v>523</v>
      </c>
      <c r="D27" s="4"/>
      <c r="E27" s="15"/>
      <c r="G27" t="str">
        <f t="shared" si="0"/>
        <v>&lt;dl&gt;&lt;dt&gt;子女宫​&lt;/dt&gt;&lt;dd&gt;子女身体较弱或缘分薄；在娱乐、创作方面投入多而实质收获少。&lt;/dd&gt;&lt;dd&gt;&lt;/dd&gt;&lt;/dl&gt;</v>
      </c>
    </row>
    <row r="28" spans="2:7" ht="29.25" thickBot="1" x14ac:dyDescent="0.25">
      <c r="B28" s="3" t="s">
        <v>1</v>
      </c>
      <c r="C28" s="3" t="s">
        <v>524</v>
      </c>
      <c r="D28" s="4"/>
      <c r="E28" s="15"/>
      <c r="G28" t="str">
        <f t="shared" si="0"/>
        <v>&lt;dl&gt;&lt;dt&gt;财帛宫​&lt;/dt&gt;&lt;dd&gt;核心宫位。钱财难聚，易有意外损耗，虚花浪费，投资易亏。&lt;/dd&gt;&lt;dd&gt;&lt;/dd&gt;&lt;/dl&gt;</v>
      </c>
    </row>
    <row r="29" spans="2:7" ht="29.25" thickBot="1" x14ac:dyDescent="0.25">
      <c r="B29" s="3" t="s">
        <v>2</v>
      </c>
      <c r="C29" s="4" t="s">
        <v>525</v>
      </c>
      <c r="D29" s="4"/>
      <c r="E29" s="15"/>
      <c r="G29" t="str">
        <f t="shared" si="0"/>
        <v>&lt;dl&gt;&lt;dt&gt;疾厄宫​&lt;/dt&gt;&lt;dd&gt;体质虚弱，易患慢性病、虚症，抵抗力差，病后康复缓慢。&lt;/dd&gt;&lt;dd&gt;&lt;/dd&gt;&lt;/dl&gt;</v>
      </c>
    </row>
    <row r="30" spans="2:7" ht="28.5" x14ac:dyDescent="0.2">
      <c r="B30" s="3" t="s">
        <v>5</v>
      </c>
      <c r="C30" s="4" t="s">
        <v>526</v>
      </c>
      <c r="D30" s="4"/>
    </row>
    <row r="31" spans="2:7" ht="28.5" x14ac:dyDescent="0.2">
      <c r="B31" s="3" t="s">
        <v>4</v>
      </c>
      <c r="C31" s="4" t="s">
        <v>527</v>
      </c>
      <c r="D31" s="4"/>
    </row>
    <row r="32" spans="2:7" ht="28.5" x14ac:dyDescent="0.2">
      <c r="B32" s="3" t="s">
        <v>57</v>
      </c>
      <c r="C32" s="4" t="s">
        <v>528</v>
      </c>
      <c r="D32" s="4"/>
    </row>
    <row r="33" spans="2:7" ht="29.25" thickBot="1" x14ac:dyDescent="0.25">
      <c r="B33" s="3" t="s">
        <v>0</v>
      </c>
      <c r="C33" s="4" t="s">
        <v>529</v>
      </c>
      <c r="D33" s="4"/>
    </row>
    <row r="34" spans="2:7" ht="29.25" thickBot="1" x14ac:dyDescent="0.25">
      <c r="B34" s="3" t="s">
        <v>41</v>
      </c>
      <c r="C34" s="3" t="s">
        <v>530</v>
      </c>
      <c r="D34" s="4"/>
      <c r="E34" s="12"/>
    </row>
    <row r="35" spans="2:7" ht="29.25" thickBot="1" x14ac:dyDescent="0.25">
      <c r="B35" s="3" t="s">
        <v>3</v>
      </c>
      <c r="C35" s="4" t="s">
        <v>531</v>
      </c>
      <c r="D35" s="4"/>
      <c r="E35" s="15"/>
      <c r="G35" t="str">
        <f t="shared" si="0"/>
        <v>&lt;dl&gt;&lt;dt&gt;父母宫​&lt;/dt&gt;&lt;dd&gt;与父母缘分较淡，或得到父母的实质关爱较少；长辈健康需注意。&lt;/dd&gt;&lt;dd&gt;&lt;/dd&gt;&lt;/dl&gt;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532</v>
      </c>
      <c r="E40" s="15"/>
      <c r="G40" t="str">
        <f t="shared" si="0"/>
        <v>&lt;dl&gt;&lt;dt&gt;1. 加重虚耗组合&lt;/dt&gt;&lt;dd&gt;&lt;/dd&gt;&lt;dd&gt;&lt;/dd&gt;&lt;/dl&gt;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533</v>
      </c>
      <c r="C43" s="4" t="s">
        <v>534</v>
      </c>
      <c r="D43" s="4" t="s">
        <v>535</v>
      </c>
      <c r="E43" s="15"/>
      <c r="G43" t="str">
        <f t="shared" si="0"/>
        <v>&lt;dl&gt;&lt;dt&gt;天虚+天同​&lt;/dt&gt;&lt;dd&gt;加重情绪化与空虚感，沉溺于空想而不作为，福气打折扣。&lt;/dd&gt;&lt;dd&gt;想得多做得少，常感人生无趣。&lt;/dd&gt;&lt;/dl&gt;</v>
      </c>
    </row>
    <row r="44" spans="2:7" x14ac:dyDescent="0.2">
      <c r="B44" s="3" t="s">
        <v>536</v>
      </c>
      <c r="C44" s="4" t="s">
        <v>537</v>
      </c>
      <c r="D44" s="4" t="s">
        <v>538</v>
      </c>
    </row>
    <row r="45" spans="2:7" ht="28.5" x14ac:dyDescent="0.2">
      <c r="B45" s="3" t="s">
        <v>539</v>
      </c>
      <c r="C45" s="4" t="s">
        <v>540</v>
      </c>
      <c r="D45" s="4" t="s">
        <v>541</v>
      </c>
    </row>
    <row r="46" spans="2:7" ht="28.5" x14ac:dyDescent="0.2">
      <c r="B46" s="3" t="s">
        <v>542</v>
      </c>
      <c r="C46" s="4" t="s">
        <v>543</v>
      </c>
      <c r="D46" s="4" t="s">
        <v>544</v>
      </c>
    </row>
    <row r="47" spans="2:7" ht="29.25" thickBot="1" x14ac:dyDescent="0.25">
      <c r="B47" s="3" t="s">
        <v>545</v>
      </c>
      <c r="C47" s="4" t="s">
        <v>546</v>
      </c>
      <c r="D47" s="4" t="s">
        <v>547</v>
      </c>
    </row>
    <row r="48" spans="2:7" ht="16.5" thickBot="1" x14ac:dyDescent="0.25">
      <c r="E48" s="12"/>
    </row>
    <row r="49" spans="2:7" ht="16.5" thickBot="1" x14ac:dyDescent="0.25">
      <c r="B49" s="13" t="s">
        <v>548</v>
      </c>
      <c r="E49" s="15"/>
      <c r="G49" t="str">
        <f t="shared" si="0"/>
        <v>&lt;dl&gt;&lt;dt&gt;2. 转化与制约组合&lt;/dt&gt;&lt;dd&gt;&lt;/dd&gt;&lt;dd&gt;&lt;/dd&gt;&lt;/dl&gt;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16.5" thickBot="1" x14ac:dyDescent="0.25">
      <c r="B52" s="3" t="s">
        <v>549</v>
      </c>
      <c r="C52" s="4" t="s">
        <v>550</v>
      </c>
      <c r="D52" s="4" t="s">
        <v>551</v>
      </c>
      <c r="E52" s="15"/>
      <c r="G52" t="str">
        <f t="shared" si="0"/>
        <v>&lt;dl&gt;&lt;dt&gt;天虚+紫微​&lt;/dt&gt;&lt;dd&gt;虚荣心重，追求虚名与排场，导致不必要的损耗。&lt;/dd&gt;&lt;dd&gt;为撑面子挥霍钱财，内里空虚。&lt;/dd&gt;&lt;/dl&gt;</v>
      </c>
    </row>
    <row r="53" spans="2:7" ht="28.5" x14ac:dyDescent="0.2">
      <c r="B53" s="3" t="s">
        <v>552</v>
      </c>
      <c r="C53" s="4" t="s">
        <v>553</v>
      </c>
      <c r="D53" s="4" t="s">
        <v>554</v>
      </c>
    </row>
    <row r="54" spans="2:7" ht="28.5" x14ac:dyDescent="0.2">
      <c r="B54" s="3" t="s">
        <v>555</v>
      </c>
      <c r="C54" s="4" t="s">
        <v>556</v>
      </c>
      <c r="D54" s="4" t="s">
        <v>557</v>
      </c>
    </row>
    <row r="55" spans="2:7" ht="28.5" x14ac:dyDescent="0.2">
      <c r="B55" s="3" t="s">
        <v>558</v>
      </c>
      <c r="C55" s="4" t="s">
        <v>559</v>
      </c>
      <c r="D55" s="4" t="s">
        <v>560</v>
      </c>
    </row>
    <row r="56" spans="2:7" x14ac:dyDescent="0.2">
      <c r="B56" s="3" t="s">
        <v>561</v>
      </c>
      <c r="C56" s="4" t="s">
        <v>562</v>
      </c>
      <c r="D56" s="4" t="s">
        <v>563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564</v>
      </c>
      <c r="C62" s="3" t="s">
        <v>565</v>
      </c>
      <c r="D62" s="4" t="s">
        <v>566</v>
      </c>
    </row>
    <row r="63" spans="2:7" ht="28.5" x14ac:dyDescent="0.2">
      <c r="B63" s="3" t="s">
        <v>567</v>
      </c>
      <c r="C63" s="3" t="s">
        <v>568</v>
      </c>
      <c r="D63" s="4" t="s">
        <v>569</v>
      </c>
    </row>
    <row r="64" spans="2:7" ht="28.5" x14ac:dyDescent="0.2">
      <c r="B64" s="3" t="s">
        <v>570</v>
      </c>
      <c r="C64" s="4" t="s">
        <v>571</v>
      </c>
      <c r="D64" s="4" t="s">
        <v>572</v>
      </c>
    </row>
    <row r="65" spans="2:4" x14ac:dyDescent="0.2">
      <c r="B65" s="3" t="s">
        <v>573</v>
      </c>
      <c r="C65" s="4" t="s">
        <v>574</v>
      </c>
      <c r="D65" s="4" t="s">
        <v>575</v>
      </c>
    </row>
    <row r="66" spans="2:4" x14ac:dyDescent="0.2">
      <c r="B66" s="3" t="s">
        <v>576</v>
      </c>
      <c r="C66" s="4" t="s">
        <v>577</v>
      </c>
      <c r="D66" s="4" t="s">
        <v>578</v>
      </c>
    </row>
    <row r="67" spans="2:4" ht="28.5" x14ac:dyDescent="0.2">
      <c r="B67" s="3" t="s">
        <v>579</v>
      </c>
      <c r="C67" s="4" t="s">
        <v>580</v>
      </c>
      <c r="D67" s="4" t="s">
        <v>581</v>
      </c>
    </row>
    <row r="68" spans="2:4" ht="28.5" x14ac:dyDescent="0.2">
      <c r="B68" s="3" t="s">
        <v>582</v>
      </c>
      <c r="C68" s="4" t="s">
        <v>583</v>
      </c>
      <c r="D68" s="4" t="s">
        <v>584</v>
      </c>
    </row>
    <row r="69" spans="2:4" ht="28.5" x14ac:dyDescent="0.2">
      <c r="B69" s="3" t="s">
        <v>585</v>
      </c>
      <c r="C69" s="4" t="s">
        <v>586</v>
      </c>
      <c r="D69" s="4" t="s">
        <v>587</v>
      </c>
    </row>
    <row r="70" spans="2:4" ht="28.5" x14ac:dyDescent="0.2">
      <c r="B70" s="3" t="s">
        <v>588</v>
      </c>
      <c r="C70" s="4" t="s">
        <v>589</v>
      </c>
      <c r="D70" s="4" t="s">
        <v>590</v>
      </c>
    </row>
    <row r="71" spans="2:4" ht="28.5" x14ac:dyDescent="0.2">
      <c r="B71" s="3" t="s">
        <v>591</v>
      </c>
      <c r="C71" s="4" t="s">
        <v>592</v>
      </c>
      <c r="D71" s="4" t="s">
        <v>593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594</v>
      </c>
    </row>
    <row r="77" spans="2:4" x14ac:dyDescent="0.2">
      <c r="B77" s="7" t="s">
        <v>595</v>
      </c>
    </row>
    <row r="78" spans="2:4" x14ac:dyDescent="0.2">
      <c r="B78" s="7" t="s">
        <v>596</v>
      </c>
    </row>
    <row r="79" spans="2:4" x14ac:dyDescent="0.2">
      <c r="B79" s="7" t="s">
        <v>597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F3CB4-9B7B-4709-A696-C69AA602EACF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598</v>
      </c>
      <c r="G1" t="str">
        <f>"&lt;dl&gt;&lt;dt&gt;" &amp; B1 &amp; "&lt;/dt&gt;&lt;dd&gt;" &amp; C1 &amp; "&lt;/dd&gt;&lt;dd&gt;" &amp; D1 &amp; "&lt;/dd&gt;&lt;/dl&gt;"</f>
        <v>&lt;dl&gt;&lt;dt&gt;一、天姚定义&lt;/dt&gt;&lt;dd&gt;&lt;/dd&gt;&lt;dd&gt;&lt;/dd&gt;&lt;/dl&gt;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599</v>
      </c>
      <c r="D4" s="4"/>
    </row>
    <row r="5" spans="2:7" ht="42.75" x14ac:dyDescent="0.2">
      <c r="B5" s="3" t="s">
        <v>61</v>
      </c>
      <c r="C5" s="4" t="s">
        <v>600</v>
      </c>
      <c r="D5" s="4"/>
    </row>
    <row r="6" spans="2:7" ht="28.5" x14ac:dyDescent="0.2">
      <c r="B6" s="3" t="s">
        <v>99</v>
      </c>
      <c r="C6" s="4" t="s">
        <v>601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602</v>
      </c>
      <c r="C14" s="4" t="s">
        <v>603</v>
      </c>
      <c r="D14" s="4" t="s">
        <v>604</v>
      </c>
    </row>
    <row r="15" spans="2:7" ht="28.5" x14ac:dyDescent="0.2">
      <c r="B15" s="3" t="s">
        <v>605</v>
      </c>
      <c r="C15" s="4" t="s">
        <v>606</v>
      </c>
      <c r="D15" s="4" t="s">
        <v>607</v>
      </c>
    </row>
    <row r="16" spans="2:7" ht="28.5" x14ac:dyDescent="0.2">
      <c r="B16" s="3" t="s">
        <v>608</v>
      </c>
      <c r="C16" s="4" t="s">
        <v>609</v>
      </c>
      <c r="D16" s="4" t="s">
        <v>610</v>
      </c>
    </row>
    <row r="17" spans="2:7" ht="28.5" x14ac:dyDescent="0.2">
      <c r="B17" s="3" t="s">
        <v>611</v>
      </c>
      <c r="C17" s="4" t="s">
        <v>612</v>
      </c>
      <c r="D17" s="4" t="s">
        <v>613</v>
      </c>
    </row>
    <row r="18" spans="2:7" ht="28.5" x14ac:dyDescent="0.2">
      <c r="B18" s="3" t="s">
        <v>614</v>
      </c>
      <c r="C18" s="4" t="s">
        <v>615</v>
      </c>
      <c r="D18" s="4" t="s">
        <v>616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617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&lt;dl&gt;&lt;dt&gt;命宫​&lt;/dt&gt;&lt;dd&gt;外貌俊美，富有魅力，性情浪漫，一生桃花不断，多才多艺。&lt;/dd&gt;&lt;dd&gt;&lt;/dd&gt;&lt;/dl&gt;</v>
      </c>
    </row>
    <row r="25" spans="2:7" ht="29.25" thickBot="1" x14ac:dyDescent="0.25">
      <c r="B25" s="3" t="s">
        <v>58</v>
      </c>
      <c r="C25" s="4" t="s">
        <v>618</v>
      </c>
      <c r="D25" s="4"/>
      <c r="E25" s="15"/>
      <c r="G25" t="str">
        <f t="shared" si="0"/>
        <v>&lt;dl&gt;&lt;dt&gt;兄弟宫​&lt;/dt&gt;&lt;dd&gt;兄弟姐妹有魅力或桃花旺；在团队中善于处理人际关系。&lt;/dd&gt;&lt;dd&gt;&lt;/dd&gt;&lt;/dl&gt;</v>
      </c>
    </row>
    <row r="26" spans="2:7" ht="29.25" thickBot="1" x14ac:dyDescent="0.25">
      <c r="B26" s="3" t="s">
        <v>50</v>
      </c>
      <c r="C26" s="3" t="s">
        <v>619</v>
      </c>
      <c r="D26" s="4"/>
      <c r="E26" s="15"/>
      <c r="G26" t="str">
        <f t="shared" si="0"/>
        <v>&lt;dl&gt;&lt;dt&gt;夫妻宫​&lt;/dt&gt;&lt;dd&gt;核心宫位。配偶貌美或有情趣，感情生活丰富，但易有外情干扰。&lt;/dd&gt;&lt;dd&gt;&lt;/dd&gt;&lt;/dl&gt;</v>
      </c>
    </row>
    <row r="27" spans="2:7" ht="29.25" thickBot="1" x14ac:dyDescent="0.25">
      <c r="B27" s="3" t="s">
        <v>53</v>
      </c>
      <c r="C27" s="4" t="s">
        <v>620</v>
      </c>
      <c r="D27" s="4"/>
      <c r="E27" s="15"/>
      <c r="G27" t="str">
        <f t="shared" si="0"/>
        <v>&lt;dl&gt;&lt;dt&gt;子女宫​&lt;/dt&gt;&lt;dd&gt;子女漂亮可爱；本人性欲较强；在娱乐、创作方面有桃花机遇。&lt;/dd&gt;&lt;dd&gt;&lt;/dd&gt;&lt;/dl&gt;</v>
      </c>
    </row>
    <row r="28" spans="2:7" ht="29.25" thickBot="1" x14ac:dyDescent="0.25">
      <c r="B28" s="3" t="s">
        <v>1</v>
      </c>
      <c r="C28" s="4" t="s">
        <v>621</v>
      </c>
      <c r="D28" s="4"/>
      <c r="E28" s="15"/>
      <c r="G28" t="str">
        <f t="shared" si="0"/>
        <v>&lt;dl&gt;&lt;dt&gt;财帛宫​&lt;/dt&gt;&lt;dd&gt;钱财来源于与异性、艺术、娱乐相关的行业；或因桃花得财/破财。&lt;/dd&gt;&lt;dd&gt;&lt;/dd&gt;&lt;/dl&gt;</v>
      </c>
    </row>
    <row r="29" spans="2:7" ht="29.25" thickBot="1" x14ac:dyDescent="0.25">
      <c r="B29" s="3" t="s">
        <v>2</v>
      </c>
      <c r="C29" s="4" t="s">
        <v>622</v>
      </c>
      <c r="D29" s="4"/>
      <c r="E29" s="15"/>
      <c r="G29" t="str">
        <f t="shared" si="0"/>
        <v>&lt;dl&gt;&lt;dt&gt;疾厄宫​&lt;/dt&gt;&lt;dd&gt;注意生殖系统、泌尿系统疾病；或因纵欲导致身体虚耗。&lt;/dd&gt;&lt;dd&gt;&lt;/dd&gt;&lt;/dl&gt;</v>
      </c>
    </row>
    <row r="30" spans="2:7" ht="28.5" x14ac:dyDescent="0.2">
      <c r="B30" s="3" t="s">
        <v>5</v>
      </c>
      <c r="C30" s="4" t="s">
        <v>623</v>
      </c>
      <c r="D30" s="4"/>
    </row>
    <row r="31" spans="2:7" ht="28.5" x14ac:dyDescent="0.2">
      <c r="B31" s="3" t="s">
        <v>4</v>
      </c>
      <c r="C31" s="4" t="s">
        <v>624</v>
      </c>
      <c r="D31" s="4"/>
    </row>
    <row r="32" spans="2:7" ht="28.5" x14ac:dyDescent="0.2">
      <c r="B32" s="3" t="s">
        <v>57</v>
      </c>
      <c r="C32" s="4" t="s">
        <v>625</v>
      </c>
      <c r="D32" s="4"/>
    </row>
    <row r="33" spans="2:7" ht="29.25" thickBot="1" x14ac:dyDescent="0.25">
      <c r="B33" s="3" t="s">
        <v>0</v>
      </c>
      <c r="C33" s="4" t="s">
        <v>626</v>
      </c>
      <c r="D33" s="4"/>
    </row>
    <row r="34" spans="2:7" ht="29.25" thickBot="1" x14ac:dyDescent="0.25">
      <c r="B34" s="3" t="s">
        <v>41</v>
      </c>
      <c r="C34" s="4" t="s">
        <v>627</v>
      </c>
      <c r="D34" s="4"/>
      <c r="E34" s="12"/>
    </row>
    <row r="35" spans="2:7" ht="29.25" thickBot="1" x14ac:dyDescent="0.25">
      <c r="B35" s="3" t="s">
        <v>3</v>
      </c>
      <c r="C35" s="4" t="s">
        <v>628</v>
      </c>
      <c r="D35" s="4"/>
      <c r="E35" s="15"/>
      <c r="G35" t="str">
        <f t="shared" si="0"/>
        <v>&lt;dl&gt;&lt;dt&gt;父母宫​&lt;/dt&gt;&lt;dd&gt;父母相貌佳或有艺术气质；本人易受异性长辈喜爱。&lt;/dd&gt;&lt;dd&gt;&lt;/dd&gt;&lt;/dl&gt;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629</v>
      </c>
      <c r="E40" s="15"/>
      <c r="G40" t="str">
        <f t="shared" si="0"/>
        <v>&lt;dl&gt;&lt;dt&gt;1. 增强才艺魅力组合&lt;/dt&gt;&lt;dd&gt;&lt;/dd&gt;&lt;dd&gt;&lt;/dd&gt;&lt;/dl&gt;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630</v>
      </c>
      <c r="C43" s="4" t="s">
        <v>631</v>
      </c>
      <c r="D43" s="4" t="s">
        <v>632</v>
      </c>
      <c r="E43" s="15"/>
      <c r="G43" t="str">
        <f t="shared" si="0"/>
        <v>&lt;dl&gt;&lt;dt&gt;天姚+紫微​&lt;/dt&gt;&lt;dd&gt;魅力中带有尊贵与领导气质，桃花对象层次高，多为有地位者。&lt;/dd&gt;&lt;dd&gt;吸引企业高管、社会名流。&lt;/dd&gt;&lt;/dl&gt;</v>
      </c>
    </row>
    <row r="44" spans="2:7" ht="28.5" x14ac:dyDescent="0.2">
      <c r="B44" s="3" t="s">
        <v>633</v>
      </c>
      <c r="C44" s="4" t="s">
        <v>634</v>
      </c>
      <c r="D44" s="4" t="s">
        <v>635</v>
      </c>
    </row>
    <row r="45" spans="2:7" ht="28.5" x14ac:dyDescent="0.2">
      <c r="B45" s="3" t="s">
        <v>636</v>
      </c>
      <c r="C45" s="4" t="s">
        <v>637</v>
      </c>
      <c r="D45" s="4" t="s">
        <v>638</v>
      </c>
    </row>
    <row r="46" spans="2:7" ht="28.5" x14ac:dyDescent="0.2">
      <c r="B46" s="3" t="s">
        <v>639</v>
      </c>
      <c r="C46" s="4" t="s">
        <v>640</v>
      </c>
      <c r="D46" s="4" t="s">
        <v>641</v>
      </c>
    </row>
    <row r="47" spans="2:7" ht="29.25" thickBot="1" x14ac:dyDescent="0.25">
      <c r="B47" s="3" t="s">
        <v>642</v>
      </c>
      <c r="C47" s="4" t="s">
        <v>643</v>
      </c>
      <c r="D47" s="4" t="s">
        <v>644</v>
      </c>
    </row>
    <row r="48" spans="2:7" ht="16.5" thickBot="1" x14ac:dyDescent="0.25">
      <c r="E48" s="12"/>
    </row>
    <row r="49" spans="2:7" ht="16.5" thickBot="1" x14ac:dyDescent="0.25">
      <c r="B49" s="13" t="s">
        <v>645</v>
      </c>
      <c r="E49" s="15"/>
      <c r="G49" t="str">
        <f t="shared" si="0"/>
        <v>&lt;dl&gt;&lt;dt&gt;2. 加重情欲风流组合&lt;/dt&gt;&lt;dd&gt;&lt;/dd&gt;&lt;dd&gt;&lt;/dd&gt;&lt;/dl&gt;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646</v>
      </c>
      <c r="C52" s="3" t="s">
        <v>647</v>
      </c>
      <c r="D52" s="4" t="s">
        <v>648</v>
      </c>
      <c r="E52" s="15"/>
      <c r="G52" t="str">
        <f t="shared" si="0"/>
        <v>&lt;dl&gt;&lt;dt&gt;天姚+贪狼​&lt;/dt&gt;&lt;dd&gt;标准桃花组合。欲望强烈，风流多情，易沉溺酒色，桃花复杂。&lt;/dd&gt;&lt;dd&gt;频繁更换伴侣，流连风月场所。&lt;/dd&gt;&lt;/dl&gt;</v>
      </c>
    </row>
    <row r="53" spans="2:7" ht="28.5" x14ac:dyDescent="0.2">
      <c r="B53" s="3" t="s">
        <v>649</v>
      </c>
      <c r="C53" s="4" t="s">
        <v>650</v>
      </c>
      <c r="D53" s="4" t="s">
        <v>651</v>
      </c>
    </row>
    <row r="54" spans="2:7" ht="28.5" x14ac:dyDescent="0.2">
      <c r="B54" s="3" t="s">
        <v>652</v>
      </c>
      <c r="C54" s="4" t="s">
        <v>653</v>
      </c>
      <c r="D54" s="4" t="s">
        <v>654</v>
      </c>
    </row>
    <row r="55" spans="2:7" ht="28.5" x14ac:dyDescent="0.2">
      <c r="B55" s="3" t="s">
        <v>655</v>
      </c>
      <c r="C55" s="4" t="s">
        <v>656</v>
      </c>
      <c r="D55" s="4" t="s">
        <v>657</v>
      </c>
    </row>
    <row r="56" spans="2:7" ht="28.5" x14ac:dyDescent="0.2">
      <c r="B56" s="3" t="s">
        <v>658</v>
      </c>
      <c r="C56" s="4" t="s">
        <v>659</v>
      </c>
      <c r="D56" s="4" t="s">
        <v>660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661</v>
      </c>
      <c r="C62" s="3" t="s">
        <v>662</v>
      </c>
      <c r="D62" s="4" t="s">
        <v>663</v>
      </c>
    </row>
    <row r="63" spans="2:7" ht="28.5" x14ac:dyDescent="0.2">
      <c r="B63" s="3" t="s">
        <v>664</v>
      </c>
      <c r="C63" s="3" t="s">
        <v>665</v>
      </c>
      <c r="D63" s="4" t="s">
        <v>666</v>
      </c>
    </row>
    <row r="64" spans="2:7" ht="28.5" x14ac:dyDescent="0.2">
      <c r="B64" s="3" t="s">
        <v>667</v>
      </c>
      <c r="C64" s="4" t="s">
        <v>668</v>
      </c>
      <c r="D64" s="4" t="s">
        <v>669</v>
      </c>
    </row>
    <row r="65" spans="2:4" ht="28.5" x14ac:dyDescent="0.2">
      <c r="B65" s="3" t="s">
        <v>670</v>
      </c>
      <c r="C65" s="4" t="s">
        <v>671</v>
      </c>
      <c r="D65" s="4" t="s">
        <v>672</v>
      </c>
    </row>
    <row r="66" spans="2:4" ht="28.5" x14ac:dyDescent="0.2">
      <c r="B66" s="3" t="s">
        <v>673</v>
      </c>
      <c r="C66" s="4" t="s">
        <v>674</v>
      </c>
      <c r="D66" s="4" t="s">
        <v>675</v>
      </c>
    </row>
    <row r="67" spans="2:4" ht="28.5" x14ac:dyDescent="0.2">
      <c r="B67" s="3" t="s">
        <v>676</v>
      </c>
      <c r="C67" s="4" t="s">
        <v>677</v>
      </c>
      <c r="D67" s="4" t="s">
        <v>678</v>
      </c>
    </row>
    <row r="68" spans="2:4" ht="28.5" x14ac:dyDescent="0.2">
      <c r="B68" s="3" t="s">
        <v>679</v>
      </c>
      <c r="C68" s="4" t="s">
        <v>680</v>
      </c>
      <c r="D68" s="4" t="s">
        <v>681</v>
      </c>
    </row>
    <row r="69" spans="2:4" ht="28.5" x14ac:dyDescent="0.2">
      <c r="B69" s="3" t="s">
        <v>682</v>
      </c>
      <c r="C69" s="4" t="s">
        <v>683</v>
      </c>
      <c r="D69" s="4" t="s">
        <v>684</v>
      </c>
    </row>
    <row r="70" spans="2:4" ht="28.5" x14ac:dyDescent="0.2">
      <c r="B70" s="3" t="s">
        <v>685</v>
      </c>
      <c r="C70" s="4" t="s">
        <v>686</v>
      </c>
      <c r="D70" s="4" t="s">
        <v>687</v>
      </c>
    </row>
    <row r="71" spans="2:4" ht="28.5" x14ac:dyDescent="0.2">
      <c r="B71" s="3" t="s">
        <v>688</v>
      </c>
      <c r="C71" s="4" t="s">
        <v>689</v>
      </c>
      <c r="D71" s="4" t="s">
        <v>690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691</v>
      </c>
    </row>
    <row r="77" spans="2:4" x14ac:dyDescent="0.2">
      <c r="B77" s="7" t="s">
        <v>692</v>
      </c>
    </row>
    <row r="78" spans="2:4" x14ac:dyDescent="0.2">
      <c r="B78" s="7" t="s">
        <v>693</v>
      </c>
    </row>
    <row r="79" spans="2:4" x14ac:dyDescent="0.2">
      <c r="B79" s="7" t="s">
        <v>694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26135-416C-400C-8F61-D67ADD2FE0B1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695</v>
      </c>
      <c r="G1" t="str">
        <f>"&lt;dl&gt;&lt;dt&gt;" &amp; B1 &amp; "&lt;/dt&gt;&lt;dd&gt;" &amp; C1 &amp; "&lt;/dd&gt;&lt;dd&gt;" &amp; D1 &amp; "&lt;/dd&gt;&lt;/dl&gt;"</f>
        <v>&lt;dl&gt;&lt;dt&gt;一、咸池定义&lt;/dt&gt;&lt;dd&gt;&lt;/dd&gt;&lt;dd&gt;&lt;/dd&gt;&lt;/dl&gt;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696</v>
      </c>
      <c r="D4" s="4"/>
    </row>
    <row r="5" spans="2:7" ht="42.75" x14ac:dyDescent="0.2">
      <c r="B5" s="3" t="s">
        <v>61</v>
      </c>
      <c r="C5" s="4" t="s">
        <v>697</v>
      </c>
      <c r="D5" s="4"/>
    </row>
    <row r="6" spans="2:7" ht="42.75" x14ac:dyDescent="0.2">
      <c r="B6" s="3" t="s">
        <v>99</v>
      </c>
      <c r="C6" s="4" t="s">
        <v>698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699</v>
      </c>
      <c r="C14" s="4" t="s">
        <v>700</v>
      </c>
      <c r="D14" s="4" t="s">
        <v>206</v>
      </c>
    </row>
    <row r="15" spans="2:7" ht="28.5" x14ac:dyDescent="0.2">
      <c r="B15" s="3" t="s">
        <v>701</v>
      </c>
      <c r="C15" s="4" t="s">
        <v>702</v>
      </c>
      <c r="D15" s="4" t="s">
        <v>607</v>
      </c>
    </row>
    <row r="16" spans="2:7" ht="28.5" x14ac:dyDescent="0.2">
      <c r="B16" s="3" t="s">
        <v>703</v>
      </c>
      <c r="C16" s="4" t="s">
        <v>704</v>
      </c>
      <c r="D16" s="4" t="s">
        <v>610</v>
      </c>
    </row>
    <row r="17" spans="2:7" ht="28.5" x14ac:dyDescent="0.2">
      <c r="B17" s="3" t="s">
        <v>705</v>
      </c>
      <c r="C17" s="4" t="s">
        <v>706</v>
      </c>
      <c r="D17" s="4" t="s">
        <v>510</v>
      </c>
    </row>
    <row r="18" spans="2:7" ht="28.5" x14ac:dyDescent="0.2">
      <c r="B18" s="3" t="s">
        <v>611</v>
      </c>
      <c r="C18" s="4" t="s">
        <v>707</v>
      </c>
      <c r="D18" s="4" t="s">
        <v>708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709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&lt;dl&gt;&lt;dt&gt;命宫​&lt;/dt&gt;&lt;dd&gt;外貌性感有魅力，性情浪漫多情，喜好享乐，一生多酒色机缘。&lt;/dd&gt;&lt;dd&gt;&lt;/dd&gt;&lt;/dl&gt;</v>
      </c>
    </row>
    <row r="25" spans="2:7" ht="29.25" thickBot="1" x14ac:dyDescent="0.25">
      <c r="B25" s="3" t="s">
        <v>58</v>
      </c>
      <c r="C25" s="4" t="s">
        <v>710</v>
      </c>
      <c r="D25" s="4"/>
      <c r="E25" s="15"/>
      <c r="G25" t="str">
        <f t="shared" si="0"/>
        <v>&lt;dl&gt;&lt;dt&gt;兄弟宫​&lt;/dt&gt;&lt;dd&gt;兄弟姐妹中多情场高手或享乐主义者；与同事、同学常进行娱乐活动。&lt;/dd&gt;&lt;dd&gt;&lt;/dd&gt;&lt;/dl&gt;</v>
      </c>
    </row>
    <row r="26" spans="2:7" ht="29.25" thickBot="1" x14ac:dyDescent="0.25">
      <c r="B26" s="3" t="s">
        <v>50</v>
      </c>
      <c r="C26" s="3" t="s">
        <v>711</v>
      </c>
      <c r="D26" s="4"/>
      <c r="E26" s="15"/>
      <c r="G26" t="str">
        <f t="shared" si="0"/>
        <v>&lt;dl&gt;&lt;dt&gt;夫妻宫​&lt;/dt&gt;&lt;dd&gt;核心宫位。配偶性感或有情趣，但感情中易有外情干扰或注重肉欲。&lt;/dd&gt;&lt;dd&gt;&lt;/dd&gt;&lt;/dl&gt;</v>
      </c>
    </row>
    <row r="27" spans="2:7" ht="29.25" thickBot="1" x14ac:dyDescent="0.25">
      <c r="B27" s="3" t="s">
        <v>53</v>
      </c>
      <c r="C27" s="4" t="s">
        <v>712</v>
      </c>
      <c r="D27" s="4"/>
      <c r="E27" s="15"/>
      <c r="G27" t="str">
        <f t="shared" si="0"/>
        <v>&lt;dl&gt;&lt;dt&gt;子女宫​&lt;/dt&gt;&lt;dd&gt;子女漂亮；本人性欲旺盛；在娱乐、创作方面有特殊才华。&lt;/dd&gt;&lt;dd&gt;&lt;/dd&gt;&lt;/dl&gt;</v>
      </c>
    </row>
    <row r="28" spans="2:7" ht="29.25" thickBot="1" x14ac:dyDescent="0.25">
      <c r="B28" s="3" t="s">
        <v>1</v>
      </c>
      <c r="C28" s="4" t="s">
        <v>713</v>
      </c>
      <c r="D28" s="4"/>
      <c r="E28" s="15"/>
      <c r="G28" t="str">
        <f t="shared" si="0"/>
        <v>&lt;dl&gt;&lt;dt&gt;财帛宫​&lt;/dt&gt;&lt;dd&gt;钱财来源于娱乐、酒色、艺术等偏门行业；易因酒色破财或得财。&lt;/dd&gt;&lt;dd&gt;&lt;/dd&gt;&lt;/dl&gt;</v>
      </c>
    </row>
    <row r="29" spans="2:7" ht="29.25" thickBot="1" x14ac:dyDescent="0.25">
      <c r="B29" s="3" t="s">
        <v>2</v>
      </c>
      <c r="C29" s="4" t="s">
        <v>714</v>
      </c>
      <c r="D29" s="4"/>
      <c r="E29" s="15"/>
      <c r="G29" t="str">
        <f t="shared" si="0"/>
        <v>&lt;dl&gt;&lt;dt&gt;疾厄宫​&lt;/dt&gt;&lt;dd&gt;注意因纵欲导致的肾虚、泌尿系统、生殖系统疾病。&lt;/dd&gt;&lt;dd&gt;&lt;/dd&gt;&lt;/dl&gt;</v>
      </c>
    </row>
    <row r="30" spans="2:7" ht="28.5" x14ac:dyDescent="0.2">
      <c r="B30" s="3" t="s">
        <v>5</v>
      </c>
      <c r="C30" s="4" t="s">
        <v>715</v>
      </c>
      <c r="D30" s="4"/>
    </row>
    <row r="31" spans="2:7" ht="28.5" x14ac:dyDescent="0.2">
      <c r="B31" s="3" t="s">
        <v>4</v>
      </c>
      <c r="C31" s="4" t="s">
        <v>716</v>
      </c>
      <c r="D31" s="4"/>
    </row>
    <row r="32" spans="2:7" ht="28.5" x14ac:dyDescent="0.2">
      <c r="B32" s="3" t="s">
        <v>57</v>
      </c>
      <c r="C32" s="4" t="s">
        <v>717</v>
      </c>
      <c r="D32" s="4"/>
    </row>
    <row r="33" spans="2:7" ht="29.25" thickBot="1" x14ac:dyDescent="0.25">
      <c r="B33" s="3" t="s">
        <v>0</v>
      </c>
      <c r="C33" s="4" t="s">
        <v>718</v>
      </c>
      <c r="D33" s="4"/>
    </row>
    <row r="34" spans="2:7" ht="29.25" thickBot="1" x14ac:dyDescent="0.25">
      <c r="B34" s="3" t="s">
        <v>41</v>
      </c>
      <c r="C34" s="4" t="s">
        <v>719</v>
      </c>
      <c r="D34" s="4"/>
      <c r="E34" s="12"/>
    </row>
    <row r="35" spans="2:7" ht="29.25" thickBot="1" x14ac:dyDescent="0.25">
      <c r="B35" s="3" t="s">
        <v>3</v>
      </c>
      <c r="C35" s="4" t="s">
        <v>720</v>
      </c>
      <c r="D35" s="4"/>
      <c r="E35" s="15"/>
      <c r="G35" t="str">
        <f t="shared" si="0"/>
        <v>&lt;dl&gt;&lt;dt&gt;父母宫​&lt;/dt&gt;&lt;dd&gt;父母可能从事娱乐行业或自身感情生活丰富；本人易受享乐主义影响。&lt;/dd&gt;&lt;dd&gt;&lt;/dd&gt;&lt;/dl&gt;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721</v>
      </c>
      <c r="E40" s="15"/>
      <c r="G40" t="str">
        <f t="shared" si="0"/>
        <v>&lt;dl&gt;&lt;dt&gt;1. 增强才艺偏财组合&lt;/dt&gt;&lt;dd&gt;&lt;/dd&gt;&lt;dd&gt;&lt;/dd&gt;&lt;/dl&gt;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722</v>
      </c>
      <c r="C43" s="3" t="s">
        <v>723</v>
      </c>
      <c r="D43" s="4" t="s">
        <v>724</v>
      </c>
      <c r="E43" s="15"/>
      <c r="G43" t="str">
        <f t="shared" si="0"/>
        <v>&lt;dl&gt;&lt;dt&gt;咸池+贪狼​&lt;/dt&gt;&lt;dd&gt;标准酒色财气组合。欲望强烈，多才多艺，善交际，偏财运佳，但易沉溺酒色。&lt;/dd&gt;&lt;dd&gt;娱乐圈人士、公关、销售，靠应酬得财。&lt;/dd&gt;&lt;/dl&gt;</v>
      </c>
    </row>
    <row r="44" spans="2:7" ht="28.5" x14ac:dyDescent="0.2">
      <c r="B44" s="3" t="s">
        <v>725</v>
      </c>
      <c r="C44" s="4" t="s">
        <v>726</v>
      </c>
      <c r="D44" s="4" t="s">
        <v>727</v>
      </c>
    </row>
    <row r="45" spans="2:7" ht="28.5" x14ac:dyDescent="0.2">
      <c r="B45" s="3" t="s">
        <v>728</v>
      </c>
      <c r="C45" s="4" t="s">
        <v>729</v>
      </c>
      <c r="D45" s="4" t="s">
        <v>730</v>
      </c>
    </row>
    <row r="46" spans="2:7" ht="28.5" x14ac:dyDescent="0.2">
      <c r="B46" s="3" t="s">
        <v>731</v>
      </c>
      <c r="C46" s="4" t="s">
        <v>732</v>
      </c>
      <c r="D46" s="4" t="s">
        <v>733</v>
      </c>
    </row>
    <row r="47" spans="2:7" ht="29.25" thickBot="1" x14ac:dyDescent="0.25">
      <c r="B47" s="3" t="s">
        <v>734</v>
      </c>
      <c r="C47" s="4" t="s">
        <v>735</v>
      </c>
      <c r="D47" s="4" t="s">
        <v>736</v>
      </c>
    </row>
    <row r="48" spans="2:7" ht="16.5" thickBot="1" x14ac:dyDescent="0.25">
      <c r="E48" s="12"/>
    </row>
    <row r="49" spans="2:7" ht="16.5" thickBot="1" x14ac:dyDescent="0.25">
      <c r="B49" s="13" t="s">
        <v>737</v>
      </c>
      <c r="E49" s="15"/>
      <c r="G49" t="str">
        <f t="shared" si="0"/>
        <v>&lt;dl&gt;&lt;dt&gt;2. 加重酒色是非组合&lt;/dt&gt;&lt;dd&gt;&lt;/dd&gt;&lt;dd&gt;&lt;/dd&gt;&lt;/dl&gt;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738</v>
      </c>
      <c r="C52" s="4" t="s">
        <v>739</v>
      </c>
      <c r="D52" s="4" t="s">
        <v>740</v>
      </c>
      <c r="E52" s="15"/>
      <c r="G52" t="str">
        <f t="shared" si="0"/>
        <v>&lt;dl&gt;&lt;dt&gt;咸池+巨门​&lt;/dt&gt;&lt;dd&gt;桃花引发口舌是非、秘密曝光，或因酒色之事招惹诽谤。&lt;/dd&gt;&lt;dd&gt;桃色绯闻缠身；因娱乐消费产生纠纷。&lt;/dd&gt;&lt;/dl&gt;</v>
      </c>
    </row>
    <row r="53" spans="2:7" ht="28.5" x14ac:dyDescent="0.2">
      <c r="B53" s="3" t="s">
        <v>741</v>
      </c>
      <c r="C53" s="4" t="s">
        <v>742</v>
      </c>
      <c r="D53" s="4" t="s">
        <v>743</v>
      </c>
    </row>
    <row r="54" spans="2:7" ht="28.5" x14ac:dyDescent="0.2">
      <c r="B54" s="3" t="s">
        <v>744</v>
      </c>
      <c r="C54" s="4" t="s">
        <v>745</v>
      </c>
      <c r="D54" s="4" t="s">
        <v>746</v>
      </c>
    </row>
    <row r="55" spans="2:7" ht="28.5" x14ac:dyDescent="0.2">
      <c r="B55" s="3" t="s">
        <v>747</v>
      </c>
      <c r="C55" s="4" t="s">
        <v>748</v>
      </c>
      <c r="D55" s="4" t="s">
        <v>749</v>
      </c>
    </row>
    <row r="56" spans="2:7" ht="28.5" x14ac:dyDescent="0.2">
      <c r="B56" s="3" t="s">
        <v>750</v>
      </c>
      <c r="C56" s="4" t="s">
        <v>751</v>
      </c>
      <c r="D56" s="4" t="s">
        <v>752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753</v>
      </c>
      <c r="C62" s="3" t="s">
        <v>754</v>
      </c>
      <c r="D62" s="4" t="s">
        <v>755</v>
      </c>
    </row>
    <row r="63" spans="2:7" ht="28.5" x14ac:dyDescent="0.2">
      <c r="B63" s="3" t="s">
        <v>756</v>
      </c>
      <c r="C63" s="4" t="s">
        <v>757</v>
      </c>
      <c r="D63" s="4" t="s">
        <v>758</v>
      </c>
    </row>
    <row r="64" spans="2:7" ht="28.5" x14ac:dyDescent="0.2">
      <c r="B64" s="3" t="s">
        <v>759</v>
      </c>
      <c r="C64" s="3" t="s">
        <v>760</v>
      </c>
      <c r="D64" s="4" t="s">
        <v>761</v>
      </c>
    </row>
    <row r="65" spans="2:4" ht="28.5" x14ac:dyDescent="0.2">
      <c r="B65" s="3" t="s">
        <v>762</v>
      </c>
      <c r="C65" s="4" t="s">
        <v>763</v>
      </c>
      <c r="D65" s="4" t="s">
        <v>764</v>
      </c>
    </row>
    <row r="66" spans="2:4" ht="28.5" x14ac:dyDescent="0.2">
      <c r="B66" s="3" t="s">
        <v>765</v>
      </c>
      <c r="C66" s="4" t="s">
        <v>766</v>
      </c>
      <c r="D66" s="4" t="s">
        <v>767</v>
      </c>
    </row>
    <row r="67" spans="2:4" ht="28.5" x14ac:dyDescent="0.2">
      <c r="B67" s="3" t="s">
        <v>768</v>
      </c>
      <c r="C67" s="4" t="s">
        <v>769</v>
      </c>
      <c r="D67" s="4" t="s">
        <v>770</v>
      </c>
    </row>
    <row r="68" spans="2:4" ht="28.5" x14ac:dyDescent="0.2">
      <c r="B68" s="3" t="s">
        <v>771</v>
      </c>
      <c r="C68" s="4" t="s">
        <v>772</v>
      </c>
      <c r="D68" s="4" t="s">
        <v>773</v>
      </c>
    </row>
    <row r="69" spans="2:4" x14ac:dyDescent="0.2">
      <c r="B69" s="3" t="s">
        <v>774</v>
      </c>
      <c r="C69" s="4" t="s">
        <v>775</v>
      </c>
      <c r="D69" s="4" t="s">
        <v>776</v>
      </c>
    </row>
    <row r="70" spans="2:4" ht="28.5" x14ac:dyDescent="0.2">
      <c r="B70" s="3" t="s">
        <v>777</v>
      </c>
      <c r="C70" s="4" t="s">
        <v>778</v>
      </c>
      <c r="D70" s="4" t="s">
        <v>779</v>
      </c>
    </row>
    <row r="71" spans="2:4" ht="28.5" x14ac:dyDescent="0.2">
      <c r="B71" s="3" t="s">
        <v>780</v>
      </c>
      <c r="C71" s="4" t="s">
        <v>781</v>
      </c>
      <c r="D71" s="4" t="s">
        <v>782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783</v>
      </c>
    </row>
    <row r="77" spans="2:4" x14ac:dyDescent="0.2">
      <c r="B77" s="7" t="s">
        <v>784</v>
      </c>
    </row>
    <row r="78" spans="2:4" x14ac:dyDescent="0.2">
      <c r="B78" s="7" t="s">
        <v>785</v>
      </c>
    </row>
    <row r="79" spans="2:4" x14ac:dyDescent="0.2">
      <c r="B79" s="7" t="s">
        <v>786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CDA1E-157C-4FBA-9079-95CC32EBE9A1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787</v>
      </c>
      <c r="G1" t="str">
        <f>"&lt;dl&gt;&lt;dt&gt;" &amp; B1 &amp; "&lt;/dt&gt;&lt;dd&gt;" &amp; C1 &amp; "&lt;/dd&gt;&lt;dd&gt;" &amp; D1 &amp; "&lt;/dd&gt;&lt;/dl&gt;"</f>
        <v>&lt;dl&gt;&lt;dt&gt;一、台辅定义&lt;/dt&gt;&lt;dd&gt;&lt;/dd&gt;&lt;dd&gt;&lt;/dd&gt;&lt;/dl&gt;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788</v>
      </c>
      <c r="D4" s="4"/>
    </row>
    <row r="5" spans="2:7" ht="42.75" x14ac:dyDescent="0.2">
      <c r="B5" s="3" t="s">
        <v>61</v>
      </c>
      <c r="C5" s="4" t="s">
        <v>789</v>
      </c>
      <c r="D5" s="4"/>
    </row>
    <row r="6" spans="2:7" ht="28.5" x14ac:dyDescent="0.2">
      <c r="B6" s="3" t="s">
        <v>99</v>
      </c>
      <c r="C6" s="4" t="s">
        <v>790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791</v>
      </c>
      <c r="C14" s="4" t="s">
        <v>792</v>
      </c>
      <c r="D14" s="4" t="s">
        <v>793</v>
      </c>
    </row>
    <row r="15" spans="2:7" ht="28.5" x14ac:dyDescent="0.2">
      <c r="B15" s="3" t="s">
        <v>794</v>
      </c>
      <c r="C15" s="4" t="s">
        <v>795</v>
      </c>
      <c r="D15" s="4" t="s">
        <v>796</v>
      </c>
    </row>
    <row r="16" spans="2:7" ht="28.5" x14ac:dyDescent="0.2">
      <c r="B16" s="3" t="s">
        <v>797</v>
      </c>
      <c r="C16" s="4" t="s">
        <v>798</v>
      </c>
      <c r="D16" s="4" t="s">
        <v>799</v>
      </c>
    </row>
    <row r="17" spans="2:7" ht="28.5" x14ac:dyDescent="0.2">
      <c r="B17" s="3" t="s">
        <v>800</v>
      </c>
      <c r="C17" s="4" t="s">
        <v>801</v>
      </c>
      <c r="D17" s="4" t="s">
        <v>802</v>
      </c>
    </row>
    <row r="18" spans="2:7" x14ac:dyDescent="0.2">
      <c r="B18" s="3" t="s">
        <v>803</v>
      </c>
      <c r="C18" s="4" t="s">
        <v>804</v>
      </c>
      <c r="D18" s="4" t="s">
        <v>805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806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&lt;dl&gt;&lt;dt&gt;命宫​&lt;/dt&gt;&lt;dd&gt;为人正直可靠，易得同辈友人相助，一生多实际助力，适合担任副手或管理职位。&lt;/dd&gt;&lt;dd&gt;&lt;/dd&gt;&lt;/dl&gt;</v>
      </c>
    </row>
    <row r="25" spans="2:7" ht="29.25" thickBot="1" x14ac:dyDescent="0.25">
      <c r="B25" s="3" t="s">
        <v>58</v>
      </c>
      <c r="C25" s="4" t="s">
        <v>807</v>
      </c>
      <c r="D25" s="4"/>
      <c r="E25" s="15"/>
      <c r="G25" t="str">
        <f t="shared" si="0"/>
        <v>&lt;dl&gt;&lt;dt&gt;兄弟宫​&lt;/dt&gt;&lt;dd&gt;兄弟姐妹或同事、同学能提供实质性帮助，团队合作顺利。&lt;/dd&gt;&lt;dd&gt;&lt;/dd&gt;&lt;/dl&gt;</v>
      </c>
    </row>
    <row r="26" spans="2:7" ht="29.25" thickBot="1" x14ac:dyDescent="0.25">
      <c r="B26" s="3" t="s">
        <v>50</v>
      </c>
      <c r="C26" s="4" t="s">
        <v>808</v>
      </c>
      <c r="D26" s="4"/>
      <c r="E26" s="15"/>
      <c r="G26" t="str">
        <f t="shared" si="0"/>
        <v>&lt;dl&gt;&lt;dt&gt;夫妻宫​&lt;/dt&gt;&lt;dd&gt;配偶是自己的得力助手，或在事业、生活上能给予实际支持；婚姻关系稳定。&lt;/dd&gt;&lt;dd&gt;&lt;/dd&gt;&lt;/dl&gt;</v>
      </c>
    </row>
    <row r="27" spans="2:7" ht="29.25" thickBot="1" x14ac:dyDescent="0.25">
      <c r="B27" s="3" t="s">
        <v>53</v>
      </c>
      <c r="C27" s="4" t="s">
        <v>809</v>
      </c>
      <c r="D27" s="4"/>
      <c r="E27" s="15"/>
      <c r="G27" t="str">
        <f t="shared" si="0"/>
        <v>&lt;dl&gt;&lt;dt&gt;子女宫​&lt;/dt&gt;&lt;dd&gt;子女能干，是得力助手；在合作、创作项目中易得伙伴鼎力相助。&lt;/dd&gt;&lt;dd&gt;&lt;/dd&gt;&lt;/dl&gt;</v>
      </c>
    </row>
    <row r="28" spans="2:7" ht="29.25" thickBot="1" x14ac:dyDescent="0.25">
      <c r="B28" s="3" t="s">
        <v>1</v>
      </c>
      <c r="C28" s="4" t="s">
        <v>810</v>
      </c>
      <c r="D28" s="4"/>
      <c r="E28" s="15"/>
      <c r="G28" t="str">
        <f t="shared" si="0"/>
        <v>&lt;dl&gt;&lt;dt&gt;财帛宫​&lt;/dt&gt;&lt;dd&gt;钱财来源稳定，易通过合作、签约得财，财务管理有章法、有凭证。&lt;/dd&gt;&lt;dd&gt;&lt;/dd&gt;&lt;/dl&gt;</v>
      </c>
    </row>
    <row r="29" spans="2:7" ht="29.25" thickBot="1" x14ac:dyDescent="0.25">
      <c r="B29" s="3" t="s">
        <v>2</v>
      </c>
      <c r="C29" s="4" t="s">
        <v>811</v>
      </c>
      <c r="D29" s="4"/>
      <c r="E29" s="15"/>
      <c r="G29" t="str">
        <f t="shared" si="0"/>
        <v>&lt;dl&gt;&lt;dt&gt;疾厄宫​&lt;/dt&gt;&lt;dd&gt;身体健康能得到有效的辅助治疗或得力看护；病情诊断有明确报告。&lt;/dd&gt;&lt;dd&gt;&lt;/dd&gt;&lt;/dl&gt;</v>
      </c>
    </row>
    <row r="30" spans="2:7" ht="28.5" x14ac:dyDescent="0.2">
      <c r="B30" s="3" t="s">
        <v>5</v>
      </c>
      <c r="C30" s="4" t="s">
        <v>812</v>
      </c>
      <c r="D30" s="4"/>
    </row>
    <row r="31" spans="2:7" ht="28.5" x14ac:dyDescent="0.2">
      <c r="B31" s="3" t="s">
        <v>4</v>
      </c>
      <c r="C31" s="3" t="s">
        <v>813</v>
      </c>
      <c r="D31" s="4"/>
    </row>
    <row r="32" spans="2:7" ht="28.5" x14ac:dyDescent="0.2">
      <c r="B32" s="3" t="s">
        <v>57</v>
      </c>
      <c r="C32" s="3" t="s">
        <v>814</v>
      </c>
      <c r="D32" s="4"/>
    </row>
    <row r="33" spans="2:7" ht="29.25" thickBot="1" x14ac:dyDescent="0.25">
      <c r="B33" s="3" t="s">
        <v>0</v>
      </c>
      <c r="C33" s="4" t="s">
        <v>815</v>
      </c>
      <c r="D33" s="4"/>
    </row>
    <row r="34" spans="2:7" ht="29.25" thickBot="1" x14ac:dyDescent="0.25">
      <c r="B34" s="3" t="s">
        <v>41</v>
      </c>
      <c r="C34" s="4" t="s">
        <v>816</v>
      </c>
      <c r="D34" s="4"/>
      <c r="E34" s="12"/>
    </row>
    <row r="35" spans="2:7" ht="29.25" thickBot="1" x14ac:dyDescent="0.25">
      <c r="B35" s="3" t="s">
        <v>3</v>
      </c>
      <c r="C35" s="4" t="s">
        <v>817</v>
      </c>
      <c r="D35" s="4"/>
      <c r="E35" s="15"/>
      <c r="G35" t="str">
        <f t="shared" si="0"/>
        <v>&lt;dl&gt;&lt;dt&gt;父母宫​&lt;/dt&gt;&lt;dd&gt;父母或长辈能给予实质性支持（如资源、人脉）；与官方机构打交道顺利。&lt;/dd&gt;&lt;dd&gt;&lt;/dd&gt;&lt;/dl&gt;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818</v>
      </c>
      <c r="E40" s="15"/>
      <c r="G40" t="str">
        <f t="shared" si="0"/>
        <v>&lt;dl&gt;&lt;dt&gt;1. 增强贵气助力组合&lt;/dt&gt;&lt;dd&gt;&lt;/dd&gt;&lt;dd&gt;&lt;/dd&gt;&lt;/dl&gt;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819</v>
      </c>
      <c r="C43" s="4" t="s">
        <v>820</v>
      </c>
      <c r="D43" s="4" t="s">
        <v>821</v>
      </c>
      <c r="E43" s="15"/>
      <c r="G43" t="str">
        <f t="shared" si="0"/>
        <v>&lt;dl&gt;&lt;dt&gt;台辅+紫微​&lt;/dt&gt;&lt;dd&gt;增强领导权威，得优秀幕僚团队辅佐，政令、文书通行无阻。&lt;/dd&gt;&lt;dd&gt;企业CEO拥有高效执行团队；官员有智囊团。&lt;/dd&gt;&lt;/dl&gt;</v>
      </c>
    </row>
    <row r="44" spans="2:7" ht="28.5" x14ac:dyDescent="0.2">
      <c r="B44" s="3" t="s">
        <v>822</v>
      </c>
      <c r="C44" s="4" t="s">
        <v>823</v>
      </c>
      <c r="D44" s="4" t="s">
        <v>824</v>
      </c>
    </row>
    <row r="45" spans="2:7" ht="28.5" x14ac:dyDescent="0.2">
      <c r="B45" s="3" t="s">
        <v>825</v>
      </c>
      <c r="C45" s="4" t="s">
        <v>826</v>
      </c>
      <c r="D45" s="4" t="s">
        <v>827</v>
      </c>
    </row>
    <row r="46" spans="2:7" ht="28.5" x14ac:dyDescent="0.2">
      <c r="B46" s="3" t="s">
        <v>828</v>
      </c>
      <c r="C46" s="4" t="s">
        <v>829</v>
      </c>
      <c r="D46" s="4" t="s">
        <v>830</v>
      </c>
    </row>
    <row r="47" spans="2:7" ht="29.25" thickBot="1" x14ac:dyDescent="0.25">
      <c r="B47" s="3" t="s">
        <v>831</v>
      </c>
      <c r="C47" s="4" t="s">
        <v>832</v>
      </c>
      <c r="D47" s="4" t="s">
        <v>833</v>
      </c>
    </row>
    <row r="48" spans="2:7" ht="16.5" thickBot="1" x14ac:dyDescent="0.25">
      <c r="E48" s="12"/>
    </row>
    <row r="49" spans="2:7" ht="16.5" thickBot="1" x14ac:dyDescent="0.25">
      <c r="B49" s="13" t="s">
        <v>834</v>
      </c>
      <c r="E49" s="15"/>
      <c r="G49" t="str">
        <f t="shared" si="0"/>
        <v>&lt;dl&gt;&lt;dt&gt;2. 专业化与执行力组合&lt;/dt&gt;&lt;dd&gt;&lt;/dd&gt;&lt;dd&gt;&lt;/dd&gt;&lt;/dl&gt;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835</v>
      </c>
      <c r="C52" s="4" t="s">
        <v>836</v>
      </c>
      <c r="D52" s="4" t="s">
        <v>837</v>
      </c>
      <c r="E52" s="15"/>
      <c r="G52" t="str">
        <f t="shared" si="0"/>
        <v>&lt;dl&gt;&lt;dt&gt;台辅+天机​&lt;/dt&gt;&lt;dd&gt;策划、谋略得到有效执行，思维有实际方案和文件支持。&lt;/dd&gt;&lt;dd&gt;策划案有详细的执行手册；军师有落实的将领。&lt;/dd&gt;&lt;/dl&gt;</v>
      </c>
    </row>
    <row r="53" spans="2:7" ht="28.5" x14ac:dyDescent="0.2">
      <c r="B53" s="3" t="s">
        <v>838</v>
      </c>
      <c r="C53" s="4" t="s">
        <v>839</v>
      </c>
      <c r="D53" s="4" t="s">
        <v>840</v>
      </c>
    </row>
    <row r="54" spans="2:7" ht="28.5" x14ac:dyDescent="0.2">
      <c r="B54" s="3" t="s">
        <v>841</v>
      </c>
      <c r="C54" s="4" t="s">
        <v>842</v>
      </c>
      <c r="D54" s="4" t="s">
        <v>843</v>
      </c>
    </row>
    <row r="55" spans="2:7" ht="28.5" x14ac:dyDescent="0.2">
      <c r="B55" s="3" t="s">
        <v>844</v>
      </c>
      <c r="C55" s="4" t="s">
        <v>845</v>
      </c>
      <c r="D55" s="4" t="s">
        <v>846</v>
      </c>
    </row>
    <row r="56" spans="2:7" ht="28.5" x14ac:dyDescent="0.2">
      <c r="B56" s="3" t="s">
        <v>847</v>
      </c>
      <c r="C56" s="4" t="s">
        <v>848</v>
      </c>
      <c r="D56" s="4" t="s">
        <v>849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850</v>
      </c>
      <c r="C62" s="3" t="s">
        <v>851</v>
      </c>
      <c r="D62" s="4" t="s">
        <v>852</v>
      </c>
    </row>
    <row r="63" spans="2:7" ht="28.5" x14ac:dyDescent="0.2">
      <c r="B63" s="3" t="s">
        <v>853</v>
      </c>
      <c r="C63" s="3" t="s">
        <v>854</v>
      </c>
      <c r="D63" s="4" t="s">
        <v>855</v>
      </c>
    </row>
    <row r="64" spans="2:7" ht="28.5" x14ac:dyDescent="0.2">
      <c r="B64" s="3" t="s">
        <v>856</v>
      </c>
      <c r="C64" s="3" t="s">
        <v>857</v>
      </c>
      <c r="D64" s="4" t="s">
        <v>858</v>
      </c>
    </row>
    <row r="65" spans="2:4" ht="28.5" x14ac:dyDescent="0.2">
      <c r="B65" s="3" t="s">
        <v>859</v>
      </c>
      <c r="C65" s="3" t="s">
        <v>860</v>
      </c>
      <c r="D65" s="4" t="s">
        <v>861</v>
      </c>
    </row>
    <row r="66" spans="2:4" ht="28.5" x14ac:dyDescent="0.2">
      <c r="B66" s="3" t="s">
        <v>862</v>
      </c>
      <c r="C66" s="4" t="s">
        <v>863</v>
      </c>
      <c r="D66" s="4" t="s">
        <v>864</v>
      </c>
    </row>
    <row r="67" spans="2:4" ht="28.5" x14ac:dyDescent="0.2">
      <c r="B67" s="3" t="s">
        <v>865</v>
      </c>
      <c r="C67" s="4" t="s">
        <v>866</v>
      </c>
      <c r="D67" s="4" t="s">
        <v>867</v>
      </c>
    </row>
    <row r="68" spans="2:4" ht="28.5" x14ac:dyDescent="0.2">
      <c r="B68" s="3" t="s">
        <v>868</v>
      </c>
      <c r="C68" s="4" t="s">
        <v>869</v>
      </c>
      <c r="D68" s="4" t="s">
        <v>870</v>
      </c>
    </row>
    <row r="69" spans="2:4" ht="28.5" x14ac:dyDescent="0.2">
      <c r="B69" s="3" t="s">
        <v>871</v>
      </c>
      <c r="C69" s="4" t="s">
        <v>872</v>
      </c>
      <c r="D69" s="4" t="s">
        <v>873</v>
      </c>
    </row>
    <row r="70" spans="2:4" ht="28.5" x14ac:dyDescent="0.2">
      <c r="B70" s="3" t="s">
        <v>874</v>
      </c>
      <c r="C70" s="4" t="s">
        <v>875</v>
      </c>
      <c r="D70" s="4" t="s">
        <v>876</v>
      </c>
    </row>
    <row r="71" spans="2:4" ht="28.5" x14ac:dyDescent="0.2">
      <c r="B71" s="3" t="s">
        <v>877</v>
      </c>
      <c r="C71" s="4" t="s">
        <v>878</v>
      </c>
      <c r="D71" s="4" t="s">
        <v>879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880</v>
      </c>
    </row>
    <row r="77" spans="2:4" x14ac:dyDescent="0.2">
      <c r="B77" s="7" t="s">
        <v>881</v>
      </c>
    </row>
    <row r="78" spans="2:4" x14ac:dyDescent="0.2">
      <c r="B78" s="7" t="s">
        <v>882</v>
      </c>
    </row>
    <row r="79" spans="2:4" x14ac:dyDescent="0.2">
      <c r="B79" s="7" t="s">
        <v>883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6424C-E9AC-4D88-AE2B-C85C074D3893}">
  <dimension ref="B1:G82"/>
  <sheetViews>
    <sheetView topLeftCell="A20"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884</v>
      </c>
      <c r="G1" t="str">
        <f>"&lt;dl&gt;&lt;dt&gt;" &amp; B1 &amp; "&lt;/dt&gt;&lt;dd&gt;" &amp; C1 &amp; "&lt;/dd&gt;&lt;dd&gt;" &amp; D1 &amp; "&lt;/dd&gt;&lt;/dl&gt;"</f>
        <v>&lt;dl&gt;&lt;dt&gt;一、封诰定义&lt;/dt&gt;&lt;dd&gt;&lt;/dd&gt;&lt;dd&gt;&lt;/dd&gt;&lt;/dl&gt;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885</v>
      </c>
      <c r="D4" s="4"/>
    </row>
    <row r="5" spans="2:7" ht="28.5" x14ac:dyDescent="0.2">
      <c r="B5" s="3" t="s">
        <v>61</v>
      </c>
      <c r="C5" s="4" t="s">
        <v>886</v>
      </c>
      <c r="D5" s="4"/>
    </row>
    <row r="6" spans="2:7" ht="42.75" x14ac:dyDescent="0.2">
      <c r="B6" s="3" t="s">
        <v>99</v>
      </c>
      <c r="C6" s="4" t="s">
        <v>887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x14ac:dyDescent="0.2">
      <c r="B14" s="3" t="s">
        <v>888</v>
      </c>
      <c r="C14" s="4" t="s">
        <v>889</v>
      </c>
      <c r="D14" s="4" t="s">
        <v>890</v>
      </c>
    </row>
    <row r="15" spans="2:7" ht="28.5" x14ac:dyDescent="0.2">
      <c r="B15" s="3" t="s">
        <v>891</v>
      </c>
      <c r="C15" s="4" t="s">
        <v>892</v>
      </c>
      <c r="D15" s="4" t="s">
        <v>893</v>
      </c>
    </row>
    <row r="16" spans="2:7" ht="28.5" x14ac:dyDescent="0.2">
      <c r="B16" s="3" t="s">
        <v>894</v>
      </c>
      <c r="C16" s="4" t="s">
        <v>895</v>
      </c>
      <c r="D16" s="4" t="s">
        <v>896</v>
      </c>
    </row>
    <row r="17" spans="2:7" ht="28.5" x14ac:dyDescent="0.2">
      <c r="B17" s="3" t="s">
        <v>220</v>
      </c>
      <c r="C17" s="4" t="s">
        <v>897</v>
      </c>
      <c r="D17" s="4" t="s">
        <v>802</v>
      </c>
    </row>
    <row r="18" spans="2:7" ht="28.5" x14ac:dyDescent="0.2">
      <c r="B18" s="3" t="s">
        <v>898</v>
      </c>
      <c r="C18" s="4" t="s">
        <v>899</v>
      </c>
      <c r="D18" s="4" t="s">
        <v>900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901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&lt;dl&gt;&lt;dt&gt;命宫​&lt;/dt&gt;&lt;dd&gt;注重名誉与形象，一生易获荣誉或头衔，社会评价高。&lt;/dd&gt;&lt;dd&gt;&lt;/dd&gt;&lt;/dl&gt;</v>
      </c>
    </row>
    <row r="25" spans="2:7" ht="29.25" thickBot="1" x14ac:dyDescent="0.25">
      <c r="B25" s="3" t="s">
        <v>58</v>
      </c>
      <c r="C25" s="4" t="s">
        <v>902</v>
      </c>
      <c r="D25" s="4"/>
      <c r="E25" s="15"/>
      <c r="G25" t="str">
        <f t="shared" si="0"/>
        <v>&lt;dl&gt;&lt;dt&gt;兄弟宫​&lt;/dt&gt;&lt;dd&gt;兄弟姐妹或同事、同学中有名誉良好者；在团队中易因表现获表彰。&lt;/dd&gt;&lt;dd&gt;&lt;/dd&gt;&lt;/dl&gt;</v>
      </c>
    </row>
    <row r="26" spans="2:7" ht="29.25" thickBot="1" x14ac:dyDescent="0.25">
      <c r="B26" s="3" t="s">
        <v>50</v>
      </c>
      <c r="C26" s="4" t="s">
        <v>903</v>
      </c>
      <c r="D26" s="4"/>
      <c r="E26" s="15"/>
      <c r="G26" t="str">
        <f t="shared" si="0"/>
        <v>&lt;dl&gt;&lt;dt&gt;夫妻宫​&lt;/dt&gt;&lt;dd&gt;配偶有名望或获得过荣誉；婚姻关系受外界认可与称赞。&lt;/dd&gt;&lt;dd&gt;&lt;/dd&gt;&lt;/dl&gt;</v>
      </c>
    </row>
    <row r="27" spans="2:7" ht="29.25" thickBot="1" x14ac:dyDescent="0.25">
      <c r="B27" s="3" t="s">
        <v>53</v>
      </c>
      <c r="C27" s="4" t="s">
        <v>904</v>
      </c>
      <c r="D27" s="4"/>
      <c r="E27" s="15"/>
      <c r="G27" t="str">
        <f t="shared" si="0"/>
        <v>&lt;dl&gt;&lt;dt&gt;子女宫​&lt;/dt&gt;&lt;dd&gt;子女有荣誉感或获得奖项；在创作、合作项目中易获得好评。&lt;/dd&gt;&lt;dd&gt;&lt;/dd&gt;&lt;/dl&gt;</v>
      </c>
    </row>
    <row r="28" spans="2:7" ht="29.25" thickBot="1" x14ac:dyDescent="0.25">
      <c r="B28" s="3" t="s">
        <v>1</v>
      </c>
      <c r="C28" s="4" t="s">
        <v>905</v>
      </c>
      <c r="D28" s="4"/>
      <c r="E28" s="15"/>
      <c r="G28" t="str">
        <f t="shared" si="0"/>
        <v>&lt;dl&gt;&lt;dt&gt;财帛宫​&lt;/dt&gt;&lt;dd&gt;钱财来源正当且有名声，或因名誉、品牌效应得财。&lt;/dd&gt;&lt;dd&gt;&lt;/dd&gt;&lt;/dl&gt;</v>
      </c>
    </row>
    <row r="29" spans="2:7" ht="29.25" thickBot="1" x14ac:dyDescent="0.25">
      <c r="B29" s="3" t="s">
        <v>2</v>
      </c>
      <c r="C29" s="4" t="s">
        <v>906</v>
      </c>
      <c r="D29" s="4"/>
      <c r="E29" s="15"/>
      <c r="G29" t="str">
        <f t="shared" si="0"/>
        <v>&lt;dl&gt;&lt;dt&gt;疾厄宫​&lt;/dt&gt;&lt;dd&gt;获得权威医疗诊断或名医治疗；病情得到社会关怀（如募捐）。&lt;/dd&gt;&lt;dd&gt;&lt;/dd&gt;&lt;/dl&gt;</v>
      </c>
    </row>
    <row r="30" spans="2:7" ht="28.5" x14ac:dyDescent="0.2">
      <c r="B30" s="3" t="s">
        <v>5</v>
      </c>
      <c r="C30" s="4" t="s">
        <v>907</v>
      </c>
      <c r="D30" s="4"/>
    </row>
    <row r="31" spans="2:7" ht="28.5" x14ac:dyDescent="0.2">
      <c r="B31" s="3" t="s">
        <v>4</v>
      </c>
      <c r="C31" s="4" t="s">
        <v>908</v>
      </c>
      <c r="D31" s="4"/>
    </row>
    <row r="32" spans="2:7" ht="28.5" x14ac:dyDescent="0.2">
      <c r="B32" s="3" t="s">
        <v>57</v>
      </c>
      <c r="C32" s="3" t="s">
        <v>909</v>
      </c>
      <c r="D32" s="4"/>
    </row>
    <row r="33" spans="2:7" ht="29.25" thickBot="1" x14ac:dyDescent="0.25">
      <c r="B33" s="3" t="s">
        <v>0</v>
      </c>
      <c r="C33" s="4" t="s">
        <v>910</v>
      </c>
      <c r="D33" s="4"/>
    </row>
    <row r="34" spans="2:7" ht="29.25" thickBot="1" x14ac:dyDescent="0.25">
      <c r="B34" s="3" t="s">
        <v>41</v>
      </c>
      <c r="C34" s="4" t="s">
        <v>911</v>
      </c>
      <c r="D34" s="4"/>
      <c r="E34" s="12"/>
    </row>
    <row r="35" spans="2:7" ht="29.25" thickBot="1" x14ac:dyDescent="0.25">
      <c r="B35" s="3" t="s">
        <v>3</v>
      </c>
      <c r="C35" s="4" t="s">
        <v>912</v>
      </c>
      <c r="D35" s="4"/>
      <c r="E35" s="15"/>
      <c r="G35" t="str">
        <f t="shared" si="0"/>
        <v>&lt;dl&gt;&lt;dt&gt;父母宫​&lt;/dt&gt;&lt;dd&gt;父母或长辈有名望；易获得官方、学校的嘉奖或文凭。&lt;/dd&gt;&lt;dd&gt;&lt;/dd&gt;&lt;/dl&gt;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913</v>
      </c>
      <c r="E40" s="15"/>
      <c r="G40" t="str">
        <f t="shared" si="0"/>
        <v>&lt;dl&gt;&lt;dt&gt;1. 增强名誉贵气组合&lt;/dt&gt;&lt;dd&gt;&lt;/dd&gt;&lt;dd&gt;&lt;/dd&gt;&lt;/dl&gt;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914</v>
      </c>
      <c r="C43" s="4" t="s">
        <v>915</v>
      </c>
      <c r="D43" s="4" t="s">
        <v>916</v>
      </c>
      <c r="E43" s="15"/>
      <c r="G43" t="str">
        <f t="shared" si="0"/>
        <v>&lt;dl&gt;&lt;dt&gt;封诰+紫微​&lt;/dt&gt;&lt;dd&gt;获得极高的社会地位与官方荣誉，如爵位、领导头衔、重大奖项。&lt;/dd&gt;&lt;dd&gt;获得国家勋章；被授予终身成就奖。&lt;/dd&gt;&lt;/dl&gt;</v>
      </c>
    </row>
    <row r="44" spans="2:7" ht="28.5" x14ac:dyDescent="0.2">
      <c r="B44" s="3" t="s">
        <v>917</v>
      </c>
      <c r="C44" s="4" t="s">
        <v>918</v>
      </c>
      <c r="D44" s="4" t="s">
        <v>919</v>
      </c>
    </row>
    <row r="45" spans="2:7" ht="28.5" x14ac:dyDescent="0.2">
      <c r="B45" s="3" t="s">
        <v>920</v>
      </c>
      <c r="C45" s="4" t="s">
        <v>921</v>
      </c>
      <c r="D45" s="4" t="s">
        <v>922</v>
      </c>
    </row>
    <row r="46" spans="2:7" ht="28.5" x14ac:dyDescent="0.2">
      <c r="B46" s="3" t="s">
        <v>923</v>
      </c>
      <c r="C46" s="4" t="s">
        <v>924</v>
      </c>
      <c r="D46" s="4" t="s">
        <v>925</v>
      </c>
    </row>
    <row r="47" spans="2:7" ht="29.25" thickBot="1" x14ac:dyDescent="0.25">
      <c r="B47" s="3" t="s">
        <v>926</v>
      </c>
      <c r="C47" s="4" t="s">
        <v>927</v>
      </c>
      <c r="D47" s="4" t="s">
        <v>928</v>
      </c>
    </row>
    <row r="48" spans="2:7" ht="16.5" thickBot="1" x14ac:dyDescent="0.25">
      <c r="E48" s="12"/>
    </row>
    <row r="49" spans="2:7" ht="16.5" thickBot="1" x14ac:dyDescent="0.25">
      <c r="B49" s="13" t="s">
        <v>929</v>
      </c>
      <c r="E49" s="15"/>
      <c r="G49" t="str">
        <f t="shared" si="0"/>
        <v>&lt;dl&gt;&lt;dt&gt;2. 专业化与学术名誉组合&lt;/dt&gt;&lt;dd&gt;&lt;/dd&gt;&lt;dd&gt;&lt;/dd&gt;&lt;/dl&gt;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930</v>
      </c>
      <c r="C52" s="4" t="s">
        <v>931</v>
      </c>
      <c r="D52" s="4" t="s">
        <v>932</v>
      </c>
      <c r="E52" s="15"/>
      <c r="G52" t="str">
        <f t="shared" si="0"/>
        <v>&lt;dl&gt;&lt;dt&gt;封诰+天机​&lt;/dt&gt;&lt;dd&gt;因策划、谋略、学术研究获得名誉，如专利证书、学术头衔。&lt;/dd&gt;&lt;dd&gt;获得“杰出青年科学家”称号；取得发明专利证书。&lt;/dd&gt;&lt;/dl&gt;</v>
      </c>
    </row>
    <row r="53" spans="2:7" ht="28.5" x14ac:dyDescent="0.2">
      <c r="B53" s="3" t="s">
        <v>933</v>
      </c>
      <c r="C53" s="4" t="s">
        <v>934</v>
      </c>
      <c r="D53" s="4" t="s">
        <v>935</v>
      </c>
    </row>
    <row r="54" spans="2:7" ht="28.5" x14ac:dyDescent="0.2">
      <c r="B54" s="3" t="s">
        <v>936</v>
      </c>
      <c r="C54" s="4" t="s">
        <v>937</v>
      </c>
      <c r="D54" s="4" t="s">
        <v>938</v>
      </c>
    </row>
    <row r="55" spans="2:7" ht="28.5" x14ac:dyDescent="0.2">
      <c r="B55" s="3" t="s">
        <v>939</v>
      </c>
      <c r="C55" s="4" t="s">
        <v>940</v>
      </c>
      <c r="D55" s="4" t="s">
        <v>941</v>
      </c>
    </row>
    <row r="56" spans="2:7" ht="28.5" x14ac:dyDescent="0.2">
      <c r="B56" s="3" t="s">
        <v>942</v>
      </c>
      <c r="C56" s="4" t="s">
        <v>943</v>
      </c>
      <c r="D56" s="4" t="s">
        <v>944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945</v>
      </c>
      <c r="C62" s="3" t="s">
        <v>946</v>
      </c>
      <c r="D62" s="4" t="s">
        <v>947</v>
      </c>
    </row>
    <row r="63" spans="2:7" ht="28.5" x14ac:dyDescent="0.2">
      <c r="B63" s="3" t="s">
        <v>948</v>
      </c>
      <c r="C63" s="3" t="s">
        <v>949</v>
      </c>
      <c r="D63" s="4" t="s">
        <v>950</v>
      </c>
    </row>
    <row r="64" spans="2:7" ht="28.5" x14ac:dyDescent="0.2">
      <c r="B64" s="3" t="s">
        <v>951</v>
      </c>
      <c r="C64" s="3" t="s">
        <v>952</v>
      </c>
      <c r="D64" s="4" t="s">
        <v>953</v>
      </c>
    </row>
    <row r="65" spans="2:4" ht="28.5" x14ac:dyDescent="0.2">
      <c r="B65" s="3" t="s">
        <v>954</v>
      </c>
      <c r="C65" s="4" t="s">
        <v>955</v>
      </c>
      <c r="D65" s="4" t="s">
        <v>956</v>
      </c>
    </row>
    <row r="66" spans="2:4" ht="28.5" x14ac:dyDescent="0.2">
      <c r="B66" s="3" t="s">
        <v>957</v>
      </c>
      <c r="C66" s="4" t="s">
        <v>958</v>
      </c>
      <c r="D66" s="4" t="s">
        <v>959</v>
      </c>
    </row>
    <row r="67" spans="2:4" ht="28.5" x14ac:dyDescent="0.2">
      <c r="B67" s="3" t="s">
        <v>960</v>
      </c>
      <c r="C67" s="4" t="s">
        <v>961</v>
      </c>
      <c r="D67" s="4" t="s">
        <v>962</v>
      </c>
    </row>
    <row r="68" spans="2:4" ht="28.5" x14ac:dyDescent="0.2">
      <c r="B68" s="3" t="s">
        <v>963</v>
      </c>
      <c r="C68" s="4" t="s">
        <v>964</v>
      </c>
      <c r="D68" s="4" t="s">
        <v>965</v>
      </c>
    </row>
    <row r="69" spans="2:4" ht="28.5" x14ac:dyDescent="0.2">
      <c r="B69" s="3" t="s">
        <v>966</v>
      </c>
      <c r="C69" s="4" t="s">
        <v>967</v>
      </c>
      <c r="D69" s="4" t="s">
        <v>968</v>
      </c>
    </row>
    <row r="70" spans="2:4" ht="28.5" x14ac:dyDescent="0.2">
      <c r="B70" s="3" t="s">
        <v>969</v>
      </c>
      <c r="C70" s="4" t="s">
        <v>970</v>
      </c>
      <c r="D70" s="4" t="s">
        <v>971</v>
      </c>
    </row>
    <row r="71" spans="2:4" ht="28.5" x14ac:dyDescent="0.2">
      <c r="B71" s="3" t="s">
        <v>972</v>
      </c>
      <c r="C71" s="4" t="s">
        <v>973</v>
      </c>
      <c r="D71" s="4" t="s">
        <v>974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975</v>
      </c>
    </row>
    <row r="77" spans="2:4" x14ac:dyDescent="0.2">
      <c r="B77" s="7" t="s">
        <v>976</v>
      </c>
    </row>
    <row r="78" spans="2:4" x14ac:dyDescent="0.2">
      <c r="B78" s="7" t="s">
        <v>977</v>
      </c>
    </row>
    <row r="79" spans="2:4" x14ac:dyDescent="0.2">
      <c r="B79" s="7" t="s">
        <v>978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D7B7-3C5C-445F-B119-790C39796BBA}">
  <dimension ref="B1:G82"/>
  <sheetViews>
    <sheetView zoomScaleNormal="100" workbookViewId="0">
      <selection activeCell="F23" sqref="F23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979</v>
      </c>
      <c r="G1" t="str">
        <f>"&lt;dl&gt;&lt;dt&gt;" &amp; B1 &amp; "&lt;/dt&gt;&lt;dd&gt;" &amp; C1 &amp; "&lt;/dd&gt;&lt;dd&gt;" &amp; D1 &amp; "&lt;/dd&gt;&lt;/dl&gt;"</f>
        <v>&lt;dl&gt;&lt;dt&gt;一、三台定义&lt;/dt&gt;&lt;dd&gt;&lt;/dd&gt;&lt;dd&gt;&lt;/dd&gt;&lt;/dl&gt;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980</v>
      </c>
      <c r="D4" s="4"/>
    </row>
    <row r="5" spans="2:7" ht="42.75" x14ac:dyDescent="0.2">
      <c r="B5" s="3" t="s">
        <v>61</v>
      </c>
      <c r="C5" s="4" t="s">
        <v>981</v>
      </c>
      <c r="D5" s="4"/>
    </row>
    <row r="6" spans="2:7" ht="42.75" x14ac:dyDescent="0.2">
      <c r="B6" s="3" t="s">
        <v>99</v>
      </c>
      <c r="C6" s="4" t="s">
        <v>982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983</v>
      </c>
      <c r="C14" s="4" t="s">
        <v>984</v>
      </c>
      <c r="D14" s="4" t="s">
        <v>890</v>
      </c>
    </row>
    <row r="15" spans="2:7" x14ac:dyDescent="0.2">
      <c r="B15" s="3" t="s">
        <v>985</v>
      </c>
      <c r="C15" s="4" t="s">
        <v>986</v>
      </c>
      <c r="D15" s="4" t="s">
        <v>987</v>
      </c>
    </row>
    <row r="16" spans="2:7" ht="28.5" x14ac:dyDescent="0.2">
      <c r="B16" s="3" t="s">
        <v>988</v>
      </c>
      <c r="C16" s="4" t="s">
        <v>989</v>
      </c>
      <c r="D16" s="4" t="s">
        <v>799</v>
      </c>
    </row>
    <row r="17" spans="2:7" ht="28.5" x14ac:dyDescent="0.2">
      <c r="B17" s="3" t="s">
        <v>990</v>
      </c>
      <c r="C17" s="4" t="s">
        <v>991</v>
      </c>
      <c r="D17" s="4" t="s">
        <v>992</v>
      </c>
    </row>
    <row r="18" spans="2:7" ht="28.5" x14ac:dyDescent="0.2">
      <c r="B18" s="3" t="s">
        <v>217</v>
      </c>
      <c r="C18" s="4" t="s">
        <v>993</v>
      </c>
      <c r="D18" s="4" t="s">
        <v>994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995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&lt;dl&gt;&lt;dt&gt;命宫​&lt;/dt&gt;&lt;dd&gt;为人稳重，有上进心，人生发展循序渐进，易获社会地位。&lt;/dd&gt;&lt;dd&gt;&lt;/dd&gt;&lt;/dl&gt;</v>
      </c>
    </row>
    <row r="25" spans="2:7" ht="29.25" thickBot="1" x14ac:dyDescent="0.25">
      <c r="B25" s="3" t="s">
        <v>58</v>
      </c>
      <c r="C25" s="4" t="s">
        <v>996</v>
      </c>
      <c r="D25" s="4"/>
      <c r="E25" s="15"/>
      <c r="G25" t="str">
        <f t="shared" si="0"/>
        <v>&lt;dl&gt;&lt;dt&gt;兄弟宫​&lt;/dt&gt;&lt;dd&gt;兄弟姐妹或同事中有地位较高者；在团队中能逐步晋升。&lt;/dd&gt;&lt;dd&gt;&lt;/dd&gt;&lt;/dl&gt;</v>
      </c>
    </row>
    <row r="26" spans="2:7" ht="29.25" thickBot="1" x14ac:dyDescent="0.25">
      <c r="B26" s="3" t="s">
        <v>50</v>
      </c>
      <c r="C26" s="4" t="s">
        <v>997</v>
      </c>
      <c r="D26" s="4"/>
      <c r="E26" s="15"/>
      <c r="G26" t="str">
        <f t="shared" si="0"/>
        <v>&lt;dl&gt;&lt;dt&gt;夫妻宫​&lt;/dt&gt;&lt;dd&gt;配偶社会地位或家庭背景优于自己，或婚姻能提升自身地位。&lt;/dd&gt;&lt;dd&gt;&lt;/dd&gt;&lt;/dl&gt;</v>
      </c>
    </row>
    <row r="27" spans="2:7" ht="29.25" thickBot="1" x14ac:dyDescent="0.25">
      <c r="B27" s="3" t="s">
        <v>53</v>
      </c>
      <c r="C27" s="4" t="s">
        <v>998</v>
      </c>
      <c r="D27" s="4"/>
      <c r="E27" s="15"/>
      <c r="G27" t="str">
        <f t="shared" si="0"/>
        <v>&lt;dl&gt;&lt;dt&gt;子女宫​&lt;/dt&gt;&lt;dd&gt;子女有出息，能逐步取得成就；合作项目能稳步推进。&lt;/dd&gt;&lt;dd&gt;&lt;/dd&gt;&lt;/dl&gt;</v>
      </c>
    </row>
    <row r="28" spans="2:7" ht="29.25" thickBot="1" x14ac:dyDescent="0.25">
      <c r="B28" s="3" t="s">
        <v>1</v>
      </c>
      <c r="C28" s="4" t="s">
        <v>999</v>
      </c>
      <c r="D28" s="4"/>
      <c r="E28" s="15"/>
      <c r="G28" t="str">
        <f t="shared" si="0"/>
        <v>&lt;dl&gt;&lt;dt&gt;财帛宫​&lt;/dt&gt;&lt;dd&gt;钱财通过稳步积累或职位晋升而增加，收入有层级性。&lt;/dd&gt;&lt;dd&gt;&lt;/dd&gt;&lt;/dl&gt;</v>
      </c>
    </row>
    <row r="29" spans="2:7" ht="29.25" thickBot="1" x14ac:dyDescent="0.25">
      <c r="B29" s="3" t="s">
        <v>2</v>
      </c>
      <c r="C29" s="4" t="s">
        <v>1000</v>
      </c>
      <c r="D29" s="4"/>
      <c r="E29" s="15"/>
      <c r="G29" t="str">
        <f t="shared" si="0"/>
        <v>&lt;dl&gt;&lt;dt&gt;疾厄宫​&lt;/dt&gt;&lt;dd&gt;病情呈阶段性发展；宜寻访阶梯式（如分级诊疗）的医疗资源。&lt;/dd&gt;&lt;dd&gt;&lt;/dd&gt;&lt;/dl&gt;</v>
      </c>
    </row>
    <row r="30" spans="2:7" ht="28.5" x14ac:dyDescent="0.2">
      <c r="B30" s="3" t="s">
        <v>5</v>
      </c>
      <c r="C30" s="4" t="s">
        <v>1001</v>
      </c>
      <c r="D30" s="4"/>
    </row>
    <row r="31" spans="2:7" ht="28.5" x14ac:dyDescent="0.2">
      <c r="B31" s="3" t="s">
        <v>4</v>
      </c>
      <c r="C31" s="4" t="s">
        <v>1002</v>
      </c>
      <c r="D31" s="4"/>
    </row>
    <row r="32" spans="2:7" ht="28.5" x14ac:dyDescent="0.2">
      <c r="B32" s="3" t="s">
        <v>57</v>
      </c>
      <c r="C32" s="3" t="s">
        <v>1003</v>
      </c>
      <c r="D32" s="4"/>
    </row>
    <row r="33" spans="2:7" ht="29.25" thickBot="1" x14ac:dyDescent="0.25">
      <c r="B33" s="3" t="s">
        <v>0</v>
      </c>
      <c r="C33" s="4" t="s">
        <v>1004</v>
      </c>
      <c r="D33" s="4"/>
    </row>
    <row r="34" spans="2:7" ht="29.25" thickBot="1" x14ac:dyDescent="0.25">
      <c r="B34" s="3" t="s">
        <v>41</v>
      </c>
      <c r="C34" s="4" t="s">
        <v>1005</v>
      </c>
      <c r="D34" s="4"/>
      <c r="E34" s="12"/>
    </row>
    <row r="35" spans="2:7" ht="29.25" thickBot="1" x14ac:dyDescent="0.25">
      <c r="B35" s="3" t="s">
        <v>3</v>
      </c>
      <c r="C35" s="4" t="s">
        <v>1006</v>
      </c>
      <c r="D35" s="4"/>
      <c r="E35" s="15"/>
      <c r="G35" t="str">
        <f t="shared" si="0"/>
        <v>&lt;dl&gt;&lt;dt&gt;父母宫​&lt;/dt&gt;&lt;dd&gt;父母或长辈社会地位较高；易得长辈提携，但需一步步来。&lt;/dd&gt;&lt;dd&gt;&lt;/dd&gt;&lt;/dl&gt;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1007</v>
      </c>
      <c r="E40" s="15"/>
      <c r="G40" t="str">
        <f t="shared" si="0"/>
        <v>&lt;dl&gt;&lt;dt&gt;1. 增强贵气地位组合&lt;/dt&gt;&lt;dd&gt;&lt;/dd&gt;&lt;dd&gt;&lt;/dd&gt;&lt;/dl&gt;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1008</v>
      </c>
      <c r="C43" s="4" t="s">
        <v>1009</v>
      </c>
      <c r="D43" s="4" t="s">
        <v>1010</v>
      </c>
      <c r="E43" s="15"/>
      <c r="G43" t="str">
        <f t="shared" si="0"/>
        <v>&lt;dl&gt;&lt;dt&gt;三台+紫微​&lt;/dt&gt;&lt;dd&gt;地位尊崇，有明确的权力阶梯，易在政府、大型机构中逐步升至高位。&lt;/dd&gt;&lt;dd&gt;公务员体系内逐级晋升至领导岗位。&lt;/dd&gt;&lt;/dl&gt;</v>
      </c>
    </row>
    <row r="44" spans="2:7" ht="28.5" x14ac:dyDescent="0.2">
      <c r="B44" s="3" t="s">
        <v>1011</v>
      </c>
      <c r="C44" s="4" t="s">
        <v>1012</v>
      </c>
      <c r="D44" s="4" t="s">
        <v>1013</v>
      </c>
    </row>
    <row r="45" spans="2:7" ht="28.5" x14ac:dyDescent="0.2">
      <c r="B45" s="3" t="s">
        <v>1014</v>
      </c>
      <c r="C45" s="4" t="s">
        <v>1015</v>
      </c>
      <c r="D45" s="4" t="s">
        <v>1016</v>
      </c>
    </row>
    <row r="46" spans="2:7" ht="28.5" x14ac:dyDescent="0.2">
      <c r="B46" s="3" t="s">
        <v>1017</v>
      </c>
      <c r="C46" s="4" t="s">
        <v>1018</v>
      </c>
      <c r="D46" s="4" t="s">
        <v>1019</v>
      </c>
    </row>
    <row r="47" spans="2:7" ht="29.25" thickBot="1" x14ac:dyDescent="0.25">
      <c r="B47" s="3" t="s">
        <v>1020</v>
      </c>
      <c r="C47" s="4" t="s">
        <v>1021</v>
      </c>
      <c r="D47" s="4" t="s">
        <v>1022</v>
      </c>
    </row>
    <row r="48" spans="2:7" ht="16.5" thickBot="1" x14ac:dyDescent="0.25">
      <c r="E48" s="12"/>
    </row>
    <row r="49" spans="2:7" ht="16.5" thickBot="1" x14ac:dyDescent="0.25">
      <c r="B49" s="13" t="s">
        <v>1023</v>
      </c>
      <c r="E49" s="15"/>
      <c r="G49" t="str">
        <f t="shared" si="0"/>
        <v>&lt;dl&gt;&lt;dt&gt;2. 专业化与过程性晋升组合&lt;/dt&gt;&lt;dd&gt;&lt;/dd&gt;&lt;dd&gt;&lt;/dd&gt;&lt;/dl&gt;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1024</v>
      </c>
      <c r="C52" s="4" t="s">
        <v>1025</v>
      </c>
      <c r="D52" s="4" t="s">
        <v>1026</v>
      </c>
      <c r="E52" s="15"/>
      <c r="G52" t="str">
        <f t="shared" si="0"/>
        <v>&lt;dl&gt;&lt;dt&gt;三台+天机​&lt;/dt&gt;&lt;dd&gt;通过策划、谋略或技术专长逐步晋升，职位变动有清晰的路径。&lt;/dd&gt;&lt;dd&gt;技术员-&gt;工程师-&gt;高级工程师-&gt;总工程师。&lt;/dd&gt;&lt;/dl&gt;</v>
      </c>
    </row>
    <row r="53" spans="2:7" ht="28.5" x14ac:dyDescent="0.2">
      <c r="B53" s="3" t="s">
        <v>1027</v>
      </c>
      <c r="C53" s="4" t="s">
        <v>1028</v>
      </c>
      <c r="D53" s="4" t="s">
        <v>1029</v>
      </c>
    </row>
    <row r="54" spans="2:7" ht="28.5" x14ac:dyDescent="0.2">
      <c r="B54" s="3" t="s">
        <v>1030</v>
      </c>
      <c r="C54" s="4" t="s">
        <v>1031</v>
      </c>
      <c r="D54" s="4" t="s">
        <v>1032</v>
      </c>
    </row>
    <row r="55" spans="2:7" ht="28.5" x14ac:dyDescent="0.2">
      <c r="B55" s="3" t="s">
        <v>1033</v>
      </c>
      <c r="C55" s="4" t="s">
        <v>1034</v>
      </c>
      <c r="D55" s="4" t="s">
        <v>1035</v>
      </c>
    </row>
    <row r="56" spans="2:7" ht="28.5" x14ac:dyDescent="0.2">
      <c r="B56" s="3" t="s">
        <v>1036</v>
      </c>
      <c r="C56" s="4" t="s">
        <v>1037</v>
      </c>
      <c r="D56" s="4" t="s">
        <v>1038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1039</v>
      </c>
      <c r="C62" s="3" t="s">
        <v>1040</v>
      </c>
      <c r="D62" s="4" t="s">
        <v>1041</v>
      </c>
    </row>
    <row r="63" spans="2:7" ht="28.5" x14ac:dyDescent="0.2">
      <c r="B63" s="3" t="s">
        <v>1042</v>
      </c>
      <c r="C63" s="4" t="s">
        <v>1043</v>
      </c>
      <c r="D63" s="4" t="s">
        <v>1044</v>
      </c>
    </row>
    <row r="64" spans="2:7" ht="28.5" x14ac:dyDescent="0.2">
      <c r="B64" s="3" t="s">
        <v>1045</v>
      </c>
      <c r="C64" s="4" t="s">
        <v>1046</v>
      </c>
      <c r="D64" s="4" t="s">
        <v>1047</v>
      </c>
    </row>
    <row r="65" spans="2:4" ht="28.5" x14ac:dyDescent="0.2">
      <c r="B65" s="3" t="s">
        <v>1048</v>
      </c>
      <c r="C65" s="4" t="s">
        <v>1049</v>
      </c>
      <c r="D65" s="4" t="s">
        <v>1050</v>
      </c>
    </row>
    <row r="66" spans="2:4" ht="28.5" x14ac:dyDescent="0.2">
      <c r="B66" s="3" t="s">
        <v>1051</v>
      </c>
      <c r="C66" s="4" t="s">
        <v>1052</v>
      </c>
      <c r="D66" s="4" t="s">
        <v>1053</v>
      </c>
    </row>
    <row r="67" spans="2:4" ht="28.5" x14ac:dyDescent="0.2">
      <c r="B67" s="3" t="s">
        <v>1054</v>
      </c>
      <c r="C67" s="4" t="s">
        <v>1055</v>
      </c>
      <c r="D67" s="4" t="s">
        <v>1056</v>
      </c>
    </row>
    <row r="68" spans="2:4" ht="28.5" x14ac:dyDescent="0.2">
      <c r="B68" s="3" t="s">
        <v>1057</v>
      </c>
      <c r="C68" s="4" t="s">
        <v>1058</v>
      </c>
      <c r="D68" s="4" t="s">
        <v>1059</v>
      </c>
    </row>
    <row r="69" spans="2:4" ht="28.5" x14ac:dyDescent="0.2">
      <c r="B69" s="3" t="s">
        <v>1060</v>
      </c>
      <c r="C69" s="4" t="s">
        <v>1061</v>
      </c>
      <c r="D69" s="4" t="s">
        <v>1062</v>
      </c>
    </row>
    <row r="70" spans="2:4" ht="28.5" x14ac:dyDescent="0.2">
      <c r="B70" s="3" t="s">
        <v>1063</v>
      </c>
      <c r="C70" s="4" t="s">
        <v>1064</v>
      </c>
      <c r="D70" s="4" t="s">
        <v>1065</v>
      </c>
    </row>
    <row r="71" spans="2:4" ht="28.5" x14ac:dyDescent="0.2">
      <c r="B71" s="3" t="s">
        <v>1066</v>
      </c>
      <c r="C71" s="4" t="s">
        <v>1067</v>
      </c>
      <c r="D71" s="4" t="s">
        <v>1068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1069</v>
      </c>
    </row>
    <row r="77" spans="2:4" x14ac:dyDescent="0.2">
      <c r="B77" s="7" t="s">
        <v>1070</v>
      </c>
    </row>
    <row r="78" spans="2:4" x14ac:dyDescent="0.2">
      <c r="B78" s="7" t="s">
        <v>1071</v>
      </c>
    </row>
    <row r="79" spans="2:4" x14ac:dyDescent="0.2">
      <c r="B79" s="7" t="s">
        <v>1072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AF44B-285F-40E0-A1C1-84385AA1FA8B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1073</v>
      </c>
      <c r="G1" t="str">
        <f>"&lt;dl&gt;&lt;dt&gt;" &amp; B1 &amp; "&lt;/dt&gt;&lt;dd&gt;" &amp; C1 &amp; "&lt;/dd&gt;&lt;dd&gt;" &amp; D1 &amp; "&lt;/dd&gt;&lt;/dl&gt;"</f>
        <v>&lt;dl&gt;&lt;dt&gt;一、八座定义&lt;/dt&gt;&lt;dd&gt;&lt;/dd&gt;&lt;dd&gt;&lt;/dd&gt;&lt;/dl&gt;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1074</v>
      </c>
      <c r="D4" s="4"/>
    </row>
    <row r="5" spans="2:7" ht="42.75" x14ac:dyDescent="0.2">
      <c r="B5" s="3" t="s">
        <v>61</v>
      </c>
      <c r="C5" s="4" t="s">
        <v>1075</v>
      </c>
      <c r="D5" s="4"/>
    </row>
    <row r="6" spans="2:7" ht="42.75" x14ac:dyDescent="0.2">
      <c r="B6" s="3" t="s">
        <v>99</v>
      </c>
      <c r="C6" s="4" t="s">
        <v>1076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1077</v>
      </c>
      <c r="C14" s="4" t="s">
        <v>1078</v>
      </c>
      <c r="D14" s="4" t="s">
        <v>890</v>
      </c>
    </row>
    <row r="15" spans="2:7" ht="28.5" x14ac:dyDescent="0.2">
      <c r="B15" s="3" t="s">
        <v>1079</v>
      </c>
      <c r="C15" s="4" t="s">
        <v>1080</v>
      </c>
      <c r="D15" s="4" t="s">
        <v>1081</v>
      </c>
    </row>
    <row r="16" spans="2:7" ht="28.5" x14ac:dyDescent="0.2">
      <c r="B16" s="3" t="s">
        <v>1082</v>
      </c>
      <c r="C16" s="4" t="s">
        <v>1083</v>
      </c>
      <c r="D16" s="4" t="s">
        <v>799</v>
      </c>
    </row>
    <row r="17" spans="2:7" ht="28.5" x14ac:dyDescent="0.2">
      <c r="B17" s="3" t="s">
        <v>1084</v>
      </c>
      <c r="C17" s="4" t="s">
        <v>1085</v>
      </c>
      <c r="D17" s="4" t="s">
        <v>1086</v>
      </c>
    </row>
    <row r="18" spans="2:7" ht="28.5" x14ac:dyDescent="0.2">
      <c r="B18" s="3" t="s">
        <v>1087</v>
      </c>
      <c r="C18" s="4" t="s">
        <v>1088</v>
      </c>
      <c r="D18" s="4" t="s">
        <v>994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1089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&lt;dl&gt;&lt;dt&gt;命宫​&lt;/dt&gt;&lt;dd&gt;为人稳重，安于其位，易获得一定的社会地位并受人尊重。&lt;/dd&gt;&lt;dd&gt;&lt;/dd&gt;&lt;/dl&gt;</v>
      </c>
    </row>
    <row r="25" spans="2:7" ht="29.25" thickBot="1" x14ac:dyDescent="0.25">
      <c r="B25" s="3" t="s">
        <v>58</v>
      </c>
      <c r="C25" s="4" t="s">
        <v>1090</v>
      </c>
      <c r="D25" s="4"/>
      <c r="E25" s="15"/>
      <c r="G25" t="str">
        <f t="shared" si="0"/>
        <v>&lt;dl&gt;&lt;dt&gt;兄弟宫​&lt;/dt&gt;&lt;dd&gt;兄弟姐妹或同事中有人拥有稳定职位；在团队中有固定角色。&lt;/dd&gt;&lt;dd&gt;&lt;/dd&gt;&lt;/dl&gt;</v>
      </c>
    </row>
    <row r="26" spans="2:7" ht="29.25" thickBot="1" x14ac:dyDescent="0.25">
      <c r="B26" s="3" t="s">
        <v>50</v>
      </c>
      <c r="C26" s="4" t="s">
        <v>1091</v>
      </c>
      <c r="D26" s="4"/>
      <c r="E26" s="15"/>
      <c r="G26" t="str">
        <f t="shared" si="0"/>
        <v>&lt;dl&gt;&lt;dt&gt;夫妻宫​&lt;/dt&gt;&lt;dd&gt;配偶有稳定职业或社会地位；婚姻关系安稳，各安其位。&lt;/dd&gt;&lt;dd&gt;&lt;/dd&gt;&lt;/dl&gt;</v>
      </c>
    </row>
    <row r="27" spans="2:7" ht="29.25" thickBot="1" x14ac:dyDescent="0.25">
      <c r="B27" s="3" t="s">
        <v>53</v>
      </c>
      <c r="C27" s="4" t="s">
        <v>1092</v>
      </c>
      <c r="D27" s="4"/>
      <c r="E27" s="15"/>
      <c r="G27" t="str">
        <f t="shared" si="0"/>
        <v>&lt;dl&gt;&lt;dt&gt;子女宫​&lt;/dt&gt;&lt;dd&gt;子女安稳，有固定发展；合作项目有稳定的架构和席位分配。&lt;/dd&gt;&lt;dd&gt;&lt;/dd&gt;&lt;/dl&gt;</v>
      </c>
    </row>
    <row r="28" spans="2:7" ht="29.25" thickBot="1" x14ac:dyDescent="0.25">
      <c r="B28" s="3" t="s">
        <v>1</v>
      </c>
      <c r="C28" s="4" t="s">
        <v>1093</v>
      </c>
      <c r="D28" s="4"/>
      <c r="E28" s="15"/>
      <c r="G28" t="str">
        <f t="shared" si="0"/>
        <v>&lt;dl&gt;&lt;dt&gt;财帛宫​&lt;/dt&gt;&lt;dd&gt;钱财来源稳定，拥有固定资产或稳定的理财座位（如股权）。&lt;/dd&gt;&lt;dd&gt;&lt;/dd&gt;&lt;/dl&gt;</v>
      </c>
    </row>
    <row r="29" spans="2:7" ht="29.25" thickBot="1" x14ac:dyDescent="0.25">
      <c r="B29" s="3" t="s">
        <v>2</v>
      </c>
      <c r="C29" s="4" t="s">
        <v>1094</v>
      </c>
      <c r="D29" s="4"/>
      <c r="E29" s="15"/>
      <c r="G29" t="str">
        <f t="shared" si="0"/>
        <v>&lt;dl&gt;&lt;dt&gt;疾厄宫​&lt;/dt&gt;&lt;dd&gt;病情稳定，有固定的病床或疗养位置；身体需要安稳休养。&lt;/dd&gt;&lt;dd&gt;&lt;/dd&gt;&lt;/dl&gt;</v>
      </c>
    </row>
    <row r="30" spans="2:7" ht="28.5" x14ac:dyDescent="0.2">
      <c r="B30" s="3" t="s">
        <v>5</v>
      </c>
      <c r="C30" s="4" t="s">
        <v>1095</v>
      </c>
      <c r="D30" s="4"/>
    </row>
    <row r="31" spans="2:7" ht="28.5" x14ac:dyDescent="0.2">
      <c r="B31" s="3" t="s">
        <v>4</v>
      </c>
      <c r="C31" s="4" t="s">
        <v>1096</v>
      </c>
      <c r="D31" s="4"/>
    </row>
    <row r="32" spans="2:7" ht="28.5" x14ac:dyDescent="0.2">
      <c r="B32" s="3" t="s">
        <v>57</v>
      </c>
      <c r="C32" s="3" t="s">
        <v>1097</v>
      </c>
      <c r="D32" s="4"/>
    </row>
    <row r="33" spans="2:7" ht="29.25" thickBot="1" x14ac:dyDescent="0.25">
      <c r="B33" s="3" t="s">
        <v>0</v>
      </c>
      <c r="C33" s="3" t="s">
        <v>1098</v>
      </c>
      <c r="D33" s="4"/>
    </row>
    <row r="34" spans="2:7" ht="29.25" thickBot="1" x14ac:dyDescent="0.25">
      <c r="B34" s="3" t="s">
        <v>41</v>
      </c>
      <c r="C34" s="4" t="s">
        <v>1099</v>
      </c>
      <c r="D34" s="4"/>
      <c r="E34" s="12"/>
    </row>
    <row r="35" spans="2:7" ht="29.25" thickBot="1" x14ac:dyDescent="0.25">
      <c r="B35" s="3" t="s">
        <v>3</v>
      </c>
      <c r="C35" s="4" t="s">
        <v>1100</v>
      </c>
      <c r="D35" s="4"/>
      <c r="E35" s="15"/>
      <c r="G35" t="str">
        <f t="shared" si="0"/>
        <v>&lt;dl&gt;&lt;dt&gt;父母宫​&lt;/dt&gt;&lt;dd&gt;父母有稳定职业或社会地位；家庭给予安稳的依靠。&lt;/dd&gt;&lt;dd&gt;&lt;/dd&gt;&lt;/dl&gt;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1101</v>
      </c>
      <c r="E40" s="15"/>
      <c r="G40" t="str">
        <f t="shared" si="0"/>
        <v>&lt;dl&gt;&lt;dt&gt;1. 增强地位安稳组合&lt;/dt&gt;&lt;dd&gt;&lt;/dd&gt;&lt;dd&gt;&lt;/dd&gt;&lt;/dl&gt;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1102</v>
      </c>
      <c r="C43" s="4" t="s">
        <v>1103</v>
      </c>
      <c r="D43" s="4" t="s">
        <v>1104</v>
      </c>
      <c r="E43" s="15"/>
      <c r="G43" t="str">
        <f t="shared" si="0"/>
        <v>&lt;dl&gt;&lt;dt&gt;八座+紫微​&lt;/dt&gt;&lt;dd&gt;地位尊崇且稳固，拥有权威的座位（如主席位），受人朝拜。&lt;/dd&gt;&lt;dd&gt;企业董事会主席；机构最高领导人。&lt;/dd&gt;&lt;/dl&gt;</v>
      </c>
    </row>
    <row r="44" spans="2:7" ht="28.5" x14ac:dyDescent="0.2">
      <c r="B44" s="3" t="s">
        <v>1105</v>
      </c>
      <c r="C44" s="4" t="s">
        <v>1106</v>
      </c>
      <c r="D44" s="4" t="s">
        <v>1107</v>
      </c>
    </row>
    <row r="45" spans="2:7" ht="28.5" x14ac:dyDescent="0.2">
      <c r="B45" s="3" t="s">
        <v>1108</v>
      </c>
      <c r="C45" s="4" t="s">
        <v>1109</v>
      </c>
      <c r="D45" s="4" t="s">
        <v>1110</v>
      </c>
    </row>
    <row r="46" spans="2:7" ht="28.5" x14ac:dyDescent="0.2">
      <c r="B46" s="3" t="s">
        <v>1111</v>
      </c>
      <c r="C46" s="4" t="s">
        <v>1112</v>
      </c>
      <c r="D46" s="4" t="s">
        <v>1113</v>
      </c>
    </row>
    <row r="47" spans="2:7" ht="15" thickBot="1" x14ac:dyDescent="0.25">
      <c r="B47" s="3" t="s">
        <v>1114</v>
      </c>
      <c r="C47" s="4" t="s">
        <v>1115</v>
      </c>
      <c r="D47" s="4" t="s">
        <v>1116</v>
      </c>
    </row>
    <row r="48" spans="2:7" ht="16.5" thickBot="1" x14ac:dyDescent="0.25">
      <c r="E48" s="12"/>
    </row>
    <row r="49" spans="2:7" ht="16.5" thickBot="1" x14ac:dyDescent="0.25">
      <c r="B49" s="13" t="s">
        <v>1117</v>
      </c>
      <c r="E49" s="15"/>
      <c r="G49" t="str">
        <f t="shared" si="0"/>
        <v>&lt;dl&gt;&lt;dt&gt;2. 专业化与安稳享受组合&lt;/dt&gt;&lt;dd&gt;&lt;/dd&gt;&lt;dd&gt;&lt;/dd&gt;&lt;/dl&gt;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1118</v>
      </c>
      <c r="C52" s="4" t="s">
        <v>1119</v>
      </c>
      <c r="D52" s="4" t="s">
        <v>1120</v>
      </c>
      <c r="E52" s="15"/>
      <c r="G52" t="str">
        <f t="shared" si="0"/>
        <v>&lt;dl&gt;&lt;dt&gt;八座+天同​&lt;/dt&gt;&lt;dd&gt;福气安稳，拥有享受生活的条件和位置，工作轻松有保障。&lt;/dd&gt;&lt;dd&gt;福利待遇优厚的国企职员；退休老干部。&lt;/dd&gt;&lt;/dl&gt;</v>
      </c>
    </row>
    <row r="53" spans="2:7" ht="28.5" x14ac:dyDescent="0.2">
      <c r="B53" s="3" t="s">
        <v>1121</v>
      </c>
      <c r="C53" s="4" t="s">
        <v>1122</v>
      </c>
      <c r="D53" s="4" t="s">
        <v>1123</v>
      </c>
    </row>
    <row r="54" spans="2:7" ht="28.5" x14ac:dyDescent="0.2">
      <c r="B54" s="3" t="s">
        <v>1124</v>
      </c>
      <c r="C54" s="4" t="s">
        <v>1125</v>
      </c>
      <c r="D54" s="4" t="s">
        <v>1126</v>
      </c>
    </row>
    <row r="55" spans="2:7" ht="28.5" x14ac:dyDescent="0.2">
      <c r="B55" s="3" t="s">
        <v>1127</v>
      </c>
      <c r="C55" s="4" t="s">
        <v>1128</v>
      </c>
      <c r="D55" s="4" t="s">
        <v>1129</v>
      </c>
    </row>
    <row r="56" spans="2:7" ht="28.5" x14ac:dyDescent="0.2">
      <c r="B56" s="3" t="s">
        <v>1130</v>
      </c>
      <c r="C56" s="4" t="s">
        <v>1131</v>
      </c>
      <c r="D56" s="4" t="s">
        <v>1132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42.75" x14ac:dyDescent="0.2">
      <c r="B62" s="3" t="s">
        <v>1133</v>
      </c>
      <c r="C62" s="3" t="s">
        <v>1134</v>
      </c>
      <c r="D62" s="4" t="s">
        <v>1135</v>
      </c>
    </row>
    <row r="63" spans="2:7" ht="28.5" x14ac:dyDescent="0.2">
      <c r="B63" s="3" t="s">
        <v>1136</v>
      </c>
      <c r="C63" s="4" t="s">
        <v>1137</v>
      </c>
      <c r="D63" s="4" t="s">
        <v>1138</v>
      </c>
    </row>
    <row r="64" spans="2:7" ht="28.5" x14ac:dyDescent="0.2">
      <c r="B64" s="3" t="s">
        <v>1139</v>
      </c>
      <c r="C64" s="4" t="s">
        <v>1140</v>
      </c>
      <c r="D64" s="4" t="s">
        <v>1141</v>
      </c>
    </row>
    <row r="65" spans="2:4" ht="28.5" x14ac:dyDescent="0.2">
      <c r="B65" s="3" t="s">
        <v>1142</v>
      </c>
      <c r="C65" s="4" t="s">
        <v>1143</v>
      </c>
      <c r="D65" s="4" t="s">
        <v>1144</v>
      </c>
    </row>
    <row r="66" spans="2:4" x14ac:dyDescent="0.2">
      <c r="B66" s="3" t="s">
        <v>1145</v>
      </c>
      <c r="C66" s="4" t="s">
        <v>1146</v>
      </c>
      <c r="D66" s="4" t="s">
        <v>1147</v>
      </c>
    </row>
    <row r="67" spans="2:4" ht="28.5" x14ac:dyDescent="0.2">
      <c r="B67" s="3" t="s">
        <v>1148</v>
      </c>
      <c r="C67" s="4" t="s">
        <v>1149</v>
      </c>
      <c r="D67" s="4" t="s">
        <v>1150</v>
      </c>
    </row>
    <row r="68" spans="2:4" ht="28.5" x14ac:dyDescent="0.2">
      <c r="B68" s="3" t="s">
        <v>1151</v>
      </c>
      <c r="C68" s="4" t="s">
        <v>1152</v>
      </c>
      <c r="D68" s="4" t="s">
        <v>1153</v>
      </c>
    </row>
    <row r="69" spans="2:4" ht="28.5" x14ac:dyDescent="0.2">
      <c r="B69" s="3" t="s">
        <v>1154</v>
      </c>
      <c r="C69" s="4" t="s">
        <v>1155</v>
      </c>
      <c r="D69" s="4" t="s">
        <v>1156</v>
      </c>
    </row>
    <row r="70" spans="2:4" ht="28.5" x14ac:dyDescent="0.2">
      <c r="B70" s="3" t="s">
        <v>1157</v>
      </c>
      <c r="C70" s="4" t="s">
        <v>1158</v>
      </c>
      <c r="D70" s="4" t="s">
        <v>1159</v>
      </c>
    </row>
    <row r="71" spans="2:4" x14ac:dyDescent="0.2">
      <c r="B71" s="3" t="s">
        <v>1160</v>
      </c>
      <c r="C71" s="4" t="s">
        <v>1161</v>
      </c>
      <c r="D71" s="4" t="s">
        <v>1162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1163</v>
      </c>
    </row>
    <row r="77" spans="2:4" x14ac:dyDescent="0.2">
      <c r="B77" s="7" t="s">
        <v>1164</v>
      </c>
    </row>
    <row r="78" spans="2:4" x14ac:dyDescent="0.2">
      <c r="B78" s="7" t="s">
        <v>1165</v>
      </c>
    </row>
    <row r="79" spans="2:4" x14ac:dyDescent="0.2">
      <c r="B79" s="7" t="s">
        <v>1166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C1F8E-85E9-4535-B120-4444CBFF718C}">
  <dimension ref="B1:G82"/>
  <sheetViews>
    <sheetView topLeftCell="A18"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1264</v>
      </c>
      <c r="G1" t="str">
        <f>"&lt;dl&gt;&lt;dt&gt;" &amp; B1 &amp; "&lt;/dt&gt;&lt;dd&gt;" &amp; C1 &amp; "&lt;/dd&gt;&lt;dd&gt;" &amp; D1 &amp; "&lt;/dd&gt;&lt;/dl&gt;"</f>
        <v>&lt;dl&gt;&lt;dt&gt;一、天才定义&lt;/dt&gt;&lt;dd&gt;&lt;/dd&gt;&lt;dd&gt;&lt;/dd&gt;&lt;/dl&gt;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1265</v>
      </c>
      <c r="D4" s="4"/>
    </row>
    <row r="5" spans="2:7" ht="28.5" x14ac:dyDescent="0.2">
      <c r="B5" s="3" t="s">
        <v>61</v>
      </c>
      <c r="C5" s="4" t="s">
        <v>1266</v>
      </c>
      <c r="D5" s="4"/>
    </row>
    <row r="6" spans="2:7" ht="42.75" x14ac:dyDescent="0.2">
      <c r="B6" s="3" t="s">
        <v>99</v>
      </c>
      <c r="C6" s="4" t="s">
        <v>1267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x14ac:dyDescent="0.2">
      <c r="B14" s="3" t="s">
        <v>1268</v>
      </c>
      <c r="C14" s="4" t="s">
        <v>1269</v>
      </c>
      <c r="D14" s="4" t="s">
        <v>208</v>
      </c>
    </row>
    <row r="15" spans="2:7" x14ac:dyDescent="0.2">
      <c r="B15" s="3" t="s">
        <v>1270</v>
      </c>
      <c r="C15" s="4" t="s">
        <v>1271</v>
      </c>
      <c r="D15" s="4" t="s">
        <v>1272</v>
      </c>
    </row>
    <row r="16" spans="2:7" x14ac:dyDescent="0.2">
      <c r="B16" s="3" t="s">
        <v>1273</v>
      </c>
      <c r="C16" s="4" t="s">
        <v>1274</v>
      </c>
      <c r="D16" s="4" t="s">
        <v>1275</v>
      </c>
    </row>
    <row r="17" spans="2:7" x14ac:dyDescent="0.2">
      <c r="B17" s="3" t="s">
        <v>1276</v>
      </c>
      <c r="C17" s="4" t="s">
        <v>1277</v>
      </c>
      <c r="D17" s="4" t="s">
        <v>1278</v>
      </c>
    </row>
    <row r="18" spans="2:7" x14ac:dyDescent="0.2">
      <c r="B18" s="3" t="s">
        <v>1279</v>
      </c>
      <c r="C18" s="4" t="s">
        <v>1280</v>
      </c>
      <c r="D18" s="4" t="s">
        <v>1281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16.5" thickBot="1" x14ac:dyDescent="0.25">
      <c r="B24" s="3" t="s">
        <v>56</v>
      </c>
      <c r="C24" s="4" t="s">
        <v>1282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&lt;dl&gt;&lt;dt&gt;命宫​&lt;/dt&gt;&lt;dd&gt;天生聪明，悟性高，学习能力强，多才多艺。&lt;/dd&gt;&lt;dd&gt;&lt;/dd&gt;&lt;/dl&gt;</v>
      </c>
    </row>
    <row r="25" spans="2:7" ht="16.5" thickBot="1" x14ac:dyDescent="0.25">
      <c r="B25" s="3" t="s">
        <v>58</v>
      </c>
      <c r="C25" s="4" t="s">
        <v>1283</v>
      </c>
      <c r="D25" s="4"/>
      <c r="E25" s="15"/>
      <c r="G25" t="str">
        <f t="shared" si="0"/>
        <v>&lt;dl&gt;&lt;dt&gt;兄弟宫​&lt;/dt&gt;&lt;dd&gt;兄弟姐妹聪明有才华；在团队中能与聪明人为伍。&lt;/dd&gt;&lt;dd&gt;&lt;/dd&gt;&lt;/dl&gt;</v>
      </c>
    </row>
    <row r="26" spans="2:7" ht="16.5" thickBot="1" x14ac:dyDescent="0.25">
      <c r="B26" s="3" t="s">
        <v>50</v>
      </c>
      <c r="C26" s="4" t="s">
        <v>1284</v>
      </c>
      <c r="D26" s="4"/>
      <c r="E26" s="15"/>
      <c r="G26" t="str">
        <f t="shared" si="0"/>
        <v>&lt;dl&gt;&lt;dt&gt;夫妻宫​&lt;/dt&gt;&lt;dd&gt;配偶聪明或有特殊才华；婚姻中注重精神交流。&lt;/dd&gt;&lt;dd&gt;&lt;/dd&gt;&lt;/dl&gt;</v>
      </c>
    </row>
    <row r="27" spans="2:7" ht="29.25" thickBot="1" x14ac:dyDescent="0.25">
      <c r="B27" s="3" t="s">
        <v>53</v>
      </c>
      <c r="C27" s="4" t="s">
        <v>1285</v>
      </c>
      <c r="D27" s="4"/>
      <c r="E27" s="15"/>
      <c r="G27" t="str">
        <f t="shared" si="0"/>
        <v>&lt;dl&gt;&lt;dt&gt;子女宫​&lt;/dt&gt;&lt;dd&gt;子女聪明伶俐，有艺术或学术天赋；合作方有创意。&lt;/dd&gt;&lt;dd&gt;&lt;/dd&gt;&lt;/dl&gt;</v>
      </c>
    </row>
    <row r="28" spans="2:7" ht="29.25" thickBot="1" x14ac:dyDescent="0.25">
      <c r="B28" s="3" t="s">
        <v>1</v>
      </c>
      <c r="C28" s="4" t="s">
        <v>1286</v>
      </c>
      <c r="D28" s="4"/>
      <c r="E28" s="15"/>
      <c r="G28" t="str">
        <f t="shared" si="0"/>
        <v>&lt;dl&gt;&lt;dt&gt;财帛宫​&lt;/dt&gt;&lt;dd&gt;以智慧、才华、创意赚钱，适合脑力劳动或技术行业。&lt;/dd&gt;&lt;dd&gt;&lt;/dd&gt;&lt;/dl&gt;</v>
      </c>
    </row>
    <row r="29" spans="2:7" ht="29.25" thickBot="1" x14ac:dyDescent="0.25">
      <c r="B29" s="3" t="s">
        <v>2</v>
      </c>
      <c r="C29" s="4" t="s">
        <v>1287</v>
      </c>
      <c r="D29" s="4"/>
      <c r="E29" s="15"/>
      <c r="G29" t="str">
        <f t="shared" si="0"/>
        <v>&lt;dl&gt;&lt;dt&gt;疾厄宫​&lt;/dt&gt;&lt;dd&gt;头脑聪慧，但易思虑过度导致神经衰弱、失眠等问题。&lt;/dd&gt;&lt;dd&gt;&lt;/dd&gt;&lt;/dl&gt;</v>
      </c>
    </row>
    <row r="30" spans="2:7" x14ac:dyDescent="0.2">
      <c r="B30" s="3" t="s">
        <v>5</v>
      </c>
      <c r="C30" s="4" t="s">
        <v>1288</v>
      </c>
      <c r="D30" s="4"/>
    </row>
    <row r="31" spans="2:7" x14ac:dyDescent="0.2">
      <c r="B31" s="3" t="s">
        <v>4</v>
      </c>
      <c r="C31" s="4" t="s">
        <v>1289</v>
      </c>
      <c r="D31" s="4"/>
    </row>
    <row r="32" spans="2:7" ht="28.5" x14ac:dyDescent="0.2">
      <c r="B32" s="3" t="s">
        <v>57</v>
      </c>
      <c r="C32" s="3" t="s">
        <v>1290</v>
      </c>
      <c r="D32" s="4"/>
    </row>
    <row r="33" spans="2:7" ht="29.25" thickBot="1" x14ac:dyDescent="0.25">
      <c r="B33" s="3" t="s">
        <v>0</v>
      </c>
      <c r="C33" s="4" t="s">
        <v>1291</v>
      </c>
      <c r="D33" s="4"/>
    </row>
    <row r="34" spans="2:7" ht="29.25" thickBot="1" x14ac:dyDescent="0.25">
      <c r="B34" s="3" t="s">
        <v>41</v>
      </c>
      <c r="C34" s="4" t="s">
        <v>1292</v>
      </c>
      <c r="D34" s="4"/>
      <c r="E34" s="12"/>
    </row>
    <row r="35" spans="2:7" ht="29.25" thickBot="1" x14ac:dyDescent="0.25">
      <c r="B35" s="3" t="s">
        <v>3</v>
      </c>
      <c r="C35" s="4" t="s">
        <v>1293</v>
      </c>
      <c r="D35" s="4"/>
      <c r="E35" s="15"/>
      <c r="G35" t="str">
        <f t="shared" si="0"/>
        <v>&lt;dl&gt;&lt;dt&gt;父母宫​&lt;/dt&gt;&lt;dd&gt;父母聪明，重视教育；遗传到良好的智力与学习天赋。&lt;/dd&gt;&lt;dd&gt;&lt;/dd&gt;&lt;/dl&gt;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1294</v>
      </c>
      <c r="E40" s="15"/>
      <c r="G40" t="str">
        <f t="shared" si="0"/>
        <v>&lt;dl&gt;&lt;dt&gt;1. 增强智慧才华组合&lt;/dt&gt;&lt;dd&gt;&lt;/dd&gt;&lt;dd&gt;&lt;/dd&gt;&lt;/dl&gt;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1295</v>
      </c>
      <c r="C43" s="4" t="s">
        <v>1296</v>
      </c>
      <c r="D43" s="4" t="s">
        <v>1297</v>
      </c>
      <c r="E43" s="15"/>
      <c r="G43" t="str">
        <f t="shared" si="0"/>
        <v>&lt;dl&gt;&lt;dt&gt;天才+紫微​&lt;/dt&gt;&lt;dd&gt;拥有领导型智慧，格局大，有战略眼光，能统筹全局。&lt;/dd&gt;&lt;dd&gt;企业战略家；政府智囊团核心。&lt;/dd&gt;&lt;/dl&gt;</v>
      </c>
    </row>
    <row r="44" spans="2:7" ht="28.5" x14ac:dyDescent="0.2">
      <c r="B44" s="3" t="s">
        <v>1298</v>
      </c>
      <c r="C44" s="4" t="s">
        <v>1299</v>
      </c>
      <c r="D44" s="4" t="s">
        <v>1300</v>
      </c>
    </row>
    <row r="45" spans="2:7" ht="28.5" x14ac:dyDescent="0.2">
      <c r="B45" s="3" t="s">
        <v>1301</v>
      </c>
      <c r="C45" s="3" t="s">
        <v>1302</v>
      </c>
      <c r="D45" s="4" t="s">
        <v>1303</v>
      </c>
    </row>
    <row r="46" spans="2:7" ht="28.5" x14ac:dyDescent="0.2">
      <c r="B46" s="3" t="s">
        <v>1304</v>
      </c>
      <c r="C46" s="4" t="s">
        <v>1305</v>
      </c>
      <c r="D46" s="4" t="s">
        <v>1306</v>
      </c>
    </row>
    <row r="47" spans="2:7" ht="29.25" thickBot="1" x14ac:dyDescent="0.25">
      <c r="B47" s="3" t="s">
        <v>1307</v>
      </c>
      <c r="C47" s="4" t="s">
        <v>1308</v>
      </c>
      <c r="D47" s="4" t="s">
        <v>1309</v>
      </c>
    </row>
    <row r="48" spans="2:7" ht="16.5" thickBot="1" x14ac:dyDescent="0.25">
      <c r="E48" s="12"/>
    </row>
    <row r="49" spans="2:7" ht="16.5" thickBot="1" x14ac:dyDescent="0.25">
      <c r="B49" s="13" t="s">
        <v>1310</v>
      </c>
      <c r="E49" s="15"/>
      <c r="G49" t="str">
        <f t="shared" si="0"/>
        <v>&lt;dl&gt;&lt;dt&gt;2. 专业化与领悟力组合&lt;/dt&gt;&lt;dd&gt;&lt;/dd&gt;&lt;dd&gt;&lt;/dd&gt;&lt;/dl&gt;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1311</v>
      </c>
      <c r="C52" s="4" t="s">
        <v>1312</v>
      </c>
      <c r="D52" s="4" t="s">
        <v>1313</v>
      </c>
      <c r="E52" s="15"/>
      <c r="G52" t="str">
        <f t="shared" si="0"/>
        <v>&lt;dl&gt;&lt;dt&gt;天才+廉贞​&lt;/dt&gt;&lt;dd&gt;才华用于复杂人际、政治或艺术领域，心思缜密，有创作或谋略天赋。&lt;/dd&gt;&lt;dd&gt;政治家；复杂系统设计师；画家。&lt;/dd&gt;&lt;/dl&gt;</v>
      </c>
    </row>
    <row r="53" spans="2:7" ht="28.5" x14ac:dyDescent="0.2">
      <c r="B53" s="3" t="s">
        <v>1314</v>
      </c>
      <c r="C53" s="4" t="s">
        <v>1315</v>
      </c>
      <c r="D53" s="4" t="s">
        <v>1316</v>
      </c>
    </row>
    <row r="54" spans="2:7" ht="28.5" x14ac:dyDescent="0.2">
      <c r="B54" s="3" t="s">
        <v>1317</v>
      </c>
      <c r="C54" s="4" t="s">
        <v>1318</v>
      </c>
      <c r="D54" s="4" t="s">
        <v>1319</v>
      </c>
    </row>
    <row r="55" spans="2:7" ht="28.5" x14ac:dyDescent="0.2">
      <c r="B55" s="3" t="s">
        <v>1320</v>
      </c>
      <c r="C55" s="4" t="s">
        <v>1321</v>
      </c>
      <c r="D55" s="4" t="s">
        <v>1322</v>
      </c>
    </row>
    <row r="56" spans="2:7" ht="28.5" x14ac:dyDescent="0.2">
      <c r="B56" s="3" t="s">
        <v>1323</v>
      </c>
      <c r="C56" s="4" t="s">
        <v>1324</v>
      </c>
      <c r="D56" s="4" t="s">
        <v>1325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1326</v>
      </c>
      <c r="C62" s="3" t="s">
        <v>1327</v>
      </c>
      <c r="D62" s="4" t="s">
        <v>1328</v>
      </c>
    </row>
    <row r="63" spans="2:7" ht="28.5" x14ac:dyDescent="0.2">
      <c r="B63" s="3" t="s">
        <v>1329</v>
      </c>
      <c r="C63" s="3" t="s">
        <v>1330</v>
      </c>
      <c r="D63" s="4" t="s">
        <v>1331</v>
      </c>
    </row>
    <row r="64" spans="2:7" ht="28.5" x14ac:dyDescent="0.2">
      <c r="B64" s="3" t="s">
        <v>1332</v>
      </c>
      <c r="C64" s="4" t="s">
        <v>1333</v>
      </c>
      <c r="D64" s="4" t="s">
        <v>1334</v>
      </c>
    </row>
    <row r="65" spans="2:4" ht="28.5" x14ac:dyDescent="0.2">
      <c r="B65" s="3" t="s">
        <v>1335</v>
      </c>
      <c r="C65" s="4" t="s">
        <v>1336</v>
      </c>
      <c r="D65" s="4" t="s">
        <v>1337</v>
      </c>
    </row>
    <row r="66" spans="2:4" ht="28.5" x14ac:dyDescent="0.2">
      <c r="B66" s="3" t="s">
        <v>1338</v>
      </c>
      <c r="C66" s="4" t="s">
        <v>1339</v>
      </c>
      <c r="D66" s="4" t="s">
        <v>1340</v>
      </c>
    </row>
    <row r="67" spans="2:4" ht="28.5" x14ac:dyDescent="0.2">
      <c r="B67" s="3" t="s">
        <v>1341</v>
      </c>
      <c r="C67" s="4" t="s">
        <v>1342</v>
      </c>
      <c r="D67" s="4" t="s">
        <v>1343</v>
      </c>
    </row>
    <row r="68" spans="2:4" ht="28.5" x14ac:dyDescent="0.2">
      <c r="B68" s="3" t="s">
        <v>1344</v>
      </c>
      <c r="C68" s="4" t="s">
        <v>1345</v>
      </c>
      <c r="D68" s="4" t="s">
        <v>1346</v>
      </c>
    </row>
    <row r="69" spans="2:4" ht="28.5" x14ac:dyDescent="0.2">
      <c r="B69" s="3" t="s">
        <v>78</v>
      </c>
      <c r="C69" s="4" t="s">
        <v>1347</v>
      </c>
      <c r="D69" s="4" t="s">
        <v>1348</v>
      </c>
    </row>
    <row r="70" spans="2:4" ht="28.5" x14ac:dyDescent="0.2">
      <c r="B70" s="3" t="s">
        <v>1349</v>
      </c>
      <c r="C70" s="4" t="s">
        <v>1350</v>
      </c>
      <c r="D70" s="4" t="s">
        <v>1351</v>
      </c>
    </row>
    <row r="71" spans="2:4" ht="28.5" x14ac:dyDescent="0.2">
      <c r="B71" s="3" t="s">
        <v>1352</v>
      </c>
      <c r="C71" s="4" t="s">
        <v>1353</v>
      </c>
      <c r="D71" s="4" t="s">
        <v>1354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1355</v>
      </c>
    </row>
    <row r="77" spans="2:4" x14ac:dyDescent="0.2">
      <c r="B77" s="7" t="s">
        <v>1356</v>
      </c>
    </row>
    <row r="78" spans="2:4" x14ac:dyDescent="0.2">
      <c r="B78" s="7" t="s">
        <v>1357</v>
      </c>
    </row>
    <row r="79" spans="2:4" x14ac:dyDescent="0.2">
      <c r="B79" s="7" t="s">
        <v>1358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A546C-D586-4FF6-A76F-719EA3E02F64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1359</v>
      </c>
      <c r="G1" t="str">
        <f>"&lt;dl&gt;&lt;dt&gt;" &amp; B1 &amp; "&lt;/dt&gt;&lt;dd&gt;" &amp; C1 &amp; "&lt;/dd&gt;&lt;dd&gt;" &amp; D1 &amp; "&lt;/dd&gt;&lt;/dl&gt;"</f>
        <v>&lt;dl&gt;&lt;dt&gt;一、天官定义&lt;/dt&gt;&lt;dd&gt;&lt;/dd&gt;&lt;dd&gt;&lt;/dd&gt;&lt;/dl&gt;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1360</v>
      </c>
      <c r="D4" s="4"/>
    </row>
    <row r="5" spans="2:7" ht="42.75" x14ac:dyDescent="0.2">
      <c r="B5" s="3" t="s">
        <v>61</v>
      </c>
      <c r="C5" s="4" t="s">
        <v>1361</v>
      </c>
      <c r="D5" s="4"/>
    </row>
    <row r="6" spans="2:7" ht="42.75" x14ac:dyDescent="0.2">
      <c r="B6" s="3" t="s">
        <v>99</v>
      </c>
      <c r="C6" s="4" t="s">
        <v>1362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1363</v>
      </c>
      <c r="C14" s="4" t="s">
        <v>1364</v>
      </c>
      <c r="D14" s="4" t="s">
        <v>1365</v>
      </c>
    </row>
    <row r="15" spans="2:7" ht="28.5" x14ac:dyDescent="0.2">
      <c r="B15" s="3" t="s">
        <v>1366</v>
      </c>
      <c r="C15" s="4" t="s">
        <v>1367</v>
      </c>
      <c r="D15" s="4" t="s">
        <v>1368</v>
      </c>
    </row>
    <row r="16" spans="2:7" ht="28.5" x14ac:dyDescent="0.2">
      <c r="B16" s="3" t="s">
        <v>1369</v>
      </c>
      <c r="C16" s="4" t="s">
        <v>1370</v>
      </c>
      <c r="D16" s="4" t="s">
        <v>1371</v>
      </c>
    </row>
    <row r="17" spans="2:7" x14ac:dyDescent="0.2">
      <c r="B17" s="3" t="s">
        <v>1372</v>
      </c>
      <c r="C17" s="4" t="s">
        <v>1373</v>
      </c>
      <c r="D17" s="4" t="s">
        <v>1374</v>
      </c>
    </row>
    <row r="18" spans="2:7" x14ac:dyDescent="0.2">
      <c r="B18" s="3" t="s">
        <v>1375</v>
      </c>
      <c r="C18" s="4" t="s">
        <v>1376</v>
      </c>
      <c r="D18" s="4" t="s">
        <v>1377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1378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&lt;dl&gt;&lt;dt&gt;命宫​&lt;/dt&gt;&lt;dd&gt;有官运，易获得正式职位，为人稳重，遵守规章制度。&lt;/dd&gt;&lt;dd&gt;&lt;/dd&gt;&lt;/dl&gt;</v>
      </c>
    </row>
    <row r="25" spans="2:7" ht="29.25" thickBot="1" x14ac:dyDescent="0.25">
      <c r="B25" s="3" t="s">
        <v>58</v>
      </c>
      <c r="C25" s="4" t="s">
        <v>1379</v>
      </c>
      <c r="D25" s="4"/>
      <c r="E25" s="15"/>
      <c r="G25" t="str">
        <f t="shared" si="0"/>
        <v>&lt;dl&gt;&lt;dt&gt;兄弟宫​&lt;/dt&gt;&lt;dd&gt;兄弟姐妹中有任职公职者；在团队中处于正式编制岗位。&lt;/dd&gt;&lt;dd&gt;&lt;/dd&gt;&lt;/dl&gt;</v>
      </c>
    </row>
    <row r="26" spans="2:7" ht="29.25" thickBot="1" x14ac:dyDescent="0.25">
      <c r="B26" s="3" t="s">
        <v>50</v>
      </c>
      <c r="C26" s="4" t="s">
        <v>1380</v>
      </c>
      <c r="D26" s="4"/>
      <c r="E26" s="15"/>
      <c r="G26" t="str">
        <f t="shared" si="0"/>
        <v>&lt;dl&gt;&lt;dt&gt;夫妻宫​&lt;/dt&gt;&lt;dd&gt;配偶有官方职务或工作稳定；婚姻关系受法律保护。&lt;/dd&gt;&lt;dd&gt;&lt;/dd&gt;&lt;/dl&gt;</v>
      </c>
    </row>
    <row r="27" spans="2:7" ht="29.25" thickBot="1" x14ac:dyDescent="0.25">
      <c r="B27" s="3" t="s">
        <v>53</v>
      </c>
      <c r="C27" s="4" t="s">
        <v>1381</v>
      </c>
      <c r="D27" s="4"/>
      <c r="E27" s="15"/>
      <c r="G27" t="str">
        <f t="shared" si="0"/>
        <v>&lt;dl&gt;&lt;dt&gt;子女宫​&lt;/dt&gt;&lt;dd&gt;子女未来易从事公职；合作项目有正式合同与官方背景。&lt;/dd&gt;&lt;dd&gt;&lt;/dd&gt;&lt;/dl&gt;</v>
      </c>
    </row>
    <row r="28" spans="2:7" ht="29.25" thickBot="1" x14ac:dyDescent="0.25">
      <c r="B28" s="3" t="s">
        <v>1</v>
      </c>
      <c r="C28" s="4" t="s">
        <v>1382</v>
      </c>
      <c r="D28" s="4"/>
      <c r="E28" s="15"/>
      <c r="G28" t="str">
        <f t="shared" si="0"/>
        <v>&lt;dl&gt;&lt;dt&gt;财帛宫​&lt;/dt&gt;&lt;dd&gt;钱财来自稳定薪资、官方补贴或与政府相关的项目。&lt;/dd&gt;&lt;dd&gt;&lt;/dd&gt;&lt;/dl&gt;</v>
      </c>
    </row>
    <row r="29" spans="2:7" ht="29.25" thickBot="1" x14ac:dyDescent="0.25">
      <c r="B29" s="3" t="s">
        <v>2</v>
      </c>
      <c r="C29" s="4" t="s">
        <v>1383</v>
      </c>
      <c r="D29" s="4"/>
      <c r="E29" s="15"/>
      <c r="G29" t="str">
        <f t="shared" si="0"/>
        <v>&lt;dl&gt;&lt;dt&gt;疾厄宫​&lt;/dt&gt;&lt;dd&gt;享受公费医疗或体制内医疗保障；病情需按规程治疗。&lt;/dd&gt;&lt;dd&gt;&lt;/dd&gt;&lt;/dl&gt;</v>
      </c>
    </row>
    <row r="30" spans="2:7" ht="28.5" x14ac:dyDescent="0.2">
      <c r="B30" s="3" t="s">
        <v>5</v>
      </c>
      <c r="C30" s="4" t="s">
        <v>1384</v>
      </c>
      <c r="D30" s="4"/>
    </row>
    <row r="31" spans="2:7" x14ac:dyDescent="0.2">
      <c r="B31" s="3" t="s">
        <v>4</v>
      </c>
      <c r="C31" s="4" t="s">
        <v>1385</v>
      </c>
      <c r="D31" s="4"/>
    </row>
    <row r="32" spans="2:7" ht="28.5" x14ac:dyDescent="0.2">
      <c r="B32" s="3" t="s">
        <v>57</v>
      </c>
      <c r="C32" s="3" t="s">
        <v>1386</v>
      </c>
      <c r="D32" s="4"/>
    </row>
    <row r="33" spans="2:7" ht="29.25" thickBot="1" x14ac:dyDescent="0.25">
      <c r="B33" s="3" t="s">
        <v>0</v>
      </c>
      <c r="C33" s="4" t="s">
        <v>1387</v>
      </c>
      <c r="D33" s="4"/>
    </row>
    <row r="34" spans="2:7" ht="29.25" thickBot="1" x14ac:dyDescent="0.25">
      <c r="B34" s="3" t="s">
        <v>41</v>
      </c>
      <c r="C34" s="4" t="s">
        <v>1388</v>
      </c>
      <c r="D34" s="4"/>
      <c r="E34" s="12"/>
    </row>
    <row r="35" spans="2:7" ht="29.25" thickBot="1" x14ac:dyDescent="0.25">
      <c r="B35" s="3" t="s">
        <v>3</v>
      </c>
      <c r="C35" s="4" t="s">
        <v>1389</v>
      </c>
      <c r="D35" s="4"/>
      <c r="E35" s="15"/>
      <c r="G35" t="str">
        <f t="shared" si="0"/>
        <v>&lt;dl&gt;&lt;dt&gt;父母宫​&lt;/dt&gt;&lt;dd&gt;父母有公职或官方身份；家庭背景正统，重视规矩。&lt;/dd&gt;&lt;dd&gt;&lt;/dd&gt;&lt;/dl&gt;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1390</v>
      </c>
      <c r="E40" s="15"/>
      <c r="G40" t="str">
        <f t="shared" si="0"/>
        <v>&lt;dl&gt;&lt;dt&gt;1. 增强官贵地位组合&lt;/dt&gt;&lt;dd&gt;&lt;/dd&gt;&lt;dd&gt;&lt;/dd&gt;&lt;/dl&gt;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1391</v>
      </c>
      <c r="C43" s="4" t="s">
        <v>1392</v>
      </c>
      <c r="D43" s="4" t="s">
        <v>1393</v>
      </c>
      <c r="E43" s="15"/>
      <c r="G43" t="str">
        <f t="shared" si="0"/>
        <v>&lt;dl&gt;&lt;dt&gt;天官+紫微​&lt;/dt&gt;&lt;dd&gt;官高权重，在核心权力部门或大型机构担任重要领导职务。&lt;/dd&gt;&lt;dd&gt;政府部长；央企董事长。&lt;/dd&gt;&lt;/dl&gt;</v>
      </c>
    </row>
    <row r="44" spans="2:7" ht="28.5" x14ac:dyDescent="0.2">
      <c r="B44" s="3" t="s">
        <v>1394</v>
      </c>
      <c r="C44" s="4" t="s">
        <v>1395</v>
      </c>
      <c r="D44" s="4" t="s">
        <v>1396</v>
      </c>
    </row>
    <row r="45" spans="2:7" ht="28.5" x14ac:dyDescent="0.2">
      <c r="B45" s="3" t="s">
        <v>1397</v>
      </c>
      <c r="C45" s="4" t="s">
        <v>1398</v>
      </c>
      <c r="D45" s="4" t="s">
        <v>1399</v>
      </c>
    </row>
    <row r="46" spans="2:7" ht="28.5" x14ac:dyDescent="0.2">
      <c r="B46" s="3" t="s">
        <v>1400</v>
      </c>
      <c r="C46" s="4" t="s">
        <v>1401</v>
      </c>
      <c r="D46" s="4" t="s">
        <v>1402</v>
      </c>
    </row>
    <row r="47" spans="2:7" ht="29.25" thickBot="1" x14ac:dyDescent="0.25">
      <c r="B47" s="3" t="s">
        <v>1403</v>
      </c>
      <c r="C47" s="4" t="s">
        <v>1404</v>
      </c>
      <c r="D47" s="4" t="s">
        <v>1405</v>
      </c>
    </row>
    <row r="48" spans="2:7" ht="16.5" thickBot="1" x14ac:dyDescent="0.25">
      <c r="E48" s="12"/>
    </row>
    <row r="49" spans="2:7" ht="16.5" thickBot="1" x14ac:dyDescent="0.25">
      <c r="B49" s="13" t="s">
        <v>1406</v>
      </c>
      <c r="E49" s="15"/>
      <c r="G49" t="str">
        <f t="shared" si="0"/>
        <v>&lt;dl&gt;&lt;dt&gt;2. 专业化与公职组合&lt;/dt&gt;&lt;dd&gt;&lt;/dd&gt;&lt;dd&gt;&lt;/dd&gt;&lt;/dl&gt;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1407</v>
      </c>
      <c r="C52" s="4" t="s">
        <v>1408</v>
      </c>
      <c r="D52" s="4" t="s">
        <v>1409</v>
      </c>
      <c r="E52" s="15"/>
      <c r="G52" t="str">
        <f t="shared" si="0"/>
        <v>&lt;dl&gt;&lt;dt&gt;天官+天机​&lt;/dt&gt;&lt;dd&gt;谋士之官，担任策划、调研、信息技术等部门的公职。&lt;/dd&gt;&lt;dd&gt;政策研究室研究员；统计局官员。&lt;/dd&gt;&lt;/dl&gt;</v>
      </c>
    </row>
    <row r="53" spans="2:7" ht="28.5" x14ac:dyDescent="0.2">
      <c r="B53" s="3" t="s">
        <v>1410</v>
      </c>
      <c r="C53" s="4" t="s">
        <v>1411</v>
      </c>
      <c r="D53" s="4" t="s">
        <v>1412</v>
      </c>
    </row>
    <row r="54" spans="2:7" ht="28.5" x14ac:dyDescent="0.2">
      <c r="B54" s="3" t="s">
        <v>1413</v>
      </c>
      <c r="C54" s="4" t="s">
        <v>1414</v>
      </c>
      <c r="D54" s="4" t="s">
        <v>1415</v>
      </c>
    </row>
    <row r="55" spans="2:7" ht="28.5" x14ac:dyDescent="0.2">
      <c r="B55" s="3" t="s">
        <v>1416</v>
      </c>
      <c r="C55" s="4" t="s">
        <v>1417</v>
      </c>
      <c r="D55" s="4" t="s">
        <v>1418</v>
      </c>
    </row>
    <row r="56" spans="2:7" ht="28.5" x14ac:dyDescent="0.2">
      <c r="B56" s="3" t="s">
        <v>1419</v>
      </c>
      <c r="C56" s="4" t="s">
        <v>1420</v>
      </c>
      <c r="D56" s="4" t="s">
        <v>1421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1422</v>
      </c>
      <c r="C62" s="3" t="s">
        <v>1423</v>
      </c>
      <c r="D62" s="4" t="s">
        <v>1424</v>
      </c>
    </row>
    <row r="63" spans="2:7" ht="28.5" x14ac:dyDescent="0.2">
      <c r="B63" s="3" t="s">
        <v>1425</v>
      </c>
      <c r="C63" s="4" t="s">
        <v>1426</v>
      </c>
      <c r="D63" s="4" t="s">
        <v>1427</v>
      </c>
    </row>
    <row r="64" spans="2:7" ht="28.5" x14ac:dyDescent="0.2">
      <c r="B64" s="3" t="s">
        <v>1428</v>
      </c>
      <c r="C64" s="3" t="s">
        <v>1429</v>
      </c>
      <c r="D64" s="4" t="s">
        <v>1430</v>
      </c>
    </row>
    <row r="65" spans="2:4" ht="28.5" x14ac:dyDescent="0.2">
      <c r="B65" s="3" t="s">
        <v>1431</v>
      </c>
      <c r="C65" s="4" t="s">
        <v>1432</v>
      </c>
      <c r="D65" s="4" t="s">
        <v>1433</v>
      </c>
    </row>
    <row r="66" spans="2:4" ht="28.5" x14ac:dyDescent="0.2">
      <c r="B66" s="3" t="s">
        <v>1434</v>
      </c>
      <c r="C66" s="4" t="s">
        <v>1435</v>
      </c>
      <c r="D66" s="4" t="s">
        <v>1436</v>
      </c>
    </row>
    <row r="67" spans="2:4" ht="28.5" x14ac:dyDescent="0.2">
      <c r="B67" s="3" t="s">
        <v>1437</v>
      </c>
      <c r="C67" s="4" t="s">
        <v>1438</v>
      </c>
      <c r="D67" s="4" t="s">
        <v>1439</v>
      </c>
    </row>
    <row r="68" spans="2:4" ht="28.5" x14ac:dyDescent="0.2">
      <c r="B68" s="3" t="s">
        <v>1440</v>
      </c>
      <c r="C68" s="4" t="s">
        <v>1441</v>
      </c>
      <c r="D68" s="4" t="s">
        <v>1442</v>
      </c>
    </row>
    <row r="69" spans="2:4" ht="28.5" x14ac:dyDescent="0.2">
      <c r="B69" s="3" t="s">
        <v>1443</v>
      </c>
      <c r="C69" s="4" t="s">
        <v>1444</v>
      </c>
      <c r="D69" s="4" t="s">
        <v>1445</v>
      </c>
    </row>
    <row r="70" spans="2:4" ht="28.5" x14ac:dyDescent="0.2">
      <c r="B70" s="3" t="s">
        <v>1446</v>
      </c>
      <c r="C70" s="4" t="s">
        <v>1447</v>
      </c>
      <c r="D70" s="4" t="s">
        <v>1448</v>
      </c>
    </row>
    <row r="71" spans="2:4" ht="28.5" x14ac:dyDescent="0.2">
      <c r="B71" s="3" t="s">
        <v>1449</v>
      </c>
      <c r="C71" s="4" t="s">
        <v>1450</v>
      </c>
      <c r="D71" s="4" t="s">
        <v>1451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1452</v>
      </c>
    </row>
    <row r="77" spans="2:4" x14ac:dyDescent="0.2">
      <c r="B77" s="7" t="s">
        <v>1453</v>
      </c>
    </row>
    <row r="78" spans="2:4" x14ac:dyDescent="0.2">
      <c r="B78" s="7" t="s">
        <v>1454</v>
      </c>
    </row>
    <row r="79" spans="2:4" x14ac:dyDescent="0.2">
      <c r="B79" s="7" t="s">
        <v>1455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F2CB-0E00-4F9E-854B-440DB8470046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1456</v>
      </c>
      <c r="G1" t="str">
        <f>"&lt;dl&gt;&lt;dt&gt;" &amp; B1 &amp; "&lt;/dt&gt;&lt;dd&gt;" &amp; C1 &amp; "&lt;/dd&gt;&lt;dd&gt;" &amp; D1 &amp; "&lt;/dd&gt;&lt;/dl&gt;"</f>
        <v>&lt;dl&gt;&lt;dt&gt;一、天福定义&lt;/dt&gt;&lt;dd&gt;&lt;/dd&gt;&lt;dd&gt;&lt;/dd&gt;&lt;/dl&gt;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1457</v>
      </c>
      <c r="D4" s="4"/>
    </row>
    <row r="5" spans="2:7" ht="42.75" x14ac:dyDescent="0.2">
      <c r="B5" s="3" t="s">
        <v>61</v>
      </c>
      <c r="C5" s="4" t="s">
        <v>1458</v>
      </c>
      <c r="D5" s="4"/>
    </row>
    <row r="6" spans="2:7" ht="42.75" x14ac:dyDescent="0.2">
      <c r="B6" s="3" t="s">
        <v>99</v>
      </c>
      <c r="C6" s="4" t="s">
        <v>1459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1460</v>
      </c>
      <c r="C14" s="4" t="s">
        <v>1461</v>
      </c>
      <c r="D14" s="4" t="s">
        <v>206</v>
      </c>
    </row>
    <row r="15" spans="2:7" ht="28.5" x14ac:dyDescent="0.2">
      <c r="B15" s="3" t="s">
        <v>1462</v>
      </c>
      <c r="C15" s="4" t="s">
        <v>1463</v>
      </c>
      <c r="D15" s="4" t="s">
        <v>1464</v>
      </c>
    </row>
    <row r="16" spans="2:7" ht="28.5" x14ac:dyDescent="0.2">
      <c r="B16" s="3" t="s">
        <v>1465</v>
      </c>
      <c r="C16" s="4" t="s">
        <v>1466</v>
      </c>
      <c r="D16" s="4" t="s">
        <v>1467</v>
      </c>
    </row>
    <row r="17" spans="2:7" ht="28.5" x14ac:dyDescent="0.2">
      <c r="B17" s="3" t="s">
        <v>1468</v>
      </c>
      <c r="C17" s="4" t="s">
        <v>1469</v>
      </c>
      <c r="D17" s="4" t="s">
        <v>994</v>
      </c>
    </row>
    <row r="18" spans="2:7" x14ac:dyDescent="0.2">
      <c r="B18" s="3" t="s">
        <v>1470</v>
      </c>
      <c r="C18" s="4" t="s">
        <v>1471</v>
      </c>
      <c r="D18" s="4" t="s">
        <v>900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1472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&lt;dl&gt;&lt;dt&gt;命宫​&lt;/dt&gt;&lt;dd&gt;天生有福，一生安逸，心态乐观，常得贵人相助，逢凶化吉。&lt;/dd&gt;&lt;dd&gt;&lt;/dd&gt;&lt;/dl&gt;</v>
      </c>
    </row>
    <row r="25" spans="2:7" ht="29.25" thickBot="1" x14ac:dyDescent="0.25">
      <c r="B25" s="3" t="s">
        <v>58</v>
      </c>
      <c r="C25" s="4" t="s">
        <v>1473</v>
      </c>
      <c r="D25" s="4"/>
      <c r="E25" s="15"/>
      <c r="G25" t="str">
        <f t="shared" si="0"/>
        <v>&lt;dl&gt;&lt;dt&gt;兄弟宫​&lt;/dt&gt;&lt;dd&gt;兄弟姐妹有福或能享福；在团队中处境安逸，受照顾。&lt;/dd&gt;&lt;dd&gt;&lt;/dd&gt;&lt;/dl&gt;</v>
      </c>
    </row>
    <row r="26" spans="2:7" ht="29.25" thickBot="1" x14ac:dyDescent="0.25">
      <c r="B26" s="3" t="s">
        <v>50</v>
      </c>
      <c r="C26" s="4" t="s">
        <v>1474</v>
      </c>
      <c r="D26" s="4"/>
      <c r="E26" s="15"/>
      <c r="G26" t="str">
        <f t="shared" si="0"/>
        <v>&lt;dl&gt;&lt;dt&gt;夫妻宫​&lt;/dt&gt;&lt;dd&gt;配偶有福气，能享受婚姻生活；婚姻关系和谐安逸。&lt;/dd&gt;&lt;dd&gt;&lt;/dd&gt;&lt;/dl&gt;</v>
      </c>
    </row>
    <row r="27" spans="2:7" ht="29.25" thickBot="1" x14ac:dyDescent="0.25">
      <c r="B27" s="3" t="s">
        <v>53</v>
      </c>
      <c r="C27" s="4" t="s">
        <v>1475</v>
      </c>
      <c r="D27" s="4"/>
      <c r="E27" s="15"/>
      <c r="G27" t="str">
        <f t="shared" si="0"/>
        <v>&lt;dl&gt;&lt;dt&gt;子女宫​&lt;/dt&gt;&lt;dd&gt;子女有福，少让父母操心；在合作、投资中易获意外之利。&lt;/dd&gt;&lt;dd&gt;&lt;/dd&gt;&lt;/dl&gt;</v>
      </c>
    </row>
    <row r="28" spans="2:7" ht="29.25" thickBot="1" x14ac:dyDescent="0.25">
      <c r="B28" s="3" t="s">
        <v>1</v>
      </c>
      <c r="C28" s="4" t="s">
        <v>1476</v>
      </c>
      <c r="D28" s="4"/>
      <c r="E28" s="15"/>
      <c r="G28" t="str">
        <f t="shared" si="0"/>
        <v>&lt;dl&gt;&lt;dt&gt;财帛宫​&lt;/dt&gt;&lt;dd&gt;钱财来得轻松，易有意外之财，不愁吃穿，消费注重享受。&lt;/dd&gt;&lt;dd&gt;&lt;/dd&gt;&lt;/dl&gt;</v>
      </c>
    </row>
    <row r="29" spans="2:7" ht="29.25" thickBot="1" x14ac:dyDescent="0.25">
      <c r="B29" s="3" t="s">
        <v>2</v>
      </c>
      <c r="C29" s="4" t="s">
        <v>1477</v>
      </c>
      <c r="D29" s="4"/>
      <c r="E29" s="15"/>
      <c r="G29" t="str">
        <f t="shared" si="0"/>
        <v>&lt;dl&gt;&lt;dt&gt;疾厄宫​&lt;/dt&gt;&lt;dd&gt;身体健康，少病少灾，即使生病也易遇良医，康复快。&lt;/dd&gt;&lt;dd&gt;&lt;/dd&gt;&lt;/dl&gt;</v>
      </c>
    </row>
    <row r="30" spans="2:7" x14ac:dyDescent="0.2">
      <c r="B30" s="3" t="s">
        <v>5</v>
      </c>
      <c r="C30" s="4" t="s">
        <v>1478</v>
      </c>
      <c r="D30" s="4"/>
    </row>
    <row r="31" spans="2:7" ht="28.5" x14ac:dyDescent="0.2">
      <c r="B31" s="3" t="s">
        <v>4</v>
      </c>
      <c r="C31" s="4" t="s">
        <v>1479</v>
      </c>
      <c r="D31" s="4"/>
    </row>
    <row r="32" spans="2:7" ht="28.5" x14ac:dyDescent="0.2">
      <c r="B32" s="3" t="s">
        <v>57</v>
      </c>
      <c r="C32" s="4" t="s">
        <v>1480</v>
      </c>
      <c r="D32" s="4"/>
    </row>
    <row r="33" spans="2:7" ht="29.25" thickBot="1" x14ac:dyDescent="0.25">
      <c r="B33" s="3" t="s">
        <v>0</v>
      </c>
      <c r="C33" s="4" t="s">
        <v>1481</v>
      </c>
      <c r="D33" s="4"/>
    </row>
    <row r="34" spans="2:7" ht="29.25" thickBot="1" x14ac:dyDescent="0.25">
      <c r="B34" s="3" t="s">
        <v>41</v>
      </c>
      <c r="C34" s="3" t="s">
        <v>1482</v>
      </c>
      <c r="D34" s="4"/>
      <c r="E34" s="12"/>
    </row>
    <row r="35" spans="2:7" ht="29.25" thickBot="1" x14ac:dyDescent="0.25">
      <c r="B35" s="3" t="s">
        <v>3</v>
      </c>
      <c r="C35" s="4" t="s">
        <v>1483</v>
      </c>
      <c r="D35" s="4"/>
      <c r="E35" s="15"/>
      <c r="G35" t="str">
        <f t="shared" si="0"/>
        <v>&lt;dl&gt;&lt;dt&gt;父母宫​&lt;/dt&gt;&lt;dd&gt;父母有福，家境不错，得父母福荫，童年生活安逸。&lt;/dd&gt;&lt;dd&gt;&lt;/dd&gt;&lt;/dl&gt;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1484</v>
      </c>
      <c r="E40" s="15"/>
      <c r="G40" t="str">
        <f t="shared" si="0"/>
        <v>&lt;dl&gt;&lt;dt&gt;1. 增强福气享受组合&lt;/dt&gt;&lt;dd&gt;&lt;/dd&gt;&lt;dd&gt;&lt;/dd&gt;&lt;/dl&gt;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1485</v>
      </c>
      <c r="C43" s="4" t="s">
        <v>1486</v>
      </c>
      <c r="D43" s="4" t="s">
        <v>1487</v>
      </c>
      <c r="E43" s="15"/>
      <c r="G43" t="str">
        <f t="shared" si="0"/>
        <v>&lt;dl&gt;&lt;dt&gt;天福+紫微​&lt;/dt&gt;&lt;dd&gt;有帝王之福，生活尊贵奢华，受人服侍，一生大方向顺遂。&lt;/dd&gt;&lt;dd&gt;世家子弟，一生无忧；大型企业高管，享受顶级待遇。&lt;/dd&gt;&lt;/dl&gt;</v>
      </c>
    </row>
    <row r="44" spans="2:7" ht="28.5" x14ac:dyDescent="0.2">
      <c r="B44" s="3" t="s">
        <v>1488</v>
      </c>
      <c r="C44" s="4" t="s">
        <v>1489</v>
      </c>
      <c r="D44" s="4" t="s">
        <v>1490</v>
      </c>
    </row>
    <row r="45" spans="2:7" ht="28.5" x14ac:dyDescent="0.2">
      <c r="B45" s="3" t="s">
        <v>1491</v>
      </c>
      <c r="C45" s="3" t="s">
        <v>1492</v>
      </c>
      <c r="D45" s="4" t="s">
        <v>1493</v>
      </c>
    </row>
    <row r="46" spans="2:7" ht="28.5" x14ac:dyDescent="0.2">
      <c r="B46" s="3" t="s">
        <v>1494</v>
      </c>
      <c r="C46" s="4" t="s">
        <v>1495</v>
      </c>
      <c r="D46" s="4" t="s">
        <v>1496</v>
      </c>
    </row>
    <row r="47" spans="2:7" ht="29.25" thickBot="1" x14ac:dyDescent="0.25">
      <c r="B47" s="3" t="s">
        <v>1497</v>
      </c>
      <c r="C47" s="4" t="s">
        <v>1498</v>
      </c>
      <c r="D47" s="4" t="s">
        <v>1499</v>
      </c>
    </row>
    <row r="48" spans="2:7" ht="16.5" thickBot="1" x14ac:dyDescent="0.25">
      <c r="E48" s="12"/>
    </row>
    <row r="49" spans="2:7" ht="16.5" thickBot="1" x14ac:dyDescent="0.25">
      <c r="B49" s="13" t="s">
        <v>1500</v>
      </c>
      <c r="E49" s="15"/>
      <c r="G49" t="str">
        <f t="shared" si="0"/>
        <v>&lt;dl&gt;&lt;dt&gt;2. 专业化与福气组合&lt;/dt&gt;&lt;dd&gt;&lt;/dd&gt;&lt;dd&gt;&lt;/dd&gt;&lt;/dl&gt;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1501</v>
      </c>
      <c r="C52" s="4" t="s">
        <v>1502</v>
      </c>
      <c r="D52" s="4" t="s">
        <v>1503</v>
      </c>
      <c r="E52" s="15"/>
      <c r="G52" t="str">
        <f t="shared" si="0"/>
        <v>&lt;dl&gt;&lt;dt&gt;天福+天机​&lt;/dt&gt;&lt;dd&gt;福气体现在心智的安逸与灵活，享受思考、学习、旅行的乐趣。&lt;/dd&gt;&lt;dd&gt;周游世界的学者；以创意为生的自由职业者。&lt;/dd&gt;&lt;/dl&gt;</v>
      </c>
    </row>
    <row r="53" spans="2:7" ht="28.5" x14ac:dyDescent="0.2">
      <c r="B53" s="3" t="s">
        <v>1504</v>
      </c>
      <c r="C53" s="4" t="s">
        <v>1505</v>
      </c>
      <c r="D53" s="4" t="s">
        <v>1506</v>
      </c>
    </row>
    <row r="54" spans="2:7" ht="28.5" x14ac:dyDescent="0.2">
      <c r="B54" s="3" t="s">
        <v>1507</v>
      </c>
      <c r="C54" s="4" t="s">
        <v>1508</v>
      </c>
      <c r="D54" s="4" t="s">
        <v>1509</v>
      </c>
    </row>
    <row r="55" spans="2:7" ht="28.5" x14ac:dyDescent="0.2">
      <c r="B55" s="3" t="s">
        <v>1510</v>
      </c>
      <c r="C55" s="4" t="s">
        <v>1511</v>
      </c>
      <c r="D55" s="4" t="s">
        <v>1512</v>
      </c>
    </row>
    <row r="56" spans="2:7" ht="28.5" x14ac:dyDescent="0.2">
      <c r="B56" s="3" t="s">
        <v>1513</v>
      </c>
      <c r="C56" s="4" t="s">
        <v>1514</v>
      </c>
      <c r="D56" s="4" t="s">
        <v>1515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1516</v>
      </c>
      <c r="C62" s="3" t="s">
        <v>1517</v>
      </c>
      <c r="D62" s="4" t="s">
        <v>1518</v>
      </c>
    </row>
    <row r="63" spans="2:7" ht="28.5" x14ac:dyDescent="0.2">
      <c r="B63" s="3" t="s">
        <v>1519</v>
      </c>
      <c r="C63" s="3" t="s">
        <v>1520</v>
      </c>
      <c r="D63" s="4" t="s">
        <v>1521</v>
      </c>
    </row>
    <row r="64" spans="2:7" ht="28.5" x14ac:dyDescent="0.2">
      <c r="B64" s="3" t="s">
        <v>1522</v>
      </c>
      <c r="C64" s="4" t="s">
        <v>1523</v>
      </c>
      <c r="D64" s="4" t="s">
        <v>1524</v>
      </c>
    </row>
    <row r="65" spans="2:4" ht="28.5" x14ac:dyDescent="0.2">
      <c r="B65" s="3" t="s">
        <v>1525</v>
      </c>
      <c r="C65" s="4" t="s">
        <v>1526</v>
      </c>
      <c r="D65" s="4" t="s">
        <v>1527</v>
      </c>
    </row>
    <row r="66" spans="2:4" ht="28.5" x14ac:dyDescent="0.2">
      <c r="B66" s="3" t="s">
        <v>1528</v>
      </c>
      <c r="C66" s="3" t="s">
        <v>1529</v>
      </c>
      <c r="D66" s="4" t="s">
        <v>1530</v>
      </c>
    </row>
    <row r="67" spans="2:4" ht="28.5" x14ac:dyDescent="0.2">
      <c r="B67" s="3" t="s">
        <v>1531</v>
      </c>
      <c r="C67" s="4" t="s">
        <v>1532</v>
      </c>
      <c r="D67" s="4" t="s">
        <v>1533</v>
      </c>
    </row>
    <row r="68" spans="2:4" ht="28.5" x14ac:dyDescent="0.2">
      <c r="B68" s="3" t="s">
        <v>1534</v>
      </c>
      <c r="C68" s="4" t="s">
        <v>1535</v>
      </c>
      <c r="D68" s="4" t="s">
        <v>1536</v>
      </c>
    </row>
    <row r="69" spans="2:4" ht="28.5" x14ac:dyDescent="0.2">
      <c r="B69" s="3" t="s">
        <v>1537</v>
      </c>
      <c r="C69" s="4" t="s">
        <v>1538</v>
      </c>
      <c r="D69" s="4" t="s">
        <v>1539</v>
      </c>
    </row>
    <row r="70" spans="2:4" ht="28.5" x14ac:dyDescent="0.2">
      <c r="B70" s="3" t="s">
        <v>1540</v>
      </c>
      <c r="C70" s="4" t="s">
        <v>1541</v>
      </c>
      <c r="D70" s="4" t="s">
        <v>1542</v>
      </c>
    </row>
    <row r="71" spans="2:4" ht="28.5" x14ac:dyDescent="0.2">
      <c r="B71" s="3" t="s">
        <v>1543</v>
      </c>
      <c r="C71" s="4" t="s">
        <v>1544</v>
      </c>
      <c r="D71" s="4" t="s">
        <v>1545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1546</v>
      </c>
    </row>
    <row r="77" spans="2:4" x14ac:dyDescent="0.2">
      <c r="B77" s="7" t="s">
        <v>1547</v>
      </c>
    </row>
    <row r="78" spans="2:4" x14ac:dyDescent="0.2">
      <c r="B78" s="7" t="s">
        <v>1548</v>
      </c>
    </row>
    <row r="79" spans="2:4" x14ac:dyDescent="0.2">
      <c r="B79" s="7" t="s">
        <v>1549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DDE5-5456-4F25-8F5B-BFFC17122DD0}">
  <dimension ref="B1:G82"/>
  <sheetViews>
    <sheetView zoomScaleNormal="100" workbookViewId="0">
      <selection activeCell="C10" sqref="C10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1550</v>
      </c>
      <c r="G1" t="str">
        <f>"&lt;dl&gt;&lt;dt&gt;" &amp; B1 &amp; "&lt;/dt&gt;&lt;dd&gt;" &amp; C1 &amp; "&lt;/dd&gt;&lt;dd&gt;" &amp; D1 &amp; "&lt;/dd&gt;&lt;/dl&gt;"</f>
        <v>&lt;dl&gt;&lt;dt&gt;一、龙池定义&lt;/dt&gt;&lt;dd&gt;&lt;/dd&gt;&lt;dd&gt;&lt;/dd&gt;&lt;/dl&gt;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1551</v>
      </c>
      <c r="D4" s="4"/>
    </row>
    <row r="5" spans="2:7" ht="42.75" x14ac:dyDescent="0.2">
      <c r="B5" s="3" t="s">
        <v>61</v>
      </c>
      <c r="C5" s="4" t="s">
        <v>1552</v>
      </c>
      <c r="D5" s="4"/>
    </row>
    <row r="6" spans="2:7" ht="42.75" x14ac:dyDescent="0.2">
      <c r="B6" s="3" t="s">
        <v>99</v>
      </c>
      <c r="C6" s="4" t="s">
        <v>1553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113</v>
      </c>
      <c r="C14" s="4" t="s">
        <v>1554</v>
      </c>
      <c r="D14" s="4" t="s">
        <v>206</v>
      </c>
    </row>
    <row r="15" spans="2:7" x14ac:dyDescent="0.2">
      <c r="B15" s="3" t="s">
        <v>1555</v>
      </c>
      <c r="C15" s="4" t="s">
        <v>1556</v>
      </c>
      <c r="D15" s="4" t="s">
        <v>1557</v>
      </c>
    </row>
    <row r="16" spans="2:7" ht="28.5" x14ac:dyDescent="0.2">
      <c r="B16" s="3" t="s">
        <v>1558</v>
      </c>
      <c r="C16" s="4" t="s">
        <v>1559</v>
      </c>
      <c r="D16" s="4" t="s">
        <v>1560</v>
      </c>
    </row>
    <row r="17" spans="2:7" ht="28.5" x14ac:dyDescent="0.2">
      <c r="B17" s="3" t="s">
        <v>1561</v>
      </c>
      <c r="C17" s="4" t="s">
        <v>1562</v>
      </c>
      <c r="D17" s="4" t="s">
        <v>1563</v>
      </c>
    </row>
    <row r="18" spans="2:7" x14ac:dyDescent="0.2">
      <c r="B18" s="3" t="s">
        <v>1564</v>
      </c>
      <c r="C18" s="4" t="s">
        <v>1565</v>
      </c>
      <c r="D18" s="4" t="s">
        <v>1566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1567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&lt;dl&gt;&lt;dt&gt;命宫​&lt;/dt&gt;&lt;dd&gt;天生有艺术气质或特殊才华，为人清雅，品味不俗。&lt;/dd&gt;&lt;dd&gt;&lt;/dd&gt;&lt;/dl&gt;</v>
      </c>
    </row>
    <row r="25" spans="2:7" ht="16.5" thickBot="1" x14ac:dyDescent="0.25">
      <c r="B25" s="3" t="s">
        <v>58</v>
      </c>
      <c r="C25" s="4" t="s">
        <v>1568</v>
      </c>
      <c r="D25" s="4"/>
      <c r="E25" s="15"/>
      <c r="G25" t="str">
        <f t="shared" si="0"/>
        <v>&lt;dl&gt;&lt;dt&gt;兄弟宫​&lt;/dt&gt;&lt;dd&gt;兄弟姐妹有才华；在团队中与有才艺之人共事。&lt;/dd&gt;&lt;dd&gt;&lt;/dd&gt;&lt;/dl&gt;</v>
      </c>
    </row>
    <row r="26" spans="2:7" ht="29.25" thickBot="1" x14ac:dyDescent="0.25">
      <c r="B26" s="3" t="s">
        <v>50</v>
      </c>
      <c r="C26" s="4" t="s">
        <v>1569</v>
      </c>
      <c r="D26" s="4"/>
      <c r="E26" s="15"/>
      <c r="G26" t="str">
        <f t="shared" si="0"/>
        <v>&lt;dl&gt;&lt;dt&gt;夫妻宫​&lt;/dt&gt;&lt;dd&gt;配偶有才华或艺术气质，婚姻生活注重精神交流与情趣。&lt;/dd&gt;&lt;dd&gt;&lt;/dd&gt;&lt;/dl&gt;</v>
      </c>
    </row>
    <row r="27" spans="2:7" ht="29.25" thickBot="1" x14ac:dyDescent="0.25">
      <c r="B27" s="3" t="s">
        <v>53</v>
      </c>
      <c r="C27" s="4" t="s">
        <v>1570</v>
      </c>
      <c r="D27" s="4"/>
      <c r="E27" s="15"/>
      <c r="G27" t="str">
        <f t="shared" si="0"/>
        <v>&lt;dl&gt;&lt;dt&gt;子女宫​&lt;/dt&gt;&lt;dd&gt;子女聪明有艺术天赋；合作项目具有创意与技术含量。&lt;/dd&gt;&lt;dd&gt;&lt;/dd&gt;&lt;/dl&gt;</v>
      </c>
    </row>
    <row r="28" spans="2:7" ht="29.25" thickBot="1" x14ac:dyDescent="0.25">
      <c r="B28" s="3" t="s">
        <v>1</v>
      </c>
      <c r="C28" s="4" t="s">
        <v>1571</v>
      </c>
      <c r="D28" s="4"/>
      <c r="E28" s="15"/>
      <c r="G28" t="str">
        <f t="shared" si="0"/>
        <v>&lt;dl&gt;&lt;dt&gt;财帛宫​&lt;/dt&gt;&lt;dd&gt;以才华、技艺赚钱，适合从事专业性强、有技术门槛的行业。&lt;/dd&gt;&lt;dd&gt;&lt;/dd&gt;&lt;/dl&gt;</v>
      </c>
    </row>
    <row r="29" spans="2:7" ht="29.25" thickBot="1" x14ac:dyDescent="0.25">
      <c r="B29" s="3" t="s">
        <v>2</v>
      </c>
      <c r="C29" s="4" t="s">
        <v>1572</v>
      </c>
      <c r="D29" s="4"/>
      <c r="E29" s="15"/>
      <c r="G29" t="str">
        <f t="shared" si="0"/>
        <v>&lt;dl&gt;&lt;dt&gt;疾厄宫​&lt;/dt&gt;&lt;dd&gt;气质清雅，但易有因思虑、用脑过度导致的神经衰弱。&lt;/dd&gt;&lt;dd&gt;&lt;/dd&gt;&lt;/dl&gt;</v>
      </c>
    </row>
    <row r="30" spans="2:7" ht="28.5" x14ac:dyDescent="0.2">
      <c r="B30" s="3" t="s">
        <v>5</v>
      </c>
      <c r="C30" s="4" t="s">
        <v>1573</v>
      </c>
      <c r="D30" s="4"/>
    </row>
    <row r="31" spans="2:7" ht="28.5" x14ac:dyDescent="0.2">
      <c r="B31" s="3" t="s">
        <v>4</v>
      </c>
      <c r="C31" s="4" t="s">
        <v>1574</v>
      </c>
      <c r="D31" s="4"/>
    </row>
    <row r="32" spans="2:7" ht="28.5" x14ac:dyDescent="0.2">
      <c r="B32" s="3" t="s">
        <v>57</v>
      </c>
      <c r="C32" s="3" t="s">
        <v>1575</v>
      </c>
      <c r="D32" s="4"/>
    </row>
    <row r="33" spans="2:7" ht="29.25" thickBot="1" x14ac:dyDescent="0.25">
      <c r="B33" s="3" t="s">
        <v>0</v>
      </c>
      <c r="C33" s="4" t="s">
        <v>1576</v>
      </c>
      <c r="D33" s="4"/>
    </row>
    <row r="34" spans="2:7" ht="16.5" thickBot="1" x14ac:dyDescent="0.25">
      <c r="B34" s="3" t="s">
        <v>41</v>
      </c>
      <c r="C34" s="4" t="s">
        <v>1577</v>
      </c>
      <c r="D34" s="4"/>
      <c r="E34" s="12"/>
    </row>
    <row r="35" spans="2:7" ht="29.25" thickBot="1" x14ac:dyDescent="0.25">
      <c r="B35" s="3" t="s">
        <v>3</v>
      </c>
      <c r="C35" s="4" t="s">
        <v>1578</v>
      </c>
      <c r="D35" s="4"/>
      <c r="E35" s="15"/>
      <c r="G35" t="str">
        <f t="shared" si="0"/>
        <v>&lt;dl&gt;&lt;dt&gt;父母宫​&lt;/dt&gt;&lt;dd&gt;父母有才华或重视教育；遗传到良好的艺术或学术天赋。&lt;/dd&gt;&lt;dd&gt;&lt;/dd&gt;&lt;/dl&gt;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1579</v>
      </c>
      <c r="E40" s="15"/>
      <c r="G40" t="str">
        <f t="shared" si="0"/>
        <v>&lt;dl&gt;&lt;dt&gt;1. 增强才华清贵组合&lt;/dt&gt;&lt;dd&gt;&lt;/dd&gt;&lt;dd&gt;&lt;/dd&gt;&lt;/dl&gt;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1580</v>
      </c>
      <c r="C43" s="4" t="s">
        <v>1581</v>
      </c>
      <c r="D43" s="4" t="s">
        <v>1582</v>
      </c>
      <c r="E43" s="15"/>
      <c r="G43" t="str">
        <f t="shared" si="0"/>
        <v>&lt;dl&gt;&lt;dt&gt;龙池+紫微​&lt;/dt&gt;&lt;dd&gt;帝王之侧的才华，技艺达到权威水平，或在大型机构担任技术权威。&lt;/dd&gt;&lt;dd&gt;宫廷乐师；国家级工艺美术大师；央企总工程师。&lt;/dd&gt;&lt;/dl&gt;</v>
      </c>
    </row>
    <row r="44" spans="2:7" ht="28.5" x14ac:dyDescent="0.2">
      <c r="B44" s="3" t="s">
        <v>1583</v>
      </c>
      <c r="C44" s="4" t="s">
        <v>1584</v>
      </c>
      <c r="D44" s="4" t="s">
        <v>1585</v>
      </c>
    </row>
    <row r="45" spans="2:7" ht="28.5" x14ac:dyDescent="0.2">
      <c r="B45" s="3" t="s">
        <v>1586</v>
      </c>
      <c r="C45" s="4" t="s">
        <v>1587</v>
      </c>
      <c r="D45" s="4" t="s">
        <v>1588</v>
      </c>
    </row>
    <row r="46" spans="2:7" ht="28.5" x14ac:dyDescent="0.2">
      <c r="B46" s="3" t="s">
        <v>1589</v>
      </c>
      <c r="C46" s="4" t="s">
        <v>1590</v>
      </c>
      <c r="D46" s="4" t="s">
        <v>1591</v>
      </c>
    </row>
    <row r="47" spans="2:7" ht="29.25" thickBot="1" x14ac:dyDescent="0.25">
      <c r="B47" s="3" t="s">
        <v>1592</v>
      </c>
      <c r="C47" s="4" t="s">
        <v>1593</v>
      </c>
      <c r="D47" s="4" t="s">
        <v>1594</v>
      </c>
    </row>
    <row r="48" spans="2:7" ht="16.5" thickBot="1" x14ac:dyDescent="0.25">
      <c r="E48" s="12"/>
    </row>
    <row r="49" spans="2:7" ht="16.5" thickBot="1" x14ac:dyDescent="0.25">
      <c r="B49" s="13" t="s">
        <v>1595</v>
      </c>
      <c r="E49" s="15"/>
      <c r="G49" t="str">
        <f t="shared" si="0"/>
        <v>&lt;dl&gt;&lt;dt&gt;2. 专业化与技艺组合&lt;/dt&gt;&lt;dd&gt;&lt;/dd&gt;&lt;dd&gt;&lt;/dd&gt;&lt;/dl&gt;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1596</v>
      </c>
      <c r="C52" s="4" t="s">
        <v>1597</v>
      </c>
      <c r="D52" s="4" t="s">
        <v>1598</v>
      </c>
      <c r="E52" s="15"/>
      <c r="G52" t="str">
        <f t="shared" si="0"/>
        <v>&lt;dl&gt;&lt;dt&gt;龙池+天机​&lt;/dt&gt;&lt;dd&gt;灵动之才，思维敏捷，才华体现在策划、编程、精密计算等领域。&lt;/dd&gt;&lt;dd&gt;软件算法专家；战略顾问；围棋国手。&lt;/dd&gt;&lt;/dl&gt;</v>
      </c>
    </row>
    <row r="53" spans="2:7" ht="28.5" x14ac:dyDescent="0.2">
      <c r="B53" s="3" t="s">
        <v>1599</v>
      </c>
      <c r="C53" s="4" t="s">
        <v>1600</v>
      </c>
      <c r="D53" s="4" t="s">
        <v>1601</v>
      </c>
    </row>
    <row r="54" spans="2:7" ht="28.5" x14ac:dyDescent="0.2">
      <c r="B54" s="3" t="s">
        <v>1602</v>
      </c>
      <c r="C54" s="4" t="s">
        <v>1603</v>
      </c>
      <c r="D54" s="4" t="s">
        <v>1604</v>
      </c>
    </row>
    <row r="55" spans="2:7" ht="28.5" x14ac:dyDescent="0.2">
      <c r="B55" s="3" t="s">
        <v>1605</v>
      </c>
      <c r="C55" s="4" t="s">
        <v>1606</v>
      </c>
      <c r="D55" s="4" t="s">
        <v>1607</v>
      </c>
    </row>
    <row r="56" spans="2:7" ht="28.5" x14ac:dyDescent="0.2">
      <c r="B56" s="3" t="s">
        <v>1608</v>
      </c>
      <c r="C56" s="4" t="s">
        <v>1609</v>
      </c>
      <c r="D56" s="4" t="s">
        <v>1610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1611</v>
      </c>
      <c r="C62" s="3" t="s">
        <v>1612</v>
      </c>
      <c r="D62" s="4" t="s">
        <v>1613</v>
      </c>
    </row>
    <row r="63" spans="2:7" ht="28.5" x14ac:dyDescent="0.2">
      <c r="B63" s="3" t="s">
        <v>1614</v>
      </c>
      <c r="C63" s="3" t="s">
        <v>1615</v>
      </c>
      <c r="D63" s="4" t="s">
        <v>1616</v>
      </c>
    </row>
    <row r="64" spans="2:7" ht="28.5" x14ac:dyDescent="0.2">
      <c r="B64" s="3" t="s">
        <v>1617</v>
      </c>
      <c r="C64" s="4" t="s">
        <v>1618</v>
      </c>
      <c r="D64" s="4" t="s">
        <v>1619</v>
      </c>
    </row>
    <row r="65" spans="2:4" ht="28.5" x14ac:dyDescent="0.2">
      <c r="B65" s="3" t="s">
        <v>1620</v>
      </c>
      <c r="C65" s="4" t="s">
        <v>1621</v>
      </c>
      <c r="D65" s="4" t="s">
        <v>1622</v>
      </c>
    </row>
    <row r="66" spans="2:4" ht="28.5" x14ac:dyDescent="0.2">
      <c r="B66" s="3" t="s">
        <v>1623</v>
      </c>
      <c r="C66" s="3" t="s">
        <v>1624</v>
      </c>
      <c r="D66" s="4" t="s">
        <v>1625</v>
      </c>
    </row>
    <row r="67" spans="2:4" ht="28.5" x14ac:dyDescent="0.2">
      <c r="B67" s="3" t="s">
        <v>1626</v>
      </c>
      <c r="C67" s="4" t="s">
        <v>1627</v>
      </c>
      <c r="D67" s="4" t="s">
        <v>1628</v>
      </c>
    </row>
    <row r="68" spans="2:4" ht="28.5" x14ac:dyDescent="0.2">
      <c r="B68" s="3" t="s">
        <v>1629</v>
      </c>
      <c r="C68" s="4" t="s">
        <v>1630</v>
      </c>
      <c r="D68" s="4" t="s">
        <v>1631</v>
      </c>
    </row>
    <row r="69" spans="2:4" ht="28.5" x14ac:dyDescent="0.2">
      <c r="B69" s="3" t="s">
        <v>1632</v>
      </c>
      <c r="C69" s="4" t="s">
        <v>1633</v>
      </c>
      <c r="D69" s="4" t="s">
        <v>1634</v>
      </c>
    </row>
    <row r="70" spans="2:4" ht="28.5" x14ac:dyDescent="0.2">
      <c r="B70" s="3" t="s">
        <v>1635</v>
      </c>
      <c r="C70" s="4" t="s">
        <v>1636</v>
      </c>
      <c r="D70" s="4" t="s">
        <v>1637</v>
      </c>
    </row>
    <row r="71" spans="2:4" ht="28.5" x14ac:dyDescent="0.2">
      <c r="B71" s="3" t="s">
        <v>1638</v>
      </c>
      <c r="C71" s="4" t="s">
        <v>1639</v>
      </c>
      <c r="D71" s="4" t="s">
        <v>1640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1641</v>
      </c>
    </row>
    <row r="77" spans="2:4" x14ac:dyDescent="0.2">
      <c r="B77" s="7" t="s">
        <v>1642</v>
      </c>
    </row>
    <row r="78" spans="2:4" x14ac:dyDescent="0.2">
      <c r="B78" s="7" t="s">
        <v>1643</v>
      </c>
    </row>
    <row r="79" spans="2:4" x14ac:dyDescent="0.2">
      <c r="B79" s="7" t="s">
        <v>1644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DF23-15F3-4594-B49F-2784AB8DE4ED}">
  <dimension ref="B1:G82"/>
  <sheetViews>
    <sheetView zoomScaleNormal="100" workbookViewId="0">
      <selection activeCell="C7" sqref="C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1645</v>
      </c>
      <c r="G1" t="str">
        <f>"&lt;dl&gt;&lt;dt&gt;" &amp; B1 &amp; "&lt;/dt&gt;&lt;dd&gt;" &amp; C1 &amp; "&lt;/dd&gt;&lt;dd&gt;" &amp; D1 &amp; "&lt;/dd&gt;&lt;/dl&gt;"</f>
        <v>&lt;dl&gt;&lt;dt&gt;一、凤阁定义&lt;/dt&gt;&lt;dd&gt;&lt;/dd&gt;&lt;dd&gt;&lt;/dd&gt;&lt;/dl&gt;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1646</v>
      </c>
      <c r="D4" s="4"/>
    </row>
    <row r="5" spans="2:7" ht="42.75" x14ac:dyDescent="0.2">
      <c r="B5" s="3" t="s">
        <v>61</v>
      </c>
      <c r="C5" s="4" t="s">
        <v>1647</v>
      </c>
      <c r="D5" s="4"/>
    </row>
    <row r="6" spans="2:7" ht="42.75" x14ac:dyDescent="0.2">
      <c r="B6" s="3" t="s">
        <v>99</v>
      </c>
      <c r="C6" s="4" t="s">
        <v>1648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1649</v>
      </c>
      <c r="C14" s="4" t="s">
        <v>1650</v>
      </c>
      <c r="D14" s="4" t="s">
        <v>1651</v>
      </c>
    </row>
    <row r="15" spans="2:7" ht="28.5" x14ac:dyDescent="0.2">
      <c r="B15" s="3" t="s">
        <v>1652</v>
      </c>
      <c r="C15" s="4" t="s">
        <v>1653</v>
      </c>
      <c r="D15" s="4" t="s">
        <v>1654</v>
      </c>
    </row>
    <row r="16" spans="2:7" ht="28.5" x14ac:dyDescent="0.2">
      <c r="B16" s="3" t="s">
        <v>1655</v>
      </c>
      <c r="C16" s="4" t="s">
        <v>1656</v>
      </c>
      <c r="D16" s="4" t="s">
        <v>1657</v>
      </c>
    </row>
    <row r="17" spans="2:7" ht="28.5" x14ac:dyDescent="0.2">
      <c r="B17" s="3" t="s">
        <v>1658</v>
      </c>
      <c r="C17" s="4" t="s">
        <v>1659</v>
      </c>
      <c r="D17" s="4" t="s">
        <v>1660</v>
      </c>
    </row>
    <row r="18" spans="2:7" x14ac:dyDescent="0.2">
      <c r="B18" s="3" t="s">
        <v>1661</v>
      </c>
      <c r="C18" s="4" t="s">
        <v>1662</v>
      </c>
      <c r="D18" s="4" t="s">
        <v>1663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1664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&lt;dl&gt;&lt;dt&gt;命宫​&lt;/dt&gt;&lt;dd&gt;相貌端正，气质优雅，注重外表与礼仪，有艺术天赋。&lt;/dd&gt;&lt;dd&gt;&lt;/dd&gt;&lt;/dl&gt;</v>
      </c>
    </row>
    <row r="25" spans="2:7" ht="29.25" thickBot="1" x14ac:dyDescent="0.25">
      <c r="B25" s="3" t="s">
        <v>58</v>
      </c>
      <c r="C25" s="4" t="s">
        <v>1665</v>
      </c>
      <c r="D25" s="4"/>
      <c r="E25" s="15"/>
      <c r="G25" t="str">
        <f t="shared" si="0"/>
        <v>&lt;dl&gt;&lt;dt&gt;兄弟宫​&lt;/dt&gt;&lt;dd&gt;兄弟姐妹外貌好或有品味；在团队中负责形象、设计工作。&lt;/dd&gt;&lt;dd&gt;&lt;/dd&gt;&lt;/dl&gt;</v>
      </c>
    </row>
    <row r="26" spans="2:7" ht="16.5" thickBot="1" x14ac:dyDescent="0.25">
      <c r="B26" s="3" t="s">
        <v>50</v>
      </c>
      <c r="C26" s="4" t="s">
        <v>1666</v>
      </c>
      <c r="D26" s="4"/>
      <c r="E26" s="15"/>
      <c r="G26" t="str">
        <f t="shared" si="0"/>
        <v>&lt;dl&gt;&lt;dt&gt;夫妻宫​&lt;/dt&gt;&lt;dd&gt;配偶相貌出众，或注重生活情调与家居布置。&lt;/dd&gt;&lt;dd&gt;&lt;/dd&gt;&lt;/dl&gt;</v>
      </c>
    </row>
    <row r="27" spans="2:7" ht="16.5" thickBot="1" x14ac:dyDescent="0.25">
      <c r="B27" s="3" t="s">
        <v>53</v>
      </c>
      <c r="C27" s="4" t="s">
        <v>1667</v>
      </c>
      <c r="D27" s="4"/>
      <c r="E27" s="15"/>
      <c r="G27" t="str">
        <f t="shared" si="0"/>
        <v>&lt;dl&gt;&lt;dt&gt;子女宫​&lt;/dt&gt;&lt;dd&gt;子女长相可爱；合作项目具有美观性或设计感。&lt;/dd&gt;&lt;dd&gt;&lt;/dd&gt;&lt;/dl&gt;</v>
      </c>
    </row>
    <row r="28" spans="2:7" ht="29.25" thickBot="1" x14ac:dyDescent="0.25">
      <c r="B28" s="3" t="s">
        <v>1</v>
      </c>
      <c r="C28" s="4" t="s">
        <v>1668</v>
      </c>
      <c r="D28" s="4"/>
      <c r="E28" s="15"/>
      <c r="G28" t="str">
        <f t="shared" si="0"/>
        <v>&lt;dl&gt;&lt;dt&gt;财帛宫​&lt;/dt&gt;&lt;dd&gt;钱财用于装饰、美容、艺术消费，或通过设计、美容行业赚钱。&lt;/dd&gt;&lt;dd&gt;&lt;/dd&gt;&lt;/dl&gt;</v>
      </c>
    </row>
    <row r="29" spans="2:7" ht="29.25" thickBot="1" x14ac:dyDescent="0.25">
      <c r="B29" s="3" t="s">
        <v>2</v>
      </c>
      <c r="C29" s="4" t="s">
        <v>1669</v>
      </c>
      <c r="D29" s="4"/>
      <c r="E29" s="15"/>
      <c r="G29" t="str">
        <f t="shared" si="0"/>
        <v>&lt;dl&gt;&lt;dt&gt;疾厄宫​&lt;/dt&gt;&lt;dd&gt;注重身体保养与美容，气质好，但易有皮肤、外貌相关的小疾。&lt;/dd&gt;&lt;dd&gt;&lt;/dd&gt;&lt;/dl&gt;</v>
      </c>
    </row>
    <row r="30" spans="2:7" x14ac:dyDescent="0.2">
      <c r="B30" s="3" t="s">
        <v>5</v>
      </c>
      <c r="C30" s="4" t="s">
        <v>1670</v>
      </c>
      <c r="D30" s="4"/>
    </row>
    <row r="31" spans="2:7" ht="28.5" x14ac:dyDescent="0.2">
      <c r="B31" s="3" t="s">
        <v>4</v>
      </c>
      <c r="C31" s="4" t="s">
        <v>1671</v>
      </c>
      <c r="D31" s="4"/>
    </row>
    <row r="32" spans="2:7" ht="28.5" x14ac:dyDescent="0.2">
      <c r="B32" s="3" t="s">
        <v>57</v>
      </c>
      <c r="C32" s="3" t="s">
        <v>1672</v>
      </c>
      <c r="D32" s="4"/>
    </row>
    <row r="33" spans="2:7" ht="29.25" thickBot="1" x14ac:dyDescent="0.25">
      <c r="B33" s="3" t="s">
        <v>0</v>
      </c>
      <c r="C33" s="4" t="s">
        <v>1673</v>
      </c>
      <c r="D33" s="4"/>
    </row>
    <row r="34" spans="2:7" ht="16.5" thickBot="1" x14ac:dyDescent="0.25">
      <c r="B34" s="3" t="s">
        <v>41</v>
      </c>
      <c r="C34" s="4" t="s">
        <v>1674</v>
      </c>
      <c r="D34" s="4"/>
      <c r="E34" s="12"/>
    </row>
    <row r="35" spans="2:7" ht="29.25" thickBot="1" x14ac:dyDescent="0.25">
      <c r="B35" s="3" t="s">
        <v>3</v>
      </c>
      <c r="C35" s="4" t="s">
        <v>1675</v>
      </c>
      <c r="D35" s="4"/>
      <c r="E35" s="15"/>
      <c r="G35" t="str">
        <f t="shared" si="0"/>
        <v>&lt;dl&gt;&lt;dt&gt;父母宫​&lt;/dt&gt;&lt;dd&gt;父母相貌好或有品味；家庭环境布置优雅，重视形象教育。&lt;/dd&gt;&lt;dd&gt;&lt;/dd&gt;&lt;/dl&gt;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1676</v>
      </c>
      <c r="E40" s="15"/>
      <c r="G40" t="str">
        <f t="shared" si="0"/>
        <v>&lt;dl&gt;&lt;dt&gt;1. 增强外貌品味组合&lt;/dt&gt;&lt;dd&gt;&lt;/dd&gt;&lt;dd&gt;&lt;/dd&gt;&lt;/dl&gt;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1677</v>
      </c>
      <c r="C43" s="4" t="s">
        <v>1678</v>
      </c>
      <c r="D43" s="4" t="s">
        <v>1679</v>
      </c>
      <c r="E43" s="15"/>
      <c r="G43" t="str">
        <f t="shared" si="0"/>
        <v>&lt;dl&gt;&lt;dt&gt;凤阁+紫微​&lt;/dt&gt;&lt;dd&gt;尊贵之美，相貌堂堂，有威仪，或从事权威性、大型的建筑设计。&lt;/dd&gt;&lt;dd&gt;帝王之相；国家大剧院的设计师；大型地产项目总规划。&lt;/dd&gt;&lt;/dl&gt;</v>
      </c>
    </row>
    <row r="44" spans="2:7" ht="28.5" x14ac:dyDescent="0.2">
      <c r="B44" s="3" t="s">
        <v>1680</v>
      </c>
      <c r="C44" s="4" t="s">
        <v>1681</v>
      </c>
      <c r="D44" s="4" t="s">
        <v>1682</v>
      </c>
    </row>
    <row r="45" spans="2:7" ht="28.5" x14ac:dyDescent="0.2">
      <c r="B45" s="3" t="s">
        <v>1683</v>
      </c>
      <c r="C45" s="4" t="s">
        <v>1684</v>
      </c>
      <c r="D45" s="4" t="s">
        <v>1685</v>
      </c>
    </row>
    <row r="46" spans="2:7" ht="28.5" x14ac:dyDescent="0.2">
      <c r="B46" s="3" t="s">
        <v>1686</v>
      </c>
      <c r="C46" s="4" t="s">
        <v>1687</v>
      </c>
      <c r="D46" s="4" t="s">
        <v>1688</v>
      </c>
    </row>
    <row r="47" spans="2:7" ht="29.25" thickBot="1" x14ac:dyDescent="0.25">
      <c r="B47" s="3" t="s">
        <v>1689</v>
      </c>
      <c r="C47" s="4" t="s">
        <v>1690</v>
      </c>
      <c r="D47" s="4" t="s">
        <v>1691</v>
      </c>
    </row>
    <row r="48" spans="2:7" ht="16.5" thickBot="1" x14ac:dyDescent="0.25">
      <c r="E48" s="12"/>
    </row>
    <row r="49" spans="2:7" ht="16.5" thickBot="1" x14ac:dyDescent="0.25">
      <c r="B49" s="13" t="s">
        <v>1692</v>
      </c>
      <c r="E49" s="15"/>
      <c r="G49" t="str">
        <f t="shared" si="0"/>
        <v>&lt;dl&gt;&lt;dt&gt;2. 专业化与艺术组合&lt;/dt&gt;&lt;dd&gt;&lt;/dd&gt;&lt;dd&gt;&lt;/dd&gt;&lt;/dl&gt;</v>
      </c>
    </row>
    <row r="50" spans="2:7" ht="16.5" thickBot="1" x14ac:dyDescent="0.25"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2" t="s">
        <v>19</v>
      </c>
      <c r="C51" s="2" t="s">
        <v>73</v>
      </c>
      <c r="D51" s="2" t="s">
        <v>20</v>
      </c>
      <c r="E51" s="15"/>
      <c r="G51" t="str">
        <f t="shared" si="0"/>
        <v>&lt;dl&gt;&lt;dt&gt;组合​&lt;/dt&gt;&lt;dd&gt;效应​&lt;/dd&gt;&lt;dd&gt;典型案例​&lt;/dd&gt;&lt;/dl&gt;</v>
      </c>
    </row>
    <row r="52" spans="2:7" ht="29.25" thickBot="1" x14ac:dyDescent="0.25">
      <c r="B52" s="3" t="s">
        <v>1693</v>
      </c>
      <c r="C52" s="4" t="s">
        <v>1694</v>
      </c>
      <c r="D52" s="4" t="s">
        <v>1695</v>
      </c>
      <c r="E52" s="15"/>
      <c r="G52" t="str">
        <f t="shared" si="0"/>
        <v>&lt;dl&gt;&lt;dt&gt;凤阁+天机​&lt;/dt&gt;&lt;dd&gt;灵动精巧之美，形象机敏，或从事时尚、广告、新媒体等需要快速审美的行业。&lt;/dd&gt;&lt;dd&gt;时尚买手；广告创意总监；UI/UX设计师。&lt;/dd&gt;&lt;/dl&gt;</v>
      </c>
    </row>
    <row r="53" spans="2:7" ht="28.5" x14ac:dyDescent="0.2">
      <c r="B53" s="3" t="s">
        <v>1696</v>
      </c>
      <c r="C53" s="4" t="s">
        <v>1697</v>
      </c>
      <c r="D53" s="4" t="s">
        <v>1698</v>
      </c>
    </row>
    <row r="54" spans="2:7" ht="28.5" x14ac:dyDescent="0.2">
      <c r="B54" s="3" t="s">
        <v>1699</v>
      </c>
      <c r="C54" s="4" t="s">
        <v>1700</v>
      </c>
      <c r="D54" s="4" t="s">
        <v>1701</v>
      </c>
    </row>
    <row r="55" spans="2:7" ht="28.5" x14ac:dyDescent="0.2">
      <c r="B55" s="3" t="s">
        <v>1702</v>
      </c>
      <c r="C55" s="4" t="s">
        <v>1703</v>
      </c>
      <c r="D55" s="4" t="s">
        <v>1704</v>
      </c>
    </row>
    <row r="56" spans="2:7" ht="28.5" x14ac:dyDescent="0.2">
      <c r="B56" s="3" t="s">
        <v>1705</v>
      </c>
      <c r="C56" s="4" t="s">
        <v>1706</v>
      </c>
      <c r="D56" s="4" t="s">
        <v>1707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1708</v>
      </c>
      <c r="C62" s="3" t="s">
        <v>1709</v>
      </c>
      <c r="D62" s="4" t="s">
        <v>1710</v>
      </c>
    </row>
    <row r="63" spans="2:7" ht="28.5" x14ac:dyDescent="0.2">
      <c r="B63" s="3" t="s">
        <v>1711</v>
      </c>
      <c r="C63" s="3" t="s">
        <v>1712</v>
      </c>
      <c r="D63" s="4" t="s">
        <v>1713</v>
      </c>
    </row>
    <row r="64" spans="2:7" ht="28.5" x14ac:dyDescent="0.2">
      <c r="B64" s="3" t="s">
        <v>1714</v>
      </c>
      <c r="C64" s="4" t="s">
        <v>1715</v>
      </c>
      <c r="D64" s="4" t="s">
        <v>1716</v>
      </c>
    </row>
    <row r="65" spans="2:4" ht="28.5" x14ac:dyDescent="0.2">
      <c r="B65" s="3" t="s">
        <v>1717</v>
      </c>
      <c r="C65" s="4" t="s">
        <v>1718</v>
      </c>
      <c r="D65" s="4" t="s">
        <v>1719</v>
      </c>
    </row>
    <row r="66" spans="2:4" ht="28.5" x14ac:dyDescent="0.2">
      <c r="B66" s="3" t="s">
        <v>1720</v>
      </c>
      <c r="C66" s="3" t="s">
        <v>1721</v>
      </c>
      <c r="D66" s="4" t="s">
        <v>1722</v>
      </c>
    </row>
    <row r="67" spans="2:4" ht="28.5" x14ac:dyDescent="0.2">
      <c r="B67" s="3" t="s">
        <v>1723</v>
      </c>
      <c r="C67" s="4" t="s">
        <v>1724</v>
      </c>
      <c r="D67" s="4" t="s">
        <v>1725</v>
      </c>
    </row>
    <row r="68" spans="2:4" ht="28.5" x14ac:dyDescent="0.2">
      <c r="B68" s="3" t="s">
        <v>1726</v>
      </c>
      <c r="C68" s="4" t="s">
        <v>1727</v>
      </c>
      <c r="D68" s="4" t="s">
        <v>1728</v>
      </c>
    </row>
    <row r="69" spans="2:4" ht="28.5" x14ac:dyDescent="0.2">
      <c r="B69" s="3" t="s">
        <v>1729</v>
      </c>
      <c r="C69" s="4" t="s">
        <v>1730</v>
      </c>
      <c r="D69" s="4" t="s">
        <v>1731</v>
      </c>
    </row>
    <row r="70" spans="2:4" ht="28.5" x14ac:dyDescent="0.2">
      <c r="B70" s="3" t="s">
        <v>1732</v>
      </c>
      <c r="C70" s="4" t="s">
        <v>1733</v>
      </c>
      <c r="D70" s="4" t="s">
        <v>1734</v>
      </c>
    </row>
    <row r="71" spans="2:4" ht="28.5" x14ac:dyDescent="0.2">
      <c r="B71" s="3" t="s">
        <v>1735</v>
      </c>
      <c r="C71" s="4" t="s">
        <v>1736</v>
      </c>
      <c r="D71" s="4" t="s">
        <v>1737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1738</v>
      </c>
    </row>
    <row r="77" spans="2:4" x14ac:dyDescent="0.2">
      <c r="B77" s="7" t="s">
        <v>1739</v>
      </c>
    </row>
    <row r="78" spans="2:4" x14ac:dyDescent="0.2">
      <c r="B78" s="7" t="s">
        <v>1740</v>
      </c>
    </row>
    <row r="79" spans="2:4" x14ac:dyDescent="0.2">
      <c r="B79" s="7" t="s">
        <v>1741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0E9F0-CB2B-49E2-A2C6-E6408F9486EE}">
  <dimension ref="B1:G82"/>
  <sheetViews>
    <sheetView zoomScaleNormal="100" workbookViewId="0">
      <selection activeCell="D5" sqref="D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1742</v>
      </c>
      <c r="G1" t="str">
        <f>"&lt;dl&gt;&lt;dt&gt;" &amp; B1 &amp; "&lt;/dt&gt;&lt;dd&gt;" &amp; C1 &amp; "&lt;/dd&gt;&lt;dd&gt;" &amp; D1 &amp; "&lt;/dd&gt;&lt;/dl&gt;"</f>
        <v>&lt;dl&gt;&lt;dt&gt;一、孤辰定义&lt;/dt&gt;&lt;dd&gt;&lt;/dd&gt;&lt;dd&gt;&lt;/dd&gt;&lt;/dl&gt;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1743</v>
      </c>
      <c r="D4" s="4"/>
    </row>
    <row r="5" spans="2:7" ht="42.75" x14ac:dyDescent="0.2">
      <c r="B5" s="3" t="s">
        <v>61</v>
      </c>
      <c r="C5" s="4" t="s">
        <v>1744</v>
      </c>
      <c r="D5" s="4"/>
    </row>
    <row r="6" spans="2:7" ht="42.75" x14ac:dyDescent="0.2">
      <c r="B6" s="3" t="s">
        <v>99</v>
      </c>
      <c r="C6" s="4" t="s">
        <v>1745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x14ac:dyDescent="0.2">
      <c r="B14" s="3" t="s">
        <v>1746</v>
      </c>
      <c r="C14" s="4" t="s">
        <v>1747</v>
      </c>
      <c r="D14" s="4" t="s">
        <v>206</v>
      </c>
    </row>
    <row r="15" spans="2:7" ht="28.5" x14ac:dyDescent="0.2">
      <c r="B15" s="3" t="s">
        <v>1748</v>
      </c>
      <c r="C15" s="4" t="s">
        <v>1749</v>
      </c>
      <c r="D15" s="4" t="s">
        <v>1750</v>
      </c>
    </row>
    <row r="16" spans="2:7" ht="28.5" x14ac:dyDescent="0.2">
      <c r="B16" s="3" t="s">
        <v>1751</v>
      </c>
      <c r="C16" s="4" t="s">
        <v>1752</v>
      </c>
      <c r="D16" s="4" t="s">
        <v>1753</v>
      </c>
    </row>
    <row r="17" spans="2:7" ht="28.5" x14ac:dyDescent="0.2">
      <c r="B17" s="3" t="s">
        <v>1754</v>
      </c>
      <c r="C17" s="4" t="s">
        <v>1755</v>
      </c>
      <c r="D17" s="4" t="s">
        <v>1756</v>
      </c>
    </row>
    <row r="18" spans="2:7" x14ac:dyDescent="0.2">
      <c r="B18" s="3" t="s">
        <v>1757</v>
      </c>
      <c r="C18" s="4" t="s">
        <v>1758</v>
      </c>
      <c r="D18" s="4" t="s">
        <v>1759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1760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&lt;dl&gt;&lt;dt&gt;命宫​&lt;/dt&gt;&lt;dd&gt;性格孤高，不喜迎合，一生心态上常有孤独感，朋友少。&lt;/dd&gt;&lt;dd&gt;&lt;/dd&gt;&lt;/dl&gt;</v>
      </c>
    </row>
    <row r="25" spans="2:7" ht="29.25" thickBot="1" x14ac:dyDescent="0.25">
      <c r="B25" s="3" t="s">
        <v>58</v>
      </c>
      <c r="C25" s="4" t="s">
        <v>1761</v>
      </c>
      <c r="D25" s="4"/>
      <c r="E25" s="15"/>
      <c r="G25" t="str">
        <f t="shared" si="0"/>
        <v>&lt;dl&gt;&lt;dt&gt;兄弟宫​&lt;/dt&gt;&lt;dd&gt;与兄弟姐妹缘薄，感情疏远，或各自独立发展，少有助力。&lt;/dd&gt;&lt;dd&gt;&lt;/dd&gt;&lt;/dl&gt;</v>
      </c>
    </row>
    <row r="26" spans="2:7" ht="29.25" thickBot="1" x14ac:dyDescent="0.25">
      <c r="B26" s="3" t="s">
        <v>50</v>
      </c>
      <c r="C26" s="4" t="s">
        <v>1762</v>
      </c>
      <c r="D26" s="4"/>
      <c r="E26" s="15"/>
      <c r="G26" t="str">
        <f t="shared" si="0"/>
        <v>&lt;dl&gt;&lt;dt&gt;夫妻宫​&lt;/dt&gt;&lt;dd&gt;配偶性格孤僻，或夫妻聚少离多，沟通不畅，易感孤独。&lt;/dd&gt;&lt;dd&gt;&lt;/dd&gt;&lt;/dl&gt;</v>
      </c>
    </row>
    <row r="27" spans="2:7" ht="29.25" thickBot="1" x14ac:dyDescent="0.25">
      <c r="B27" s="3" t="s">
        <v>53</v>
      </c>
      <c r="C27" s="4" t="s">
        <v>1763</v>
      </c>
      <c r="D27" s="4"/>
      <c r="E27" s="15"/>
      <c r="G27" t="str">
        <f t="shared" si="0"/>
        <v>&lt;dl&gt;&lt;dt&gt;子女宫​&lt;/dt&gt;&lt;dd&gt;子女数目少，或与子女缘分浅，子女长大后远离自己。&lt;/dd&gt;&lt;dd&gt;&lt;/dd&gt;&lt;/dl&gt;</v>
      </c>
    </row>
    <row r="28" spans="2:7" ht="29.25" thickBot="1" x14ac:dyDescent="0.25">
      <c r="B28" s="3" t="s">
        <v>1</v>
      </c>
      <c r="C28" s="4" t="s">
        <v>1764</v>
      </c>
      <c r="D28" s="4"/>
      <c r="E28" s="15"/>
      <c r="G28" t="str">
        <f t="shared" si="0"/>
        <v>&lt;dl&gt;&lt;dt&gt;财帛宫​&lt;/dt&gt;&lt;dd&gt;喜欢独立经营，不喜与人合伙求财，钱财来源多靠一己之力。&lt;/dd&gt;&lt;dd&gt;&lt;/dd&gt;&lt;/dl&gt;</v>
      </c>
    </row>
    <row r="29" spans="2:7" ht="29.25" thickBot="1" x14ac:dyDescent="0.25">
      <c r="B29" s="3" t="s">
        <v>2</v>
      </c>
      <c r="C29" s="4" t="s">
        <v>1765</v>
      </c>
      <c r="D29" s="4"/>
      <c r="E29" s="15"/>
      <c r="G29" t="str">
        <f t="shared" si="0"/>
        <v>&lt;dl&gt;&lt;dt&gt;疾厄宫​&lt;/dt&gt;&lt;dd&gt;易有孤僻导致的情绪病，如抑郁症、自闭倾向，或喜静不喜动。&lt;/dd&gt;&lt;dd&gt;&lt;/dd&gt;&lt;/dl&gt;</v>
      </c>
    </row>
    <row r="30" spans="2:7" x14ac:dyDescent="0.2">
      <c r="B30" s="3" t="s">
        <v>5</v>
      </c>
      <c r="C30" s="4" t="s">
        <v>1766</v>
      </c>
      <c r="D30" s="4"/>
    </row>
    <row r="31" spans="2:7" ht="28.5" x14ac:dyDescent="0.2">
      <c r="B31" s="3" t="s">
        <v>4</v>
      </c>
      <c r="C31" s="4" t="s">
        <v>1767</v>
      </c>
      <c r="D31" s="4"/>
    </row>
    <row r="32" spans="2:7" ht="28.5" x14ac:dyDescent="0.2">
      <c r="B32" s="3" t="s">
        <v>57</v>
      </c>
      <c r="C32" s="4" t="s">
        <v>1768</v>
      </c>
      <c r="D32" s="4"/>
    </row>
    <row r="33" spans="2:7" ht="29.25" thickBot="1" x14ac:dyDescent="0.25">
      <c r="B33" s="3" t="s">
        <v>0</v>
      </c>
      <c r="C33" s="4" t="s">
        <v>1769</v>
      </c>
      <c r="D33" s="4"/>
    </row>
    <row r="34" spans="2:7" ht="29.25" thickBot="1" x14ac:dyDescent="0.25">
      <c r="B34" s="3" t="s">
        <v>41</v>
      </c>
      <c r="C34" s="3" t="s">
        <v>1770</v>
      </c>
      <c r="D34" s="4"/>
      <c r="E34" s="12"/>
    </row>
    <row r="35" spans="2:7" ht="29.25" thickBot="1" x14ac:dyDescent="0.25">
      <c r="B35" s="3" t="s">
        <v>3</v>
      </c>
      <c r="C35" s="4" t="s">
        <v>1771</v>
      </c>
      <c r="D35" s="4"/>
      <c r="E35" s="15"/>
      <c r="G35" t="str">
        <f t="shared" si="0"/>
        <v>&lt;dl&gt;&lt;dt&gt;父母宫​&lt;/dt&gt;&lt;dd&gt;与父母缘分较淡，可能早年离家，或与父母有代沟、疏离。&lt;/dd&gt;&lt;dd&gt;&lt;/dd&gt;&lt;/dl&gt;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1772</v>
      </c>
      <c r="E40" s="15"/>
      <c r="G40" t="str">
        <f t="shared" si="0"/>
        <v>&lt;dl&gt;&lt;dt&gt;1. 增强孤独倾向组合&lt;/dt&gt;&lt;dd&gt;&lt;/dd&gt;&lt;dd&gt;&lt;/dd&gt;&lt;/dl&gt;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16.5" thickBot="1" x14ac:dyDescent="0.25">
      <c r="B43" s="3" t="s">
        <v>1773</v>
      </c>
      <c r="C43" s="4" t="s">
        <v>1774</v>
      </c>
      <c r="D43" s="4" t="s">
        <v>1775</v>
      </c>
      <c r="E43" s="15"/>
      <c r="G43" t="str">
        <f t="shared" si="0"/>
        <v>&lt;dl&gt;&lt;dt&gt;孤辰+紫微​&lt;/dt&gt;&lt;dd&gt;孤高的帝王，位高权重但内心孤独，高处不胜寒。&lt;/dd&gt;&lt;dd&gt;孤独的领导者；离群索居的权威学者。&lt;/dd&gt;&lt;/dl&gt;</v>
      </c>
    </row>
    <row r="44" spans="2:7" ht="28.5" x14ac:dyDescent="0.2">
      <c r="B44" s="3" t="s">
        <v>1776</v>
      </c>
      <c r="C44" s="4" t="s">
        <v>1777</v>
      </c>
      <c r="D44" s="4" t="s">
        <v>1778</v>
      </c>
    </row>
    <row r="45" spans="2:7" ht="28.5" x14ac:dyDescent="0.2">
      <c r="B45" s="3" t="s">
        <v>1779</v>
      </c>
      <c r="C45" s="4" t="s">
        <v>1780</v>
      </c>
      <c r="D45" s="4" t="s">
        <v>1781</v>
      </c>
    </row>
    <row r="46" spans="2:7" ht="28.5" x14ac:dyDescent="0.2">
      <c r="B46" s="3" t="s">
        <v>1782</v>
      </c>
      <c r="C46" s="4" t="s">
        <v>1783</v>
      </c>
      <c r="D46" s="4" t="s">
        <v>1784</v>
      </c>
    </row>
    <row r="47" spans="2:7" ht="29.25" thickBot="1" x14ac:dyDescent="0.25">
      <c r="B47" s="3" t="s">
        <v>1785</v>
      </c>
      <c r="C47" s="4" t="s">
        <v>1786</v>
      </c>
      <c r="D47" s="4" t="s">
        <v>1787</v>
      </c>
    </row>
    <row r="48" spans="2:7" ht="29.25" thickBot="1" x14ac:dyDescent="0.25">
      <c r="B48" s="3" t="s">
        <v>1788</v>
      </c>
      <c r="C48" s="4" t="s">
        <v>1789</v>
      </c>
      <c r="D48" s="4" t="s">
        <v>1790</v>
      </c>
      <c r="E48" s="12"/>
    </row>
    <row r="49" spans="2:7" ht="29.25" thickBot="1" x14ac:dyDescent="0.25">
      <c r="B49" s="3" t="s">
        <v>1791</v>
      </c>
      <c r="C49" s="4" t="s">
        <v>1792</v>
      </c>
      <c r="D49" s="4" t="s">
        <v>1793</v>
      </c>
      <c r="E49" s="15"/>
      <c r="G49" t="str">
        <f t="shared" si="0"/>
        <v>&lt;dl&gt;&lt;dt&gt;孤辰+天府​&lt;/dt&gt;&lt;dd&gt;孤独的守成者，享受一个人的富足与安稳，不喜被打扰。&lt;/dd&gt;&lt;dd&gt;独自管理庞大资产的富翁；喜欢宅在家里的收藏家。&lt;/dd&gt;&lt;/dl&gt;</v>
      </c>
    </row>
    <row r="50" spans="2:7" ht="29.25" thickBot="1" x14ac:dyDescent="0.25">
      <c r="B50" s="3" t="s">
        <v>1794</v>
      </c>
      <c r="C50" s="4" t="s">
        <v>1795</v>
      </c>
      <c r="D50" s="4" t="s">
        <v>1796</v>
      </c>
      <c r="E50" s="15"/>
      <c r="G50" t="str">
        <f t="shared" si="0"/>
        <v>&lt;dl&gt;&lt;dt&gt;孤辰+太阴​&lt;/dt&gt;&lt;dd&gt;孤独的隐士，内心细腻敏感，喜静，逃避喧嚣人群。&lt;/dd&gt;&lt;dd&gt;隐居的作家；夜间独自工作的程序员。&lt;/dd&gt;&lt;/dl&gt;</v>
      </c>
    </row>
    <row r="51" spans="2:7" ht="29.25" thickBot="1" x14ac:dyDescent="0.25">
      <c r="B51" s="3" t="s">
        <v>1797</v>
      </c>
      <c r="C51" s="4" t="s">
        <v>1798</v>
      </c>
      <c r="D51" s="4" t="s">
        <v>1799</v>
      </c>
      <c r="E51" s="15"/>
      <c r="G51" t="str">
        <f t="shared" si="0"/>
        <v>&lt;dl&gt;&lt;dt&gt;孤辰+贪狼​&lt;/dt&gt;&lt;dd&gt;孤独的欲望者，外表热闹，内心空虚，狂欢后的孤独感更甚。&lt;/dd&gt;&lt;dd&gt;在社交场合活跃，回家后倍感孤单的人。&lt;/dd&gt;&lt;/dl&gt;</v>
      </c>
    </row>
    <row r="52" spans="2:7" ht="29.25" thickBot="1" x14ac:dyDescent="0.25">
      <c r="B52" s="3" t="s">
        <v>1800</v>
      </c>
      <c r="C52" s="4" t="s">
        <v>1801</v>
      </c>
      <c r="D52" s="4" t="s">
        <v>1802</v>
      </c>
      <c r="E52" s="15"/>
      <c r="G52" t="str">
        <f t="shared" si="0"/>
        <v>&lt;dl&gt;&lt;dt&gt;孤辰+巨门​&lt;/dt&gt;&lt;dd&gt;孤独的暗星，因口舌是非或思想阴暗而主动疏离人群。&lt;/dd&gt;&lt;dd&gt;因言论被孤立者；喜欢研究神秘学的独行者。&lt;/dd&gt;&lt;/dl&gt;</v>
      </c>
    </row>
    <row r="53" spans="2:7" ht="28.5" x14ac:dyDescent="0.2">
      <c r="B53" s="3" t="s">
        <v>1803</v>
      </c>
      <c r="C53" s="4" t="s">
        <v>1804</v>
      </c>
      <c r="D53" s="4" t="s">
        <v>1805</v>
      </c>
    </row>
    <row r="54" spans="2:7" ht="28.5" x14ac:dyDescent="0.2">
      <c r="B54" s="3" t="s">
        <v>1806</v>
      </c>
      <c r="C54" s="4" t="s">
        <v>1807</v>
      </c>
      <c r="D54" s="4" t="s">
        <v>1808</v>
      </c>
    </row>
    <row r="55" spans="2:7" ht="28.5" x14ac:dyDescent="0.2">
      <c r="B55" s="3" t="s">
        <v>1809</v>
      </c>
      <c r="C55" s="4" t="s">
        <v>1810</v>
      </c>
      <c r="D55" s="4" t="s">
        <v>1811</v>
      </c>
    </row>
    <row r="56" spans="2:7" ht="28.5" x14ac:dyDescent="0.2">
      <c r="B56" s="3" t="s">
        <v>1812</v>
      </c>
      <c r="C56" s="4" t="s">
        <v>1813</v>
      </c>
      <c r="D56" s="4" t="s">
        <v>1814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1815</v>
      </c>
      <c r="C62" s="3" t="s">
        <v>1816</v>
      </c>
      <c r="D62" s="4" t="s">
        <v>1817</v>
      </c>
    </row>
    <row r="63" spans="2:7" ht="28.5" x14ac:dyDescent="0.2">
      <c r="B63" s="3" t="s">
        <v>1818</v>
      </c>
      <c r="C63" s="4" t="s">
        <v>1819</v>
      </c>
      <c r="D63" s="4" t="s">
        <v>1820</v>
      </c>
    </row>
    <row r="64" spans="2:7" ht="28.5" x14ac:dyDescent="0.2">
      <c r="B64" s="3" t="s">
        <v>1821</v>
      </c>
      <c r="C64" s="4" t="s">
        <v>1822</v>
      </c>
      <c r="D64" s="4" t="s">
        <v>1823</v>
      </c>
    </row>
    <row r="65" spans="2:4" ht="28.5" x14ac:dyDescent="0.2">
      <c r="B65" s="3" t="s">
        <v>1824</v>
      </c>
      <c r="C65" s="4" t="s">
        <v>1825</v>
      </c>
      <c r="D65" s="4" t="s">
        <v>1826</v>
      </c>
    </row>
    <row r="66" spans="2:4" ht="28.5" x14ac:dyDescent="0.2">
      <c r="B66" s="3" t="s">
        <v>1827</v>
      </c>
      <c r="C66" s="4" t="s">
        <v>1828</v>
      </c>
      <c r="D66" s="4" t="s">
        <v>1829</v>
      </c>
    </row>
    <row r="67" spans="2:4" ht="28.5" x14ac:dyDescent="0.2">
      <c r="B67" s="3" t="s">
        <v>1830</v>
      </c>
      <c r="C67" s="4" t="s">
        <v>1831</v>
      </c>
      <c r="D67" s="4" t="s">
        <v>1832</v>
      </c>
    </row>
    <row r="68" spans="2:4" x14ac:dyDescent="0.2">
      <c r="B68" s="3" t="s">
        <v>1833</v>
      </c>
      <c r="C68" s="4" t="s">
        <v>1834</v>
      </c>
      <c r="D68" s="4" t="s">
        <v>1835</v>
      </c>
    </row>
    <row r="69" spans="2:4" ht="28.5" x14ac:dyDescent="0.2">
      <c r="B69" s="3" t="s">
        <v>1836</v>
      </c>
      <c r="C69" s="4" t="s">
        <v>1837</v>
      </c>
      <c r="D69" s="4" t="s">
        <v>1838</v>
      </c>
    </row>
    <row r="70" spans="2:4" ht="28.5" x14ac:dyDescent="0.2">
      <c r="B70" s="3" t="s">
        <v>1839</v>
      </c>
      <c r="C70" s="4" t="s">
        <v>1840</v>
      </c>
      <c r="D70" s="4" t="s">
        <v>1841</v>
      </c>
    </row>
    <row r="71" spans="2:4" ht="28.5" x14ac:dyDescent="0.2">
      <c r="B71" s="3" t="s">
        <v>1842</v>
      </c>
      <c r="C71" s="4" t="s">
        <v>1843</v>
      </c>
      <c r="D71" s="4" t="s">
        <v>1844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1845</v>
      </c>
    </row>
    <row r="77" spans="2:4" x14ac:dyDescent="0.2">
      <c r="B77" s="7" t="s">
        <v>1846</v>
      </c>
    </row>
    <row r="78" spans="2:4" x14ac:dyDescent="0.2">
      <c r="B78" s="7" t="s">
        <v>1847</v>
      </c>
    </row>
    <row r="79" spans="2:4" x14ac:dyDescent="0.2">
      <c r="B79" s="7" t="s">
        <v>1848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C477-FDE0-4A0E-B897-8E5A6FE5C5AA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1849</v>
      </c>
      <c r="G1" t="str">
        <f>"&lt;dl&gt;&lt;dt&gt;" &amp; B1 &amp; "&lt;/dt&gt;&lt;dd&gt;" &amp; C1 &amp; "&lt;/dd&gt;&lt;dd&gt;" &amp; D1 &amp; "&lt;/dd&gt;&lt;/dl&gt;"</f>
        <v>&lt;dl&gt;&lt;dt&gt;一、寡宿定义&lt;/dt&gt;&lt;dd&gt;&lt;/dd&gt;&lt;dd&gt;&lt;/dd&gt;&lt;/dl&gt;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1850</v>
      </c>
      <c r="D4" s="4"/>
    </row>
    <row r="5" spans="2:7" ht="42.75" x14ac:dyDescent="0.2">
      <c r="B5" s="3" t="s">
        <v>61</v>
      </c>
      <c r="C5" s="4" t="s">
        <v>1851</v>
      </c>
      <c r="D5" s="4"/>
    </row>
    <row r="6" spans="2:7" ht="42.75" x14ac:dyDescent="0.2">
      <c r="B6" s="3" t="s">
        <v>99</v>
      </c>
      <c r="C6" s="4" t="s">
        <v>1852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1853</v>
      </c>
      <c r="C14" s="4" t="s">
        <v>1854</v>
      </c>
      <c r="D14" s="4" t="s">
        <v>1855</v>
      </c>
    </row>
    <row r="15" spans="2:7" ht="28.5" x14ac:dyDescent="0.2">
      <c r="B15" s="3" t="s">
        <v>1856</v>
      </c>
      <c r="C15" s="4" t="s">
        <v>1857</v>
      </c>
      <c r="D15" s="4" t="s">
        <v>1858</v>
      </c>
    </row>
    <row r="16" spans="2:7" x14ac:dyDescent="0.2">
      <c r="B16" s="3" t="s">
        <v>1859</v>
      </c>
      <c r="C16" s="4" t="s">
        <v>1860</v>
      </c>
      <c r="D16" s="4" t="s">
        <v>1861</v>
      </c>
    </row>
    <row r="17" spans="2:7" x14ac:dyDescent="0.2">
      <c r="B17" s="3" t="s">
        <v>1862</v>
      </c>
      <c r="C17" s="4" t="s">
        <v>1863</v>
      </c>
      <c r="D17" s="4" t="s">
        <v>1756</v>
      </c>
    </row>
    <row r="18" spans="2:7" ht="28.5" x14ac:dyDescent="0.2">
      <c r="B18" s="3" t="s">
        <v>1864</v>
      </c>
      <c r="C18" s="4" t="s">
        <v>1865</v>
      </c>
      <c r="D18" s="4" t="s">
        <v>1866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1867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&lt;dl&gt;&lt;dt&gt;命宫​&lt;/dt&gt;&lt;dd&gt;性格孤僻，喜静，一生易处于独居或心理上的孤寡状态。&lt;/dd&gt;&lt;dd&gt;&lt;/dd&gt;&lt;/dl&gt;</v>
      </c>
    </row>
    <row r="25" spans="2:7" ht="29.25" thickBot="1" x14ac:dyDescent="0.25">
      <c r="B25" s="3" t="s">
        <v>58</v>
      </c>
      <c r="C25" s="4" t="s">
        <v>1868</v>
      </c>
      <c r="D25" s="4"/>
      <c r="E25" s="15"/>
      <c r="G25" t="str">
        <f t="shared" si="0"/>
        <v>&lt;dl&gt;&lt;dt&gt;兄弟宫​&lt;/dt&gt;&lt;dd&gt;兄弟姐妹稀少，或各自独立，关系冷淡，少有往来。&lt;/dd&gt;&lt;dd&gt;&lt;/dd&gt;&lt;/dl&gt;</v>
      </c>
    </row>
    <row r="26" spans="2:7" ht="29.25" thickBot="1" x14ac:dyDescent="0.25">
      <c r="B26" s="3" t="s">
        <v>50</v>
      </c>
      <c r="C26" s="4" t="s">
        <v>1869</v>
      </c>
      <c r="D26" s="4"/>
      <c r="E26" s="15"/>
      <c r="G26" t="str">
        <f t="shared" si="0"/>
        <v>&lt;dl&gt;&lt;dt&gt;夫妻宫​&lt;/dt&gt;&lt;dd&gt;配偶常不在身边（如异地），或晚婚、婚姻关系冷淡，易独身。&lt;/dd&gt;&lt;dd&gt;&lt;/dd&gt;&lt;/dl&gt;</v>
      </c>
    </row>
    <row r="27" spans="2:7" ht="29.25" thickBot="1" x14ac:dyDescent="0.25">
      <c r="B27" s="3" t="s">
        <v>53</v>
      </c>
      <c r="C27" s="4" t="s">
        <v>1870</v>
      </c>
      <c r="D27" s="4"/>
      <c r="E27" s="15"/>
      <c r="G27" t="str">
        <f t="shared" si="0"/>
        <v>&lt;dl&gt;&lt;dt&gt;子女宫​&lt;/dt&gt;&lt;dd&gt;子女数目少，或无子女，与子女缘分浅，子女远离。&lt;/dd&gt;&lt;dd&gt;&lt;/dd&gt;&lt;/dl&gt;</v>
      </c>
    </row>
    <row r="28" spans="2:7" ht="29.25" thickBot="1" x14ac:dyDescent="0.25">
      <c r="B28" s="3" t="s">
        <v>1</v>
      </c>
      <c r="C28" s="4" t="s">
        <v>1871</v>
      </c>
      <c r="D28" s="4"/>
      <c r="E28" s="15"/>
      <c r="G28" t="str">
        <f t="shared" si="0"/>
        <v>&lt;dl&gt;&lt;dt&gt;财帛宫​&lt;/dt&gt;&lt;dd&gt;钱财需独自打理，不适宜与人合伙，易因独立经营得财或破财。&lt;/dd&gt;&lt;dd&gt;&lt;/dd&gt;&lt;/dl&gt;</v>
      </c>
    </row>
    <row r="29" spans="2:7" ht="16.5" thickBot="1" x14ac:dyDescent="0.25">
      <c r="B29" s="3" t="s">
        <v>2</v>
      </c>
      <c r="C29" s="4" t="s">
        <v>1872</v>
      </c>
      <c r="D29" s="4"/>
      <c r="E29" s="15"/>
      <c r="G29" t="str">
        <f t="shared" si="0"/>
        <v>&lt;dl&gt;&lt;dt&gt;疾厄宫​&lt;/dt&gt;&lt;dd&gt;体质偏寒，易有孤僻导致的慢性病，或喜静养。&lt;/dd&gt;&lt;dd&gt;&lt;/dd&gt;&lt;/dl&gt;</v>
      </c>
    </row>
    <row r="30" spans="2:7" ht="28.5" x14ac:dyDescent="0.2">
      <c r="B30" s="3" t="s">
        <v>5</v>
      </c>
      <c r="C30" s="4" t="s">
        <v>1873</v>
      </c>
      <c r="D30" s="4"/>
    </row>
    <row r="31" spans="2:7" ht="28.5" x14ac:dyDescent="0.2">
      <c r="B31" s="3" t="s">
        <v>4</v>
      </c>
      <c r="C31" s="4" t="s">
        <v>1874</v>
      </c>
      <c r="D31" s="4"/>
    </row>
    <row r="32" spans="2:7" ht="28.5" x14ac:dyDescent="0.2">
      <c r="B32" s="3" t="s">
        <v>57</v>
      </c>
      <c r="C32" s="4" t="s">
        <v>1875</v>
      </c>
      <c r="D32" s="4"/>
    </row>
    <row r="33" spans="2:7" ht="29.25" thickBot="1" x14ac:dyDescent="0.25">
      <c r="B33" s="3" t="s">
        <v>0</v>
      </c>
      <c r="C33" s="3" t="s">
        <v>1876</v>
      </c>
      <c r="D33" s="4"/>
    </row>
    <row r="34" spans="2:7" ht="16.5" thickBot="1" x14ac:dyDescent="0.25">
      <c r="B34" s="3" t="s">
        <v>41</v>
      </c>
      <c r="C34" s="4" t="s">
        <v>1877</v>
      </c>
      <c r="D34" s="4"/>
      <c r="E34" s="12"/>
    </row>
    <row r="35" spans="2:7" ht="29.25" thickBot="1" x14ac:dyDescent="0.25">
      <c r="B35" s="3" t="s">
        <v>3</v>
      </c>
      <c r="C35" s="4" t="s">
        <v>1878</v>
      </c>
      <c r="D35" s="4"/>
      <c r="E35" s="15"/>
      <c r="G35" t="str">
        <f t="shared" si="0"/>
        <v>&lt;dl&gt;&lt;dt&gt;父母宫​&lt;/dt&gt;&lt;dd&gt;与父母缘分较淡，可能早年离家独立，或父母一方早逝/不在身边。&lt;/dd&gt;&lt;dd&gt;&lt;/dd&gt;&lt;/dl&gt;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1879</v>
      </c>
      <c r="E40" s="15"/>
      <c r="G40" t="str">
        <f t="shared" si="0"/>
        <v>&lt;dl&gt;&lt;dt&gt;1. 增强孤寡倾向组合&lt;/dt&gt;&lt;dd&gt;&lt;/dd&gt;&lt;dd&gt;&lt;/dd&gt;&lt;/dl&gt;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1880</v>
      </c>
      <c r="C43" s="4" t="s">
        <v>1881</v>
      </c>
      <c r="D43" s="4" t="s">
        <v>1882</v>
      </c>
      <c r="E43" s="15"/>
      <c r="G43" t="str">
        <f t="shared" si="0"/>
        <v>&lt;dl&gt;&lt;dt&gt;寡宿+紫微​&lt;/dt&gt;&lt;dd&gt;孤君在野，虽有权势但身边无人，晚年孤独。&lt;/dd&gt;&lt;dd&gt;独居的退休高官；没有子嗣的企业创始人。&lt;/dd&gt;&lt;/dl&gt;</v>
      </c>
    </row>
    <row r="44" spans="2:7" ht="28.5" x14ac:dyDescent="0.2">
      <c r="B44" s="3" t="s">
        <v>1883</v>
      </c>
      <c r="C44" s="4" t="s">
        <v>1884</v>
      </c>
      <c r="D44" s="4" t="s">
        <v>1885</v>
      </c>
    </row>
    <row r="45" spans="2:7" ht="28.5" x14ac:dyDescent="0.2">
      <c r="B45" s="3" t="s">
        <v>1886</v>
      </c>
      <c r="C45" s="4" t="s">
        <v>1887</v>
      </c>
      <c r="D45" s="4" t="s">
        <v>1888</v>
      </c>
    </row>
    <row r="46" spans="2:7" ht="28.5" x14ac:dyDescent="0.2">
      <c r="B46" s="3" t="s">
        <v>1889</v>
      </c>
      <c r="C46" s="4" t="s">
        <v>1890</v>
      </c>
      <c r="D46" s="4" t="s">
        <v>1891</v>
      </c>
    </row>
    <row r="47" spans="2:7" ht="29.25" thickBot="1" x14ac:dyDescent="0.25">
      <c r="B47" s="3" t="s">
        <v>1892</v>
      </c>
      <c r="C47" s="4" t="s">
        <v>1893</v>
      </c>
      <c r="D47" s="4" t="s">
        <v>1894</v>
      </c>
    </row>
    <row r="48" spans="2:7" ht="29.25" thickBot="1" x14ac:dyDescent="0.25">
      <c r="B48" s="3" t="s">
        <v>1895</v>
      </c>
      <c r="C48" s="4" t="s">
        <v>1896</v>
      </c>
      <c r="D48" s="4" t="s">
        <v>1897</v>
      </c>
      <c r="E48" s="12"/>
    </row>
    <row r="49" spans="2:7" ht="29.25" thickBot="1" x14ac:dyDescent="0.25">
      <c r="B49" s="3" t="s">
        <v>1898</v>
      </c>
      <c r="C49" s="4" t="s">
        <v>1899</v>
      </c>
      <c r="D49" s="4" t="s">
        <v>1900</v>
      </c>
      <c r="E49" s="15"/>
      <c r="G49" t="str">
        <f t="shared" si="0"/>
        <v>&lt;dl&gt;&lt;dt&gt;寡宿+天府​&lt;/dt&gt;&lt;dd&gt;独守财库，财富丰厚但独自享用，家庭人丁不旺。&lt;/dd&gt;&lt;dd&gt;拥有多处房产的独居者；守财的单身富翁。&lt;/dd&gt;&lt;/dl&gt;</v>
      </c>
    </row>
    <row r="50" spans="2:7" ht="29.25" thickBot="1" x14ac:dyDescent="0.25">
      <c r="B50" s="3" t="s">
        <v>1901</v>
      </c>
      <c r="C50" s="4" t="s">
        <v>1902</v>
      </c>
      <c r="D50" s="4" t="s">
        <v>1903</v>
      </c>
      <c r="E50" s="15"/>
      <c r="G50" t="str">
        <f t="shared" si="0"/>
        <v>&lt;dl&gt;&lt;dt&gt;寡宿+太阴​&lt;/dt&gt;&lt;dd&gt;独居隐士，喜欢安静、私密的个人空间，逃避人群。&lt;/dd&gt;&lt;dd&gt;隐居山林的作家；夜间独自工作的程序员。&lt;/dd&gt;&lt;/dl&gt;</v>
      </c>
    </row>
    <row r="51" spans="2:7" ht="29.25" thickBot="1" x14ac:dyDescent="0.25">
      <c r="B51" s="3" t="s">
        <v>1904</v>
      </c>
      <c r="C51" s="4" t="s">
        <v>1905</v>
      </c>
      <c r="D51" s="4" t="s">
        <v>1906</v>
      </c>
      <c r="E51" s="15"/>
      <c r="G51" t="str">
        <f t="shared" si="0"/>
        <v>&lt;dl&gt;&lt;dt&gt;寡宿+贪狼​&lt;/dt&gt;&lt;dd&gt;独酌，表面交际广泛，内心空虚，最终常回归独处。&lt;/dd&gt;&lt;dd&gt;社交达人回家后面对空房；沉迷个人嗜好的独身者。&lt;/dd&gt;&lt;/dl&gt;</v>
      </c>
    </row>
    <row r="52" spans="2:7" ht="29.25" thickBot="1" x14ac:dyDescent="0.25">
      <c r="B52" s="3" t="s">
        <v>1907</v>
      </c>
      <c r="C52" s="4" t="s">
        <v>1908</v>
      </c>
      <c r="D52" s="4" t="s">
        <v>1909</v>
      </c>
      <c r="E52" s="15"/>
      <c r="G52" t="str">
        <f t="shared" si="0"/>
        <v>&lt;dl&gt;&lt;dt&gt;寡宿+巨门​&lt;/dt&gt;&lt;dd&gt;独暗，因是非、口角而与家人朋友疏远，主动选择隔离。&lt;/dd&gt;&lt;dd&gt;与家人吵架后独居；因言论被孤立而离群索居。&lt;/dd&gt;&lt;/dl&gt;</v>
      </c>
    </row>
    <row r="53" spans="2:7" ht="28.5" x14ac:dyDescent="0.2">
      <c r="B53" s="3" t="s">
        <v>1910</v>
      </c>
      <c r="C53" s="4" t="s">
        <v>1911</v>
      </c>
      <c r="D53" s="4" t="s">
        <v>1912</v>
      </c>
    </row>
    <row r="54" spans="2:7" ht="28.5" x14ac:dyDescent="0.2">
      <c r="B54" s="3" t="s">
        <v>1913</v>
      </c>
      <c r="C54" s="4" t="s">
        <v>1914</v>
      </c>
      <c r="D54" s="4" t="s">
        <v>1915</v>
      </c>
    </row>
    <row r="55" spans="2:7" ht="28.5" x14ac:dyDescent="0.2">
      <c r="B55" s="3" t="s">
        <v>1916</v>
      </c>
      <c r="C55" s="4" t="s">
        <v>1917</v>
      </c>
      <c r="D55" s="4" t="s">
        <v>1811</v>
      </c>
    </row>
    <row r="56" spans="2:7" ht="28.5" x14ac:dyDescent="0.2">
      <c r="B56" s="3" t="s">
        <v>1918</v>
      </c>
      <c r="C56" s="4" t="s">
        <v>1919</v>
      </c>
      <c r="D56" s="4" t="s">
        <v>1814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1920</v>
      </c>
      <c r="C62" s="3" t="s">
        <v>1921</v>
      </c>
      <c r="D62" s="4" t="s">
        <v>1922</v>
      </c>
    </row>
    <row r="63" spans="2:7" ht="28.5" x14ac:dyDescent="0.2">
      <c r="B63" s="3" t="s">
        <v>1923</v>
      </c>
      <c r="C63" s="4" t="s">
        <v>1924</v>
      </c>
      <c r="D63" s="4" t="s">
        <v>1925</v>
      </c>
    </row>
    <row r="64" spans="2:7" ht="28.5" x14ac:dyDescent="0.2">
      <c r="B64" s="3" t="s">
        <v>1926</v>
      </c>
      <c r="C64" s="4" t="s">
        <v>1927</v>
      </c>
      <c r="D64" s="4" t="s">
        <v>1928</v>
      </c>
    </row>
    <row r="65" spans="2:4" ht="28.5" x14ac:dyDescent="0.2">
      <c r="B65" s="3" t="s">
        <v>1929</v>
      </c>
      <c r="C65" s="4" t="s">
        <v>1930</v>
      </c>
      <c r="D65" s="4" t="s">
        <v>1931</v>
      </c>
    </row>
    <row r="66" spans="2:4" ht="28.5" x14ac:dyDescent="0.2">
      <c r="B66" s="3" t="s">
        <v>1932</v>
      </c>
      <c r="C66" s="4" t="s">
        <v>1933</v>
      </c>
      <c r="D66" s="4" t="s">
        <v>1934</v>
      </c>
    </row>
    <row r="67" spans="2:4" ht="28.5" x14ac:dyDescent="0.2">
      <c r="B67" s="3" t="s">
        <v>1935</v>
      </c>
      <c r="C67" s="4" t="s">
        <v>1936</v>
      </c>
      <c r="D67" s="4" t="s">
        <v>1937</v>
      </c>
    </row>
    <row r="68" spans="2:4" ht="28.5" x14ac:dyDescent="0.2">
      <c r="B68" s="3" t="s">
        <v>1938</v>
      </c>
      <c r="C68" s="4" t="s">
        <v>1939</v>
      </c>
      <c r="D68" s="4" t="s">
        <v>1940</v>
      </c>
    </row>
    <row r="69" spans="2:4" ht="28.5" x14ac:dyDescent="0.2">
      <c r="B69" s="3" t="s">
        <v>1941</v>
      </c>
      <c r="C69" s="4" t="s">
        <v>1942</v>
      </c>
      <c r="D69" s="4" t="s">
        <v>1943</v>
      </c>
    </row>
    <row r="70" spans="2:4" ht="28.5" x14ac:dyDescent="0.2">
      <c r="B70" s="3" t="s">
        <v>1944</v>
      </c>
      <c r="C70" s="4" t="s">
        <v>1945</v>
      </c>
      <c r="D70" s="4" t="s">
        <v>1946</v>
      </c>
    </row>
    <row r="71" spans="2:4" ht="28.5" x14ac:dyDescent="0.2">
      <c r="B71" s="3" t="s">
        <v>1947</v>
      </c>
      <c r="C71" s="4" t="s">
        <v>1948</v>
      </c>
      <c r="D71" s="4" t="s">
        <v>1949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1950</v>
      </c>
    </row>
    <row r="77" spans="2:4" x14ac:dyDescent="0.2">
      <c r="B77" s="7" t="s">
        <v>1951</v>
      </c>
    </row>
    <row r="78" spans="2:4" x14ac:dyDescent="0.2">
      <c r="B78" s="7" t="s">
        <v>1952</v>
      </c>
    </row>
    <row r="79" spans="2:4" x14ac:dyDescent="0.2">
      <c r="B79" s="7" t="s">
        <v>1953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7AA20-A6D9-42B5-ABB0-B31991DF44E4}">
  <dimension ref="B1:G82"/>
  <sheetViews>
    <sheetView zoomScaleNormal="100" workbookViewId="0">
      <selection activeCell="B1" sqref="B1:D7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1954</v>
      </c>
      <c r="G1" t="str">
        <f>"&lt;dl&gt;&lt;dt&gt;" &amp; B1 &amp; "&lt;/dt&gt;&lt;dd&gt;" &amp; C1 &amp; "&lt;/dd&gt;&lt;dd&gt;" &amp; D1 &amp; "&lt;/dd&gt;&lt;/dl&gt;"</f>
        <v>&lt;dl&gt;&lt;dt&gt;一、破碎定义&lt;/dt&gt;&lt;dd&gt;&lt;/dd&gt;&lt;dd&gt;&lt;/dd&gt;&lt;/dl&gt;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1955</v>
      </c>
      <c r="D4" s="4"/>
    </row>
    <row r="5" spans="2:7" ht="42.75" x14ac:dyDescent="0.2">
      <c r="B5" s="3" t="s">
        <v>61</v>
      </c>
      <c r="C5" s="4" t="s">
        <v>1956</v>
      </c>
      <c r="D5" s="4"/>
    </row>
    <row r="6" spans="2:7" ht="42.75" x14ac:dyDescent="0.2">
      <c r="B6" s="3" t="s">
        <v>99</v>
      </c>
      <c r="C6" s="4" t="s">
        <v>1957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85</v>
      </c>
      <c r="C14" s="4" t="s">
        <v>1958</v>
      </c>
      <c r="D14" s="4" t="s">
        <v>1959</v>
      </c>
    </row>
    <row r="15" spans="2:7" ht="28.5" x14ac:dyDescent="0.2">
      <c r="B15" s="3" t="s">
        <v>1960</v>
      </c>
      <c r="C15" s="4" t="s">
        <v>1961</v>
      </c>
      <c r="D15" s="4" t="s">
        <v>1962</v>
      </c>
    </row>
    <row r="16" spans="2:7" ht="28.5" x14ac:dyDescent="0.2">
      <c r="B16" s="3" t="s">
        <v>1963</v>
      </c>
      <c r="C16" s="4" t="s">
        <v>1964</v>
      </c>
      <c r="D16" s="4" t="s">
        <v>1965</v>
      </c>
    </row>
    <row r="17" spans="2:7" x14ac:dyDescent="0.2">
      <c r="B17" s="3" t="s">
        <v>1966</v>
      </c>
      <c r="C17" s="4" t="s">
        <v>1967</v>
      </c>
      <c r="D17" s="4" t="s">
        <v>1968</v>
      </c>
    </row>
    <row r="18" spans="2:7" x14ac:dyDescent="0.2">
      <c r="B18" s="3" t="s">
        <v>1969</v>
      </c>
      <c r="C18" s="4" t="s">
        <v>1970</v>
      </c>
      <c r="D18" s="4" t="s">
        <v>1971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1972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&lt;dl&gt;&lt;dt&gt;命宫​&lt;/dt&gt;&lt;dd&gt;性格挑剔，做事易有头无尾，人生多波折，计划常半途而废。&lt;/dd&gt;&lt;dd&gt;&lt;/dd&gt;&lt;/dl&gt;</v>
      </c>
    </row>
    <row r="25" spans="2:7" ht="16.5" thickBot="1" x14ac:dyDescent="0.25">
      <c r="B25" s="3" t="s">
        <v>58</v>
      </c>
      <c r="C25" s="4" t="s">
        <v>1973</v>
      </c>
      <c r="D25" s="4"/>
      <c r="E25" s="15"/>
      <c r="G25" t="str">
        <f t="shared" si="0"/>
        <v>&lt;dl&gt;&lt;dt&gt;兄弟宫​&lt;/dt&gt;&lt;dd&gt;与兄弟姐妹关系易有裂痕，或助力分散、不持久。&lt;/dd&gt;&lt;dd&gt;&lt;/dd&gt;&lt;/dl&gt;</v>
      </c>
    </row>
    <row r="26" spans="2:7" ht="29.25" thickBot="1" x14ac:dyDescent="0.25">
      <c r="B26" s="3" t="s">
        <v>50</v>
      </c>
      <c r="C26" s="4" t="s">
        <v>1974</v>
      </c>
      <c r="D26" s="4"/>
      <c r="E26" s="15"/>
      <c r="G26" t="str">
        <f t="shared" si="0"/>
        <v>&lt;dl&gt;&lt;dt&gt;夫妻宫​&lt;/dt&gt;&lt;dd&gt;感情易破裂，争吵多，婚姻不美，或配偶身体不佳。&lt;/dd&gt;&lt;dd&gt;&lt;/dd&gt;&lt;/dl&gt;</v>
      </c>
    </row>
    <row r="27" spans="2:7" ht="16.5" thickBot="1" x14ac:dyDescent="0.25">
      <c r="B27" s="3" t="s">
        <v>53</v>
      </c>
      <c r="C27" s="4" t="s">
        <v>1975</v>
      </c>
      <c r="D27" s="4"/>
      <c r="E27" s="15"/>
      <c r="G27" t="str">
        <f t="shared" si="0"/>
        <v>&lt;dl&gt;&lt;dt&gt;子女宫​&lt;/dt&gt;&lt;dd&gt;子女缘薄，或子女身体易有损伤，合作易破局。&lt;/dd&gt;&lt;dd&gt;&lt;/dd&gt;&lt;/dl&gt;</v>
      </c>
    </row>
    <row r="28" spans="2:7" ht="16.5" thickBot="1" x14ac:dyDescent="0.25">
      <c r="B28" s="3" t="s">
        <v>1</v>
      </c>
      <c r="C28" s="4" t="s">
        <v>1976</v>
      </c>
      <c r="D28" s="4"/>
      <c r="E28" s="15"/>
      <c r="G28" t="str">
        <f t="shared" si="0"/>
        <v>&lt;dl&gt;&lt;dt&gt;财帛宫​&lt;/dt&gt;&lt;dd&gt;钱财损耗大，破财频繁，或因琐碎小事不断花钱。&lt;/dd&gt;&lt;dd&gt;&lt;/dd&gt;&lt;/dl&gt;</v>
      </c>
    </row>
    <row r="29" spans="2:7" ht="29.25" thickBot="1" x14ac:dyDescent="0.25">
      <c r="B29" s="3" t="s">
        <v>2</v>
      </c>
      <c r="C29" s="4" t="s">
        <v>1977</v>
      </c>
      <c r="D29" s="4"/>
      <c r="E29" s="15"/>
      <c r="G29" t="str">
        <f t="shared" si="0"/>
        <v>&lt;dl&gt;&lt;dt&gt;疾厄宫​&lt;/dt&gt;&lt;dd&gt;身体易有破损（如手术、外伤），或慢性消耗性疾病。&lt;/dd&gt;&lt;dd&gt;&lt;/dd&gt;&lt;/dl&gt;</v>
      </c>
    </row>
    <row r="30" spans="2:7" ht="28.5" x14ac:dyDescent="0.2">
      <c r="B30" s="3" t="s">
        <v>5</v>
      </c>
      <c r="C30" s="4" t="s">
        <v>1978</v>
      </c>
      <c r="D30" s="4"/>
    </row>
    <row r="31" spans="2:7" x14ac:dyDescent="0.2">
      <c r="B31" s="3" t="s">
        <v>4</v>
      </c>
      <c r="C31" s="4" t="s">
        <v>1979</v>
      </c>
      <c r="D31" s="4"/>
    </row>
    <row r="32" spans="2:7" x14ac:dyDescent="0.2">
      <c r="B32" s="3" t="s">
        <v>57</v>
      </c>
      <c r="C32" s="4" t="s">
        <v>1980</v>
      </c>
      <c r="D32" s="4"/>
    </row>
    <row r="33" spans="2:7" ht="29.25" thickBot="1" x14ac:dyDescent="0.25">
      <c r="B33" s="3" t="s">
        <v>0</v>
      </c>
      <c r="C33" s="4" t="s">
        <v>1981</v>
      </c>
      <c r="D33" s="4"/>
    </row>
    <row r="34" spans="2:7" ht="29.25" thickBot="1" x14ac:dyDescent="0.25">
      <c r="B34" s="3" t="s">
        <v>41</v>
      </c>
      <c r="C34" s="3" t="s">
        <v>1982</v>
      </c>
      <c r="D34" s="4"/>
      <c r="E34" s="12"/>
    </row>
    <row r="35" spans="2:7" ht="29.25" thickBot="1" x14ac:dyDescent="0.25">
      <c r="B35" s="3" t="s">
        <v>3</v>
      </c>
      <c r="C35" s="4" t="s">
        <v>1983</v>
      </c>
      <c r="D35" s="4"/>
      <c r="E35" s="15"/>
      <c r="G35" t="str">
        <f t="shared" si="0"/>
        <v>&lt;dl&gt;&lt;dt&gt;父母宫​&lt;/dt&gt;&lt;dd&gt;与父母缘分浅，或父母健康有损，得到遗产不完整。&lt;/dd&gt;&lt;dd&gt;&lt;/dd&gt;&lt;/dl&gt;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1984</v>
      </c>
      <c r="E40" s="15"/>
      <c r="G40" t="str">
        <f t="shared" si="0"/>
        <v>&lt;dl&gt;&lt;dt&gt;1. 增强破坏损耗组合&lt;/dt&gt;&lt;dd&gt;&lt;/dd&gt;&lt;dd&gt;&lt;/dd&gt;&lt;/dl&gt;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1985</v>
      </c>
      <c r="C43" s="4" t="s">
        <v>1986</v>
      </c>
      <c r="D43" s="4" t="s">
        <v>1987</v>
      </c>
      <c r="E43" s="15"/>
      <c r="G43" t="str">
        <f t="shared" si="0"/>
        <v>&lt;dl&gt;&lt;dt&gt;破碎+紫微​&lt;/dt&gt;&lt;dd&gt;权威破损，地位、名誉易受损，或大型计划/机构出现瓦解危机。&lt;/dd&gt;&lt;dd&gt;企业帝国崩塌；重要项目流产。&lt;/dd&gt;&lt;/dl&gt;</v>
      </c>
    </row>
    <row r="44" spans="2:7" ht="28.5" x14ac:dyDescent="0.2">
      <c r="B44" s="3" t="s">
        <v>1988</v>
      </c>
      <c r="C44" s="4" t="s">
        <v>1989</v>
      </c>
      <c r="D44" s="4" t="s">
        <v>1990</v>
      </c>
    </row>
    <row r="45" spans="2:7" ht="28.5" x14ac:dyDescent="0.2">
      <c r="B45" s="3" t="s">
        <v>1991</v>
      </c>
      <c r="C45" s="4" t="s">
        <v>1992</v>
      </c>
      <c r="D45" s="4" t="s">
        <v>1993</v>
      </c>
    </row>
    <row r="46" spans="2:7" ht="28.5" x14ac:dyDescent="0.2">
      <c r="B46" s="3" t="s">
        <v>1994</v>
      </c>
      <c r="C46" s="4" t="s">
        <v>1995</v>
      </c>
      <c r="D46" s="4" t="s">
        <v>1996</v>
      </c>
    </row>
    <row r="47" spans="2:7" ht="29.25" thickBot="1" x14ac:dyDescent="0.25">
      <c r="B47" s="3" t="s">
        <v>1997</v>
      </c>
      <c r="C47" s="4" t="s">
        <v>1998</v>
      </c>
      <c r="D47" s="4" t="s">
        <v>1999</v>
      </c>
    </row>
    <row r="48" spans="2:7" ht="29.25" thickBot="1" x14ac:dyDescent="0.25">
      <c r="B48" s="3" t="s">
        <v>2000</v>
      </c>
      <c r="C48" s="4" t="s">
        <v>2001</v>
      </c>
      <c r="D48" s="4" t="s">
        <v>2002</v>
      </c>
      <c r="E48" s="12"/>
    </row>
    <row r="49" spans="2:7" ht="29.25" thickBot="1" x14ac:dyDescent="0.25">
      <c r="B49" s="3" t="s">
        <v>2003</v>
      </c>
      <c r="C49" s="4" t="s">
        <v>2004</v>
      </c>
      <c r="D49" s="4" t="s">
        <v>2005</v>
      </c>
      <c r="E49" s="15"/>
      <c r="G49" t="str">
        <f t="shared" si="0"/>
        <v>&lt;dl&gt;&lt;dt&gt;破碎+天府​&lt;/dt&gt;&lt;dd&gt;库藏破损，积蓄被消耗，收藏品损坏，稳定的局面被打破。&lt;/dd&gt;&lt;dd&gt;因意外耗光存款；传家宝被打碎。&lt;/dd&gt;&lt;/dl&gt;</v>
      </c>
    </row>
    <row r="50" spans="2:7" ht="29.25" thickBot="1" x14ac:dyDescent="0.25">
      <c r="B50" s="3" t="s">
        <v>2006</v>
      </c>
      <c r="C50" s="4" t="s">
        <v>2007</v>
      </c>
      <c r="D50" s="4" t="s">
        <v>2008</v>
      </c>
      <c r="E50" s="15"/>
      <c r="G50" t="str">
        <f t="shared" si="0"/>
        <v>&lt;dl&gt;&lt;dt&gt;破碎+太阴​&lt;/dt&gt;&lt;dd&gt;阴柔破损，女性关系不利，内心安全感被破坏，房屋漏水等。&lt;/dd&gt;&lt;dd&gt;母女关系紧张；房屋因水管破裂被淹。&lt;/dd&gt;&lt;/dl&gt;</v>
      </c>
    </row>
    <row r="51" spans="2:7" ht="16.5" thickBot="1" x14ac:dyDescent="0.25">
      <c r="B51" s="3" t="s">
        <v>2009</v>
      </c>
      <c r="C51" s="4" t="s">
        <v>2010</v>
      </c>
      <c r="D51" s="4" t="s">
        <v>2011</v>
      </c>
      <c r="E51" s="15"/>
      <c r="G51" t="str">
        <f t="shared" si="0"/>
        <v>&lt;dl&gt;&lt;dt&gt;破碎+贪狼​&lt;/dt&gt;&lt;dd&gt;欲望破损，所求不得，桃花破裂，嗜好带来损耗。&lt;/dd&gt;&lt;dd&gt;恋情突然告吹；沉迷赌博破财。&lt;/dd&gt;&lt;/dl&gt;</v>
      </c>
    </row>
    <row r="52" spans="2:7" ht="29.25" thickBot="1" x14ac:dyDescent="0.25">
      <c r="B52" s="3" t="s">
        <v>2012</v>
      </c>
      <c r="C52" s="4" t="s">
        <v>2013</v>
      </c>
      <c r="D52" s="4" t="s">
        <v>2014</v>
      </c>
      <c r="E52" s="15"/>
      <c r="G52" t="str">
        <f t="shared" si="0"/>
        <v>&lt;dl&gt;&lt;dt&gt;破碎+巨门​&lt;/dt&gt;&lt;dd&gt;口舌破损，因是非争吵导致关系破裂，合同、文书出问题。&lt;/dd&gt;&lt;dd&gt;因诽谤官司缠身；重要文件丢失部分。&lt;/dd&gt;&lt;/dl&gt;</v>
      </c>
    </row>
    <row r="53" spans="2:7" ht="28.5" x14ac:dyDescent="0.2">
      <c r="B53" s="3" t="s">
        <v>2015</v>
      </c>
      <c r="C53" s="4" t="s">
        <v>2016</v>
      </c>
      <c r="D53" s="4" t="s">
        <v>2017</v>
      </c>
    </row>
    <row r="54" spans="2:7" ht="28.5" x14ac:dyDescent="0.2">
      <c r="B54" s="3" t="s">
        <v>2018</v>
      </c>
      <c r="C54" s="4" t="s">
        <v>2019</v>
      </c>
      <c r="D54" s="4" t="s">
        <v>2020</v>
      </c>
    </row>
    <row r="55" spans="2:7" ht="28.5" x14ac:dyDescent="0.2">
      <c r="B55" s="3" t="s">
        <v>2021</v>
      </c>
      <c r="C55" s="3" t="s">
        <v>2022</v>
      </c>
      <c r="D55" s="4" t="s">
        <v>2023</v>
      </c>
    </row>
    <row r="56" spans="2:7" ht="28.5" x14ac:dyDescent="0.2">
      <c r="B56" s="3" t="s">
        <v>2024</v>
      </c>
      <c r="C56" s="3" t="s">
        <v>2025</v>
      </c>
      <c r="D56" s="4" t="s">
        <v>2026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2027</v>
      </c>
      <c r="C62" s="3" t="s">
        <v>2028</v>
      </c>
      <c r="D62" s="4" t="s">
        <v>2029</v>
      </c>
    </row>
    <row r="63" spans="2:7" ht="28.5" x14ac:dyDescent="0.2">
      <c r="B63" s="3" t="s">
        <v>2030</v>
      </c>
      <c r="C63" s="4" t="s">
        <v>2031</v>
      </c>
      <c r="D63" s="4" t="s">
        <v>2032</v>
      </c>
    </row>
    <row r="64" spans="2:7" ht="28.5" x14ac:dyDescent="0.2">
      <c r="B64" s="3" t="s">
        <v>2033</v>
      </c>
      <c r="C64" s="4" t="s">
        <v>2034</v>
      </c>
      <c r="D64" s="4" t="s">
        <v>2035</v>
      </c>
    </row>
    <row r="65" spans="2:4" ht="28.5" x14ac:dyDescent="0.2">
      <c r="B65" s="3" t="s">
        <v>2036</v>
      </c>
      <c r="C65" s="4" t="s">
        <v>2037</v>
      </c>
      <c r="D65" s="4" t="s">
        <v>2038</v>
      </c>
    </row>
    <row r="66" spans="2:4" ht="28.5" x14ac:dyDescent="0.2">
      <c r="B66" s="3" t="s">
        <v>2039</v>
      </c>
      <c r="C66" s="4" t="s">
        <v>2040</v>
      </c>
      <c r="D66" s="4" t="s">
        <v>2041</v>
      </c>
    </row>
    <row r="67" spans="2:4" ht="28.5" x14ac:dyDescent="0.2">
      <c r="B67" s="3" t="s">
        <v>2042</v>
      </c>
      <c r="C67" s="4" t="s">
        <v>2043</v>
      </c>
      <c r="D67" s="4" t="s">
        <v>2044</v>
      </c>
    </row>
    <row r="68" spans="2:4" ht="28.5" x14ac:dyDescent="0.2">
      <c r="B68" s="3" t="s">
        <v>2045</v>
      </c>
      <c r="C68" s="4" t="s">
        <v>2046</v>
      </c>
      <c r="D68" s="4" t="s">
        <v>2047</v>
      </c>
    </row>
    <row r="69" spans="2:4" ht="28.5" x14ac:dyDescent="0.2">
      <c r="B69" s="3" t="s">
        <v>2048</v>
      </c>
      <c r="C69" s="4" t="s">
        <v>2049</v>
      </c>
      <c r="D69" s="4" t="s">
        <v>2050</v>
      </c>
    </row>
    <row r="70" spans="2:4" x14ac:dyDescent="0.2">
      <c r="B70" s="3" t="s">
        <v>2051</v>
      </c>
      <c r="C70" s="4" t="s">
        <v>2052</v>
      </c>
      <c r="D70" s="4" t="s">
        <v>2053</v>
      </c>
    </row>
    <row r="71" spans="2:4" ht="28.5" x14ac:dyDescent="0.2">
      <c r="B71" s="3" t="s">
        <v>2054</v>
      </c>
      <c r="C71" s="4" t="s">
        <v>2055</v>
      </c>
      <c r="D71" s="4" t="s">
        <v>2056</v>
      </c>
    </row>
    <row r="74" spans="2:4" ht="17.25" x14ac:dyDescent="0.2">
      <c r="B74" s="5" t="s">
        <v>103</v>
      </c>
    </row>
    <row r="75" spans="2:4" x14ac:dyDescent="0.2">
      <c r="B75" s="6"/>
    </row>
    <row r="76" spans="2:4" x14ac:dyDescent="0.2">
      <c r="B76" s="7" t="s">
        <v>2057</v>
      </c>
    </row>
    <row r="77" spans="2:4" x14ac:dyDescent="0.2">
      <c r="B77" s="7" t="s">
        <v>2058</v>
      </c>
    </row>
    <row r="78" spans="2:4" x14ac:dyDescent="0.2">
      <c r="B78" s="7" t="s">
        <v>2059</v>
      </c>
    </row>
    <row r="79" spans="2:4" x14ac:dyDescent="0.2">
      <c r="B79" s="7" t="s">
        <v>2060</v>
      </c>
    </row>
    <row r="80" spans="2:4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793E-DE52-4AE7-929B-AC95346BB464}">
  <dimension ref="B1:G82"/>
  <sheetViews>
    <sheetView zoomScaleNormal="100" workbookViewId="0">
      <selection activeCell="B1" sqref="B1:D8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2170</v>
      </c>
      <c r="G1" t="str">
        <f>"&lt;dl&gt;&lt;dt&gt;" &amp; B1 &amp; "&lt;/dt&gt;&lt;dd&gt;" &amp; C1 &amp; "&lt;/dd&gt;&lt;dd&gt;" &amp; D1 &amp; "&lt;/dd&gt;&lt;/dl&gt;"</f>
        <v>&lt;dl&gt;&lt;dt&gt;一、天德定义&lt;/dt&gt;&lt;dd&gt;&lt;/dd&gt;&lt;dd&gt;&lt;/dd&gt;&lt;/dl&gt;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2171</v>
      </c>
      <c r="D4" s="4"/>
    </row>
    <row r="5" spans="2:7" ht="57" x14ac:dyDescent="0.2">
      <c r="B5" s="3" t="s">
        <v>61</v>
      </c>
      <c r="C5" s="4" t="s">
        <v>2172</v>
      </c>
      <c r="D5" s="4"/>
    </row>
    <row r="6" spans="2:7" ht="42.75" x14ac:dyDescent="0.2">
      <c r="B6" s="3" t="s">
        <v>99</v>
      </c>
      <c r="C6" s="4" t="s">
        <v>2173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2174</v>
      </c>
      <c r="C14" s="4" t="s">
        <v>2175</v>
      </c>
      <c r="D14" s="4" t="s">
        <v>2176</v>
      </c>
    </row>
    <row r="15" spans="2:7" ht="28.5" x14ac:dyDescent="0.2">
      <c r="B15" s="3" t="s">
        <v>2177</v>
      </c>
      <c r="C15" s="4" t="s">
        <v>2178</v>
      </c>
      <c r="D15" s="4" t="s">
        <v>2179</v>
      </c>
    </row>
    <row r="16" spans="2:7" ht="28.5" x14ac:dyDescent="0.2">
      <c r="B16" s="3" t="s">
        <v>2180</v>
      </c>
      <c r="C16" s="4" t="s">
        <v>2181</v>
      </c>
      <c r="D16" s="4" t="s">
        <v>2182</v>
      </c>
    </row>
    <row r="17" spans="2:7" ht="28.5" x14ac:dyDescent="0.2">
      <c r="B17" s="3" t="s">
        <v>2183</v>
      </c>
      <c r="C17" s="4" t="s">
        <v>2184</v>
      </c>
      <c r="D17" s="4" t="s">
        <v>2073</v>
      </c>
    </row>
    <row r="18" spans="2:7" ht="28.5" x14ac:dyDescent="0.2">
      <c r="B18" s="3" t="s">
        <v>2185</v>
      </c>
      <c r="C18" s="4" t="s">
        <v>2186</v>
      </c>
      <c r="D18" s="4" t="s">
        <v>2187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2188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&lt;dl&gt;&lt;dt&gt;命宫​&lt;/dt&gt;&lt;dd&gt;一生多得天佑，心地仁慈，乐善好施，危难时常有转机，有惊无险。&lt;/dd&gt;&lt;dd&gt;&lt;/dd&gt;&lt;/dl&gt;</v>
      </c>
    </row>
    <row r="25" spans="2:7" ht="29.25" thickBot="1" x14ac:dyDescent="0.25">
      <c r="B25" s="3" t="s">
        <v>58</v>
      </c>
      <c r="C25" s="4" t="s">
        <v>2189</v>
      </c>
      <c r="D25" s="4"/>
      <c r="E25" s="15"/>
      <c r="G25" t="str">
        <f t="shared" si="0"/>
        <v>&lt;dl&gt;&lt;dt&gt;兄弟宫​&lt;/dt&gt;&lt;dd&gt;兄弟姐妹友善，能得手足帮助，或同辈中多善良之人相助。&lt;/dd&gt;&lt;dd&gt;&lt;/dd&gt;&lt;/dl&gt;</v>
      </c>
    </row>
    <row r="26" spans="2:7" ht="29.25" thickBot="1" x14ac:dyDescent="0.25">
      <c r="B26" s="3" t="s">
        <v>50</v>
      </c>
      <c r="C26" s="4" t="s">
        <v>2190</v>
      </c>
      <c r="D26" s="4"/>
      <c r="E26" s="15"/>
      <c r="G26" t="str">
        <f t="shared" si="0"/>
        <v>&lt;dl&gt;&lt;dt&gt;夫妻宫​&lt;/dt&gt;&lt;dd&gt;配偶心地善良，是福星，婚姻能化解自身灾厄，感情和睦。&lt;/dd&gt;&lt;dd&gt;&lt;/dd&gt;&lt;/dl&gt;</v>
      </c>
    </row>
    <row r="27" spans="2:7" ht="29.25" thickBot="1" x14ac:dyDescent="0.25">
      <c r="B27" s="3" t="s">
        <v>53</v>
      </c>
      <c r="C27" s="4" t="s">
        <v>2191</v>
      </c>
      <c r="D27" s="4"/>
      <c r="E27" s="15"/>
      <c r="G27" t="str">
        <f t="shared" si="0"/>
        <v>&lt;dl&gt;&lt;dt&gt;子女宫​&lt;/dt&gt;&lt;dd&gt;子女孝顺有福，能为自己带来福气；合作方诚信善良，合作顺利。&lt;/dd&gt;&lt;dd&gt;&lt;/dd&gt;&lt;/dl&gt;</v>
      </c>
    </row>
    <row r="28" spans="2:7" ht="29.25" thickBot="1" x14ac:dyDescent="0.25">
      <c r="B28" s="3" t="s">
        <v>1</v>
      </c>
      <c r="C28" s="4" t="s">
        <v>2192</v>
      </c>
      <c r="D28" s="4"/>
      <c r="E28" s="15"/>
      <c r="G28" t="str">
        <f t="shared" si="0"/>
        <v>&lt;dl&gt;&lt;dt&gt;财帛宫​&lt;/dt&gt;&lt;dd&gt;钱财来得平稳正当，不易因意外破财，常有意外之财或馈赠。&lt;/dd&gt;&lt;dd&gt;&lt;/dd&gt;&lt;/dl&gt;</v>
      </c>
    </row>
    <row r="29" spans="2:7" ht="29.25" thickBot="1" x14ac:dyDescent="0.25">
      <c r="B29" s="3" t="s">
        <v>2</v>
      </c>
      <c r="C29" s="4" t="s">
        <v>2193</v>
      </c>
      <c r="D29" s="4"/>
      <c r="E29" s="15"/>
      <c r="G29" t="str">
        <f t="shared" si="0"/>
        <v>&lt;dl&gt;&lt;dt&gt;疾厄宫​&lt;/dt&gt;&lt;dd&gt;身体健康，抵抗力强，即使患病也易遇良医或找到良方，转危为安。&lt;/dd&gt;&lt;dd&gt;&lt;/dd&gt;&lt;/dl&gt;</v>
      </c>
    </row>
    <row r="30" spans="2:7" ht="28.5" x14ac:dyDescent="0.2">
      <c r="B30" s="3" t="s">
        <v>5</v>
      </c>
      <c r="C30" s="3" t="s">
        <v>2194</v>
      </c>
      <c r="D30" s="4"/>
    </row>
    <row r="31" spans="2:7" ht="28.5" x14ac:dyDescent="0.2">
      <c r="B31" s="3" t="s">
        <v>4</v>
      </c>
      <c r="C31" s="4" t="s">
        <v>2195</v>
      </c>
      <c r="D31" s="4"/>
    </row>
    <row r="32" spans="2:7" ht="28.5" x14ac:dyDescent="0.2">
      <c r="B32" s="3" t="s">
        <v>57</v>
      </c>
      <c r="C32" s="4" t="s">
        <v>2196</v>
      </c>
      <c r="D32" s="4"/>
    </row>
    <row r="33" spans="2:7" ht="29.25" thickBot="1" x14ac:dyDescent="0.25">
      <c r="B33" s="3" t="s">
        <v>0</v>
      </c>
      <c r="C33" s="4" t="s">
        <v>2197</v>
      </c>
      <c r="D33" s="4"/>
    </row>
    <row r="34" spans="2:7" ht="29.25" thickBot="1" x14ac:dyDescent="0.25">
      <c r="B34" s="3" t="s">
        <v>41</v>
      </c>
      <c r="C34" s="3" t="s">
        <v>2198</v>
      </c>
      <c r="D34" s="4"/>
      <c r="E34" s="12"/>
    </row>
    <row r="35" spans="2:7" ht="29.25" thickBot="1" x14ac:dyDescent="0.25">
      <c r="B35" s="3" t="s">
        <v>3</v>
      </c>
      <c r="C35" s="4" t="s">
        <v>2199</v>
      </c>
      <c r="D35" s="4"/>
      <c r="E35" s="15"/>
      <c r="G35" t="str">
        <f t="shared" si="0"/>
        <v>&lt;dl&gt;&lt;dt&gt;父母宫​&lt;/dt&gt;&lt;dd&gt;父母仁慈有德，得长辈荫庇，家庭有福气，能化解家庭危机。&lt;/dd&gt;&lt;dd&gt;&lt;/dd&gt;&lt;/dl&gt;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2200</v>
      </c>
      <c r="E40" s="15"/>
      <c r="G40" t="str">
        <f t="shared" si="0"/>
        <v>&lt;dl&gt;&lt;dt&gt;1. 增强福德贵人组合&lt;/dt&gt;&lt;dd&gt;&lt;/dd&gt;&lt;dd&gt;&lt;/dd&gt;&lt;/dl&gt;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2201</v>
      </c>
      <c r="C43" s="4" t="s">
        <v>2202</v>
      </c>
      <c r="D43" s="4" t="s">
        <v>2203</v>
      </c>
      <c r="E43" s="15"/>
      <c r="G43" t="str">
        <f t="shared" si="0"/>
        <v>&lt;dl&gt;&lt;dt&gt;天德+紫微​&lt;/dt&gt;&lt;dd&gt;天佑帝星，得最高级别的天道护佑，能化解重大社会性、政治性危机。&lt;/dd&gt;&lt;dd&gt;政权更迭中得以保全；大型企业危机中因政策转向而获救。&lt;/dd&gt;&lt;/dl&gt;</v>
      </c>
    </row>
    <row r="44" spans="2:7" ht="28.5" x14ac:dyDescent="0.2">
      <c r="B44" s="3" t="s">
        <v>2204</v>
      </c>
      <c r="C44" s="4" t="s">
        <v>2205</v>
      </c>
      <c r="D44" s="4" t="s">
        <v>2206</v>
      </c>
    </row>
    <row r="45" spans="2:7" ht="28.5" x14ac:dyDescent="0.2">
      <c r="B45" s="3" t="s">
        <v>2207</v>
      </c>
      <c r="C45" s="4" t="s">
        <v>2208</v>
      </c>
      <c r="D45" s="4" t="s">
        <v>2209</v>
      </c>
    </row>
    <row r="46" spans="2:7" ht="28.5" x14ac:dyDescent="0.2">
      <c r="B46" s="3" t="s">
        <v>2210</v>
      </c>
      <c r="C46" s="4" t="s">
        <v>2211</v>
      </c>
      <c r="D46" s="4" t="s">
        <v>2212</v>
      </c>
    </row>
    <row r="47" spans="2:7" ht="29.25" thickBot="1" x14ac:dyDescent="0.25">
      <c r="B47" s="3" t="s">
        <v>2213</v>
      </c>
      <c r="C47" s="4" t="s">
        <v>2214</v>
      </c>
      <c r="D47" s="4" t="s">
        <v>2215</v>
      </c>
    </row>
    <row r="48" spans="2:7" ht="29.25" thickBot="1" x14ac:dyDescent="0.25">
      <c r="B48" s="3" t="s">
        <v>2216</v>
      </c>
      <c r="C48" s="4" t="s">
        <v>2217</v>
      </c>
      <c r="D48" s="4" t="s">
        <v>2218</v>
      </c>
      <c r="E48" s="12"/>
    </row>
    <row r="49" spans="2:7" ht="29.25" thickBot="1" x14ac:dyDescent="0.25">
      <c r="B49" s="3" t="s">
        <v>2219</v>
      </c>
      <c r="C49" s="4" t="s">
        <v>2220</v>
      </c>
      <c r="D49" s="4" t="s">
        <v>2221</v>
      </c>
      <c r="E49" s="15"/>
      <c r="G49" t="str">
        <f t="shared" si="0"/>
        <v>&lt;dl&gt;&lt;dt&gt;天德+天府​&lt;/dt&gt;&lt;dd&gt;天佑库星，财富与产业得保，避免盗抢、火灾等损失，得稳健人士帮助。&lt;/dd&gt;&lt;dd&gt;仓库火灾中重要货物奇迹般无损；经济动荡时得保守投资者支持。&lt;/dd&gt;&lt;/dl&gt;</v>
      </c>
    </row>
    <row r="50" spans="2:7" ht="29.25" thickBot="1" x14ac:dyDescent="0.25">
      <c r="B50" s="3" t="s">
        <v>2222</v>
      </c>
      <c r="C50" s="4" t="s">
        <v>2223</v>
      </c>
      <c r="D50" s="4" t="s">
        <v>2224</v>
      </c>
      <c r="E50" s="15"/>
      <c r="G50" t="str">
        <f t="shared" si="0"/>
        <v>&lt;dl&gt;&lt;dt&gt;天德+太阴​&lt;/dt&gt;&lt;dd&gt;天佑阴星，避免水险、女性相关灾祸，得女性或幕后贵人暗中相助。&lt;/dd&gt;&lt;dd&gt;乘船遇风浪安全脱险；房产纠纷得女性调解人圆满解决。&lt;/dd&gt;&lt;/dl&gt;</v>
      </c>
    </row>
    <row r="51" spans="2:7" ht="29.25" thickBot="1" x14ac:dyDescent="0.25">
      <c r="B51" s="3" t="s">
        <v>2225</v>
      </c>
      <c r="C51" s="4" t="s">
        <v>2226</v>
      </c>
      <c r="D51" s="4" t="s">
        <v>2227</v>
      </c>
      <c r="E51" s="15"/>
      <c r="G51" t="str">
        <f t="shared" si="0"/>
        <v>&lt;dl&gt;&lt;dt&gt;天德+贪狼​&lt;/dt&gt;&lt;dd&gt;天佑桃花，化解因欲望、交际引发的祸端，得艺术或娱乐界贵人帮助。&lt;/dd&gt;&lt;dd&gt;酒局中避免被陷害；艺术创作瓶颈时灵感自然涌现。&lt;/dd&gt;&lt;/dl&gt;</v>
      </c>
    </row>
    <row r="52" spans="2:7" ht="29.25" thickBot="1" x14ac:dyDescent="0.25">
      <c r="B52" s="3" t="s">
        <v>2228</v>
      </c>
      <c r="C52" s="4" t="s">
        <v>2229</v>
      </c>
      <c r="D52" s="4" t="s">
        <v>2230</v>
      </c>
      <c r="E52" s="15"/>
      <c r="G52" t="str">
        <f t="shared" si="0"/>
        <v>&lt;dl&gt;&lt;dt&gt;天德+巨门​&lt;/dt&gt;&lt;dd&gt;天佑暗星，化解口舌是非、合同陷阱，得律师、教师或沟通专家帮助。&lt;/dd&gt;&lt;dd&gt;被诽谤时谣言不攻自破；签约前发现隐藏条款而避免损失。&lt;/dd&gt;&lt;/dl&gt;</v>
      </c>
    </row>
    <row r="53" spans="2:7" ht="28.5" x14ac:dyDescent="0.2">
      <c r="B53" s="3" t="s">
        <v>2231</v>
      </c>
      <c r="C53" s="4" t="s">
        <v>2232</v>
      </c>
      <c r="D53" s="4" t="s">
        <v>2233</v>
      </c>
    </row>
    <row r="54" spans="2:7" ht="28.5" x14ac:dyDescent="0.2">
      <c r="B54" s="3" t="s">
        <v>2234</v>
      </c>
      <c r="C54" s="4" t="s">
        <v>2235</v>
      </c>
      <c r="D54" s="4" t="s">
        <v>2236</v>
      </c>
    </row>
    <row r="55" spans="2:7" ht="28.5" x14ac:dyDescent="0.2">
      <c r="B55" s="3" t="s">
        <v>2237</v>
      </c>
      <c r="C55" s="4" t="s">
        <v>2238</v>
      </c>
      <c r="D55" s="4" t="s">
        <v>2239</v>
      </c>
    </row>
    <row r="56" spans="2:7" ht="28.5" x14ac:dyDescent="0.2">
      <c r="B56" s="3" t="s">
        <v>2240</v>
      </c>
      <c r="C56" s="4" t="s">
        <v>2241</v>
      </c>
      <c r="D56" s="4" t="s">
        <v>2242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2243</v>
      </c>
      <c r="C62" s="3" t="s">
        <v>2244</v>
      </c>
      <c r="D62" s="4" t="s">
        <v>2245</v>
      </c>
    </row>
    <row r="63" spans="2:7" ht="28.5" x14ac:dyDescent="0.2">
      <c r="B63" s="3" t="s">
        <v>2246</v>
      </c>
      <c r="C63" s="3" t="s">
        <v>2247</v>
      </c>
      <c r="D63" s="4" t="s">
        <v>2248</v>
      </c>
    </row>
    <row r="64" spans="2:7" ht="28.5" x14ac:dyDescent="0.2">
      <c r="B64" s="3" t="s">
        <v>2249</v>
      </c>
      <c r="C64" s="3" t="s">
        <v>2250</v>
      </c>
      <c r="D64" s="4" t="s">
        <v>2251</v>
      </c>
    </row>
    <row r="65" spans="2:4" ht="28.5" x14ac:dyDescent="0.2">
      <c r="B65" s="3" t="s">
        <v>2252</v>
      </c>
      <c r="C65" s="3" t="s">
        <v>2253</v>
      </c>
      <c r="D65" s="4" t="s">
        <v>2254</v>
      </c>
    </row>
    <row r="66" spans="2:4" ht="28.5" x14ac:dyDescent="0.2">
      <c r="B66" s="3" t="s">
        <v>2255</v>
      </c>
      <c r="C66" s="3" t="s">
        <v>2256</v>
      </c>
      <c r="D66" s="4" t="s">
        <v>2257</v>
      </c>
    </row>
    <row r="67" spans="2:4" ht="28.5" x14ac:dyDescent="0.2">
      <c r="B67" s="3" t="s">
        <v>2258</v>
      </c>
      <c r="C67" s="3" t="s">
        <v>2259</v>
      </c>
      <c r="D67" s="4" t="s">
        <v>2260</v>
      </c>
    </row>
    <row r="68" spans="2:4" ht="28.5" x14ac:dyDescent="0.2">
      <c r="B68" s="3" t="s">
        <v>2261</v>
      </c>
      <c r="C68" s="3" t="s">
        <v>2262</v>
      </c>
      <c r="D68" s="4" t="s">
        <v>2263</v>
      </c>
    </row>
    <row r="69" spans="2:4" ht="28.5" x14ac:dyDescent="0.2">
      <c r="B69" s="3" t="s">
        <v>2264</v>
      </c>
      <c r="C69" s="3" t="s">
        <v>2265</v>
      </c>
      <c r="D69" s="4" t="s">
        <v>2266</v>
      </c>
    </row>
    <row r="70" spans="2:4" ht="28.5" x14ac:dyDescent="0.2">
      <c r="B70" s="3" t="s">
        <v>2267</v>
      </c>
      <c r="C70" s="3" t="s">
        <v>2268</v>
      </c>
      <c r="D70" s="4" t="s">
        <v>2269</v>
      </c>
    </row>
    <row r="71" spans="2:4" ht="28.5" x14ac:dyDescent="0.2">
      <c r="B71" s="3" t="s">
        <v>2270</v>
      </c>
      <c r="C71" s="3" t="s">
        <v>2271</v>
      </c>
      <c r="D71" s="4" t="s">
        <v>2272</v>
      </c>
    </row>
    <row r="72" spans="2:4" ht="28.5" x14ac:dyDescent="0.2">
      <c r="B72" s="3" t="s">
        <v>2273</v>
      </c>
      <c r="C72" s="3" t="s">
        <v>2274</v>
      </c>
      <c r="D72" s="4" t="s">
        <v>2275</v>
      </c>
    </row>
    <row r="73" spans="2:4" ht="28.5" x14ac:dyDescent="0.2">
      <c r="B73" s="3" t="s">
        <v>2276</v>
      </c>
      <c r="C73" s="3" t="s">
        <v>2277</v>
      </c>
      <c r="D73" s="4" t="s">
        <v>2278</v>
      </c>
    </row>
    <row r="76" spans="2:4" ht="17.25" x14ac:dyDescent="0.2">
      <c r="B76" s="5" t="s">
        <v>103</v>
      </c>
    </row>
    <row r="77" spans="2:4" x14ac:dyDescent="0.2">
      <c r="B77" s="6"/>
    </row>
    <row r="78" spans="2:4" x14ac:dyDescent="0.2">
      <c r="B78" s="7" t="s">
        <v>2279</v>
      </c>
    </row>
    <row r="79" spans="2:4" x14ac:dyDescent="0.2">
      <c r="B79" s="7" t="s">
        <v>2280</v>
      </c>
    </row>
    <row r="80" spans="2:4" x14ac:dyDescent="0.2">
      <c r="B80" s="7" t="s">
        <v>2281</v>
      </c>
    </row>
    <row r="81" spans="2:2" x14ac:dyDescent="0.2">
      <c r="B81" s="7" t="s">
        <v>2282</v>
      </c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BA95-1385-4709-9741-419D4F26AED1}">
  <dimension ref="B1:G82"/>
  <sheetViews>
    <sheetView zoomScaleNormal="100" workbookViewId="0">
      <selection activeCell="C8" sqref="C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2061</v>
      </c>
      <c r="G1" t="str">
        <f>"&lt;dl&gt;&lt;dt&gt;" &amp; B1 &amp; "&lt;/dt&gt;&lt;dd&gt;" &amp; C1 &amp; "&lt;/dd&gt;&lt;dd&gt;" &amp; D1 &amp; "&lt;/dd&gt;&lt;/dl&gt;"</f>
        <v>&lt;dl&gt;&lt;dt&gt;一、龙德定义&lt;/dt&gt;&lt;dd&gt;&lt;/dd&gt;&lt;dd&gt;&lt;/dd&gt;&lt;/dl&gt;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2062</v>
      </c>
      <c r="D4" s="4"/>
    </row>
    <row r="5" spans="2:7" ht="57" x14ac:dyDescent="0.2">
      <c r="B5" s="3" t="s">
        <v>61</v>
      </c>
      <c r="C5" s="4" t="s">
        <v>2063</v>
      </c>
      <c r="D5" s="4"/>
    </row>
    <row r="6" spans="2:7" ht="42.75" x14ac:dyDescent="0.2">
      <c r="B6" s="3" t="s">
        <v>99</v>
      </c>
      <c r="C6" s="4" t="s">
        <v>2064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2065</v>
      </c>
      <c r="C14" s="4" t="s">
        <v>2066</v>
      </c>
      <c r="D14" s="4" t="s">
        <v>2067</v>
      </c>
    </row>
    <row r="15" spans="2:7" ht="28.5" x14ac:dyDescent="0.2">
      <c r="B15" s="3" t="s">
        <v>2068</v>
      </c>
      <c r="C15" s="4" t="s">
        <v>2069</v>
      </c>
      <c r="D15" s="4" t="s">
        <v>2070</v>
      </c>
    </row>
    <row r="16" spans="2:7" ht="28.5" x14ac:dyDescent="0.2">
      <c r="B16" s="3" t="s">
        <v>2071</v>
      </c>
      <c r="C16" s="4" t="s">
        <v>2072</v>
      </c>
      <c r="D16" s="4" t="s">
        <v>2073</v>
      </c>
    </row>
    <row r="17" spans="2:7" x14ac:dyDescent="0.2">
      <c r="B17" s="3" t="s">
        <v>2074</v>
      </c>
      <c r="C17" s="4" t="s">
        <v>2075</v>
      </c>
      <c r="D17" s="4" t="s">
        <v>994</v>
      </c>
    </row>
    <row r="18" spans="2:7" x14ac:dyDescent="0.2">
      <c r="B18" s="3" t="s">
        <v>2076</v>
      </c>
      <c r="C18" s="4" t="s">
        <v>2077</v>
      </c>
      <c r="D18" s="4" t="s">
        <v>2078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2079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&lt;dl&gt;&lt;dt&gt;命宫​&lt;/dt&gt;&lt;dd&gt;一生有贵人扶持，逢凶化吉，心地善良，有阴德，社会评价高。&lt;/dd&gt;&lt;dd&gt;&lt;/dd&gt;&lt;/dl&gt;</v>
      </c>
    </row>
    <row r="25" spans="2:7" ht="29.25" thickBot="1" x14ac:dyDescent="0.25">
      <c r="B25" s="3" t="s">
        <v>58</v>
      </c>
      <c r="C25" s="4" t="s">
        <v>2080</v>
      </c>
      <c r="D25" s="4"/>
      <c r="E25" s="15"/>
      <c r="G25" t="str">
        <f t="shared" si="0"/>
        <v>&lt;dl&gt;&lt;dt&gt;兄弟宫​&lt;/dt&gt;&lt;dd&gt;兄弟姐妹中有贵人，或能得到同辈、同事的有力帮助。&lt;/dd&gt;&lt;dd&gt;&lt;/dd&gt;&lt;/dl&gt;</v>
      </c>
    </row>
    <row r="26" spans="2:7" ht="29.25" thickBot="1" x14ac:dyDescent="0.25">
      <c r="B26" s="3" t="s">
        <v>50</v>
      </c>
      <c r="C26" s="4" t="s">
        <v>2081</v>
      </c>
      <c r="D26" s="4"/>
      <c r="E26" s="15"/>
      <c r="G26" t="str">
        <f t="shared" si="0"/>
        <v>&lt;dl&gt;&lt;dt&gt;夫妻宫​&lt;/dt&gt;&lt;dd&gt;配偶是贵人，或能通过婚姻得到配偶家族的庇护与提携。&lt;/dd&gt;&lt;dd&gt;&lt;/dd&gt;&lt;/dl&gt;</v>
      </c>
    </row>
    <row r="27" spans="2:7" ht="29.25" thickBot="1" x14ac:dyDescent="0.25">
      <c r="B27" s="3" t="s">
        <v>53</v>
      </c>
      <c r="C27" s="4" t="s">
        <v>2082</v>
      </c>
      <c r="D27" s="4"/>
      <c r="E27" s="15"/>
      <c r="G27" t="str">
        <f t="shared" si="0"/>
        <v>&lt;dl&gt;&lt;dt&gt;子女宫​&lt;/dt&gt;&lt;dd&gt;子女有出息，能成为自己的依靠；合作方是贵人，项目顺利。&lt;/dd&gt;&lt;dd&gt;&lt;/dd&gt;&lt;/dl&gt;</v>
      </c>
    </row>
    <row r="28" spans="2:7" ht="29.25" thickBot="1" x14ac:dyDescent="0.25">
      <c r="B28" s="3" t="s">
        <v>1</v>
      </c>
      <c r="C28" s="4" t="s">
        <v>2083</v>
      </c>
      <c r="D28" s="4"/>
      <c r="E28" s="15"/>
      <c r="G28" t="str">
        <f t="shared" si="0"/>
        <v>&lt;dl&gt;&lt;dt&gt;财帛宫​&lt;/dt&gt;&lt;dd&gt;钱财来得正当且顺利，易因贵人提供机会而获利，避免财务纠纷。&lt;/dd&gt;&lt;dd&gt;&lt;/dd&gt;&lt;/dl&gt;</v>
      </c>
    </row>
    <row r="29" spans="2:7" ht="29.25" thickBot="1" x14ac:dyDescent="0.25">
      <c r="B29" s="3" t="s">
        <v>2</v>
      </c>
      <c r="C29" s="4" t="s">
        <v>2084</v>
      </c>
      <c r="D29" s="4"/>
      <c r="E29" s="15"/>
      <c r="G29" t="str">
        <f t="shared" si="0"/>
        <v>&lt;dl&gt;&lt;dt&gt;疾厄宫​&lt;/dt&gt;&lt;dd&gt;遇重病危难时能得良医或转机，化解病灾，身体康复能力强。&lt;/dd&gt;&lt;dd&gt;&lt;/dd&gt;&lt;/dl&gt;</v>
      </c>
    </row>
    <row r="30" spans="2:7" ht="28.5" x14ac:dyDescent="0.2">
      <c r="B30" s="3" t="s">
        <v>5</v>
      </c>
      <c r="C30" s="3" t="s">
        <v>2085</v>
      </c>
      <c r="D30" s="4"/>
    </row>
    <row r="31" spans="2:7" ht="28.5" x14ac:dyDescent="0.2">
      <c r="B31" s="3" t="s">
        <v>4</v>
      </c>
      <c r="C31" s="4" t="s">
        <v>2086</v>
      </c>
      <c r="D31" s="4"/>
    </row>
    <row r="32" spans="2:7" ht="28.5" x14ac:dyDescent="0.2">
      <c r="B32" s="3" t="s">
        <v>57</v>
      </c>
      <c r="C32" s="4" t="s">
        <v>2087</v>
      </c>
      <c r="D32" s="4"/>
    </row>
    <row r="33" spans="2:7" ht="29.25" thickBot="1" x14ac:dyDescent="0.25">
      <c r="B33" s="3" t="s">
        <v>0</v>
      </c>
      <c r="C33" s="4" t="s">
        <v>2088</v>
      </c>
      <c r="D33" s="4"/>
    </row>
    <row r="34" spans="2:7" ht="29.25" thickBot="1" x14ac:dyDescent="0.25">
      <c r="B34" s="3" t="s">
        <v>41</v>
      </c>
      <c r="C34" s="4" t="s">
        <v>2089</v>
      </c>
      <c r="D34" s="4"/>
      <c r="E34" s="12"/>
    </row>
    <row r="35" spans="2:7" ht="29.25" thickBot="1" x14ac:dyDescent="0.25">
      <c r="B35" s="3" t="s">
        <v>3</v>
      </c>
      <c r="C35" s="4" t="s">
        <v>2090</v>
      </c>
      <c r="D35" s="4"/>
      <c r="E35" s="15"/>
      <c r="G35" t="str">
        <f t="shared" si="0"/>
        <v>&lt;dl&gt;&lt;dt&gt;父母宫​&lt;/dt&gt;&lt;dd&gt;父母是贵人，得长辈荫庇，或父母有德，能化解家庭危机。&lt;/dd&gt;&lt;dd&gt;&lt;/dd&gt;&lt;/dl&gt;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2091</v>
      </c>
      <c r="E40" s="15"/>
      <c r="G40" t="str">
        <f t="shared" si="0"/>
        <v>&lt;dl&gt;&lt;dt&gt;1. 增强贵气福报组合&lt;/dt&gt;&lt;dd&gt;&lt;/dd&gt;&lt;dd&gt;&lt;/dd&gt;&lt;/dl&gt;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2092</v>
      </c>
      <c r="C43" s="4" t="s">
        <v>2093</v>
      </c>
      <c r="D43" s="4" t="s">
        <v>2094</v>
      </c>
      <c r="E43" s="15"/>
      <c r="G43" t="str">
        <f t="shared" si="0"/>
        <v>&lt;dl&gt;&lt;dt&gt;龙德+紫微​&lt;/dt&gt;&lt;dd&gt;帝王之德，得最高层级贵人（如政府高官、大企业主）扶持，化解重大危机。&lt;/dd&gt;&lt;dd&gt;企业危机时得到政策支持；惹上官司时遇到公正的大法官。&lt;/dd&gt;&lt;/dl&gt;</v>
      </c>
    </row>
    <row r="44" spans="2:7" ht="28.5" x14ac:dyDescent="0.2">
      <c r="B44" s="3" t="s">
        <v>2095</v>
      </c>
      <c r="C44" s="4" t="s">
        <v>2096</v>
      </c>
      <c r="D44" s="4" t="s">
        <v>2097</v>
      </c>
    </row>
    <row r="45" spans="2:7" ht="28.5" x14ac:dyDescent="0.2">
      <c r="B45" s="3" t="s">
        <v>2098</v>
      </c>
      <c r="C45" s="4" t="s">
        <v>2099</v>
      </c>
      <c r="D45" s="4" t="s">
        <v>2100</v>
      </c>
    </row>
    <row r="46" spans="2:7" ht="28.5" x14ac:dyDescent="0.2">
      <c r="B46" s="3" t="s">
        <v>2101</v>
      </c>
      <c r="C46" s="4" t="s">
        <v>2102</v>
      </c>
      <c r="D46" s="4" t="s">
        <v>2103</v>
      </c>
    </row>
    <row r="47" spans="2:7" ht="29.25" thickBot="1" x14ac:dyDescent="0.25">
      <c r="B47" s="3" t="s">
        <v>2104</v>
      </c>
      <c r="C47" s="4" t="s">
        <v>2105</v>
      </c>
      <c r="D47" s="4" t="s">
        <v>2106</v>
      </c>
    </row>
    <row r="48" spans="2:7" ht="29.25" thickBot="1" x14ac:dyDescent="0.25">
      <c r="B48" s="3" t="s">
        <v>2107</v>
      </c>
      <c r="C48" s="4" t="s">
        <v>2108</v>
      </c>
      <c r="D48" s="4" t="s">
        <v>2109</v>
      </c>
      <c r="E48" s="12"/>
    </row>
    <row r="49" spans="2:7" ht="29.25" thickBot="1" x14ac:dyDescent="0.25">
      <c r="B49" s="3" t="s">
        <v>2110</v>
      </c>
      <c r="C49" s="4" t="s">
        <v>2111</v>
      </c>
      <c r="D49" s="4" t="s">
        <v>2112</v>
      </c>
      <c r="E49" s="15"/>
      <c r="G49" t="str">
        <f t="shared" si="0"/>
        <v>&lt;dl&gt;&lt;dt&gt;龙德+天府​&lt;/dt&gt;&lt;dd&gt;库藏之德，得财力雄厚或保守稳健的贵人支持，化解经济与信任危机。&lt;/dd&gt;&lt;dd&gt;经济危机时得大财团注资；被怀疑时得资深人士担保。&lt;/dd&gt;&lt;/dl&gt;</v>
      </c>
    </row>
    <row r="50" spans="2:7" ht="29.25" thickBot="1" x14ac:dyDescent="0.25">
      <c r="B50" s="3" t="s">
        <v>2113</v>
      </c>
      <c r="C50" s="4" t="s">
        <v>2114</v>
      </c>
      <c r="D50" s="4" t="s">
        <v>2115</v>
      </c>
      <c r="E50" s="15"/>
      <c r="G50" t="str">
        <f t="shared" si="0"/>
        <v>&lt;dl&gt;&lt;dt&gt;龙德+太阴​&lt;/dt&gt;&lt;dd&gt;阴柔之德，得女性、幕后、地产相关贵人帮助，化解暗中的麻烦。&lt;/dd&gt;&lt;dd&gt;房产纠纷得女性调解人解决；幕后操作遇阻时得关键人物疏通。&lt;/dd&gt;&lt;/dl&gt;</v>
      </c>
    </row>
    <row r="51" spans="2:7" ht="29.25" thickBot="1" x14ac:dyDescent="0.25">
      <c r="B51" s="3" t="s">
        <v>2116</v>
      </c>
      <c r="C51" s="4" t="s">
        <v>2117</v>
      </c>
      <c r="D51" s="4" t="s">
        <v>2118</v>
      </c>
      <c r="E51" s="15"/>
      <c r="G51" t="str">
        <f t="shared" si="0"/>
        <v>&lt;dl&gt;&lt;dt&gt;龙德+贪狼​&lt;/dt&gt;&lt;dd&gt;欲望之德，得交际、艺术、娱乐界贵人帮助，化解桃花与欲望引发的麻烦。&lt;/dd&gt;&lt;dd&gt;桃色纠纷得圈内大佬摆平；艺术创作瓶颈得大师点拨。&lt;/dd&gt;&lt;/dl&gt;</v>
      </c>
    </row>
    <row r="52" spans="2:7" ht="29.25" thickBot="1" x14ac:dyDescent="0.25">
      <c r="B52" s="3" t="s">
        <v>2119</v>
      </c>
      <c r="C52" s="4" t="s">
        <v>2120</v>
      </c>
      <c r="D52" s="4" t="s">
        <v>2121</v>
      </c>
      <c r="E52" s="15"/>
      <c r="G52" t="str">
        <f t="shared" si="0"/>
        <v>&lt;dl&gt;&lt;dt&gt;龙德+巨门​&lt;/dt&gt;&lt;dd&gt;口舌之德，得律师、教师、沟通专家帮助，化解是非口舌与合同纠纷。&lt;/dd&gt;&lt;dd&gt;被诽谤时得名律师辩护；合同陷阱得资深法务指出。&lt;/dd&gt;&lt;/dl&gt;</v>
      </c>
    </row>
    <row r="53" spans="2:7" ht="28.5" x14ac:dyDescent="0.2">
      <c r="B53" s="3" t="s">
        <v>2122</v>
      </c>
      <c r="C53" s="4" t="s">
        <v>2123</v>
      </c>
      <c r="D53" s="4" t="s">
        <v>2124</v>
      </c>
    </row>
    <row r="54" spans="2:7" ht="28.5" x14ac:dyDescent="0.2">
      <c r="B54" s="3" t="s">
        <v>2125</v>
      </c>
      <c r="C54" s="4" t="s">
        <v>2126</v>
      </c>
      <c r="D54" s="4" t="s">
        <v>2127</v>
      </c>
    </row>
    <row r="55" spans="2:7" ht="28.5" x14ac:dyDescent="0.2">
      <c r="B55" s="3" t="s">
        <v>2128</v>
      </c>
      <c r="C55" s="4" t="s">
        <v>2129</v>
      </c>
      <c r="D55" s="4" t="s">
        <v>2130</v>
      </c>
    </row>
    <row r="56" spans="2:7" ht="28.5" x14ac:dyDescent="0.2">
      <c r="B56" s="3" t="s">
        <v>2131</v>
      </c>
      <c r="C56" s="4" t="s">
        <v>2132</v>
      </c>
      <c r="D56" s="4" t="s">
        <v>2133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2092</v>
      </c>
      <c r="C62" s="3" t="s">
        <v>2134</v>
      </c>
      <c r="D62" s="4" t="s">
        <v>2135</v>
      </c>
    </row>
    <row r="63" spans="2:7" ht="28.5" x14ac:dyDescent="0.2">
      <c r="B63" s="3" t="s">
        <v>2136</v>
      </c>
      <c r="C63" s="3" t="s">
        <v>2137</v>
      </c>
      <c r="D63" s="4" t="s">
        <v>2138</v>
      </c>
    </row>
    <row r="64" spans="2:7" ht="28.5" x14ac:dyDescent="0.2">
      <c r="B64" s="3" t="s">
        <v>2139</v>
      </c>
      <c r="C64" s="3" t="s">
        <v>2140</v>
      </c>
      <c r="D64" s="4" t="s">
        <v>2141</v>
      </c>
    </row>
    <row r="65" spans="2:4" ht="28.5" x14ac:dyDescent="0.2">
      <c r="B65" s="3" t="s">
        <v>2142</v>
      </c>
      <c r="C65" s="3" t="s">
        <v>2143</v>
      </c>
      <c r="D65" s="4" t="s">
        <v>2144</v>
      </c>
    </row>
    <row r="66" spans="2:4" ht="28.5" x14ac:dyDescent="0.2">
      <c r="B66" s="3" t="s">
        <v>2145</v>
      </c>
      <c r="C66" s="3" t="s">
        <v>2146</v>
      </c>
      <c r="D66" s="4" t="s">
        <v>2147</v>
      </c>
    </row>
    <row r="67" spans="2:4" ht="28.5" x14ac:dyDescent="0.2">
      <c r="B67" s="3" t="s">
        <v>2148</v>
      </c>
      <c r="C67" s="3" t="s">
        <v>2149</v>
      </c>
      <c r="D67" s="4" t="s">
        <v>2150</v>
      </c>
    </row>
    <row r="68" spans="2:4" ht="28.5" x14ac:dyDescent="0.2">
      <c r="B68" s="3" t="s">
        <v>2151</v>
      </c>
      <c r="C68" s="3" t="s">
        <v>2152</v>
      </c>
      <c r="D68" s="4" t="s">
        <v>2153</v>
      </c>
    </row>
    <row r="69" spans="2:4" ht="28.5" x14ac:dyDescent="0.2">
      <c r="B69" s="3" t="s">
        <v>2154</v>
      </c>
      <c r="C69" s="3" t="s">
        <v>2155</v>
      </c>
      <c r="D69" s="4" t="s">
        <v>2156</v>
      </c>
    </row>
    <row r="70" spans="2:4" ht="28.5" x14ac:dyDescent="0.2">
      <c r="B70" s="3" t="s">
        <v>2157</v>
      </c>
      <c r="C70" s="3" t="s">
        <v>2158</v>
      </c>
      <c r="D70" s="4" t="s">
        <v>2159</v>
      </c>
    </row>
    <row r="71" spans="2:4" ht="28.5" x14ac:dyDescent="0.2">
      <c r="B71" s="3" t="s">
        <v>2160</v>
      </c>
      <c r="C71" s="3" t="s">
        <v>2161</v>
      </c>
      <c r="D71" s="4" t="s">
        <v>2162</v>
      </c>
    </row>
    <row r="72" spans="2:4" ht="28.5" x14ac:dyDescent="0.2">
      <c r="B72" s="3" t="s">
        <v>2163</v>
      </c>
      <c r="C72" s="3" t="s">
        <v>2164</v>
      </c>
      <c r="D72" s="4" t="s">
        <v>2165</v>
      </c>
    </row>
    <row r="75" spans="2:4" ht="17.25" x14ac:dyDescent="0.2">
      <c r="B75" s="5" t="s">
        <v>103</v>
      </c>
    </row>
    <row r="76" spans="2:4" x14ac:dyDescent="0.2">
      <c r="B76" s="6"/>
    </row>
    <row r="77" spans="2:4" x14ac:dyDescent="0.2">
      <c r="B77" s="7" t="s">
        <v>2166</v>
      </c>
    </row>
    <row r="78" spans="2:4" x14ac:dyDescent="0.2">
      <c r="B78" s="7" t="s">
        <v>2167</v>
      </c>
    </row>
    <row r="79" spans="2:4" x14ac:dyDescent="0.2">
      <c r="B79" s="7" t="s">
        <v>2168</v>
      </c>
    </row>
    <row r="80" spans="2:4" x14ac:dyDescent="0.2">
      <c r="B80" s="7" t="s">
        <v>2169</v>
      </c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7F6B-1E37-4BBC-9D2D-33E28D646E7A}">
  <dimension ref="B1:G82"/>
  <sheetViews>
    <sheetView zoomScaleNormal="100" workbookViewId="0">
      <selection activeCell="B1" sqref="B1:D8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2283</v>
      </c>
      <c r="G1" t="str">
        <f>"&lt;dl&gt;&lt;dt&gt;" &amp; B1 &amp; "&lt;/dt&gt;&lt;dd&gt;" &amp; C1 &amp; "&lt;/dd&gt;&lt;dd&gt;" &amp; D1 &amp; "&lt;/dd&gt;&lt;/dl&gt;"</f>
        <v>&lt;dl&gt;&lt;dt&gt;一、月德定义&lt;/dt&gt;&lt;dd&gt;&lt;/dd&gt;&lt;dd&gt;&lt;/dd&gt;&lt;/dl&gt;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2284</v>
      </c>
      <c r="D4" s="4"/>
    </row>
    <row r="5" spans="2:7" ht="57" x14ac:dyDescent="0.2">
      <c r="B5" s="3" t="s">
        <v>61</v>
      </c>
      <c r="C5" s="4" t="s">
        <v>2285</v>
      </c>
      <c r="D5" s="4"/>
    </row>
    <row r="6" spans="2:7" ht="42.75" x14ac:dyDescent="0.2">
      <c r="B6" s="3" t="s">
        <v>99</v>
      </c>
      <c r="C6" s="4" t="s">
        <v>2286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2287</v>
      </c>
      <c r="C14" s="4" t="s">
        <v>2288</v>
      </c>
      <c r="D14" s="4" t="s">
        <v>2289</v>
      </c>
    </row>
    <row r="15" spans="2:7" ht="28.5" x14ac:dyDescent="0.2">
      <c r="B15" s="3" t="s">
        <v>2290</v>
      </c>
      <c r="C15" s="4" t="s">
        <v>2291</v>
      </c>
      <c r="D15" s="4" t="s">
        <v>2292</v>
      </c>
    </row>
    <row r="16" spans="2:7" ht="28.5" x14ac:dyDescent="0.2">
      <c r="B16" s="3" t="s">
        <v>2293</v>
      </c>
      <c r="C16" s="4" t="s">
        <v>2294</v>
      </c>
      <c r="D16" s="4" t="s">
        <v>2295</v>
      </c>
    </row>
    <row r="17" spans="2:7" ht="28.5" x14ac:dyDescent="0.2">
      <c r="B17" s="3" t="s">
        <v>2296</v>
      </c>
      <c r="C17" s="4" t="s">
        <v>2297</v>
      </c>
      <c r="D17" s="4" t="s">
        <v>2298</v>
      </c>
    </row>
    <row r="18" spans="2:7" x14ac:dyDescent="0.2">
      <c r="B18" s="3" t="s">
        <v>2299</v>
      </c>
      <c r="C18" s="4" t="s">
        <v>2300</v>
      </c>
      <c r="D18" s="4" t="s">
        <v>2301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2302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&lt;dl&gt;&lt;dt&gt;命宫​&lt;/dt&gt;&lt;dd&gt;为人温和善良，人缘佳，一生多得女性及亲友助力，逢凶化吉。&lt;/dd&gt;&lt;dd&gt;&lt;/dd&gt;&lt;/dl&gt;</v>
      </c>
    </row>
    <row r="25" spans="2:7" ht="16.5" thickBot="1" x14ac:dyDescent="0.25">
      <c r="B25" s="3" t="s">
        <v>58</v>
      </c>
      <c r="C25" s="4" t="s">
        <v>2303</v>
      </c>
      <c r="D25" s="4"/>
      <c r="E25" s="15"/>
      <c r="G25" t="str">
        <f t="shared" si="0"/>
        <v>&lt;dl&gt;&lt;dt&gt;兄弟宫​&lt;/dt&gt;&lt;dd&gt;兄弟姐妹关系和睦，能互相扶持，朋友如同手足。&lt;/dd&gt;&lt;dd&gt;&lt;/dd&gt;&lt;/dl&gt;</v>
      </c>
    </row>
    <row r="26" spans="2:7" ht="29.25" thickBot="1" x14ac:dyDescent="0.25">
      <c r="B26" s="3" t="s">
        <v>50</v>
      </c>
      <c r="C26" s="4" t="s">
        <v>2304</v>
      </c>
      <c r="D26" s="4"/>
      <c r="E26" s="15"/>
      <c r="G26" t="str">
        <f t="shared" si="0"/>
        <v>&lt;dl&gt;&lt;dt&gt;夫妻宫​&lt;/dt&gt;&lt;dd&gt;配偶温柔体贴，婚姻生活和谐，能化解感情中的矛盾。&lt;/dd&gt;&lt;dd&gt;&lt;/dd&gt;&lt;/dl&gt;</v>
      </c>
    </row>
    <row r="27" spans="2:7" ht="29.25" thickBot="1" x14ac:dyDescent="0.25">
      <c r="B27" s="3" t="s">
        <v>53</v>
      </c>
      <c r="C27" s="4" t="s">
        <v>2305</v>
      </c>
      <c r="D27" s="4"/>
      <c r="E27" s="15"/>
      <c r="G27" t="str">
        <f t="shared" si="0"/>
        <v>&lt;dl&gt;&lt;dt&gt;子女宫​&lt;/dt&gt;&lt;dd&gt;子女孝顺，家庭和睦；与合作方关系良好，项目推进顺利。&lt;/dd&gt;&lt;dd&gt;&lt;/dd&gt;&lt;/dl&gt;</v>
      </c>
    </row>
    <row r="28" spans="2:7" ht="29.25" thickBot="1" x14ac:dyDescent="0.25">
      <c r="B28" s="3" t="s">
        <v>1</v>
      </c>
      <c r="C28" s="4" t="s">
        <v>2306</v>
      </c>
      <c r="D28" s="4"/>
      <c r="E28" s="15"/>
      <c r="G28" t="str">
        <f t="shared" si="0"/>
        <v>&lt;dl&gt;&lt;dt&gt;财帛宫​&lt;/dt&gt;&lt;dd&gt;钱财多来自正途及人际合作，不易因纠纷破财，常有馈赠。&lt;/dd&gt;&lt;dd&gt;&lt;/dd&gt;&lt;/dl&gt;</v>
      </c>
    </row>
    <row r="29" spans="2:7" ht="29.25" thickBot="1" x14ac:dyDescent="0.25">
      <c r="B29" s="3" t="s">
        <v>2</v>
      </c>
      <c r="C29" s="4" t="s">
        <v>2307</v>
      </c>
      <c r="D29" s="4"/>
      <c r="E29" s="15"/>
      <c r="G29" t="str">
        <f t="shared" si="0"/>
        <v>&lt;dl&gt;&lt;dt&gt;疾厄宫​&lt;/dt&gt;&lt;dd&gt;身体健康，情绪稳定，慢性病易得良医良药调养而好转。&lt;/dd&gt;&lt;dd&gt;&lt;/dd&gt;&lt;/dl&gt;</v>
      </c>
    </row>
    <row r="30" spans="2:7" ht="28.5" x14ac:dyDescent="0.2">
      <c r="B30" s="3" t="s">
        <v>5</v>
      </c>
      <c r="C30" s="4" t="s">
        <v>2308</v>
      </c>
      <c r="D30" s="4"/>
    </row>
    <row r="31" spans="2:7" ht="28.5" x14ac:dyDescent="0.2">
      <c r="B31" s="3" t="s">
        <v>4</v>
      </c>
      <c r="C31" s="3" t="s">
        <v>2309</v>
      </c>
      <c r="D31" s="4"/>
    </row>
    <row r="32" spans="2:7" ht="28.5" x14ac:dyDescent="0.2">
      <c r="B32" s="3" t="s">
        <v>57</v>
      </c>
      <c r="C32" s="4" t="s">
        <v>2310</v>
      </c>
      <c r="D32" s="4"/>
    </row>
    <row r="33" spans="2:7" ht="15" thickBot="1" x14ac:dyDescent="0.25">
      <c r="B33" s="3" t="s">
        <v>0</v>
      </c>
      <c r="C33" s="4" t="s">
        <v>2311</v>
      </c>
      <c r="D33" s="4"/>
    </row>
    <row r="34" spans="2:7" ht="29.25" thickBot="1" x14ac:dyDescent="0.25">
      <c r="B34" s="3" t="s">
        <v>41</v>
      </c>
      <c r="C34" s="3" t="s">
        <v>2312</v>
      </c>
      <c r="D34" s="4"/>
      <c r="E34" s="12"/>
    </row>
    <row r="35" spans="2:7" ht="29.25" thickBot="1" x14ac:dyDescent="0.25">
      <c r="B35" s="3" t="s">
        <v>3</v>
      </c>
      <c r="C35" s="4" t="s">
        <v>2313</v>
      </c>
      <c r="D35" s="4"/>
      <c r="E35" s="15"/>
      <c r="G35" t="str">
        <f t="shared" si="0"/>
        <v>&lt;dl&gt;&lt;dt&gt;父母宫​&lt;/dt&gt;&lt;dd&gt;与父母关系融洽，得长辈疼爱荫庇，家庭充满温情。&lt;/dd&gt;&lt;dd&gt;&lt;/dd&gt;&lt;/dl&gt;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2314</v>
      </c>
      <c r="E40" s="15"/>
      <c r="G40" t="str">
        <f t="shared" si="0"/>
        <v>&lt;dl&gt;&lt;dt&gt;1. 增强人缘福泽组合&lt;/dt&gt;&lt;dd&gt;&lt;/dd&gt;&lt;dd&gt;&lt;/dd&gt;&lt;/dl&gt;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2315</v>
      </c>
      <c r="C43" s="4" t="s">
        <v>2316</v>
      </c>
      <c r="D43" s="4" t="s">
        <v>2317</v>
      </c>
      <c r="E43" s="15"/>
      <c r="G43" t="str">
        <f t="shared" si="0"/>
        <v>&lt;dl&gt;&lt;dt&gt;月德+紫微​&lt;/dt&gt;&lt;dd&gt;仁德之君，因仁慈与亲和力获得众人拥戴，化解权力斗争中的危机。&lt;/dd&gt;&lt;dd&gt;领导因体恤下属而避免内部叛乱；帝王因施行仁政得民心。&lt;/dd&gt;&lt;/dl&gt;</v>
      </c>
    </row>
    <row r="44" spans="2:7" ht="28.5" x14ac:dyDescent="0.2">
      <c r="B44" s="3" t="s">
        <v>2318</v>
      </c>
      <c r="C44" s="4" t="s">
        <v>2319</v>
      </c>
      <c r="D44" s="4" t="s">
        <v>2320</v>
      </c>
    </row>
    <row r="45" spans="2:7" ht="28.5" x14ac:dyDescent="0.2">
      <c r="B45" s="3" t="s">
        <v>2321</v>
      </c>
      <c r="C45" s="4" t="s">
        <v>2322</v>
      </c>
      <c r="D45" s="4" t="s">
        <v>2323</v>
      </c>
    </row>
    <row r="46" spans="2:7" ht="28.5" x14ac:dyDescent="0.2">
      <c r="B46" s="3" t="s">
        <v>2324</v>
      </c>
      <c r="C46" s="4" t="s">
        <v>2325</v>
      </c>
      <c r="D46" s="4" t="s">
        <v>2326</v>
      </c>
    </row>
    <row r="47" spans="2:7" ht="29.25" thickBot="1" x14ac:dyDescent="0.25">
      <c r="B47" s="3" t="s">
        <v>2327</v>
      </c>
      <c r="C47" s="4" t="s">
        <v>2328</v>
      </c>
      <c r="D47" s="4" t="s">
        <v>2329</v>
      </c>
    </row>
    <row r="48" spans="2:7" ht="29.25" thickBot="1" x14ac:dyDescent="0.25">
      <c r="B48" s="3" t="s">
        <v>2330</v>
      </c>
      <c r="C48" s="4" t="s">
        <v>2331</v>
      </c>
      <c r="D48" s="4" t="s">
        <v>2332</v>
      </c>
      <c r="E48" s="12"/>
    </row>
    <row r="49" spans="2:7" ht="29.25" thickBot="1" x14ac:dyDescent="0.25">
      <c r="B49" s="3" t="s">
        <v>2333</v>
      </c>
      <c r="C49" s="4" t="s">
        <v>2334</v>
      </c>
      <c r="D49" s="4" t="s">
        <v>2335</v>
      </c>
      <c r="E49" s="15"/>
      <c r="G49" t="str">
        <f t="shared" si="0"/>
        <v>&lt;dl&gt;&lt;dt&gt;月德+天府​&lt;/dt&gt;&lt;dd&gt;库容之德，因包容、慷慨获得稳定的人际支持，化解利益分配矛盾。&lt;/dd&gt;&lt;dd&gt;家族企业因和睦而长久；因乐于分享赢得合作伙伴信任。&lt;/dd&gt;&lt;/dl&gt;</v>
      </c>
    </row>
    <row r="50" spans="2:7" ht="29.25" thickBot="1" x14ac:dyDescent="0.25">
      <c r="B50" s="3" t="s">
        <v>2336</v>
      </c>
      <c r="C50" s="3" t="s">
        <v>2337</v>
      </c>
      <c r="D50" s="4" t="s">
        <v>2338</v>
      </c>
      <c r="E50" s="15"/>
      <c r="G50" t="str">
        <f t="shared" si="0"/>
        <v>&lt;dl&gt;&lt;dt&gt;月德+太阴​&lt;/dt&gt;&lt;dd&gt;阴德相济，女性缘佳，通过体贴、关怀积累深厚阴德，化解暗昧之忧。&lt;/dd&gt;&lt;dd&gt;因照顾家人而得福报；通过女性朋友解决幕后麻烦。&lt;/dd&gt;&lt;/dl&gt;</v>
      </c>
    </row>
    <row r="51" spans="2:7" ht="29.25" thickBot="1" x14ac:dyDescent="0.25">
      <c r="B51" s="3" t="s">
        <v>2339</v>
      </c>
      <c r="C51" s="4" t="s">
        <v>2340</v>
      </c>
      <c r="D51" s="4" t="s">
        <v>2341</v>
      </c>
      <c r="E51" s="15"/>
      <c r="G51" t="str">
        <f t="shared" si="0"/>
        <v>&lt;dl&gt;&lt;dt&gt;月德+贪狼​&lt;/dt&gt;&lt;dd&gt;圆融之德，将交际手腕用于正途，化解桃花劫，在娱乐界得人缘。&lt;/dd&gt;&lt;dd&gt;艺术家因人格魅力获得支持；巧妙回避酒色陷阱。&lt;/dd&gt;&lt;/dl&gt;</v>
      </c>
    </row>
    <row r="52" spans="2:7" ht="29.25" thickBot="1" x14ac:dyDescent="0.25">
      <c r="B52" s="3" t="s">
        <v>2342</v>
      </c>
      <c r="C52" s="3" t="s">
        <v>2343</v>
      </c>
      <c r="D52" s="4" t="s">
        <v>2344</v>
      </c>
      <c r="E52" s="15"/>
      <c r="G52" t="str">
        <f t="shared" si="0"/>
        <v>&lt;dl&gt;&lt;dt&gt;月德+巨门​&lt;/dt&gt;&lt;dd&gt;化口为和，以温和言语化解是非口舌，变争执为沟通。&lt;/dd&gt;&lt;dd&gt;调解员成功平息纠纷；用真诚道歉化解误会。&lt;/dd&gt;&lt;/dl&gt;</v>
      </c>
    </row>
    <row r="53" spans="2:7" ht="28.5" x14ac:dyDescent="0.2">
      <c r="B53" s="3" t="s">
        <v>2345</v>
      </c>
      <c r="C53" s="4" t="s">
        <v>2346</v>
      </c>
      <c r="D53" s="4" t="s">
        <v>2347</v>
      </c>
    </row>
    <row r="54" spans="2:7" ht="28.5" x14ac:dyDescent="0.2">
      <c r="B54" s="3" t="s">
        <v>2348</v>
      </c>
      <c r="C54" s="4" t="s">
        <v>2349</v>
      </c>
      <c r="D54" s="4" t="s">
        <v>2350</v>
      </c>
    </row>
    <row r="55" spans="2:7" ht="28.5" x14ac:dyDescent="0.2">
      <c r="B55" s="3" t="s">
        <v>2351</v>
      </c>
      <c r="C55" s="4" t="s">
        <v>2352</v>
      </c>
      <c r="D55" s="4" t="s">
        <v>2353</v>
      </c>
    </row>
    <row r="56" spans="2:7" ht="28.5" x14ac:dyDescent="0.2">
      <c r="B56" s="3" t="s">
        <v>2354</v>
      </c>
      <c r="C56" s="4" t="s">
        <v>2355</v>
      </c>
      <c r="D56" s="4" t="s">
        <v>2356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2357</v>
      </c>
      <c r="C62" s="3" t="s">
        <v>2358</v>
      </c>
      <c r="D62" s="4" t="s">
        <v>2359</v>
      </c>
    </row>
    <row r="63" spans="2:7" ht="28.5" x14ac:dyDescent="0.2">
      <c r="B63" s="3" t="s">
        <v>2360</v>
      </c>
      <c r="C63" s="3" t="s">
        <v>2361</v>
      </c>
      <c r="D63" s="4" t="s">
        <v>2362</v>
      </c>
    </row>
    <row r="64" spans="2:7" ht="28.5" x14ac:dyDescent="0.2">
      <c r="B64" s="3" t="s">
        <v>2363</v>
      </c>
      <c r="C64" s="3" t="s">
        <v>2364</v>
      </c>
      <c r="D64" s="4" t="s">
        <v>2365</v>
      </c>
    </row>
    <row r="65" spans="2:4" ht="28.5" x14ac:dyDescent="0.2">
      <c r="B65" s="3" t="s">
        <v>2366</v>
      </c>
      <c r="C65" s="3" t="s">
        <v>2367</v>
      </c>
      <c r="D65" s="4" t="s">
        <v>2368</v>
      </c>
    </row>
    <row r="66" spans="2:4" ht="28.5" x14ac:dyDescent="0.2">
      <c r="B66" s="3" t="s">
        <v>2369</v>
      </c>
      <c r="C66" s="3" t="s">
        <v>2370</v>
      </c>
      <c r="D66" s="4" t="s">
        <v>2371</v>
      </c>
    </row>
    <row r="67" spans="2:4" ht="28.5" x14ac:dyDescent="0.2">
      <c r="B67" s="3" t="s">
        <v>2372</v>
      </c>
      <c r="C67" s="3" t="s">
        <v>2373</v>
      </c>
      <c r="D67" s="4" t="s">
        <v>2374</v>
      </c>
    </row>
    <row r="68" spans="2:4" ht="28.5" x14ac:dyDescent="0.2">
      <c r="B68" s="3" t="s">
        <v>2375</v>
      </c>
      <c r="C68" s="3" t="s">
        <v>2376</v>
      </c>
      <c r="D68" s="4" t="s">
        <v>2377</v>
      </c>
    </row>
    <row r="69" spans="2:4" ht="28.5" x14ac:dyDescent="0.2">
      <c r="B69" s="3" t="s">
        <v>2378</v>
      </c>
      <c r="C69" s="3" t="s">
        <v>2379</v>
      </c>
      <c r="D69" s="4" t="s">
        <v>2380</v>
      </c>
    </row>
    <row r="70" spans="2:4" ht="28.5" x14ac:dyDescent="0.2">
      <c r="B70" s="3" t="s">
        <v>2381</v>
      </c>
      <c r="C70" s="3" t="s">
        <v>2382</v>
      </c>
      <c r="D70" s="4" t="s">
        <v>2383</v>
      </c>
    </row>
    <row r="71" spans="2:4" ht="28.5" x14ac:dyDescent="0.2">
      <c r="B71" s="3" t="s">
        <v>2384</v>
      </c>
      <c r="C71" s="3" t="s">
        <v>2385</v>
      </c>
      <c r="D71" s="4" t="s">
        <v>2386</v>
      </c>
    </row>
    <row r="72" spans="2:4" ht="28.5" x14ac:dyDescent="0.2">
      <c r="B72" s="3" t="s">
        <v>2387</v>
      </c>
      <c r="C72" s="3" t="s">
        <v>2388</v>
      </c>
      <c r="D72" s="4" t="s">
        <v>2389</v>
      </c>
    </row>
    <row r="73" spans="2:4" ht="28.5" x14ac:dyDescent="0.2">
      <c r="B73" s="3" t="s">
        <v>2390</v>
      </c>
      <c r="C73" s="3" t="s">
        <v>2391</v>
      </c>
      <c r="D73" s="4" t="s">
        <v>2392</v>
      </c>
    </row>
    <row r="76" spans="2:4" ht="17.25" x14ac:dyDescent="0.2">
      <c r="B76" s="5" t="s">
        <v>103</v>
      </c>
    </row>
    <row r="77" spans="2:4" x14ac:dyDescent="0.2">
      <c r="B77" s="6"/>
    </row>
    <row r="78" spans="2:4" x14ac:dyDescent="0.2">
      <c r="B78" s="7" t="s">
        <v>2393</v>
      </c>
    </row>
    <row r="79" spans="2:4" x14ac:dyDescent="0.2">
      <c r="B79" s="7" t="s">
        <v>2394</v>
      </c>
    </row>
    <row r="80" spans="2:4" x14ac:dyDescent="0.2">
      <c r="B80" s="7" t="s">
        <v>2395</v>
      </c>
    </row>
    <row r="81" spans="2:2" x14ac:dyDescent="0.2">
      <c r="B81" s="7" t="s">
        <v>2396</v>
      </c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4240C-E546-46B0-A57D-CDB14CB39DD2}">
  <dimension ref="B1:G82"/>
  <sheetViews>
    <sheetView zoomScaleNormal="100" workbookViewId="0">
      <selection activeCell="B1" sqref="B1:D80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2397</v>
      </c>
      <c r="G1" t="str">
        <f>"&lt;dl&gt;&lt;dt&gt;" &amp; B1 &amp; "&lt;/dt&gt;&lt;dd&gt;" &amp; C1 &amp; "&lt;/dd&gt;&lt;dd&gt;" &amp; D1 &amp; "&lt;/dd&gt;&lt;/dl&gt;"</f>
        <v>&lt;dl&gt;&lt;dt&gt;一、天空定义&lt;/dt&gt;&lt;dd&gt;&lt;/dd&gt;&lt;dd&gt;&lt;/dd&gt;&lt;/dl&gt;</v>
      </c>
    </row>
    <row r="3" spans="2:7" x14ac:dyDescent="0.2">
      <c r="B3" s="2" t="s">
        <v>59</v>
      </c>
      <c r="C3" s="2" t="s">
        <v>60</v>
      </c>
      <c r="D3" s="2" t="s">
        <v>7</v>
      </c>
    </row>
    <row r="4" spans="2:7" x14ac:dyDescent="0.2">
      <c r="B4" s="3" t="s">
        <v>68</v>
      </c>
      <c r="C4" s="4" t="s">
        <v>2398</v>
      </c>
      <c r="D4" s="4"/>
    </row>
    <row r="5" spans="2:7" ht="57" x14ac:dyDescent="0.2">
      <c r="B5" s="3" t="s">
        <v>61</v>
      </c>
      <c r="C5" s="4" t="s">
        <v>2399</v>
      </c>
      <c r="D5" s="4"/>
    </row>
    <row r="6" spans="2:7" ht="57" x14ac:dyDescent="0.2">
      <c r="B6" s="3" t="s">
        <v>99</v>
      </c>
      <c r="C6" s="4" t="s">
        <v>2400</v>
      </c>
      <c r="D6" s="4"/>
    </row>
    <row r="9" spans="2:7" ht="17.25" x14ac:dyDescent="0.2">
      <c r="B9" s="5" t="s">
        <v>100</v>
      </c>
    </row>
    <row r="11" spans="2:7" ht="15.75" x14ac:dyDescent="0.2">
      <c r="B11" s="13" t="s">
        <v>101</v>
      </c>
    </row>
    <row r="13" spans="2:7" x14ac:dyDescent="0.2">
      <c r="B13" s="2" t="s">
        <v>62</v>
      </c>
      <c r="C13" s="2" t="s">
        <v>107</v>
      </c>
      <c r="D13" s="2" t="s">
        <v>108</v>
      </c>
    </row>
    <row r="14" spans="2:7" ht="28.5" x14ac:dyDescent="0.2">
      <c r="B14" s="3" t="s">
        <v>2401</v>
      </c>
      <c r="C14" s="4" t="s">
        <v>2402</v>
      </c>
      <c r="D14" s="4" t="s">
        <v>206</v>
      </c>
    </row>
    <row r="15" spans="2:7" ht="28.5" x14ac:dyDescent="0.2">
      <c r="B15" s="3" t="s">
        <v>2403</v>
      </c>
      <c r="C15" s="4" t="s">
        <v>2404</v>
      </c>
      <c r="D15" s="4" t="s">
        <v>2405</v>
      </c>
    </row>
    <row r="16" spans="2:7" ht="28.5" x14ac:dyDescent="0.2">
      <c r="B16" s="3" t="s">
        <v>2406</v>
      </c>
      <c r="C16" s="4" t="s">
        <v>2407</v>
      </c>
      <c r="D16" s="4" t="s">
        <v>2408</v>
      </c>
    </row>
    <row r="17" spans="2:7" x14ac:dyDescent="0.2">
      <c r="B17" s="3" t="s">
        <v>2409</v>
      </c>
      <c r="C17" s="4" t="s">
        <v>2410</v>
      </c>
      <c r="D17" s="4" t="s">
        <v>1968</v>
      </c>
    </row>
    <row r="18" spans="2:7" ht="28.5" x14ac:dyDescent="0.2">
      <c r="B18" s="3" t="s">
        <v>2411</v>
      </c>
      <c r="C18" s="4" t="s">
        <v>2412</v>
      </c>
      <c r="D18" s="4" t="s">
        <v>2413</v>
      </c>
    </row>
    <row r="21" spans="2:7" ht="17.25" x14ac:dyDescent="0.2">
      <c r="B21" s="5" t="s">
        <v>102</v>
      </c>
    </row>
    <row r="22" spans="2:7" ht="15" thickBot="1" x14ac:dyDescent="0.25"/>
    <row r="23" spans="2:7" ht="16.5" thickBot="1" x14ac:dyDescent="0.25">
      <c r="B23" s="2" t="s">
        <v>6</v>
      </c>
      <c r="C23" s="2" t="s">
        <v>107</v>
      </c>
      <c r="D23" s="2" t="s">
        <v>7</v>
      </c>
      <c r="E23" s="12"/>
    </row>
    <row r="24" spans="2:7" ht="29.25" thickBot="1" x14ac:dyDescent="0.25">
      <c r="B24" s="3" t="s">
        <v>56</v>
      </c>
      <c r="C24" s="4" t="s">
        <v>2414</v>
      </c>
      <c r="D24" s="4"/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&lt;dl&gt;&lt;dt&gt;命宫​&lt;/dt&gt;&lt;dd&gt;思想独特，有创意，但易脱离现实；人生际遇大起大落，有成有败。&lt;/dd&gt;&lt;dd&gt;&lt;/dd&gt;&lt;/dl&gt;</v>
      </c>
    </row>
    <row r="25" spans="2:7" ht="29.25" thickBot="1" x14ac:dyDescent="0.25">
      <c r="B25" s="3" t="s">
        <v>58</v>
      </c>
      <c r="C25" s="4" t="s">
        <v>2415</v>
      </c>
      <c r="D25" s="4"/>
      <c r="E25" s="15"/>
      <c r="G25" t="str">
        <f t="shared" si="0"/>
        <v>&lt;dl&gt;&lt;dt&gt;兄弟宫​&lt;/dt&gt;&lt;dd&gt;与兄弟姐妹缘分较薄，或关系疏远、想法难以沟通。&lt;/dd&gt;&lt;dd&gt;&lt;/dd&gt;&lt;/dl&gt;</v>
      </c>
    </row>
    <row r="26" spans="2:7" ht="29.25" thickBot="1" x14ac:dyDescent="0.25">
      <c r="B26" s="3" t="s">
        <v>50</v>
      </c>
      <c r="C26" s="4" t="s">
        <v>2416</v>
      </c>
      <c r="D26" s="4"/>
      <c r="E26" s="15"/>
      <c r="G26" t="str">
        <f t="shared" si="0"/>
        <v>&lt;dl&gt;&lt;dt&gt;夫妻宫​&lt;/dt&gt;&lt;dd&gt;感情易有空虚感，配偶或自己精神需求高，婚姻中易有精神层面的隔阂。&lt;/dd&gt;&lt;dd&gt;&lt;/dd&gt;&lt;/dl&gt;</v>
      </c>
    </row>
    <row r="27" spans="2:7" ht="16.5" thickBot="1" x14ac:dyDescent="0.25">
      <c r="B27" s="3" t="s">
        <v>53</v>
      </c>
      <c r="C27" s="4" t="s">
        <v>2417</v>
      </c>
      <c r="D27" s="4"/>
      <c r="E27" s="15"/>
      <c r="G27" t="str">
        <f t="shared" si="0"/>
        <v>&lt;dl&gt;&lt;dt&gt;子女宫​&lt;/dt&gt;&lt;dd&gt;子女缘薄，或子女想法独特；合作计划易落空。&lt;/dd&gt;&lt;dd&gt;&lt;/dd&gt;&lt;/dl&gt;</v>
      </c>
    </row>
    <row r="28" spans="2:7" ht="29.25" thickBot="1" x14ac:dyDescent="0.25">
      <c r="B28" s="3" t="s">
        <v>1</v>
      </c>
      <c r="C28" s="4" t="s">
        <v>2418</v>
      </c>
      <c r="D28" s="4"/>
      <c r="E28" s="15"/>
      <c r="G28" t="str">
        <f t="shared" si="0"/>
        <v>&lt;dl&gt;&lt;dt&gt;财帛宫​&lt;/dt&gt;&lt;dd&gt;钱财不易积聚，左手进右手出，易有意外破耗，或投资易成泡影。&lt;/dd&gt;&lt;dd&gt;&lt;/dd&gt;&lt;/dl&gt;</v>
      </c>
    </row>
    <row r="29" spans="2:7" ht="29.25" thickBot="1" x14ac:dyDescent="0.25">
      <c r="B29" s="3" t="s">
        <v>2</v>
      </c>
      <c r="C29" s="4" t="s">
        <v>2419</v>
      </c>
      <c r="D29" s="4"/>
      <c r="E29" s="15"/>
      <c r="G29" t="str">
        <f t="shared" si="0"/>
        <v>&lt;dl&gt;&lt;dt&gt;疾厄宫​&lt;/dt&gt;&lt;dd&gt;身体易有虚弱、气血不足之症，或患难以诊断的疑难杂症。&lt;/dd&gt;&lt;dd&gt;&lt;/dd&gt;&lt;/dl&gt;</v>
      </c>
    </row>
    <row r="30" spans="2:7" ht="28.5" x14ac:dyDescent="0.2">
      <c r="B30" s="3" t="s">
        <v>5</v>
      </c>
      <c r="C30" s="4" t="s">
        <v>2420</v>
      </c>
      <c r="D30" s="4"/>
    </row>
    <row r="31" spans="2:7" ht="28.5" x14ac:dyDescent="0.2">
      <c r="B31" s="3" t="s">
        <v>4</v>
      </c>
      <c r="C31" s="4" t="s">
        <v>2421</v>
      </c>
      <c r="D31" s="4"/>
    </row>
    <row r="32" spans="2:7" ht="28.5" x14ac:dyDescent="0.2">
      <c r="B32" s="3" t="s">
        <v>57</v>
      </c>
      <c r="C32" s="4" t="s">
        <v>2422</v>
      </c>
      <c r="D32" s="4"/>
    </row>
    <row r="33" spans="2:7" ht="29.25" thickBot="1" x14ac:dyDescent="0.25">
      <c r="B33" s="3" t="s">
        <v>0</v>
      </c>
      <c r="C33" s="4" t="s">
        <v>2423</v>
      </c>
      <c r="D33" s="4"/>
    </row>
    <row r="34" spans="2:7" ht="29.25" thickBot="1" x14ac:dyDescent="0.25">
      <c r="B34" s="3" t="s">
        <v>41</v>
      </c>
      <c r="C34" s="3" t="s">
        <v>2424</v>
      </c>
      <c r="D34" s="4"/>
      <c r="E34" s="12"/>
    </row>
    <row r="35" spans="2:7" ht="29.25" thickBot="1" x14ac:dyDescent="0.25">
      <c r="B35" s="3" t="s">
        <v>3</v>
      </c>
      <c r="C35" s="4" t="s">
        <v>2425</v>
      </c>
      <c r="D35" s="4"/>
      <c r="E35" s="15"/>
      <c r="G35" t="str">
        <f t="shared" si="0"/>
        <v>&lt;dl&gt;&lt;dt&gt;父母宫​&lt;/dt&gt;&lt;dd&gt;与父母缘分较浅，或父母思想独特，对自己管束少。&lt;/dd&gt;&lt;dd&gt;&lt;/dd&gt;&lt;/dl&gt;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70</v>
      </c>
      <c r="E38" s="15"/>
      <c r="G38" t="str">
        <f t="shared" si="0"/>
        <v>&lt;dl&gt;&lt;dt&gt;四、主星组合象义&lt;/dt&gt;&lt;dd&gt;&lt;/dd&gt;&lt;dd&gt;&lt;/dd&gt;&lt;/dl&gt;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3" t="s">
        <v>2426</v>
      </c>
      <c r="E40" s="15"/>
      <c r="G40" t="str">
        <f t="shared" si="0"/>
        <v>&lt;dl&gt;&lt;dt&gt;1. 增强空性/灵感组合&lt;/dt&gt;&lt;dd&gt;&lt;/dd&gt;&lt;dd&gt;&lt;/dd&gt;&lt;/dl&gt;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2" t="s">
        <v>19</v>
      </c>
      <c r="C42" s="2" t="s">
        <v>73</v>
      </c>
      <c r="D42" s="2" t="s">
        <v>20</v>
      </c>
      <c r="E42" s="15"/>
      <c r="G42" t="str">
        <f t="shared" si="0"/>
        <v>&lt;dl&gt;&lt;dt&gt;组合​&lt;/dt&gt;&lt;dd&gt;效应​&lt;/dd&gt;&lt;dd&gt;典型案例​&lt;/dd&gt;&lt;/dl&gt;</v>
      </c>
    </row>
    <row r="43" spans="2:7" ht="29.25" thickBot="1" x14ac:dyDescent="0.25">
      <c r="B43" s="3" t="s">
        <v>2427</v>
      </c>
      <c r="C43" s="4" t="s">
        <v>2428</v>
      </c>
      <c r="D43" s="4" t="s">
        <v>2429</v>
      </c>
      <c r="E43" s="15"/>
      <c r="G43" t="str">
        <f t="shared" si="0"/>
        <v>&lt;dl&gt;&lt;dt&gt;天空+紫微​&lt;/dt&gt;&lt;dd&gt;帝星悬空，理想过高，不切实际，追求虚名，或能在精神领域成为领袖。&lt;/dd&gt;&lt;dd&gt;好高骛远，制定无法实现的宏伟计划；成为思想家、精神导师。&lt;/dd&gt;&lt;/dl&gt;</v>
      </c>
    </row>
    <row r="44" spans="2:7" ht="28.5" x14ac:dyDescent="0.2">
      <c r="B44" s="3" t="s">
        <v>2430</v>
      </c>
      <c r="C44" s="4" t="s">
        <v>2431</v>
      </c>
      <c r="D44" s="4" t="s">
        <v>2432</v>
      </c>
    </row>
    <row r="45" spans="2:7" ht="28.5" x14ac:dyDescent="0.2">
      <c r="B45" s="3" t="s">
        <v>2433</v>
      </c>
      <c r="C45" s="4" t="s">
        <v>2434</v>
      </c>
      <c r="D45" s="4" t="s">
        <v>2435</v>
      </c>
    </row>
    <row r="46" spans="2:7" ht="28.5" x14ac:dyDescent="0.2">
      <c r="B46" s="3" t="s">
        <v>2436</v>
      </c>
      <c r="C46" s="4" t="s">
        <v>2437</v>
      </c>
      <c r="D46" s="4" t="s">
        <v>2438</v>
      </c>
    </row>
    <row r="47" spans="2:7" ht="29.25" thickBot="1" x14ac:dyDescent="0.25">
      <c r="B47" s="3" t="s">
        <v>2439</v>
      </c>
      <c r="C47" s="4" t="s">
        <v>2440</v>
      </c>
      <c r="D47" s="4" t="s">
        <v>2441</v>
      </c>
    </row>
    <row r="48" spans="2:7" ht="29.25" thickBot="1" x14ac:dyDescent="0.25">
      <c r="B48" s="3" t="s">
        <v>2442</v>
      </c>
      <c r="C48" s="4" t="s">
        <v>2443</v>
      </c>
      <c r="D48" s="4" t="s">
        <v>2444</v>
      </c>
      <c r="E48" s="12"/>
    </row>
    <row r="49" spans="2:7" ht="29.25" thickBot="1" x14ac:dyDescent="0.25">
      <c r="B49" s="3" t="s">
        <v>2445</v>
      </c>
      <c r="C49" s="4" t="s">
        <v>2446</v>
      </c>
      <c r="D49" s="4" t="s">
        <v>2447</v>
      </c>
      <c r="E49" s="15"/>
      <c r="G49" t="str">
        <f t="shared" si="0"/>
        <v>&lt;dl&gt;&lt;dt&gt;天空+天府​&lt;/dt&gt;&lt;dd&gt;库星悬空，库存虚空，积蓄难聚，稳定局面下隐藏危机。&lt;/dd&gt;&lt;dd&gt;看似富裕却负债累累；稳定的工作突然消失。&lt;/dd&gt;&lt;/dl&gt;</v>
      </c>
    </row>
    <row r="50" spans="2:7" ht="29.25" thickBot="1" x14ac:dyDescent="0.25">
      <c r="B50" s="3" t="s">
        <v>2448</v>
      </c>
      <c r="C50" s="3" t="s">
        <v>2449</v>
      </c>
      <c r="D50" s="4" t="s">
        <v>2450</v>
      </c>
      <c r="E50" s="15"/>
      <c r="G50" t="str">
        <f t="shared" si="0"/>
        <v>&lt;dl&gt;&lt;dt&gt;天空+太阴​&lt;/dt&gt;&lt;dd&gt;阴空相济，想象力丰富，艺术灵感强，但情绪易感空虚、忧郁。&lt;/dd&gt;&lt;dd&gt;诗人、艺术家，创作源于空虚感；夜晚常感孤独。&lt;/dd&gt;&lt;/dl&gt;</v>
      </c>
    </row>
    <row r="51" spans="2:7" ht="29.25" thickBot="1" x14ac:dyDescent="0.25">
      <c r="B51" s="3" t="s">
        <v>2451</v>
      </c>
      <c r="C51" s="4" t="s">
        <v>2452</v>
      </c>
      <c r="D51" s="4" t="s">
        <v>2453</v>
      </c>
      <c r="E51" s="15"/>
      <c r="G51" t="str">
        <f t="shared" si="0"/>
        <v>&lt;dl&gt;&lt;dt&gt;天空+贪狼​&lt;/dt&gt;&lt;dd&gt;欲望悬空，所求不得，桃花成空，嗜好转为精神追求。&lt;/dd&gt;&lt;dd&gt;拼命追求某人却得不到；将物欲转化为对宗教的虔诚。&lt;/dd&gt;&lt;/dl&gt;</v>
      </c>
    </row>
    <row r="52" spans="2:7" ht="29.25" thickBot="1" x14ac:dyDescent="0.25">
      <c r="B52" s="3" t="s">
        <v>2454</v>
      </c>
      <c r="C52" s="4" t="s">
        <v>2455</v>
      </c>
      <c r="D52" s="4" t="s">
        <v>2456</v>
      </c>
      <c r="E52" s="15"/>
      <c r="G52" t="str">
        <f t="shared" si="0"/>
        <v>&lt;dl&gt;&lt;dt&gt;天空+巨门​&lt;/dt&gt;&lt;dd&gt;暗星悬空，是非落空，流言自散，或思考深邃的哲学问题。&lt;/dd&gt;&lt;dd&gt;诽谤之言无人相信；沉迷于研究虚无的宇宙真理。&lt;/dd&gt;&lt;/dl&gt;</v>
      </c>
    </row>
    <row r="53" spans="2:7" x14ac:dyDescent="0.2">
      <c r="B53" s="3" t="s">
        <v>2457</v>
      </c>
      <c r="C53" s="4" t="s">
        <v>2458</v>
      </c>
      <c r="D53" s="4" t="s">
        <v>2459</v>
      </c>
    </row>
    <row r="54" spans="2:7" ht="28.5" x14ac:dyDescent="0.2">
      <c r="B54" s="3" t="s">
        <v>2460</v>
      </c>
      <c r="C54" s="4" t="s">
        <v>2461</v>
      </c>
      <c r="D54" s="4" t="s">
        <v>2462</v>
      </c>
    </row>
    <row r="55" spans="2:7" ht="28.5" x14ac:dyDescent="0.2">
      <c r="B55" s="3" t="s">
        <v>2463</v>
      </c>
      <c r="C55" s="4" t="s">
        <v>2464</v>
      </c>
      <c r="D55" s="4" t="s">
        <v>2465</v>
      </c>
    </row>
    <row r="56" spans="2:7" ht="28.5" x14ac:dyDescent="0.2">
      <c r="B56" s="3" t="s">
        <v>2466</v>
      </c>
      <c r="C56" s="4" t="s">
        <v>2467</v>
      </c>
      <c r="D56" s="4" t="s">
        <v>2468</v>
      </c>
    </row>
    <row r="59" spans="2:7" ht="17.25" x14ac:dyDescent="0.2">
      <c r="B59" s="5" t="s">
        <v>71</v>
      </c>
    </row>
    <row r="61" spans="2:7" x14ac:dyDescent="0.2">
      <c r="B61" s="2" t="s">
        <v>14</v>
      </c>
      <c r="C61" s="2" t="s">
        <v>75</v>
      </c>
      <c r="D61" s="2" t="s">
        <v>7</v>
      </c>
    </row>
    <row r="62" spans="2:7" ht="28.5" x14ac:dyDescent="0.2">
      <c r="B62" s="3" t="s">
        <v>2469</v>
      </c>
      <c r="C62" s="3" t="s">
        <v>2470</v>
      </c>
      <c r="D62" s="4" t="s">
        <v>2471</v>
      </c>
    </row>
    <row r="63" spans="2:7" ht="28.5" x14ac:dyDescent="0.2">
      <c r="B63" s="3" t="s">
        <v>2472</v>
      </c>
      <c r="C63" s="3" t="s">
        <v>2473</v>
      </c>
      <c r="D63" s="4" t="s">
        <v>2474</v>
      </c>
    </row>
    <row r="64" spans="2:7" ht="28.5" x14ac:dyDescent="0.2">
      <c r="B64" s="3" t="s">
        <v>2475</v>
      </c>
      <c r="C64" s="3" t="s">
        <v>2476</v>
      </c>
      <c r="D64" s="4" t="s">
        <v>2477</v>
      </c>
    </row>
    <row r="65" spans="2:4" ht="28.5" x14ac:dyDescent="0.2">
      <c r="B65" s="3" t="s">
        <v>2478</v>
      </c>
      <c r="C65" s="3" t="s">
        <v>2479</v>
      </c>
      <c r="D65" s="4" t="s">
        <v>2480</v>
      </c>
    </row>
    <row r="66" spans="2:4" ht="28.5" x14ac:dyDescent="0.2">
      <c r="B66" s="3" t="s">
        <v>2481</v>
      </c>
      <c r="C66" s="3" t="s">
        <v>2482</v>
      </c>
      <c r="D66" s="4" t="s">
        <v>2483</v>
      </c>
    </row>
    <row r="67" spans="2:4" ht="28.5" x14ac:dyDescent="0.2">
      <c r="B67" s="3" t="s">
        <v>2484</v>
      </c>
      <c r="C67" s="3" t="s">
        <v>2485</v>
      </c>
      <c r="D67" s="4" t="s">
        <v>2486</v>
      </c>
    </row>
    <row r="68" spans="2:4" ht="28.5" x14ac:dyDescent="0.2">
      <c r="B68" s="3" t="s">
        <v>2487</v>
      </c>
      <c r="C68" s="3" t="s">
        <v>2488</v>
      </c>
      <c r="D68" s="4" t="s">
        <v>2489</v>
      </c>
    </row>
    <row r="69" spans="2:4" ht="28.5" x14ac:dyDescent="0.2">
      <c r="B69" s="3" t="s">
        <v>2490</v>
      </c>
      <c r="C69" s="3" t="s">
        <v>2491</v>
      </c>
      <c r="D69" s="4" t="s">
        <v>2492</v>
      </c>
    </row>
    <row r="70" spans="2:4" ht="28.5" x14ac:dyDescent="0.2">
      <c r="B70" s="3" t="s">
        <v>2493</v>
      </c>
      <c r="C70" s="3" t="s">
        <v>2494</v>
      </c>
      <c r="D70" s="4" t="s">
        <v>2495</v>
      </c>
    </row>
    <row r="71" spans="2:4" ht="28.5" x14ac:dyDescent="0.2">
      <c r="B71" s="3" t="s">
        <v>2496</v>
      </c>
      <c r="C71" s="3" t="s">
        <v>2497</v>
      </c>
      <c r="D71" s="4" t="s">
        <v>2498</v>
      </c>
    </row>
    <row r="72" spans="2:4" ht="28.5" x14ac:dyDescent="0.2">
      <c r="B72" s="3" t="s">
        <v>2499</v>
      </c>
      <c r="C72" s="3" t="s">
        <v>2500</v>
      </c>
      <c r="D72" s="4" t="s">
        <v>2501</v>
      </c>
    </row>
    <row r="75" spans="2:4" ht="17.25" x14ac:dyDescent="0.2">
      <c r="B75" s="5" t="s">
        <v>103</v>
      </c>
    </row>
    <row r="76" spans="2:4" x14ac:dyDescent="0.2">
      <c r="B76" s="6"/>
    </row>
    <row r="77" spans="2:4" x14ac:dyDescent="0.2">
      <c r="B77" s="7" t="s">
        <v>2502</v>
      </c>
    </row>
    <row r="78" spans="2:4" x14ac:dyDescent="0.2">
      <c r="B78" s="7" t="s">
        <v>2503</v>
      </c>
    </row>
    <row r="79" spans="2:4" x14ac:dyDescent="0.2">
      <c r="B79" s="7" t="s">
        <v>2504</v>
      </c>
    </row>
    <row r="80" spans="2:4" x14ac:dyDescent="0.2">
      <c r="B80" s="7" t="s">
        <v>2505</v>
      </c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438E6-0B3F-4D0B-9AAC-E67982A25330}">
  <dimension ref="B1:G82"/>
  <sheetViews>
    <sheetView zoomScaleNormal="100" workbookViewId="0">
      <selection activeCell="B1" sqref="B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5" spans="2:7" ht="17.25" x14ac:dyDescent="0.2">
      <c r="B5" s="5"/>
    </row>
    <row r="7" spans="2:7" x14ac:dyDescent="0.2">
      <c r="B7" s="1"/>
    </row>
    <row r="8" spans="2:7" x14ac:dyDescent="0.2">
      <c r="B8" s="6"/>
    </row>
    <row r="9" spans="2:7" x14ac:dyDescent="0.2">
      <c r="B9" s="7"/>
    </row>
    <row r="10" spans="2:7" x14ac:dyDescent="0.2">
      <c r="B10" s="6"/>
    </row>
    <row r="11" spans="2:7" x14ac:dyDescent="0.2">
      <c r="B11" s="8"/>
    </row>
    <row r="12" spans="2:7" x14ac:dyDescent="0.2">
      <c r="B12" s="8"/>
    </row>
    <row r="13" spans="2:7" x14ac:dyDescent="0.2">
      <c r="B13" s="8"/>
    </row>
    <row r="14" spans="2:7" x14ac:dyDescent="0.2">
      <c r="B14" s="8"/>
    </row>
    <row r="15" spans="2:7" x14ac:dyDescent="0.2">
      <c r="B15" s="9"/>
    </row>
    <row r="16" spans="2:7" x14ac:dyDescent="0.2">
      <c r="B16" s="10"/>
    </row>
    <row r="17" spans="2:7" x14ac:dyDescent="0.2">
      <c r="B17" s="10"/>
    </row>
    <row r="21" spans="2:7" ht="17.25" x14ac:dyDescent="0.2">
      <c r="B21" s="5"/>
    </row>
    <row r="22" spans="2:7" ht="16.5" thickBot="1" x14ac:dyDescent="0.25">
      <c r="B22" s="11"/>
    </row>
    <row r="23" spans="2:7" ht="16.5" thickBot="1" x14ac:dyDescent="0.25">
      <c r="B23" s="12"/>
      <c r="C23" s="12"/>
      <c r="D23" s="12"/>
      <c r="E23" s="12"/>
    </row>
    <row r="24" spans="2:7" ht="16.5" thickBot="1" x14ac:dyDescent="0.25">
      <c r="B24" s="14"/>
      <c r="C24" s="15"/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B25" s="14"/>
      <c r="C25" s="15"/>
      <c r="D25" s="15"/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14"/>
      <c r="C26" s="15"/>
      <c r="D26" s="15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14"/>
      <c r="C27" s="15"/>
      <c r="D27" s="15"/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14"/>
      <c r="C28" s="15"/>
      <c r="D28" s="15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14"/>
      <c r="C29" s="15"/>
      <c r="D29" s="15"/>
      <c r="E29" s="15"/>
      <c r="G29" t="str">
        <f t="shared" si="0"/>
        <v>&lt;dl&gt;&lt;dt&gt;&lt;/dt&gt;&lt;dd&gt;&lt;/dd&gt;&lt;dd&gt;&lt;/dd&gt;&lt;/dl&gt;</v>
      </c>
    </row>
    <row r="32" spans="2:7" ht="17.25" x14ac:dyDescent="0.2">
      <c r="B32" s="5"/>
    </row>
    <row r="33" spans="2:7" ht="16.5" thickBot="1" x14ac:dyDescent="0.25">
      <c r="B33" s="11"/>
    </row>
    <row r="34" spans="2:7" ht="16.5" thickBot="1" x14ac:dyDescent="0.25">
      <c r="B34" s="12"/>
      <c r="C34" s="12"/>
      <c r="D34" s="12"/>
      <c r="E34" s="12"/>
    </row>
    <row r="35" spans="2:7" ht="16.5" thickBot="1" x14ac:dyDescent="0.25">
      <c r="B35" s="14"/>
      <c r="C35" s="15"/>
      <c r="D35" s="15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4"/>
      <c r="C36" s="15"/>
      <c r="D36" s="15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14"/>
      <c r="C37" s="15"/>
      <c r="D37" s="15"/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B38" s="14"/>
      <c r="C38" s="15"/>
      <c r="D38" s="15"/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14"/>
      <c r="C39" s="15"/>
      <c r="D39" s="15"/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4"/>
      <c r="C40" s="15"/>
      <c r="D40" s="15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4"/>
      <c r="C41" s="15"/>
      <c r="D41" s="15"/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14"/>
      <c r="C42" s="15"/>
      <c r="D42" s="15"/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65B72-BD5D-425C-B088-775883F34619}">
  <dimension ref="B1:G82"/>
  <sheetViews>
    <sheetView zoomScaleNormal="100" workbookViewId="0">
      <selection activeCell="B1" sqref="B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5" spans="2:7" ht="17.25" x14ac:dyDescent="0.2">
      <c r="B5" s="5"/>
    </row>
    <row r="7" spans="2:7" x14ac:dyDescent="0.2">
      <c r="B7" s="1"/>
    </row>
    <row r="8" spans="2:7" x14ac:dyDescent="0.2">
      <c r="B8" s="6"/>
    </row>
    <row r="9" spans="2:7" x14ac:dyDescent="0.2">
      <c r="B9" s="7"/>
    </row>
    <row r="10" spans="2:7" x14ac:dyDescent="0.2">
      <c r="B10" s="6"/>
    </row>
    <row r="11" spans="2:7" x14ac:dyDescent="0.2">
      <c r="B11" s="8"/>
    </row>
    <row r="12" spans="2:7" x14ac:dyDescent="0.2">
      <c r="B12" s="8"/>
    </row>
    <row r="13" spans="2:7" x14ac:dyDescent="0.2">
      <c r="B13" s="8"/>
    </row>
    <row r="14" spans="2:7" x14ac:dyDescent="0.2">
      <c r="B14" s="8"/>
    </row>
    <row r="15" spans="2:7" x14ac:dyDescent="0.2">
      <c r="B15" s="9"/>
    </row>
    <row r="16" spans="2:7" x14ac:dyDescent="0.2">
      <c r="B16" s="10"/>
    </row>
    <row r="17" spans="2:7" x14ac:dyDescent="0.2">
      <c r="B17" s="10"/>
    </row>
    <row r="21" spans="2:7" ht="17.25" x14ac:dyDescent="0.2">
      <c r="B21" s="5"/>
    </row>
    <row r="22" spans="2:7" ht="16.5" thickBot="1" x14ac:dyDescent="0.25">
      <c r="B22" s="11"/>
    </row>
    <row r="23" spans="2:7" ht="16.5" thickBot="1" x14ac:dyDescent="0.25">
      <c r="B23" s="12"/>
      <c r="C23" s="12"/>
      <c r="D23" s="12"/>
      <c r="E23" s="12"/>
    </row>
    <row r="24" spans="2:7" ht="16.5" thickBot="1" x14ac:dyDescent="0.25">
      <c r="B24" s="14"/>
      <c r="C24" s="15"/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B25" s="14"/>
      <c r="C25" s="15"/>
      <c r="D25" s="15"/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14"/>
      <c r="C26" s="15"/>
      <c r="D26" s="15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14"/>
      <c r="C27" s="15"/>
      <c r="D27" s="15"/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14"/>
      <c r="C28" s="15"/>
      <c r="D28" s="15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14"/>
      <c r="C29" s="15"/>
      <c r="D29" s="15"/>
      <c r="E29" s="15"/>
      <c r="G29" t="str">
        <f t="shared" si="0"/>
        <v>&lt;dl&gt;&lt;dt&gt;&lt;/dt&gt;&lt;dd&gt;&lt;/dd&gt;&lt;dd&gt;&lt;/dd&gt;&lt;/dl&gt;</v>
      </c>
    </row>
    <row r="32" spans="2:7" ht="17.25" x14ac:dyDescent="0.2">
      <c r="B32" s="5"/>
    </row>
    <row r="33" spans="2:7" ht="16.5" thickBot="1" x14ac:dyDescent="0.25">
      <c r="B33" s="11"/>
    </row>
    <row r="34" spans="2:7" ht="16.5" thickBot="1" x14ac:dyDescent="0.25">
      <c r="B34" s="12"/>
      <c r="C34" s="12"/>
      <c r="D34" s="12"/>
      <c r="E34" s="12"/>
    </row>
    <row r="35" spans="2:7" ht="16.5" thickBot="1" x14ac:dyDescent="0.25">
      <c r="B35" s="14"/>
      <c r="C35" s="15"/>
      <c r="D35" s="15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4"/>
      <c r="C36" s="15"/>
      <c r="D36" s="15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14"/>
      <c r="C37" s="15"/>
      <c r="D37" s="15"/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B38" s="14"/>
      <c r="C38" s="15"/>
      <c r="D38" s="15"/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14"/>
      <c r="C39" s="15"/>
      <c r="D39" s="15"/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4"/>
      <c r="C40" s="15"/>
      <c r="D40" s="15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4"/>
      <c r="C41" s="15"/>
      <c r="D41" s="15"/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14"/>
      <c r="C42" s="15"/>
      <c r="D42" s="15"/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8DB7E-3D1B-4E22-A755-DC2A224B5ACF}">
  <dimension ref="B1:G82"/>
  <sheetViews>
    <sheetView zoomScaleNormal="100" workbookViewId="0">
      <selection activeCell="B1" sqref="B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5" spans="2:7" ht="17.25" x14ac:dyDescent="0.2">
      <c r="B5" s="5"/>
    </row>
    <row r="7" spans="2:7" x14ac:dyDescent="0.2">
      <c r="B7" s="1"/>
    </row>
    <row r="8" spans="2:7" x14ac:dyDescent="0.2">
      <c r="B8" s="6"/>
    </row>
    <row r="9" spans="2:7" x14ac:dyDescent="0.2">
      <c r="B9" s="7"/>
    </row>
    <row r="10" spans="2:7" x14ac:dyDescent="0.2">
      <c r="B10" s="6"/>
    </row>
    <row r="11" spans="2:7" x14ac:dyDescent="0.2">
      <c r="B11" s="8"/>
    </row>
    <row r="12" spans="2:7" x14ac:dyDescent="0.2">
      <c r="B12" s="8"/>
    </row>
    <row r="13" spans="2:7" x14ac:dyDescent="0.2">
      <c r="B13" s="8"/>
    </row>
    <row r="14" spans="2:7" x14ac:dyDescent="0.2">
      <c r="B14" s="8"/>
    </row>
    <row r="15" spans="2:7" x14ac:dyDescent="0.2">
      <c r="B15" s="9"/>
    </row>
    <row r="16" spans="2:7" x14ac:dyDescent="0.2">
      <c r="B16" s="10"/>
    </row>
    <row r="17" spans="2:7" x14ac:dyDescent="0.2">
      <c r="B17" s="10"/>
    </row>
    <row r="21" spans="2:7" ht="17.25" x14ac:dyDescent="0.2">
      <c r="B21" s="5"/>
    </row>
    <row r="22" spans="2:7" ht="16.5" thickBot="1" x14ac:dyDescent="0.25">
      <c r="B22" s="11"/>
    </row>
    <row r="23" spans="2:7" ht="16.5" thickBot="1" x14ac:dyDescent="0.25">
      <c r="B23" s="12"/>
      <c r="C23" s="12"/>
      <c r="D23" s="12"/>
      <c r="E23" s="12"/>
    </row>
    <row r="24" spans="2:7" ht="16.5" thickBot="1" x14ac:dyDescent="0.25">
      <c r="B24" s="14"/>
      <c r="C24" s="15"/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B25" s="14"/>
      <c r="C25" s="15"/>
      <c r="D25" s="15"/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14"/>
      <c r="C26" s="15"/>
      <c r="D26" s="15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14"/>
      <c r="C27" s="15"/>
      <c r="D27" s="15"/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14"/>
      <c r="C28" s="15"/>
      <c r="D28" s="15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14"/>
      <c r="C29" s="15"/>
      <c r="D29" s="15"/>
      <c r="E29" s="15"/>
      <c r="G29" t="str">
        <f t="shared" si="0"/>
        <v>&lt;dl&gt;&lt;dt&gt;&lt;/dt&gt;&lt;dd&gt;&lt;/dd&gt;&lt;dd&gt;&lt;/dd&gt;&lt;/dl&gt;</v>
      </c>
    </row>
    <row r="32" spans="2:7" ht="17.25" x14ac:dyDescent="0.2">
      <c r="B32" s="5"/>
    </row>
    <row r="33" spans="2:7" ht="16.5" thickBot="1" x14ac:dyDescent="0.25">
      <c r="B33" s="11"/>
    </row>
    <row r="34" spans="2:7" ht="16.5" thickBot="1" x14ac:dyDescent="0.25">
      <c r="B34" s="12"/>
      <c r="C34" s="12"/>
      <c r="D34" s="12"/>
      <c r="E34" s="12"/>
    </row>
    <row r="35" spans="2:7" ht="16.5" thickBot="1" x14ac:dyDescent="0.25">
      <c r="B35" s="14"/>
      <c r="C35" s="15"/>
      <c r="D35" s="15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4"/>
      <c r="C36" s="15"/>
      <c r="D36" s="15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14"/>
      <c r="C37" s="15"/>
      <c r="D37" s="15"/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B38" s="14"/>
      <c r="C38" s="15"/>
      <c r="D38" s="15"/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14"/>
      <c r="C39" s="15"/>
      <c r="D39" s="15"/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4"/>
      <c r="C40" s="15"/>
      <c r="D40" s="15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4"/>
      <c r="C41" s="15"/>
      <c r="D41" s="15"/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14"/>
      <c r="C42" s="15"/>
      <c r="D42" s="15"/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20001-89EF-4A52-B128-19A403BE9D53}">
  <dimension ref="B1:G82"/>
  <sheetViews>
    <sheetView zoomScaleNormal="100" workbookViewId="0">
      <selection activeCell="B1" sqref="B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5" spans="2:7" ht="17.25" x14ac:dyDescent="0.2">
      <c r="B5" s="5"/>
    </row>
    <row r="7" spans="2:7" x14ac:dyDescent="0.2">
      <c r="B7" s="1"/>
    </row>
    <row r="8" spans="2:7" x14ac:dyDescent="0.2">
      <c r="B8" s="6"/>
    </row>
    <row r="9" spans="2:7" x14ac:dyDescent="0.2">
      <c r="B9" s="7"/>
    </row>
    <row r="10" spans="2:7" x14ac:dyDescent="0.2">
      <c r="B10" s="6"/>
    </row>
    <row r="11" spans="2:7" x14ac:dyDescent="0.2">
      <c r="B11" s="8"/>
    </row>
    <row r="12" spans="2:7" x14ac:dyDescent="0.2">
      <c r="B12" s="8"/>
    </row>
    <row r="13" spans="2:7" x14ac:dyDescent="0.2">
      <c r="B13" s="8"/>
    </row>
    <row r="14" spans="2:7" x14ac:dyDescent="0.2">
      <c r="B14" s="8"/>
    </row>
    <row r="15" spans="2:7" x14ac:dyDescent="0.2">
      <c r="B15" s="9"/>
    </row>
    <row r="16" spans="2:7" x14ac:dyDescent="0.2">
      <c r="B16" s="10"/>
    </row>
    <row r="17" spans="2:7" x14ac:dyDescent="0.2">
      <c r="B17" s="10"/>
    </row>
    <row r="21" spans="2:7" ht="17.25" x14ac:dyDescent="0.2">
      <c r="B21" s="5"/>
    </row>
    <row r="22" spans="2:7" ht="16.5" thickBot="1" x14ac:dyDescent="0.25">
      <c r="B22" s="11"/>
    </row>
    <row r="23" spans="2:7" ht="16.5" thickBot="1" x14ac:dyDescent="0.25">
      <c r="B23" s="12"/>
      <c r="C23" s="12"/>
      <c r="D23" s="12"/>
      <c r="E23" s="12"/>
    </row>
    <row r="24" spans="2:7" ht="16.5" thickBot="1" x14ac:dyDescent="0.25">
      <c r="B24" s="14"/>
      <c r="C24" s="15"/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B25" s="14"/>
      <c r="C25" s="15"/>
      <c r="D25" s="15"/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14"/>
      <c r="C26" s="15"/>
      <c r="D26" s="15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14"/>
      <c r="C27" s="15"/>
      <c r="D27" s="15"/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14"/>
      <c r="C28" s="15"/>
      <c r="D28" s="15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14"/>
      <c r="C29" s="15"/>
      <c r="D29" s="15"/>
      <c r="E29" s="15"/>
      <c r="G29" t="str">
        <f t="shared" si="0"/>
        <v>&lt;dl&gt;&lt;dt&gt;&lt;/dt&gt;&lt;dd&gt;&lt;/dd&gt;&lt;dd&gt;&lt;/dd&gt;&lt;/dl&gt;</v>
      </c>
    </row>
    <row r="32" spans="2:7" ht="17.25" x14ac:dyDescent="0.2">
      <c r="B32" s="5"/>
    </row>
    <row r="33" spans="2:7" ht="16.5" thickBot="1" x14ac:dyDescent="0.25">
      <c r="B33" s="11"/>
    </row>
    <row r="34" spans="2:7" ht="16.5" thickBot="1" x14ac:dyDescent="0.25">
      <c r="B34" s="12"/>
      <c r="C34" s="12"/>
      <c r="D34" s="12"/>
      <c r="E34" s="12"/>
    </row>
    <row r="35" spans="2:7" ht="16.5" thickBot="1" x14ac:dyDescent="0.25">
      <c r="B35" s="14"/>
      <c r="C35" s="15"/>
      <c r="D35" s="15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4"/>
      <c r="C36" s="15"/>
      <c r="D36" s="15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14"/>
      <c r="C37" s="15"/>
      <c r="D37" s="15"/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B38" s="14"/>
      <c r="C38" s="15"/>
      <c r="D38" s="15"/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14"/>
      <c r="C39" s="15"/>
      <c r="D39" s="15"/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4"/>
      <c r="C40" s="15"/>
      <c r="D40" s="15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4"/>
      <c r="C41" s="15"/>
      <c r="D41" s="15"/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14"/>
      <c r="C42" s="15"/>
      <c r="D42" s="15"/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0050C-55C8-4201-AC06-44333C0F182A}">
  <dimension ref="B1:G82"/>
  <sheetViews>
    <sheetView zoomScaleNormal="100" workbookViewId="0">
      <selection activeCell="B1" sqref="B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5" spans="2:7" ht="17.25" x14ac:dyDescent="0.2">
      <c r="B5" s="5"/>
    </row>
    <row r="7" spans="2:7" x14ac:dyDescent="0.2">
      <c r="B7" s="1"/>
    </row>
    <row r="8" spans="2:7" x14ac:dyDescent="0.2">
      <c r="B8" s="6"/>
    </row>
    <row r="9" spans="2:7" x14ac:dyDescent="0.2">
      <c r="B9" s="7"/>
    </row>
    <row r="10" spans="2:7" x14ac:dyDescent="0.2">
      <c r="B10" s="6"/>
    </row>
    <row r="11" spans="2:7" x14ac:dyDescent="0.2">
      <c r="B11" s="8"/>
    </row>
    <row r="12" spans="2:7" x14ac:dyDescent="0.2">
      <c r="B12" s="8"/>
    </row>
    <row r="13" spans="2:7" x14ac:dyDescent="0.2">
      <c r="B13" s="8"/>
    </row>
    <row r="14" spans="2:7" x14ac:dyDescent="0.2">
      <c r="B14" s="8"/>
    </row>
    <row r="15" spans="2:7" x14ac:dyDescent="0.2">
      <c r="B15" s="9"/>
    </row>
    <row r="16" spans="2:7" x14ac:dyDescent="0.2">
      <c r="B16" s="10"/>
    </row>
    <row r="17" spans="2:7" x14ac:dyDescent="0.2">
      <c r="B17" s="10"/>
    </row>
    <row r="21" spans="2:7" ht="17.25" x14ac:dyDescent="0.2">
      <c r="B21" s="5"/>
    </row>
    <row r="22" spans="2:7" ht="16.5" thickBot="1" x14ac:dyDescent="0.25">
      <c r="B22" s="11"/>
    </row>
    <row r="23" spans="2:7" ht="16.5" thickBot="1" x14ac:dyDescent="0.25">
      <c r="B23" s="12"/>
      <c r="C23" s="12"/>
      <c r="D23" s="12"/>
      <c r="E23" s="12"/>
    </row>
    <row r="24" spans="2:7" ht="16.5" thickBot="1" x14ac:dyDescent="0.25">
      <c r="B24" s="14"/>
      <c r="C24" s="15"/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B25" s="14"/>
      <c r="C25" s="15"/>
      <c r="D25" s="15"/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14"/>
      <c r="C26" s="15"/>
      <c r="D26" s="15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14"/>
      <c r="C27" s="15"/>
      <c r="D27" s="15"/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14"/>
      <c r="C28" s="15"/>
      <c r="D28" s="15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14"/>
      <c r="C29" s="15"/>
      <c r="D29" s="15"/>
      <c r="E29" s="15"/>
      <c r="G29" t="str">
        <f t="shared" si="0"/>
        <v>&lt;dl&gt;&lt;dt&gt;&lt;/dt&gt;&lt;dd&gt;&lt;/dd&gt;&lt;dd&gt;&lt;/dd&gt;&lt;/dl&gt;</v>
      </c>
    </row>
    <row r="32" spans="2:7" ht="17.25" x14ac:dyDescent="0.2">
      <c r="B32" s="5"/>
    </row>
    <row r="33" spans="2:7" ht="16.5" thickBot="1" x14ac:dyDescent="0.25">
      <c r="B33" s="11"/>
    </row>
    <row r="34" spans="2:7" ht="16.5" thickBot="1" x14ac:dyDescent="0.25">
      <c r="B34" s="12"/>
      <c r="C34" s="12"/>
      <c r="D34" s="12"/>
      <c r="E34" s="12"/>
    </row>
    <row r="35" spans="2:7" ht="16.5" thickBot="1" x14ac:dyDescent="0.25">
      <c r="B35" s="14"/>
      <c r="C35" s="15"/>
      <c r="D35" s="15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4"/>
      <c r="C36" s="15"/>
      <c r="D36" s="15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14"/>
      <c r="C37" s="15"/>
      <c r="D37" s="15"/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B38" s="14"/>
      <c r="C38" s="15"/>
      <c r="D38" s="15"/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14"/>
      <c r="C39" s="15"/>
      <c r="D39" s="15"/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4"/>
      <c r="C40" s="15"/>
      <c r="D40" s="15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4"/>
      <c r="C41" s="15"/>
      <c r="D41" s="15"/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14"/>
      <c r="C42" s="15"/>
      <c r="D42" s="15"/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68</vt:i4>
      </vt:variant>
    </vt:vector>
  </HeadingPairs>
  <TitlesOfParts>
    <vt:vector size="68" baseType="lpstr">
      <vt:lpstr>紫微</vt:lpstr>
      <vt:lpstr>天府</vt:lpstr>
      <vt:lpstr>天梁</vt:lpstr>
      <vt:lpstr>天相</vt:lpstr>
      <vt:lpstr>太阳</vt:lpstr>
      <vt:lpstr>太阴</vt:lpstr>
      <vt:lpstr>破军</vt:lpstr>
      <vt:lpstr>七杀</vt:lpstr>
      <vt:lpstr>巨门</vt:lpstr>
      <vt:lpstr>天机</vt:lpstr>
      <vt:lpstr>天同</vt:lpstr>
      <vt:lpstr>廉贞</vt:lpstr>
      <vt:lpstr>贪狼</vt:lpstr>
      <vt:lpstr>武曲</vt:lpstr>
      <vt:lpstr>文昌</vt:lpstr>
      <vt:lpstr>文曲</vt:lpstr>
      <vt:lpstr>左辅</vt:lpstr>
      <vt:lpstr>右弼</vt:lpstr>
      <vt:lpstr>天魁</vt:lpstr>
      <vt:lpstr>天钺</vt:lpstr>
      <vt:lpstr>禄存</vt:lpstr>
      <vt:lpstr>天马</vt:lpstr>
      <vt:lpstr>擎羊</vt:lpstr>
      <vt:lpstr>陀罗</vt:lpstr>
      <vt:lpstr>地空</vt:lpstr>
      <vt:lpstr>地劫</vt:lpstr>
      <vt:lpstr>火星</vt:lpstr>
      <vt:lpstr>铃星</vt:lpstr>
      <vt:lpstr>天刑</vt:lpstr>
      <vt:lpstr>天寿</vt:lpstr>
      <vt:lpstr>天巫</vt:lpstr>
      <vt:lpstr>阴煞</vt:lpstr>
      <vt:lpstr>天使</vt:lpstr>
      <vt:lpstr>天伤</vt:lpstr>
      <vt:lpstr>天月</vt:lpstr>
      <vt:lpstr>华盖</vt:lpstr>
      <vt:lpstr>大耗</vt:lpstr>
      <vt:lpstr>蜚蠊</vt:lpstr>
      <vt:lpstr>天哭</vt:lpstr>
      <vt:lpstr>天厨</vt:lpstr>
      <vt:lpstr>恩光</vt:lpstr>
      <vt:lpstr>天贵</vt:lpstr>
      <vt:lpstr>红鸾</vt:lpstr>
      <vt:lpstr>天喜</vt:lpstr>
      <vt:lpstr>天虚</vt:lpstr>
      <vt:lpstr>天姚</vt:lpstr>
      <vt:lpstr>咸池</vt:lpstr>
      <vt:lpstr>台辅</vt:lpstr>
      <vt:lpstr>封诰</vt:lpstr>
      <vt:lpstr>三台</vt:lpstr>
      <vt:lpstr>八座</vt:lpstr>
      <vt:lpstr>天才</vt:lpstr>
      <vt:lpstr>天官</vt:lpstr>
      <vt:lpstr>天福</vt:lpstr>
      <vt:lpstr>龙池</vt:lpstr>
      <vt:lpstr>凤阁</vt:lpstr>
      <vt:lpstr>孤辰</vt:lpstr>
      <vt:lpstr>寡宿</vt:lpstr>
      <vt:lpstr>破碎</vt:lpstr>
      <vt:lpstr>天德</vt:lpstr>
      <vt:lpstr>龙德</vt:lpstr>
      <vt:lpstr>月德</vt:lpstr>
      <vt:lpstr>天空</vt:lpstr>
      <vt:lpstr>XX (64)</vt:lpstr>
      <vt:lpstr>XX (65)</vt:lpstr>
      <vt:lpstr>XX (66)</vt:lpstr>
      <vt:lpstr>XX (67)</vt:lpstr>
      <vt:lpstr>XX (68)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金汉 JH</dc:creator>
  <cp:lastModifiedBy>金汉 JH</cp:lastModifiedBy>
  <dcterms:created xsi:type="dcterms:W3CDTF">2026-01-11T12:11:07Z</dcterms:created>
  <dcterms:modified xsi:type="dcterms:W3CDTF">2026-04-30T06:35:11Z</dcterms:modified>
</cp:coreProperties>
</file>