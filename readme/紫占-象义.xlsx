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ython\5shu\"/>
    </mc:Choice>
  </mc:AlternateContent>
  <xr:revisionPtr revIDLastSave="0" documentId="13_ncr:1_{983BEE16-DD2D-4CD5-9477-9A2655A86957}" xr6:coauthVersionLast="47" xr6:coauthVersionMax="47" xr10:uidLastSave="{00000000-0000-0000-0000-000000000000}"/>
  <bookViews>
    <workbookView xWindow="-120" yWindow="-120" windowWidth="29040" windowHeight="15720" activeTab="14" xr2:uid="{34576F0D-9301-42B9-8121-B3CEA579FF28}"/>
  </bookViews>
  <sheets>
    <sheet name="天府" sheetId="2" r:id="rId1"/>
    <sheet name="文曲" sheetId="3" r:id="rId2"/>
    <sheet name="紫微" sheetId="4" r:id="rId3"/>
    <sheet name="巨门" sheetId="5" r:id="rId4"/>
    <sheet name="天机" sheetId="6" r:id="rId5"/>
    <sheet name="天梁" sheetId="7" r:id="rId6"/>
    <sheet name="廉贞" sheetId="8" r:id="rId7"/>
    <sheet name="太阴" sheetId="9" r:id="rId8"/>
    <sheet name="太阳" sheetId="10" r:id="rId9"/>
    <sheet name="天相" sheetId="11" r:id="rId10"/>
    <sheet name="武曲" sheetId="12" r:id="rId11"/>
    <sheet name="贪狼" sheetId="13" r:id="rId12"/>
    <sheet name="天同" sheetId="14" r:id="rId13"/>
    <sheet name="七杀" sheetId="15" r:id="rId14"/>
    <sheet name="破军" sheetId="16" r:id="rId15"/>
    <sheet name="文昌" sheetId="17" r:id="rId16"/>
    <sheet name="左辅" sheetId="18" r:id="rId17"/>
    <sheet name="右弼" sheetId="19" r:id="rId18"/>
    <sheet name="天魁" sheetId="20" r:id="rId19"/>
    <sheet name="天钺" sheetId="21" r:id="rId20"/>
    <sheet name="禄存" sheetId="22" r:id="rId21"/>
    <sheet name="天马" sheetId="23" r:id="rId22"/>
    <sheet name="擎羊" sheetId="24" r:id="rId23"/>
    <sheet name="陀罗" sheetId="25" r:id="rId24"/>
    <sheet name="地空" sheetId="26" r:id="rId25"/>
    <sheet name="地劫" sheetId="27" r:id="rId26"/>
    <sheet name="火星" sheetId="28" r:id="rId27"/>
    <sheet name="铃星" sheetId="29" r:id="rId28"/>
    <sheet name="天刑" sheetId="30" r:id="rId29"/>
    <sheet name="天寿" sheetId="31" r:id="rId30"/>
    <sheet name="天才" sheetId="32" r:id="rId31"/>
    <sheet name="XX (31)" sheetId="33" r:id="rId32"/>
    <sheet name="XX (32)" sheetId="34" r:id="rId3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2" i="34" l="1"/>
  <c r="G51" i="34"/>
  <c r="G50" i="34"/>
  <c r="G49" i="34"/>
  <c r="G43" i="34"/>
  <c r="G42" i="34"/>
  <c r="G41" i="34"/>
  <c r="G40" i="34"/>
  <c r="G39" i="34"/>
  <c r="G38" i="34"/>
  <c r="G37" i="34"/>
  <c r="G36" i="34"/>
  <c r="G35" i="34"/>
  <c r="G29" i="34"/>
  <c r="G28" i="34"/>
  <c r="G27" i="34"/>
  <c r="G26" i="34"/>
  <c r="G25" i="34"/>
  <c r="G24" i="34"/>
  <c r="G1" i="34"/>
  <c r="G52" i="33"/>
  <c r="G51" i="33"/>
  <c r="G50" i="33"/>
  <c r="G49" i="33"/>
  <c r="G43" i="33"/>
  <c r="G42" i="33"/>
  <c r="G41" i="33"/>
  <c r="G40" i="33"/>
  <c r="G39" i="33"/>
  <c r="G38" i="33"/>
  <c r="G37" i="33"/>
  <c r="G36" i="33"/>
  <c r="G35" i="33"/>
  <c r="G29" i="33"/>
  <c r="G28" i="33"/>
  <c r="G27" i="33"/>
  <c r="G26" i="33"/>
  <c r="G25" i="33"/>
  <c r="G24" i="33"/>
  <c r="G1" i="33"/>
  <c r="G52" i="32"/>
  <c r="G51" i="32"/>
  <c r="G50" i="32"/>
  <c r="G49" i="32"/>
  <c r="G43" i="32"/>
  <c r="G42" i="32"/>
  <c r="G41" i="32"/>
  <c r="G40" i="32"/>
  <c r="G39" i="32"/>
  <c r="G38" i="32"/>
  <c r="G37" i="32"/>
  <c r="G36" i="32"/>
  <c r="G35" i="32"/>
  <c r="G29" i="32"/>
  <c r="G28" i="32"/>
  <c r="G27" i="32"/>
  <c r="G26" i="32"/>
  <c r="G25" i="32"/>
  <c r="G24" i="32"/>
  <c r="G1" i="32"/>
  <c r="G52" i="31"/>
  <c r="G51" i="31"/>
  <c r="G50" i="31"/>
  <c r="G49" i="31"/>
  <c r="G43" i="31"/>
  <c r="G42" i="31"/>
  <c r="G41" i="31"/>
  <c r="G40" i="31"/>
  <c r="G39" i="31"/>
  <c r="G38" i="31"/>
  <c r="G37" i="31"/>
  <c r="G36" i="31"/>
  <c r="G35" i="31"/>
  <c r="G29" i="31"/>
  <c r="G28" i="31"/>
  <c r="G27" i="31"/>
  <c r="G26" i="31"/>
  <c r="G25" i="31"/>
  <c r="G24" i="31"/>
  <c r="G1" i="31"/>
  <c r="G52" i="30"/>
  <c r="G51" i="30"/>
  <c r="G50" i="30"/>
  <c r="G49" i="30"/>
  <c r="G43" i="30"/>
  <c r="G42" i="30"/>
  <c r="G41" i="30"/>
  <c r="G40" i="30"/>
  <c r="G39" i="30"/>
  <c r="G38" i="30"/>
  <c r="G37" i="30"/>
  <c r="G36" i="30"/>
  <c r="G35" i="30"/>
  <c r="G29" i="30"/>
  <c r="G28" i="30"/>
  <c r="G27" i="30"/>
  <c r="G26" i="30"/>
  <c r="G25" i="30"/>
  <c r="G24" i="30"/>
  <c r="G1" i="30"/>
  <c r="G52" i="29"/>
  <c r="G51" i="29"/>
  <c r="G50" i="29"/>
  <c r="G49" i="29"/>
  <c r="G43" i="29"/>
  <c r="G42" i="29"/>
  <c r="G41" i="29"/>
  <c r="G40" i="29"/>
  <c r="G39" i="29"/>
  <c r="G38" i="29"/>
  <c r="G37" i="29"/>
  <c r="G36" i="29"/>
  <c r="G35" i="29"/>
  <c r="G29" i="29"/>
  <c r="G28" i="29"/>
  <c r="G27" i="29"/>
  <c r="G26" i="29"/>
  <c r="G25" i="29"/>
  <c r="G24" i="29"/>
  <c r="G1" i="29"/>
  <c r="G52" i="28"/>
  <c r="G51" i="28"/>
  <c r="G50" i="28"/>
  <c r="G49" i="28"/>
  <c r="G43" i="28"/>
  <c r="G42" i="28"/>
  <c r="G41" i="28"/>
  <c r="G40" i="28"/>
  <c r="G39" i="28"/>
  <c r="G38" i="28"/>
  <c r="G37" i="28"/>
  <c r="G36" i="28"/>
  <c r="G35" i="28"/>
  <c r="G29" i="28"/>
  <c r="G28" i="28"/>
  <c r="G27" i="28"/>
  <c r="G26" i="28"/>
  <c r="G25" i="28"/>
  <c r="G24" i="28"/>
  <c r="G1" i="28"/>
  <c r="G49" i="27"/>
  <c r="G48" i="27"/>
  <c r="G47" i="27"/>
  <c r="G46" i="27"/>
  <c r="G40" i="27"/>
  <c r="G39" i="27"/>
  <c r="G38" i="27"/>
  <c r="G37" i="27"/>
  <c r="G36" i="27"/>
  <c r="G35" i="27"/>
  <c r="G34" i="27"/>
  <c r="G33" i="27"/>
  <c r="G32" i="27"/>
  <c r="G26" i="27"/>
  <c r="G25" i="27"/>
  <c r="G24" i="27"/>
  <c r="G23" i="27"/>
  <c r="G22" i="27"/>
  <c r="G21" i="27"/>
  <c r="G1" i="27"/>
  <c r="G52" i="26"/>
  <c r="G51" i="26"/>
  <c r="G50" i="26"/>
  <c r="G49" i="26"/>
  <c r="G43" i="26"/>
  <c r="G42" i="26"/>
  <c r="G41" i="26"/>
  <c r="G40" i="26"/>
  <c r="G39" i="26"/>
  <c r="G38" i="26"/>
  <c r="G37" i="26"/>
  <c r="G36" i="26"/>
  <c r="G35" i="26"/>
  <c r="G29" i="26"/>
  <c r="G28" i="26"/>
  <c r="G27" i="26"/>
  <c r="G26" i="26"/>
  <c r="G25" i="26"/>
  <c r="G24" i="26"/>
  <c r="G1" i="26"/>
  <c r="G52" i="25"/>
  <c r="G51" i="25"/>
  <c r="G50" i="25"/>
  <c r="G49" i="25"/>
  <c r="G43" i="25"/>
  <c r="G42" i="25"/>
  <c r="G41" i="25"/>
  <c r="G40" i="25"/>
  <c r="G39" i="25"/>
  <c r="G38" i="25"/>
  <c r="G37" i="25"/>
  <c r="G36" i="25"/>
  <c r="G35" i="25"/>
  <c r="G29" i="25"/>
  <c r="G28" i="25"/>
  <c r="G27" i="25"/>
  <c r="G26" i="25"/>
  <c r="G25" i="25"/>
  <c r="G24" i="25"/>
  <c r="G1" i="25"/>
  <c r="G52" i="24"/>
  <c r="G51" i="24"/>
  <c r="G50" i="24"/>
  <c r="G49" i="24"/>
  <c r="G43" i="24"/>
  <c r="G42" i="24"/>
  <c r="G41" i="24"/>
  <c r="G40" i="24"/>
  <c r="G39" i="24"/>
  <c r="G38" i="24"/>
  <c r="G37" i="24"/>
  <c r="G36" i="24"/>
  <c r="G35" i="24"/>
  <c r="G29" i="24"/>
  <c r="G28" i="24"/>
  <c r="G27" i="24"/>
  <c r="G26" i="24"/>
  <c r="G25" i="24"/>
  <c r="G24" i="24"/>
  <c r="G1" i="24"/>
  <c r="G52" i="23"/>
  <c r="G51" i="23"/>
  <c r="G50" i="23"/>
  <c r="G49" i="23"/>
  <c r="G43" i="23"/>
  <c r="G42" i="23"/>
  <c r="G41" i="23"/>
  <c r="G40" i="23"/>
  <c r="G39" i="23"/>
  <c r="G38" i="23"/>
  <c r="G37" i="23"/>
  <c r="G36" i="23"/>
  <c r="G35" i="23"/>
  <c r="G29" i="23"/>
  <c r="G28" i="23"/>
  <c r="G27" i="23"/>
  <c r="G26" i="23"/>
  <c r="G25" i="23"/>
  <c r="G24" i="23"/>
  <c r="G1" i="23"/>
  <c r="G52" i="22"/>
  <c r="G51" i="22"/>
  <c r="G50" i="22"/>
  <c r="G49" i="22"/>
  <c r="G43" i="22"/>
  <c r="G42" i="22"/>
  <c r="G41" i="22"/>
  <c r="G40" i="22"/>
  <c r="G39" i="22"/>
  <c r="G38" i="22"/>
  <c r="G37" i="22"/>
  <c r="G36" i="22"/>
  <c r="G35" i="22"/>
  <c r="G29" i="22"/>
  <c r="G28" i="22"/>
  <c r="G27" i="22"/>
  <c r="G26" i="22"/>
  <c r="G25" i="22"/>
  <c r="G24" i="22"/>
  <c r="G1" i="22"/>
  <c r="G50" i="21"/>
  <c r="G49" i="21"/>
  <c r="G43" i="21"/>
  <c r="G42" i="21"/>
  <c r="G41" i="21"/>
  <c r="G40" i="21"/>
  <c r="G39" i="21"/>
  <c r="G38" i="21"/>
  <c r="G37" i="21"/>
  <c r="G36" i="21"/>
  <c r="G35" i="21"/>
  <c r="G29" i="21"/>
  <c r="G28" i="21"/>
  <c r="G27" i="21"/>
  <c r="G26" i="21"/>
  <c r="G25" i="21"/>
  <c r="G24" i="21"/>
  <c r="G1" i="21"/>
  <c r="G52" i="20"/>
  <c r="G51" i="20"/>
  <c r="G50" i="20"/>
  <c r="G49" i="20"/>
  <c r="G43" i="20"/>
  <c r="G42" i="20"/>
  <c r="G41" i="20"/>
  <c r="G40" i="20"/>
  <c r="G39" i="20"/>
  <c r="G38" i="20"/>
  <c r="G37" i="20"/>
  <c r="G36" i="20"/>
  <c r="G35" i="20"/>
  <c r="G29" i="20"/>
  <c r="G28" i="20"/>
  <c r="G27" i="20"/>
  <c r="G26" i="20"/>
  <c r="G25" i="20"/>
  <c r="G24" i="20"/>
  <c r="G1" i="20"/>
  <c r="G52" i="19"/>
  <c r="G51" i="19"/>
  <c r="G50" i="19"/>
  <c r="G49" i="19"/>
  <c r="G43" i="19"/>
  <c r="G42" i="19"/>
  <c r="G41" i="19"/>
  <c r="G40" i="19"/>
  <c r="G39" i="19"/>
  <c r="G38" i="19"/>
  <c r="G37" i="19"/>
  <c r="G36" i="19"/>
  <c r="G35" i="19"/>
  <c r="G29" i="19"/>
  <c r="G28" i="19"/>
  <c r="G27" i="19"/>
  <c r="G26" i="19"/>
  <c r="G25" i="19"/>
  <c r="G24" i="19"/>
  <c r="G1" i="19"/>
  <c r="G52" i="18"/>
  <c r="G51" i="18"/>
  <c r="G50" i="18"/>
  <c r="G49" i="18"/>
  <c r="G43" i="18"/>
  <c r="G42" i="18"/>
  <c r="G41" i="18"/>
  <c r="G40" i="18"/>
  <c r="G39" i="18"/>
  <c r="G38" i="18"/>
  <c r="G37" i="18"/>
  <c r="G36" i="18"/>
  <c r="G35" i="18"/>
  <c r="G29" i="18"/>
  <c r="G28" i="18"/>
  <c r="G27" i="18"/>
  <c r="G26" i="18"/>
  <c r="G25" i="18"/>
  <c r="G24" i="18"/>
  <c r="G1" i="18"/>
  <c r="G52" i="16"/>
  <c r="G51" i="16"/>
  <c r="G50" i="16"/>
  <c r="G49" i="16"/>
  <c r="G43" i="16"/>
  <c r="G42" i="16"/>
  <c r="G41" i="16"/>
  <c r="G40" i="16"/>
  <c r="G39" i="16"/>
  <c r="G38" i="16"/>
  <c r="G37" i="16"/>
  <c r="G36" i="16"/>
  <c r="G35" i="16"/>
  <c r="G29" i="16"/>
  <c r="G24" i="16"/>
  <c r="G1" i="16"/>
  <c r="G52" i="14"/>
  <c r="G51" i="14"/>
  <c r="G50" i="14"/>
  <c r="G49" i="14"/>
  <c r="G36" i="14"/>
  <c r="G35" i="14"/>
  <c r="G29" i="14"/>
  <c r="G28" i="14"/>
  <c r="G27" i="14"/>
  <c r="G26" i="14"/>
  <c r="G25" i="14"/>
  <c r="G24" i="14"/>
  <c r="G1" i="14"/>
  <c r="G52" i="13"/>
  <c r="G51" i="13"/>
  <c r="G50" i="13"/>
  <c r="G49" i="13"/>
  <c r="G43" i="13"/>
  <c r="G42" i="13"/>
  <c r="G41" i="13"/>
  <c r="G40" i="13"/>
  <c r="G39" i="13"/>
  <c r="G38" i="13"/>
  <c r="G37" i="13"/>
  <c r="G29" i="13"/>
  <c r="G28" i="13"/>
  <c r="G27" i="13"/>
  <c r="G26" i="13"/>
  <c r="G25" i="13"/>
  <c r="G24" i="13"/>
  <c r="G1" i="13"/>
  <c r="G52" i="12"/>
  <c r="G51" i="12"/>
  <c r="G50" i="12"/>
  <c r="G49" i="12"/>
  <c r="G43" i="12"/>
  <c r="G42" i="12"/>
  <c r="G41" i="12"/>
  <c r="G40" i="12"/>
  <c r="G39" i="12"/>
  <c r="G38" i="12"/>
  <c r="G37" i="12"/>
  <c r="G36" i="12"/>
  <c r="G35" i="12"/>
  <c r="G29" i="12"/>
  <c r="G28" i="12"/>
  <c r="G27" i="12"/>
  <c r="G26" i="12"/>
  <c r="G25" i="12"/>
  <c r="G24" i="12"/>
  <c r="G1" i="12"/>
  <c r="G52" i="11"/>
  <c r="G51" i="11"/>
  <c r="G50" i="11"/>
  <c r="G49" i="11"/>
  <c r="G43" i="11"/>
  <c r="G42" i="11"/>
  <c r="G41" i="11"/>
  <c r="G40" i="11"/>
  <c r="G39" i="11"/>
  <c r="G38" i="11"/>
  <c r="G37" i="11"/>
  <c r="G36" i="11"/>
  <c r="G29" i="11"/>
  <c r="G28" i="11"/>
  <c r="G27" i="11"/>
  <c r="G26" i="11"/>
  <c r="G25" i="11"/>
  <c r="G24" i="11"/>
  <c r="G1" i="11"/>
  <c r="G52" i="10"/>
  <c r="G51" i="10"/>
  <c r="G50" i="10"/>
  <c r="G49" i="10"/>
  <c r="G43" i="10"/>
  <c r="G42" i="10"/>
  <c r="G41" i="10"/>
  <c r="G40" i="10"/>
  <c r="G39" i="10"/>
  <c r="G38" i="10"/>
  <c r="G37" i="10"/>
  <c r="G36" i="10"/>
  <c r="G35" i="10"/>
  <c r="G29" i="10"/>
  <c r="G28" i="10"/>
  <c r="G27" i="10"/>
  <c r="G26" i="10"/>
  <c r="G25" i="10"/>
  <c r="G24" i="10"/>
  <c r="G1" i="10"/>
  <c r="G51" i="9"/>
  <c r="G50" i="9"/>
  <c r="G49" i="9"/>
  <c r="G48" i="9"/>
  <c r="G42" i="9"/>
  <c r="G41" i="9"/>
  <c r="G40" i="9"/>
  <c r="G39" i="9"/>
  <c r="G38" i="9"/>
  <c r="G37" i="9"/>
  <c r="G36" i="9"/>
  <c r="G35" i="9"/>
  <c r="G34" i="9"/>
  <c r="G28" i="9"/>
  <c r="G27" i="9"/>
  <c r="G26" i="9"/>
  <c r="G25" i="9"/>
  <c r="G24" i="9"/>
  <c r="G23" i="9"/>
  <c r="G1" i="9"/>
  <c r="G52" i="8"/>
  <c r="G51" i="8"/>
  <c r="G50" i="8"/>
  <c r="G49" i="8"/>
  <c r="G43" i="8"/>
  <c r="G42" i="8"/>
  <c r="G41" i="8"/>
  <c r="G40" i="8"/>
  <c r="G39" i="8"/>
  <c r="G38" i="8"/>
  <c r="G37" i="8"/>
  <c r="G36" i="8"/>
  <c r="G35" i="8"/>
  <c r="G29" i="8"/>
  <c r="G28" i="8"/>
  <c r="G27" i="8"/>
  <c r="G26" i="8"/>
  <c r="G25" i="8"/>
  <c r="G24" i="8"/>
  <c r="G1" i="8"/>
  <c r="G52" i="7"/>
  <c r="G51" i="7"/>
  <c r="G50" i="7"/>
  <c r="G49" i="7"/>
  <c r="G43" i="7"/>
  <c r="G42" i="7"/>
  <c r="G41" i="7"/>
  <c r="G40" i="7"/>
  <c r="G39" i="7"/>
  <c r="G38" i="7"/>
  <c r="G37" i="7"/>
  <c r="G36" i="7"/>
  <c r="G35" i="7"/>
  <c r="G29" i="7"/>
  <c r="G28" i="7"/>
  <c r="G27" i="7"/>
  <c r="G26" i="7"/>
  <c r="G25" i="7"/>
  <c r="G24" i="7"/>
  <c r="G1" i="7"/>
  <c r="G52" i="6"/>
  <c r="G51" i="6"/>
  <c r="G50" i="6"/>
  <c r="G49" i="6"/>
  <c r="G43" i="6"/>
  <c r="G42" i="6"/>
  <c r="G41" i="6"/>
  <c r="G40" i="6"/>
  <c r="G39" i="6"/>
  <c r="G38" i="6"/>
  <c r="G37" i="6"/>
  <c r="G36" i="6"/>
  <c r="G35" i="6"/>
  <c r="G29" i="6"/>
  <c r="G28" i="6"/>
  <c r="G27" i="6"/>
  <c r="G26" i="6"/>
  <c r="G25" i="6"/>
  <c r="G24" i="6"/>
  <c r="G1" i="6"/>
  <c r="G52" i="5"/>
  <c r="G51" i="5"/>
  <c r="G50" i="5"/>
  <c r="G49" i="5"/>
  <c r="G43" i="5"/>
  <c r="G42" i="5"/>
  <c r="G41" i="5"/>
  <c r="G40" i="5"/>
  <c r="G39" i="5"/>
  <c r="G38" i="5"/>
  <c r="G37" i="5"/>
  <c r="G36" i="5"/>
  <c r="G35" i="5"/>
  <c r="G29" i="5"/>
  <c r="G28" i="5"/>
  <c r="G27" i="5"/>
  <c r="G26" i="5"/>
  <c r="G25" i="5"/>
  <c r="G24" i="5"/>
  <c r="G1" i="5"/>
  <c r="G52" i="4"/>
  <c r="G51" i="4"/>
  <c r="G50" i="4"/>
  <c r="G49" i="4"/>
  <c r="G43" i="4"/>
  <c r="G42" i="4"/>
  <c r="G41" i="4"/>
  <c r="G40" i="4"/>
  <c r="G39" i="4"/>
  <c r="G38" i="4"/>
  <c r="G37" i="4"/>
  <c r="G36" i="4"/>
  <c r="G35" i="4"/>
  <c r="G29" i="4"/>
  <c r="G28" i="4"/>
  <c r="G27" i="4"/>
  <c r="G26" i="4"/>
  <c r="G25" i="4"/>
  <c r="G24" i="4"/>
  <c r="G1" i="4"/>
  <c r="G52" i="3"/>
  <c r="G51" i="3"/>
  <c r="G50" i="3"/>
  <c r="G49" i="3"/>
  <c r="G43" i="3"/>
  <c r="G42" i="3"/>
  <c r="G41" i="3"/>
  <c r="G40" i="3"/>
  <c r="G39" i="3"/>
  <c r="G38" i="3"/>
  <c r="G37" i="3"/>
  <c r="G36" i="3"/>
  <c r="G35" i="3"/>
  <c r="G29" i="3"/>
  <c r="G28" i="3"/>
  <c r="G27" i="3"/>
  <c r="G26" i="3"/>
  <c r="G25" i="3"/>
  <c r="G24" i="3"/>
  <c r="G1" i="3"/>
  <c r="G35" i="2"/>
  <c r="G36" i="2"/>
  <c r="G37" i="2"/>
  <c r="G38" i="2"/>
  <c r="G39" i="2"/>
  <c r="G40" i="2"/>
  <c r="G41" i="2"/>
  <c r="G42" i="2"/>
  <c r="G43" i="2"/>
  <c r="G49" i="2"/>
  <c r="G50" i="2"/>
  <c r="G51" i="2"/>
  <c r="G52" i="2"/>
  <c r="G24" i="2"/>
  <c r="G25" i="2"/>
  <c r="G26" i="2"/>
  <c r="G27" i="2"/>
  <c r="G28" i="2"/>
  <c r="G29" i="2"/>
  <c r="G1" i="2"/>
</calcChain>
</file>

<file path=xl/sharedStrings.xml><?xml version="1.0" encoding="utf-8"?>
<sst xmlns="http://schemas.openxmlformats.org/spreadsheetml/2006/main" count="3045" uniqueCount="2284">
  <si>
    <r>
      <t>田宅宫</t>
    </r>
    <r>
      <rPr>
        <sz val="11"/>
        <color theme="1"/>
        <rFont val="等线"/>
        <family val="2"/>
        <charset val="134"/>
        <scheme val="minor"/>
      </rPr>
      <t>​</t>
    </r>
  </si>
  <si>
    <t>家宅广阔（别墅、地标建筑）</t>
  </si>
  <si>
    <t>家道中落（抵押房产、凶宅）</t>
  </si>
  <si>
    <r>
      <t>财帛宫</t>
    </r>
    <r>
      <rPr>
        <sz val="11"/>
        <color theme="1"/>
        <rFont val="等线"/>
        <family val="2"/>
        <charset val="134"/>
        <scheme val="minor"/>
      </rPr>
      <t>​</t>
    </r>
  </si>
  <si>
    <t>储蓄力强（固定资产、稳定理财）</t>
  </si>
  <si>
    <t>资源虚耗（投资泡沫、账目漏洞）</t>
  </si>
  <si>
    <r>
      <t>疾厄宫</t>
    </r>
    <r>
      <rPr>
        <sz val="11"/>
        <color theme="1"/>
        <rFont val="等线"/>
        <family val="2"/>
        <charset val="134"/>
        <scheme val="minor"/>
      </rPr>
      <t>​</t>
    </r>
  </si>
  <si>
    <t>脾胃健康（土主中焦）</t>
  </si>
  <si>
    <t>胃病（+铃星主胃痛）</t>
  </si>
  <si>
    <r>
      <t>父母宫</t>
    </r>
    <r>
      <rPr>
        <sz val="11"/>
        <color theme="1"/>
        <rFont val="等线"/>
        <family val="2"/>
        <charset val="134"/>
        <scheme val="minor"/>
      </rPr>
      <t>​</t>
    </r>
  </si>
  <si>
    <t>长辈为靠山（政府关系、师承名门）</t>
  </si>
  <si>
    <t>文书问题（+文昌忌：证书造假）</t>
  </si>
  <si>
    <r>
      <t>交友宫</t>
    </r>
    <r>
      <rPr>
        <sz val="11"/>
        <color theme="1"/>
        <rFont val="等线"/>
        <family val="2"/>
        <charset val="134"/>
        <scheme val="minor"/>
      </rPr>
      <t>​</t>
    </r>
  </si>
  <si>
    <t>贵人圈层（高端人脉）</t>
  </si>
  <si>
    <t>孤立无援（小人背叛）</t>
  </si>
  <si>
    <r>
      <t>迁移宫</t>
    </r>
    <r>
      <rPr>
        <sz val="11"/>
        <color theme="1"/>
        <rFont val="等线"/>
        <family val="2"/>
        <charset val="134"/>
        <scheme val="minor"/>
      </rPr>
      <t>​</t>
    </r>
  </si>
  <si>
    <t>异地置产（跨国资产）</t>
  </si>
  <si>
    <t>漂泊无定（+天马：频繁搬家）</t>
  </si>
  <si>
    <t>宫位​</t>
  </si>
  <si>
    <t>庙旺（辰/酉/未）象义​</t>
  </si>
  <si>
    <t>落陷（寅/子）象义​</t>
  </si>
  <si>
    <t>文献依据​</t>
  </si>
  <si>
    <r>
      <t>根据《金刚佛光-紫占课程手册》，</t>
    </r>
    <r>
      <rPr>
        <b/>
        <sz val="11"/>
        <color theme="1"/>
        <rFont val="等线"/>
        <family val="3"/>
        <charset val="134"/>
        <scheme val="minor"/>
      </rPr>
      <t>天府星</t>
    </r>
    <r>
      <rPr>
        <sz val="11"/>
        <color theme="1"/>
        <rFont val="等线"/>
        <family val="2"/>
        <charset val="134"/>
        <scheme val="minor"/>
      </rPr>
      <t>的完整象义解析如下（严格遵循原始资料结构与表述）：</t>
    </r>
  </si>
  <si>
    <t>一、天府定义​</t>
  </si>
  <si>
    <r>
      <t>属土</t>
    </r>
    <r>
      <rPr>
        <sz val="11"/>
        <color theme="1"/>
        <rFont val="等线"/>
        <family val="2"/>
        <charset val="134"/>
        <scheme val="minor"/>
      </rPr>
      <t>，无四化，主房子、空间、区域。</t>
    </r>
  </si>
  <si>
    <r>
      <t>核心特质</t>
    </r>
    <r>
      <rPr>
        <sz val="11"/>
        <color theme="1"/>
        <rFont val="等线"/>
        <family val="2"/>
        <charset val="134"/>
        <scheme val="minor"/>
      </rPr>
      <t>：</t>
    </r>
  </si>
  <si>
    <r>
      <t>1. 空间性</t>
    </r>
    <r>
      <rPr>
        <sz val="11"/>
        <color theme="1"/>
        <rFont val="等线"/>
        <family val="2"/>
        <charset val="134"/>
        <scheme val="minor"/>
      </rPr>
      <t>：象征无限空间（如宇宙、网络社群）与有限空间（如房间、容器）。</t>
    </r>
  </si>
  <si>
    <r>
      <t>2. 包容性</t>
    </r>
    <r>
      <rPr>
        <sz val="11"/>
        <color theme="1"/>
        <rFont val="等线"/>
        <family val="2"/>
        <charset val="134"/>
        <scheme val="minor"/>
      </rPr>
      <t>：城府深广、资源存储（家族势力、金融账户）。</t>
    </r>
  </si>
  <si>
    <r>
      <t>3. 稳定性</t>
    </r>
    <r>
      <rPr>
        <sz val="11"/>
        <color theme="1"/>
        <rFont val="等线"/>
        <family val="2"/>
        <charset val="134"/>
        <scheme val="minor"/>
      </rPr>
      <t>：无四化特性使其象征长期稳固结构（如祖产、老字号）。</t>
    </r>
  </si>
  <si>
    <r>
      <t>4. 特殊方位</t>
    </r>
    <r>
      <rPr>
        <sz val="11"/>
        <color theme="1"/>
        <rFont val="等线"/>
        <family val="2"/>
        <charset val="134"/>
        <scheme val="minor"/>
      </rPr>
      <t>：</t>
    </r>
  </si>
  <si>
    <t>丑位：阴间与人间交界（坟地风水）。</t>
  </si>
  <si>
    <t>亥位：地府象征（水位关联）。</t>
  </si>
  <si>
    <t>二、宫位叠加象义​</t>
  </si>
  <si>
    <r>
      <t>田宅宫</t>
    </r>
    <r>
      <rPr>
        <sz val="12"/>
        <color theme="1"/>
        <rFont val="等线"/>
        <family val="3"/>
        <charset val="134"/>
        <scheme val="minor"/>
      </rPr>
      <t>​</t>
    </r>
  </si>
  <si>
    <r>
      <t>财帛宫</t>
    </r>
    <r>
      <rPr>
        <sz val="12"/>
        <color theme="1"/>
        <rFont val="等线"/>
        <family val="3"/>
        <charset val="134"/>
        <scheme val="minor"/>
      </rPr>
      <t>​</t>
    </r>
  </si>
  <si>
    <r>
      <t>疾厄宫</t>
    </r>
    <r>
      <rPr>
        <sz val="12"/>
        <color theme="1"/>
        <rFont val="等线"/>
        <family val="3"/>
        <charset val="134"/>
        <scheme val="minor"/>
      </rPr>
      <t>​</t>
    </r>
  </si>
  <si>
    <r>
      <t>父母宫</t>
    </r>
    <r>
      <rPr>
        <sz val="12"/>
        <color theme="1"/>
        <rFont val="等线"/>
        <family val="3"/>
        <charset val="134"/>
        <scheme val="minor"/>
      </rPr>
      <t>​</t>
    </r>
  </si>
  <si>
    <r>
      <t>交友宫</t>
    </r>
    <r>
      <rPr>
        <sz val="12"/>
        <color theme="1"/>
        <rFont val="等线"/>
        <family val="3"/>
        <charset val="134"/>
        <scheme val="minor"/>
      </rPr>
      <t>​</t>
    </r>
  </si>
  <si>
    <r>
      <t>迁移宫</t>
    </r>
    <r>
      <rPr>
        <sz val="12"/>
        <color theme="1"/>
        <rFont val="等线"/>
        <family val="3"/>
        <charset val="134"/>
        <scheme val="minor"/>
      </rPr>
      <t>​</t>
    </r>
  </si>
  <si>
    <t>三、辅星组合象义​</t>
  </si>
  <si>
    <t>辅星​</t>
  </si>
  <si>
    <t>庙旺组合效应​</t>
  </si>
  <si>
    <t>落陷组合效应​</t>
  </si>
  <si>
    <r>
      <t>天府+铃星</t>
    </r>
    <r>
      <rPr>
        <sz val="12"/>
        <color theme="1"/>
        <rFont val="等线"/>
        <family val="3"/>
        <charset val="134"/>
        <scheme val="minor"/>
      </rPr>
      <t>​</t>
    </r>
  </si>
  <si>
    <t>空间内热闹（社群活跃）</t>
  </si>
  <si>
    <t>家宅不宁（房屋纠纷）</t>
  </si>
  <si>
    <r>
      <t>天府+地劫</t>
    </r>
    <r>
      <rPr>
        <sz val="12"/>
        <color theme="1"/>
        <rFont val="等线"/>
        <family val="3"/>
        <charset val="134"/>
        <scheme val="minor"/>
      </rPr>
      <t>​</t>
    </r>
  </si>
  <si>
    <t>资源流失（突发破财）</t>
  </si>
  <si>
    <t>家道中空（祖产败尽）</t>
  </si>
  <si>
    <r>
      <t>天府+文昌</t>
    </r>
    <r>
      <rPr>
        <sz val="12"/>
        <color theme="1"/>
        <rFont val="等线"/>
        <family val="3"/>
        <charset val="134"/>
        <scheme val="minor"/>
      </rPr>
      <t>​</t>
    </r>
  </si>
  <si>
    <t>腹有锦绣（学识渊博）</t>
  </si>
  <si>
    <t>虚有其表（证书无效）</t>
  </si>
  <si>
    <r>
      <t>天府+天喜</t>
    </r>
    <r>
      <rPr>
        <sz val="12"/>
        <color theme="1"/>
        <rFont val="等线"/>
        <family val="3"/>
        <charset val="134"/>
        <scheme val="minor"/>
      </rPr>
      <t>​</t>
    </r>
  </si>
  <si>
    <t>家宅喜庆（婚宴场所）</t>
  </si>
  <si>
    <t>虚假欢庆（表面和睦）</t>
  </si>
  <si>
    <r>
      <t>天府+陀罗</t>
    </r>
    <r>
      <rPr>
        <sz val="12"/>
        <color theme="1"/>
        <rFont val="等线"/>
        <family val="3"/>
        <charset val="134"/>
        <scheme val="minor"/>
      </rPr>
      <t>​</t>
    </r>
  </si>
  <si>
    <t>空间稳固（长期持有房产）</t>
  </si>
  <si>
    <t>发展停滞（项目烂尾）</t>
  </si>
  <si>
    <r>
      <t>天府+阴煞</t>
    </r>
    <r>
      <rPr>
        <sz val="12"/>
        <color theme="1"/>
        <rFont val="等线"/>
        <family val="3"/>
        <charset val="134"/>
        <scheme val="minor"/>
      </rPr>
      <t>​</t>
    </r>
  </si>
  <si>
    <t>灵性空间（寺庙、祠堂）</t>
  </si>
  <si>
    <t>阴气积聚（凶宅风水）</t>
  </si>
  <si>
    <r>
      <t>天府+凤阁</t>
    </r>
    <r>
      <rPr>
        <sz val="12"/>
        <color theme="1"/>
        <rFont val="等线"/>
        <family val="3"/>
        <charset val="134"/>
        <scheme val="minor"/>
      </rPr>
      <t>​</t>
    </r>
  </si>
  <si>
    <t>高档房产（豪宅、会所）</t>
  </si>
  <si>
    <t>空间局促（蜗居）</t>
  </si>
  <si>
    <r>
      <t>天府+天刑</t>
    </r>
    <r>
      <rPr>
        <sz val="12"/>
        <color theme="1"/>
        <rFont val="等线"/>
        <family val="3"/>
        <charset val="134"/>
        <scheme val="minor"/>
      </rPr>
      <t>​</t>
    </r>
  </si>
  <si>
    <t>法律空间（法院、监狱）</t>
  </si>
  <si>
    <t>空间禁锢（囚禁感）</t>
  </si>
  <si>
    <r>
      <t>天府+地空</t>
    </r>
    <r>
      <rPr>
        <sz val="12"/>
        <color theme="1"/>
        <rFont val="等线"/>
        <family val="3"/>
        <charset val="134"/>
        <scheme val="minor"/>
      </rPr>
      <t>​</t>
    </r>
  </si>
  <si>
    <t>虚拟空间（网络平台）</t>
  </si>
  <si>
    <t>资源泡沫（虚假投资）</t>
  </si>
  <si>
    <t>四、主星组合象义​</t>
  </si>
  <si>
    <t>组合​</t>
  </si>
  <si>
    <t>核心效应​</t>
  </si>
  <si>
    <t>典型案例​</t>
  </si>
  <si>
    <r>
      <t>天府+紫微</t>
    </r>
    <r>
      <rPr>
        <sz val="12"/>
        <color theme="1"/>
        <rFont val="等线"/>
        <family val="3"/>
        <charset val="134"/>
        <scheme val="minor"/>
      </rPr>
      <t>​</t>
    </r>
  </si>
  <si>
    <t>权威空间（政府大楼、银行）</t>
  </si>
  <si>
    <t>辰/戌宫：入狱象（空间束缚）</t>
  </si>
  <si>
    <r>
      <t>天府+武曲</t>
    </r>
    <r>
      <rPr>
        <sz val="12"/>
        <color theme="1"/>
        <rFont val="等线"/>
        <family val="3"/>
        <charset val="134"/>
        <scheme val="minor"/>
      </rPr>
      <t>​</t>
    </r>
  </si>
  <si>
    <t>金融空间（银行、保险柜）</t>
  </si>
  <si>
    <t>账目混乱（+地劫：财务漏洞）</t>
  </si>
  <si>
    <r>
      <t>天府+廉贞</t>
    </r>
    <r>
      <rPr>
        <sz val="12"/>
        <color theme="1"/>
        <rFont val="等线"/>
        <family val="3"/>
        <charset val="134"/>
        <scheme val="minor"/>
      </rPr>
      <t>​</t>
    </r>
  </si>
  <si>
    <t>掌控空间（公司总部、电子系统）</t>
  </si>
  <si>
    <t>戌宫化忌：失控（服务器崩溃）</t>
  </si>
  <si>
    <r>
      <t>天府+太阳</t>
    </r>
    <r>
      <rPr>
        <sz val="12"/>
        <color theme="1"/>
        <rFont val="等线"/>
        <family val="3"/>
        <charset val="134"/>
        <scheme val="minor"/>
      </rPr>
      <t>​</t>
    </r>
  </si>
  <si>
    <t>公共空间（广场、地标）</t>
  </si>
  <si>
    <t>寅宫落陷：权威崩塌（烂尾工程）</t>
  </si>
  <si>
    <t>五、四化联动​</t>
  </si>
  <si>
    <r>
      <t>无直接四化</t>
    </r>
    <r>
      <rPr>
        <sz val="11"/>
        <color theme="1"/>
        <rFont val="等线"/>
        <family val="2"/>
        <charset val="134"/>
        <scheme val="minor"/>
      </rPr>
      <t>：天府不参与四化，需借对宫或辅星触发。</t>
    </r>
  </si>
  <si>
    <r>
      <t>壬干化科</t>
    </r>
    <r>
      <rPr>
        <sz val="11"/>
        <color theme="1"/>
        <rFont val="等线"/>
        <family val="2"/>
        <charset val="134"/>
        <scheme val="minor"/>
      </rPr>
      <t>：借对宫（紫微化权）强化空间权威（如晋升管理层）。</t>
    </r>
  </si>
  <si>
    <r>
      <t>化忌冲击</t>
    </r>
    <r>
      <rPr>
        <sz val="11"/>
        <color theme="1"/>
        <rFont val="等线"/>
        <family val="2"/>
        <charset val="134"/>
        <scheme val="minor"/>
      </rPr>
      <t>：逢煞星（如地劫）主“库破”（破产、查封）。</t>
    </r>
  </si>
  <si>
    <t>六、矛盾说明​</t>
  </si>
  <si>
    <r>
      <t>1. 四化争议</t>
    </r>
    <r>
      <rPr>
        <sz val="11"/>
        <color theme="1"/>
        <rFont val="等线"/>
        <family val="2"/>
        <charset val="134"/>
        <scheme val="minor"/>
      </rPr>
      <t>：</t>
    </r>
  </si>
  <si>
    <t>文档20明确“天府无四化”，但文档6主星表提及“天府化科”。</t>
  </si>
  <si>
    <t>→ 并存矛盾：部分理论允许借对宫四化，部分否定。</t>
  </si>
  <si>
    <r>
      <t>2. 丑位含义冲突</t>
    </r>
    <r>
      <rPr>
        <sz val="11"/>
        <color theme="1"/>
        <rFont val="等线"/>
        <family val="2"/>
        <charset val="134"/>
        <scheme val="minor"/>
      </rPr>
      <t>：</t>
    </r>
  </si>
  <si>
    <t>文档23称丑位为“阴间与人间交界”（坟地），但星曜表未标注特殊属性。</t>
  </si>
  <si>
    <t>→ 以实际应用（风水占断）为准。</t>
  </si>
  <si>
    <t>七、关键图表​</t>
  </si>
  <si>
    <t>依据：手册179页天府星曜表</t>
  </si>
  <si>
    <t>注：以上内容完全整合自《金刚佛光-紫占课程手册》原始表述，覆盖天府星定义、宫位、组合、四化及矛盾点，未增删改臆。</t>
  </si>
  <si>
    <r>
      <t>在紫微斗数中，</t>
    </r>
    <r>
      <rPr>
        <b/>
        <sz val="11"/>
        <color theme="1"/>
        <rFont val="等线"/>
        <family val="3"/>
        <charset val="134"/>
        <scheme val="minor"/>
      </rPr>
      <t>文曲星</t>
    </r>
    <r>
      <rPr>
        <sz val="11"/>
        <color theme="1"/>
        <rFont val="等线"/>
        <family val="2"/>
        <charset val="134"/>
        <scheme val="minor"/>
      </rPr>
      <t>属水，主掌</t>
    </r>
    <r>
      <rPr>
        <b/>
        <sz val="11"/>
        <color theme="1"/>
        <rFont val="等线"/>
        <family val="3"/>
        <charset val="134"/>
        <scheme val="minor"/>
      </rPr>
      <t>内容、文书、传递信息</t>
    </r>
    <r>
      <rPr>
        <sz val="11"/>
        <color theme="1"/>
        <rFont val="等线"/>
        <family val="2"/>
        <charset val="134"/>
        <scheme val="minor"/>
      </rPr>
      <t>，是决定事物内涵的关键辅星。以下是其核心含义及在不同场景中的应用：</t>
    </r>
  </si>
  <si>
    <t>一、文曲星的核心定义</t>
  </si>
  <si>
    <r>
      <t>1. 象征意义</t>
    </r>
    <r>
      <rPr>
        <sz val="11"/>
        <color theme="1"/>
        <rFont val="等线"/>
        <family val="2"/>
        <charset val="134"/>
        <scheme val="minor"/>
      </rPr>
      <t>：</t>
    </r>
  </si>
  <si>
    <r>
      <t>内容载体</t>
    </r>
    <r>
      <rPr>
        <sz val="11"/>
        <color theme="1"/>
        <rFont val="等线"/>
        <family val="2"/>
        <charset val="134"/>
        <scheme val="minor"/>
      </rPr>
      <t>：文字、语言、图像、数据等传递信息的实质内容。</t>
    </r>
  </si>
  <si>
    <r>
      <t>传递方式</t>
    </r>
    <r>
      <rPr>
        <sz val="11"/>
        <color theme="1"/>
        <rFont val="等线"/>
        <family val="2"/>
        <charset val="134"/>
        <scheme val="minor"/>
      </rPr>
      <t>：沟通、表达、传播（如合同、书籍、消息）。</t>
    </r>
  </si>
  <si>
    <r>
      <t>性质判断</t>
    </r>
    <r>
      <rPr>
        <sz val="11"/>
        <color theme="1"/>
        <rFont val="等线"/>
        <family val="2"/>
        <charset val="134"/>
        <scheme val="minor"/>
      </rPr>
      <t>：</t>
    </r>
  </si>
  <si>
    <r>
      <t>庙旺</t>
    </r>
    <r>
      <rPr>
        <sz val="11"/>
        <color theme="1"/>
        <rFont val="等线"/>
        <family val="2"/>
        <charset val="134"/>
        <scheme val="minor"/>
      </rPr>
      <t>（强）：内容优质、逻辑清晰、有深度。</t>
    </r>
  </si>
  <si>
    <r>
      <t>落陷</t>
    </r>
    <r>
      <rPr>
        <sz val="11"/>
        <color theme="1"/>
        <rFont val="等线"/>
        <family val="2"/>
        <charset val="134"/>
        <scheme val="minor"/>
      </rPr>
      <t>（弱）：内容空洞、歪曲、虚假或沟通障碍。</t>
    </r>
  </si>
  <si>
    <r>
      <t>2. 与文昌星的对比</t>
    </r>
    <r>
      <rPr>
        <sz val="11"/>
        <color theme="1"/>
        <rFont val="等线"/>
        <family val="2"/>
        <charset val="134"/>
        <scheme val="minor"/>
      </rPr>
      <t>：</t>
    </r>
  </si>
  <si>
    <r>
      <t>文昌</t>
    </r>
    <r>
      <rPr>
        <sz val="11"/>
        <color theme="1"/>
        <rFont val="等线"/>
        <family val="2"/>
        <charset val="134"/>
        <scheme val="minor"/>
      </rPr>
      <t>：偏重形式（如文书格式、证书外观）。</t>
    </r>
  </si>
  <si>
    <r>
      <t>文曲</t>
    </r>
    <r>
      <rPr>
        <sz val="11"/>
        <color theme="1"/>
        <rFont val="等线"/>
        <family val="2"/>
        <charset val="134"/>
        <scheme val="minor"/>
      </rPr>
      <t>：专注实质内容（如合同条款、文章内涵）。</t>
    </r>
  </si>
  <si>
    <t>二、文曲在十二宫位的含义</t>
  </si>
  <si>
    <t>具体含义​</t>
  </si>
  <si>
    <t>典型场景​</t>
  </si>
  <si>
    <t>文书合同、证书、长辈学识</t>
  </si>
  <si>
    <t>签约条款问题、学历证书真伪</t>
  </si>
  <si>
    <r>
      <t>福德宫</t>
    </r>
    <r>
      <rPr>
        <sz val="11"/>
        <color theme="1"/>
        <rFont val="等线"/>
        <family val="2"/>
        <charset val="134"/>
        <scheme val="minor"/>
      </rPr>
      <t>​</t>
    </r>
  </si>
  <si>
    <t>思想内容、精神感悟</t>
  </si>
  <si>
    <t>内心纠结、灵感创意</t>
  </si>
  <si>
    <t>外界消息、异地信息</t>
  </si>
  <si>
    <t>留学通知、移民政策变动</t>
  </si>
  <si>
    <t>身体信息（DNA、病历）</t>
  </si>
  <si>
    <t>基因检测报告、健康档案</t>
  </si>
  <si>
    <t>财务内容（账目、投资方案）</t>
  </si>
  <si>
    <t>审计漏洞、理财协议陷阱</t>
  </si>
  <si>
    <r>
      <t>夫妻宫</t>
    </r>
    <r>
      <rPr>
        <sz val="11"/>
        <color theme="1"/>
        <rFont val="等线"/>
        <family val="2"/>
        <charset val="134"/>
        <scheme val="minor"/>
      </rPr>
      <t>​</t>
    </r>
  </si>
  <si>
    <t>感情表达、承诺内容</t>
  </si>
  <si>
    <t>甜言蜜语 vs. 欺骗性承诺</t>
  </si>
  <si>
    <r>
      <t>子女宫</t>
    </r>
    <r>
      <rPr>
        <sz val="11"/>
        <color theme="1"/>
        <rFont val="等线"/>
        <family val="2"/>
        <charset val="134"/>
        <scheme val="minor"/>
      </rPr>
      <t>​</t>
    </r>
  </si>
  <si>
    <t>子女天赋、教育内容</t>
  </si>
  <si>
    <t>孩子偏科、艺术才华</t>
  </si>
  <si>
    <t>三、文曲的组合应用</t>
  </si>
  <si>
    <r>
      <t>1. 文曲+煞星（如铃星、地劫）</t>
    </r>
    <r>
      <rPr>
        <sz val="11"/>
        <color theme="1"/>
        <rFont val="等线"/>
        <family val="2"/>
        <charset val="134"/>
        <scheme val="minor"/>
      </rPr>
      <t>：</t>
    </r>
  </si>
  <si>
    <r>
      <t>文曲铃星</t>
    </r>
    <r>
      <rPr>
        <sz val="11"/>
        <color theme="1"/>
        <rFont val="等线"/>
        <family val="2"/>
        <charset val="134"/>
        <scheme val="minor"/>
      </rPr>
      <t>：内容引发烦恼（如争议性文章、投诉信）。</t>
    </r>
  </si>
  <si>
    <r>
      <t>文曲地劫</t>
    </r>
    <r>
      <rPr>
        <sz val="11"/>
        <color theme="1"/>
        <rFont val="等线"/>
        <family val="2"/>
        <charset val="134"/>
        <scheme val="minor"/>
      </rPr>
      <t>：信息缺失或漏洞（合同漏洞、数据丢失）。</t>
    </r>
  </si>
  <si>
    <r>
      <t>2. 文曲+吉星（如天梁、天相）</t>
    </r>
    <r>
      <rPr>
        <sz val="11"/>
        <color theme="1"/>
        <rFont val="等线"/>
        <family val="2"/>
        <charset val="134"/>
        <scheme val="minor"/>
      </rPr>
      <t>：</t>
    </r>
  </si>
  <si>
    <r>
      <t>文曲天梁</t>
    </r>
    <r>
      <rPr>
        <sz val="11"/>
        <color theme="1"/>
        <rFont val="等线"/>
        <family val="2"/>
        <charset val="134"/>
        <scheme val="minor"/>
      </rPr>
      <t>：权威内容（法律法规、学术著作）。</t>
    </r>
  </si>
  <si>
    <r>
      <t>文曲天相</t>
    </r>
    <r>
      <rPr>
        <sz val="11"/>
        <color theme="1"/>
        <rFont val="等线"/>
        <family val="2"/>
        <charset val="134"/>
        <scheme val="minor"/>
      </rPr>
      <t>：生活化内容（菜谱、使用说明书）。</t>
    </r>
  </si>
  <si>
    <r>
      <t>3. 文曲化忌</t>
    </r>
    <r>
      <rPr>
        <sz val="11"/>
        <color theme="1"/>
        <rFont val="等线"/>
        <family val="2"/>
        <charset val="134"/>
        <scheme val="minor"/>
      </rPr>
      <t>：</t>
    </r>
  </si>
  <si>
    <t>内容错误（假新闻）、沟通失败（误解）、文书失效（合同作废）。</t>
  </si>
  <si>
    <t>四、实际案例参考</t>
  </si>
  <si>
    <r>
      <t>占工作</t>
    </r>
    <r>
      <rPr>
        <sz val="11"/>
        <color theme="1"/>
        <rFont val="等线"/>
        <family val="2"/>
        <charset val="134"/>
        <scheme val="minor"/>
      </rPr>
      <t>：文曲在官禄宫+文昌 → 从事文案、编辑、教育等需深度内容输出的职业。</t>
    </r>
  </si>
  <si>
    <r>
      <t>占健康</t>
    </r>
    <r>
      <rPr>
        <sz val="11"/>
        <color theme="1"/>
        <rFont val="等线"/>
        <family val="2"/>
        <charset val="134"/>
        <scheme val="minor"/>
      </rPr>
      <t>：文曲在疾厄宫+天刑 → 病历误诊或隐瞒病情。</t>
    </r>
  </si>
  <si>
    <r>
      <t>占感情</t>
    </r>
    <r>
      <rPr>
        <sz val="11"/>
        <color theme="1"/>
        <rFont val="等线"/>
        <family val="2"/>
        <charset val="134"/>
        <scheme val="minor"/>
      </rPr>
      <t>：文曲在夫妻宫化忌 → 甜言蜜语实为欺骗。</t>
    </r>
  </si>
  <si>
    <t>关键点总结</t>
  </si>
  <si>
    <r>
      <t>文曲的本质是“内容质量”</t>
    </r>
    <r>
      <rPr>
        <sz val="11"/>
        <color theme="1"/>
        <rFont val="等线"/>
        <family val="2"/>
        <charset val="134"/>
        <scheme val="minor"/>
      </rPr>
      <t>：庙旺则真，落陷则虚。</t>
    </r>
  </si>
  <si>
    <r>
      <t>四化影响巨大</t>
    </r>
    <r>
      <rPr>
        <sz val="11"/>
        <color theme="1"/>
        <rFont val="等线"/>
        <family val="2"/>
        <charset val="134"/>
        <scheme val="minor"/>
      </rPr>
      <t>：化禄增信，化忌失信（如谣言）。</t>
    </r>
  </si>
  <si>
    <r>
      <t>需结合对宫</t>
    </r>
    <r>
      <rPr>
        <sz val="11"/>
        <color theme="1"/>
        <rFont val="等线"/>
        <family val="2"/>
        <charset val="134"/>
        <scheme val="minor"/>
      </rPr>
      <t>：如迁移宫文曲化禄，可能预示异地offer或留学机会。</t>
    </r>
  </si>
  <si>
    <t>紫微星​</t>
  </si>
  <si>
    <r>
      <t>斗分</t>
    </r>
    <r>
      <rPr>
        <sz val="11"/>
        <color theme="1"/>
        <rFont val="等线"/>
        <family val="2"/>
        <charset val="134"/>
        <scheme val="minor"/>
      </rPr>
      <t>：北斗帝星</t>
    </r>
  </si>
  <si>
    <r>
      <t>阴阳五行</t>
    </r>
    <r>
      <rPr>
        <sz val="11"/>
        <color theme="1"/>
        <rFont val="等线"/>
        <family val="2"/>
        <charset val="134"/>
        <scheme val="minor"/>
      </rPr>
      <t>：阴土</t>
    </r>
  </si>
  <si>
    <r>
      <t>化气</t>
    </r>
    <r>
      <rPr>
        <sz val="11"/>
        <color theme="1"/>
        <rFont val="等线"/>
        <family val="2"/>
        <charset val="134"/>
        <scheme val="minor"/>
      </rPr>
      <t>：尊</t>
    </r>
  </si>
  <si>
    <r>
      <t>核心意象</t>
    </r>
    <r>
      <rPr>
        <sz val="11"/>
        <color theme="1"/>
        <rFont val="等线"/>
        <family val="2"/>
        <charset val="134"/>
        <scheme val="minor"/>
      </rPr>
      <t>：尊贵、优秀、独立、唯一性、高大上（高端/高级/顶级）、好面子</t>
    </r>
  </si>
  <si>
    <t>一、主星组合象义​</t>
  </si>
  <si>
    <t>（需结合对宫及辅星判断吉凶）</t>
  </si>
  <si>
    <t>组合星曜</t>
  </si>
  <si>
    <t>庙旺（7-10）象义</t>
  </si>
  <si>
    <t>落陷（1-3）象义</t>
  </si>
  <si>
    <r>
      <t>紫微+天府</t>
    </r>
    <r>
      <rPr>
        <sz val="11"/>
        <color theme="1"/>
        <rFont val="等线"/>
        <family val="2"/>
        <charset val="134"/>
        <scheme val="minor"/>
      </rPr>
      <t>​</t>
    </r>
  </si>
  <si>
    <t>空间性尊贵（皇宫/银行/高级场所）</t>
  </si>
  <si>
    <t>虚有其表（豪华但空洞）</t>
  </si>
  <si>
    <r>
      <t>紫微+破军</t>
    </r>
    <r>
      <rPr>
        <sz val="11"/>
        <color theme="1"/>
        <rFont val="等线"/>
        <family val="2"/>
        <charset val="134"/>
        <scheme val="minor"/>
      </rPr>
      <t>​</t>
    </r>
  </si>
  <si>
    <t>高层次突破（升职/创新成功）</t>
  </si>
  <si>
    <t>盲目冒进导致权威崩塌</t>
  </si>
  <si>
    <r>
      <t>紫微+七杀</t>
    </r>
    <r>
      <rPr>
        <sz val="11"/>
        <color theme="1"/>
        <rFont val="等线"/>
        <family val="2"/>
        <charset val="134"/>
        <scheme val="minor"/>
      </rPr>
      <t>​</t>
    </r>
  </si>
  <si>
    <t>高端线性事物（高压线/黄金脉络）</t>
  </si>
  <si>
    <t>重要事物断裂（资金链断裂/骨干离职）</t>
  </si>
  <si>
    <r>
      <t>紫微+天相</t>
    </r>
    <r>
      <rPr>
        <sz val="11"/>
        <color theme="1"/>
        <rFont val="等线"/>
        <family val="2"/>
        <charset val="134"/>
        <scheme val="minor"/>
      </rPr>
      <t>​</t>
    </r>
  </si>
  <si>
    <t>顶级呵护（ICU特护/奢侈品保养）</t>
  </si>
  <si>
    <t>表面光鲜内里脆弱（易碎的名牌）</t>
  </si>
  <si>
    <r>
      <t>紫微+天梁</t>
    </r>
    <r>
      <rPr>
        <sz val="11"/>
        <color theme="1"/>
        <rFont val="等线"/>
        <family val="2"/>
        <charset val="134"/>
        <scheme val="minor"/>
      </rPr>
      <t>​</t>
    </r>
  </si>
  <si>
    <t>权威支柱（国家法规/家族族长）</t>
  </si>
  <si>
    <t>支撑系统崩溃（企业倒闭/脊柱重病）</t>
  </si>
  <si>
    <t>二、辅星组合象义​</t>
  </si>
  <si>
    <t>（小星决定吉凶方向）</t>
  </si>
  <si>
    <t>辅星</t>
  </si>
  <si>
    <t>庙旺象义（正向）</t>
  </si>
  <si>
    <t>落陷象义（负向）</t>
  </si>
  <si>
    <r>
      <t>文昌</t>
    </r>
    <r>
      <rPr>
        <sz val="11"/>
        <color theme="1"/>
        <rFont val="等线"/>
        <family val="2"/>
        <charset val="134"/>
        <scheme val="minor"/>
      </rPr>
      <t>​</t>
    </r>
  </si>
  <si>
    <t>传播权威内容（官方宣言/专利文书）</t>
  </si>
  <si>
    <t>扭曲重要信息（谣言惑众/政策歪曲）</t>
  </si>
  <si>
    <r>
      <t>文曲</t>
    </r>
    <r>
      <rPr>
        <sz val="11"/>
        <color theme="1"/>
        <rFont val="等线"/>
        <family val="2"/>
        <charset val="134"/>
        <scheme val="minor"/>
      </rPr>
      <t>​</t>
    </r>
  </si>
  <si>
    <t>顶级文化内容（传世名作/核心机密）</t>
  </si>
  <si>
    <t>内容空洞浮夸（虚假广告/学术造假）</t>
  </si>
  <si>
    <r>
      <t>左辅</t>
    </r>
    <r>
      <rPr>
        <sz val="11"/>
        <color theme="1"/>
        <rFont val="等线"/>
        <family val="2"/>
        <charset val="134"/>
        <scheme val="minor"/>
      </rPr>
      <t>​</t>
    </r>
  </si>
  <si>
    <t>多重尊贵（双领导制/多学位）</t>
  </si>
  <si>
    <t>权威分散（多头管理混乱）</t>
  </si>
  <si>
    <r>
      <t>火星</t>
    </r>
    <r>
      <rPr>
        <sz val="11"/>
        <color theme="1"/>
        <rFont val="等线"/>
        <family val="2"/>
        <charset val="134"/>
        <scheme val="minor"/>
      </rPr>
      <t>​</t>
    </r>
  </si>
  <si>
    <t>高速高调（火箭发射/明星走红）</t>
  </si>
  <si>
    <t>尊贵被焚（名人丑闻/大厦火灾）</t>
  </si>
  <si>
    <r>
      <t>擎羊</t>
    </r>
    <r>
      <rPr>
        <sz val="11"/>
        <color theme="1"/>
        <rFont val="等线"/>
        <family val="2"/>
        <charset val="134"/>
        <scheme val="minor"/>
      </rPr>
      <t>​</t>
    </r>
  </si>
  <si>
    <t>权威切割（重大改革/外科手术）</t>
  </si>
  <si>
    <t>尊贵受损（毁容/降职）</t>
  </si>
  <si>
    <r>
      <t>地劫</t>
    </r>
    <r>
      <rPr>
        <sz val="11"/>
        <color theme="1"/>
        <rFont val="等线"/>
        <family val="2"/>
        <charset val="134"/>
        <scheme val="minor"/>
      </rPr>
      <t>​</t>
    </r>
  </si>
  <si>
    <t>失去唯一性（皇权颠覆/专利失效）</t>
  </si>
  <si>
    <t>表面尊贵实则空洞（镀金首饰）</t>
  </si>
  <si>
    <r>
      <t>阴煞</t>
    </r>
    <r>
      <rPr>
        <sz val="11"/>
        <color theme="1"/>
        <rFont val="等线"/>
        <family val="2"/>
        <charset val="134"/>
        <scheme val="minor"/>
      </rPr>
      <t>​</t>
    </r>
  </si>
  <si>
    <t>隐形尊贵（幕后大佬/非物质文化遗产）</t>
  </si>
  <si>
    <t>尊贵被掩盖（怀才不遇/真品被赝品埋没）</t>
  </si>
  <si>
    <t>三、宫位应用象义​</t>
  </si>
  <si>
    <t>宫位</t>
  </si>
  <si>
    <r>
      <t>命宫</t>
    </r>
    <r>
      <rPr>
        <sz val="11"/>
        <color theme="1"/>
        <rFont val="等线"/>
        <family val="2"/>
        <charset val="134"/>
        <scheme val="minor"/>
      </rPr>
      <t>​</t>
    </r>
  </si>
  <si>
    <t>天生贵气（领袖气质/学霸）</t>
  </si>
  <si>
    <t>孤高自负（人缘差/眼高手低）</t>
  </si>
  <si>
    <t>体面收入（高薪/遗产）</t>
  </si>
  <si>
    <t>虚耗钱财（充大款/投资泡沫）</t>
  </si>
  <si>
    <r>
      <t>官禄宫</t>
    </r>
    <r>
      <rPr>
        <sz val="11"/>
        <color theme="1"/>
        <rFont val="等线"/>
        <family val="2"/>
        <charset val="134"/>
        <scheme val="minor"/>
      </rPr>
      <t>​</t>
    </r>
  </si>
  <si>
    <t>管理阶层（CEO/公务员）</t>
  </si>
  <si>
    <t>空有头衔（傀儡领导/闲职）</t>
  </si>
  <si>
    <t>豪华房产（别墅/地标建筑）</t>
  </si>
  <si>
    <t>家道中落（抵押豪宅/凶宅）</t>
  </si>
  <si>
    <t>重要器官病（心脏病/脑瘤）</t>
  </si>
  <si>
    <t>脾胃虚弱（富贵病/消化不良）</t>
  </si>
  <si>
    <t>出入高端场所（国际会议/贵族学校）</t>
  </si>
  <si>
    <t>虚张声势（装阔/蹭高端场合）</t>
  </si>
  <si>
    <t>一、巨门定义​</t>
  </si>
  <si>
    <r>
      <t>属阴水</t>
    </r>
    <r>
      <rPr>
        <sz val="11"/>
        <color theme="1"/>
        <rFont val="等线"/>
        <family val="2"/>
        <charset val="134"/>
        <scheme val="minor"/>
      </rPr>
      <t>，核心象义：</t>
    </r>
  </si>
  <si>
    <r>
      <t>门</t>
    </r>
    <r>
      <rPr>
        <sz val="11"/>
        <color theme="1"/>
        <rFont val="等线"/>
        <family val="2"/>
        <charset val="134"/>
        <scheme val="minor"/>
      </rPr>
      <t>（通道、关卡、出入口）</t>
    </r>
  </si>
  <si>
    <r>
      <t>嘴</t>
    </r>
    <r>
      <rPr>
        <sz val="11"/>
        <color theme="1"/>
        <rFont val="等线"/>
        <family val="2"/>
        <charset val="134"/>
        <scheme val="minor"/>
      </rPr>
      <t>（言语、饮食、呼吸器官）</t>
    </r>
  </si>
  <si>
    <r>
      <t>说话</t>
    </r>
    <r>
      <rPr>
        <sz val="11"/>
        <color theme="1"/>
        <rFont val="等线"/>
        <family val="2"/>
        <charset val="134"/>
        <scheme val="minor"/>
      </rPr>
      <t>（表达、传播、争议）</t>
    </r>
  </si>
  <si>
    <r>
      <t>遮蔽</t>
    </r>
    <r>
      <rPr>
        <sz val="11"/>
        <color theme="1"/>
        <rFont val="等线"/>
        <family val="2"/>
        <charset val="134"/>
        <scheme val="minor"/>
      </rPr>
      <t>（隐藏、不明朗、阻碍）</t>
    </r>
  </si>
  <si>
    <t>二、宫位组合象义​</t>
  </si>
  <si>
    <t>核心象义​</t>
  </si>
  <si>
    <t>典型应用场景​</t>
  </si>
  <si>
    <t>言语主导命运：庙旺=善辩；落陷=口舌是非</t>
  </si>
  <si>
    <t>律师、讲师、推销员；落陷+煞星易因言获罪</t>
  </si>
  <si>
    <t>文书、长辈关系：+文昌=学历证书；+阴煞=隐性协议</t>
  </si>
  <si>
    <t>合同纠纷；父母有隐瞒之事</t>
  </si>
  <si>
    <t>思想暗流：庙旺=深思熟虑；落陷+铃星=钻牛角尖</t>
  </si>
  <si>
    <t>心理压抑；修行者心魔</t>
  </si>
  <si>
    <t>家宅门户：+天刑=防盗门；+阴煞=房屋风水隐患</t>
  </si>
  <si>
    <t>房门破损；地下室阴气</t>
  </si>
  <si>
    <t>职业沟通：+文曲=谈判专家；+擎羊=高压销售</t>
  </si>
  <si>
    <t>客服争议；公关危机处理</t>
  </si>
  <si>
    <t>人际门户：庙旺=广结人脉；落陷+地劫=朋友背叛</t>
  </si>
  <si>
    <t>团队口角；社交孤立</t>
  </si>
  <si>
    <t>外界评价：+太阳=公众演讲；+陀罗=流言缠身</t>
  </si>
  <si>
    <t>移民签证受阻；网络舆论攻击</t>
  </si>
  <si>
    <t>身体通道：口腔、食道、呼吸道；+火星=咽喉炎</t>
  </si>
  <si>
    <t>胃食管反流；呼吸系统堵塞</t>
  </si>
  <si>
    <t>暗财流动：+武曲=灰色收入；+地空=虚报账目</t>
  </si>
  <si>
    <t>回扣；保险理赔纠纷</t>
  </si>
  <si>
    <t>生育通道：+天喜=顺产；+天刑=剖腹产</t>
  </si>
  <si>
    <t>儿童语言障碍；青春期叛逆</t>
  </si>
  <si>
    <t>感情沟通：庙旺=甜言蜜语；落陷+巨门忌=冷战</t>
  </si>
  <si>
    <t>离婚协议；婚外情曝光</t>
  </si>
  <si>
    <r>
      <t>兄弟宫</t>
    </r>
    <r>
      <rPr>
        <sz val="11"/>
        <color theme="1"/>
        <rFont val="等线"/>
        <family val="2"/>
        <charset val="134"/>
        <scheme val="minor"/>
      </rPr>
      <t>​</t>
    </r>
  </si>
  <si>
    <t>手足隔阂：+右弼=替兄弟代言；+天哭=兄弟反目</t>
  </si>
  <si>
    <t>遗产争夺；合伙纠纷</t>
  </si>
  <si>
    <t>三、四化象义​</t>
  </si>
  <si>
    <t>四化​</t>
  </si>
  <si>
    <t>庙旺（利4-庙7）​</t>
  </si>
  <si>
    <t>落陷（陷1-平3）​</t>
  </si>
  <si>
    <r>
      <t>化禄</t>
    </r>
    <r>
      <rPr>
        <sz val="11"/>
        <color theme="1"/>
        <rFont val="等线"/>
        <family val="2"/>
        <charset val="134"/>
        <scheme val="minor"/>
      </rPr>
      <t>​</t>
    </r>
  </si>
  <si>
    <t>言语得利（谈判成功、美食享受）</t>
  </si>
  <si>
    <t>空谈无果（画大饼、饮食过量）</t>
  </si>
  <si>
    <r>
      <t>化权</t>
    </r>
    <r>
      <rPr>
        <sz val="11"/>
        <color theme="1"/>
        <rFont val="等线"/>
        <family val="2"/>
        <charset val="134"/>
        <scheme val="minor"/>
      </rPr>
      <t>​</t>
    </r>
  </si>
  <si>
    <t>掌控话语权（立法者、权威发布）</t>
  </si>
  <si>
    <t>言语压制（威胁恐吓、独断专行）</t>
  </si>
  <si>
    <r>
      <t>化科</t>
    </r>
    <r>
      <rPr>
        <sz val="11"/>
        <color theme="1"/>
        <rFont val="等线"/>
        <family val="2"/>
        <charset val="134"/>
        <scheme val="minor"/>
      </rPr>
      <t>​</t>
    </r>
  </si>
  <si>
    <t>化解争议（调解专家、优雅谈吐）</t>
  </si>
  <si>
    <t>虚伪修饰（场面话、公关套话）</t>
  </si>
  <si>
    <r>
      <t>化忌</t>
    </r>
    <r>
      <rPr>
        <sz val="11"/>
        <color theme="1"/>
        <rFont val="等线"/>
        <family val="2"/>
        <charset val="134"/>
        <scheme val="minor"/>
      </rPr>
      <t>​</t>
    </r>
  </si>
  <si>
    <t>言多必失（诉讼败诉、机密泄露）</t>
  </si>
  <si>
    <t>沟通绝境（失语症、社交恐惧）</t>
  </si>
  <si>
    <t>四、辅星组合象义​</t>
  </si>
  <si>
    <t>交互象义​</t>
  </si>
  <si>
    <t>文书门路：+巨门=合同条款；化忌=文字陷阱</t>
  </si>
  <si>
    <t>法律文件漏洞；学术抄袭</t>
  </si>
  <si>
    <t>艺术表达：+巨门=声乐表演；化忌=歌词争议</t>
  </si>
  <si>
    <t>演唱会口误；版权纠纷</t>
  </si>
  <si>
    <r>
      <t>铃星</t>
    </r>
    <r>
      <rPr>
        <sz val="11"/>
        <color theme="1"/>
        <rFont val="等线"/>
        <family val="2"/>
        <charset val="134"/>
        <scheme val="minor"/>
      </rPr>
      <t>​</t>
    </r>
  </si>
  <si>
    <t>言语摩擦：+巨门=争吵不休；+天刑=法庭辩论</t>
  </si>
  <si>
    <t>夫妻骂战；网络骂战</t>
  </si>
  <si>
    <t>言语伤害：+巨门=恶语伤人；+疾厄=口腔手术</t>
  </si>
  <si>
    <t>诽谤诉讼；牙齿矫正</t>
  </si>
  <si>
    <r>
      <t>陀罗</t>
    </r>
    <r>
      <rPr>
        <sz val="11"/>
        <color theme="1"/>
        <rFont val="等线"/>
        <family val="2"/>
        <charset val="134"/>
        <scheme val="minor"/>
      </rPr>
      <t>​</t>
    </r>
  </si>
  <si>
    <t>沟通拖延：+巨门=反复解释；+迁移=签证延期</t>
  </si>
  <si>
    <t>翻译卡顿；谈判拉锯战</t>
  </si>
  <si>
    <r>
      <t>地空</t>
    </r>
    <r>
      <rPr>
        <sz val="11"/>
        <color theme="1"/>
        <rFont val="等线"/>
        <family val="2"/>
        <charset val="134"/>
        <scheme val="minor"/>
      </rPr>
      <t>​</t>
    </r>
  </si>
  <si>
    <t>虚妄之言：+巨门=谣言传播；+父母=假学历</t>
  </si>
  <si>
    <t>虚假广告；伪科学宣传</t>
  </si>
  <si>
    <t>断联缺口：+巨门=信号中断；+子女=亲子代沟</t>
  </si>
  <si>
    <t>电话断线；青春期沟通障碍</t>
  </si>
  <si>
    <r>
      <t>天刑</t>
    </r>
    <r>
      <rPr>
        <sz val="11"/>
        <color theme="1"/>
        <rFont val="等线"/>
        <family val="2"/>
        <charset val="134"/>
        <scheme val="minor"/>
      </rPr>
      <t>​</t>
    </r>
  </si>
  <si>
    <t>法律门户：+巨门=司法程序；化权=强制执行</t>
  </si>
  <si>
    <t>法院传票；合同违约</t>
  </si>
  <si>
    <t>隐秘门道：+巨门=间谍活动；+田宅=房屋闹鬼</t>
  </si>
  <si>
    <t>窃听丑闻；风水煞位</t>
  </si>
  <si>
    <r>
      <t>天喜</t>
    </r>
    <r>
      <rPr>
        <sz val="11"/>
        <color theme="1"/>
        <rFont val="等线"/>
        <family val="2"/>
        <charset val="134"/>
        <scheme val="minor"/>
      </rPr>
      <t>​</t>
    </r>
  </si>
  <si>
    <t>喜庆之门：+巨门=婚礼致辞；+夫妻=表白成功</t>
  </si>
  <si>
    <t>求婚宣言；庆典主持</t>
  </si>
  <si>
    <r>
      <t>天姚</t>
    </r>
    <r>
      <rPr>
        <sz val="11"/>
        <color theme="1"/>
        <rFont val="等线"/>
        <family val="2"/>
        <charset val="134"/>
        <scheme val="minor"/>
      </rPr>
      <t>​</t>
    </r>
  </si>
  <si>
    <t>桃色口舌：+巨门=暧昧短信；化忌=性丑闻</t>
  </si>
  <si>
    <t>桃色绯闻；色情直播</t>
  </si>
  <si>
    <t>五、特殊组合案例​</t>
  </si>
  <si>
    <r>
      <t>1. 巨门+地劫（财帛宫）</t>
    </r>
    <r>
      <rPr>
        <sz val="11"/>
        <color theme="1"/>
        <rFont val="等线"/>
        <family val="2"/>
        <charset val="134"/>
        <scheme val="minor"/>
      </rPr>
      <t>​</t>
    </r>
  </si>
  <si>
    <r>
      <t>象义</t>
    </r>
    <r>
      <rPr>
        <sz val="11"/>
        <color theme="1"/>
        <rFont val="等线"/>
        <family val="2"/>
        <charset val="134"/>
        <scheme val="minor"/>
      </rPr>
      <t>：财务漏洞（如信用卡盗刷、税务稽查）</t>
    </r>
  </si>
  <si>
    <r>
      <t>案例</t>
    </r>
    <r>
      <rPr>
        <sz val="11"/>
        <color theme="1"/>
        <rFont val="等线"/>
        <family val="2"/>
        <charset val="134"/>
        <scheme val="minor"/>
      </rPr>
      <t>：对宫武曲天相，提示需核查金融账户安全。</t>
    </r>
  </si>
  <si>
    <r>
      <t>2. 巨门文昌忌（父母宫）</t>
    </r>
    <r>
      <rPr>
        <sz val="11"/>
        <color theme="1"/>
        <rFont val="等线"/>
        <family val="2"/>
        <charset val="134"/>
        <scheme val="minor"/>
      </rPr>
      <t>​</t>
    </r>
  </si>
  <si>
    <r>
      <t>象义</t>
    </r>
    <r>
      <rPr>
        <sz val="11"/>
        <color theme="1"/>
        <rFont val="等线"/>
        <family val="2"/>
        <charset val="134"/>
        <scheme val="minor"/>
      </rPr>
      <t>：学历造假（如毕业证无效、学术不端）</t>
    </r>
  </si>
  <si>
    <r>
      <t>案例</t>
    </r>
    <r>
      <rPr>
        <sz val="11"/>
        <color theme="1"/>
        <rFont val="等线"/>
        <family val="2"/>
        <charset val="134"/>
        <scheme val="minor"/>
      </rPr>
      <t>：追忌至官禄宫太阳权，暴露职场资格审查问题。</t>
    </r>
  </si>
  <si>
    <r>
      <t>3. 巨门铃星（迁移宫）</t>
    </r>
    <r>
      <rPr>
        <sz val="11"/>
        <color theme="1"/>
        <rFont val="等线"/>
        <family val="2"/>
        <charset val="134"/>
        <scheme val="minor"/>
      </rPr>
      <t>​</t>
    </r>
  </si>
  <si>
    <r>
      <t>象义</t>
    </r>
    <r>
      <rPr>
        <sz val="11"/>
        <color theme="1"/>
        <rFont val="等线"/>
        <family val="2"/>
        <charset val="134"/>
        <scheme val="minor"/>
      </rPr>
      <t>：网络暴力（如社交媒体骂战、人肉搜索）</t>
    </r>
  </si>
  <si>
    <r>
      <t>解法</t>
    </r>
    <r>
      <rPr>
        <sz val="11"/>
        <color theme="1"/>
        <rFont val="等线"/>
        <family val="2"/>
        <charset val="134"/>
        <scheme val="minor"/>
      </rPr>
      <t>：需激活天同化禄（福德宫）以情绪疏导。</t>
    </r>
  </si>
  <si>
    <t>六、关键逻辑​</t>
  </si>
  <si>
    <r>
      <t>庙陷差异</t>
    </r>
    <r>
      <rPr>
        <sz val="11"/>
        <color theme="1"/>
        <rFont val="等线"/>
        <family val="2"/>
        <charset val="134"/>
        <scheme val="minor"/>
      </rPr>
      <t>：庙旺（申酉戌亥）主言语影响力；落陷（巳午未）主口舌灾厄。</t>
    </r>
  </si>
  <si>
    <r>
      <t>对冲规则</t>
    </r>
    <r>
      <rPr>
        <sz val="11"/>
        <color theme="1"/>
        <rFont val="等线"/>
        <family val="2"/>
        <charset val="134"/>
        <scheme val="minor"/>
      </rPr>
      <t>：对宫太阳主导巨门显隐——太阳旺则巨门公开化，太阳陷则巨门隐秘化。</t>
    </r>
  </si>
  <si>
    <r>
      <t>自化象</t>
    </r>
    <r>
      <rPr>
        <sz val="11"/>
        <color theme="1"/>
        <rFont val="等线"/>
        <family val="2"/>
        <charset val="134"/>
        <scheme val="minor"/>
      </rPr>
      <t>：巨门自化忌（如丑未宫）表“言出祸随”，需搭配天梁解神以化解。</t>
    </r>
  </si>
  <si>
    <t>一、天机定义​</t>
  </si>
  <si>
    <r>
      <t>属性</t>
    </r>
    <r>
      <rPr>
        <sz val="11"/>
        <color theme="1"/>
        <rFont val="等线"/>
        <family val="2"/>
        <charset val="134"/>
        <scheme val="minor"/>
      </rPr>
      <t>：阴木</t>
    </r>
  </si>
  <si>
    <r>
      <t>斗分</t>
    </r>
    <r>
      <rPr>
        <sz val="11"/>
        <color theme="1"/>
        <rFont val="等线"/>
        <family val="2"/>
        <charset val="134"/>
        <scheme val="minor"/>
      </rPr>
      <t>：南斗三星</t>
    </r>
  </si>
  <si>
    <r>
      <t>化气</t>
    </r>
    <r>
      <rPr>
        <sz val="11"/>
        <color theme="1"/>
        <rFont val="等线"/>
        <family val="2"/>
        <charset val="134"/>
        <scheme val="minor"/>
      </rPr>
      <t>：动、道</t>
    </r>
  </si>
  <si>
    <r>
      <t>核心象义</t>
    </r>
    <r>
      <rPr>
        <sz val="11"/>
        <color theme="1"/>
        <rFont val="等线"/>
        <family val="2"/>
        <charset val="134"/>
        <scheme val="minor"/>
      </rPr>
      <t>：</t>
    </r>
  </si>
  <si>
    <r>
      <t>1. 动</t>
    </r>
    <r>
      <rPr>
        <sz val="11"/>
        <color theme="1"/>
        <rFont val="等线"/>
        <family val="2"/>
        <charset val="134"/>
        <scheme val="minor"/>
      </rPr>
      <t>：运动速度、变化频率（木水位庙旺：高速；火金位落陷：迟缓）</t>
    </r>
  </si>
  <si>
    <r>
      <t>2. 道</t>
    </r>
    <r>
      <rPr>
        <sz val="11"/>
        <color theme="1"/>
        <rFont val="等线"/>
        <family val="2"/>
        <charset val="134"/>
        <scheme val="minor"/>
      </rPr>
      <t>：道路、通道、规则（天道/人道）、传递路径</t>
    </r>
  </si>
  <si>
    <r>
      <t>3. 同音卦</t>
    </r>
    <r>
      <rPr>
        <sz val="11"/>
        <color theme="1"/>
        <rFont val="等线"/>
        <family val="2"/>
        <charset val="134"/>
        <scheme val="minor"/>
      </rPr>
      <t>：机灵、计算、机械（如车辆、电子设备）</t>
    </r>
  </si>
  <si>
    <t>二、宫位象义组合​</t>
  </si>
  <si>
    <t>具体应用​</t>
  </si>
  <si>
    <t>命运动态</t>
  </si>
  <si>
    <t>庙旺：思维敏捷；落陷：优柔寡断</t>
  </si>
  <si>
    <t>文书/长辈</t>
  </si>
  <si>
    <t>证书、学业路径、长辈关系变动</t>
  </si>
  <si>
    <t>身体通道</t>
  </si>
  <si>
    <t>神经系统、血管、呼吸道疾病</t>
  </si>
  <si>
    <t>外界动向</t>
  </si>
  <si>
    <t>旅行、移民、外界信息传递</t>
  </si>
  <si>
    <t>资金流动</t>
  </si>
  <si>
    <t>资金周转率、投资流转速度</t>
  </si>
  <si>
    <t>空间路径</t>
  </si>
  <si>
    <t>家中动线、搬迁、房产交易通道</t>
  </si>
  <si>
    <t>三、星曜互动与四化​</t>
  </si>
  <si>
    <r>
      <t>1. 庙陷影响</t>
    </r>
    <r>
      <rPr>
        <sz val="11"/>
        <color theme="1"/>
        <rFont val="等线"/>
        <family val="2"/>
        <charset val="134"/>
        <scheme val="minor"/>
      </rPr>
      <t>：</t>
    </r>
  </si>
  <si>
    <t>木水位（寅、卯、亥）：庙旺（6-7级），动势强劲</t>
  </si>
  <si>
    <t>火金位（巳、午、申、酉）：落陷（1-3级），动势阻滞</t>
  </si>
  <si>
    <r>
      <t>2. 四化联动</t>
    </r>
    <r>
      <rPr>
        <sz val="11"/>
        <color theme="1"/>
        <rFont val="等线"/>
        <family val="2"/>
        <charset val="134"/>
        <scheme val="minor"/>
      </rPr>
      <t>：</t>
    </r>
  </si>
  <si>
    <r>
      <t>化禄（乙干）</t>
    </r>
    <r>
      <rPr>
        <sz val="11"/>
        <color theme="1"/>
        <rFont val="等线"/>
        <family val="2"/>
        <charset val="134"/>
        <scheme val="minor"/>
      </rPr>
      <t>：加速运动（例：投资获利快）</t>
    </r>
  </si>
  <si>
    <r>
      <t>化权（丙干）</t>
    </r>
    <r>
      <rPr>
        <sz val="11"/>
        <color theme="1"/>
        <rFont val="等线"/>
        <family val="2"/>
        <charset val="134"/>
        <scheme val="minor"/>
      </rPr>
      <t>：掌控动向（例：管理交通系统）</t>
    </r>
  </si>
  <si>
    <r>
      <t>化忌（戊干）</t>
    </r>
    <r>
      <rPr>
        <sz val="11"/>
        <color theme="1"/>
        <rFont val="等线"/>
        <family val="2"/>
        <charset val="134"/>
        <scheme val="minor"/>
      </rPr>
      <t>：中断/错误动向（例：机械故障、决策失误）</t>
    </r>
  </si>
  <si>
    <t>组合象义​</t>
  </si>
  <si>
    <t>案例​</t>
  </si>
  <si>
    <r>
      <t>天机+陀罗</t>
    </r>
    <r>
      <rPr>
        <sz val="11"/>
        <color theme="1"/>
        <rFont val="等线"/>
        <family val="2"/>
        <charset val="134"/>
        <scheme val="minor"/>
      </rPr>
      <t>​</t>
    </r>
  </si>
  <si>
    <t>反复转动</t>
  </si>
  <si>
    <t>关节疾病、循环性工作</t>
  </si>
  <si>
    <r>
      <t>天机+火星</t>
    </r>
    <r>
      <rPr>
        <sz val="11"/>
        <color theme="1"/>
        <rFont val="等线"/>
        <family val="2"/>
        <charset val="134"/>
        <scheme val="minor"/>
      </rPr>
      <t>​</t>
    </r>
  </si>
  <si>
    <t>急速变动</t>
  </si>
  <si>
    <t>突发车祸、电子设备短路</t>
  </si>
  <si>
    <r>
      <t>天机+文昌</t>
    </r>
    <r>
      <rPr>
        <sz val="11"/>
        <color theme="1"/>
        <rFont val="等线"/>
        <family val="2"/>
        <charset val="134"/>
        <scheme val="minor"/>
      </rPr>
      <t>​</t>
    </r>
  </si>
  <si>
    <t>计算传递</t>
  </si>
  <si>
    <t>编程、数据传播、学术研究</t>
  </si>
  <si>
    <r>
      <t>天机+地劫</t>
    </r>
    <r>
      <rPr>
        <sz val="11"/>
        <color theme="1"/>
        <rFont val="等线"/>
        <family val="2"/>
        <charset val="134"/>
        <scheme val="minor"/>
      </rPr>
      <t>​</t>
    </r>
  </si>
  <si>
    <t>道路中断</t>
  </si>
  <si>
    <t>投资失败、交通瘫痪</t>
  </si>
  <si>
    <t>五、典型组合案例​</t>
  </si>
  <si>
    <r>
      <t>1. 天机+太阴（水流动）</t>
    </r>
    <r>
      <rPr>
        <sz val="11"/>
        <color theme="1"/>
        <rFont val="等线"/>
        <family val="2"/>
        <charset val="134"/>
        <scheme val="minor"/>
      </rPr>
      <t>​</t>
    </r>
  </si>
  <si>
    <r>
      <t>象义</t>
    </r>
    <r>
      <rPr>
        <sz val="11"/>
        <color theme="1"/>
        <rFont val="等线"/>
        <family val="2"/>
        <charset val="134"/>
        <scheme val="minor"/>
      </rPr>
      <t>：资金流动、情感传递</t>
    </r>
  </si>
  <si>
    <r>
      <t>案例</t>
    </r>
    <r>
      <rPr>
        <sz val="11"/>
        <color theme="1"/>
        <rFont val="等线"/>
        <family val="2"/>
        <charset val="134"/>
        <scheme val="minor"/>
      </rPr>
      <t>：</t>
    </r>
  </si>
  <si>
    <t>财帛宫：货币汇率波动（太阴庙旺主存储，天机主流转）</t>
  </si>
  <si>
    <t>夫妻宫：情感交流频率（天机权+太阴忌：沟通中断）</t>
  </si>
  <si>
    <r>
      <t>2. 天机+破军（突破性运动）</t>
    </r>
    <r>
      <rPr>
        <sz val="11"/>
        <color theme="1"/>
        <rFont val="等线"/>
        <family val="2"/>
        <charset val="134"/>
        <scheme val="minor"/>
      </rPr>
      <t>​</t>
    </r>
  </si>
  <si>
    <r>
      <t>象义</t>
    </r>
    <r>
      <rPr>
        <sz val="11"/>
        <color theme="1"/>
        <rFont val="等线"/>
        <family val="2"/>
        <charset val="134"/>
        <scheme val="minor"/>
      </rPr>
      <t>：技术革新、路径突破</t>
    </r>
  </si>
  <si>
    <t>官禄宫：行业转型（破军突破+天机计算）</t>
  </si>
  <si>
    <t>疾厄宫：微创手术（破军破坏+天机精密）</t>
  </si>
  <si>
    <t>六、特殊注意事项​</t>
  </si>
  <si>
    <r>
      <t>1. 动与静的辩证</t>
    </r>
    <r>
      <rPr>
        <sz val="11"/>
        <color theme="1"/>
        <rFont val="等线"/>
        <family val="2"/>
        <charset val="134"/>
        <scheme val="minor"/>
      </rPr>
      <t>：</t>
    </r>
  </si>
  <si>
    <t>天机庙旺见禄存：动中有稳（如自动化生产线）</t>
  </si>
  <si>
    <t>天机落陷见擎羊：静中藏险（如潜伏的交通隐患）</t>
  </si>
  <si>
    <r>
      <t>2. 道与器的结合</t>
    </r>
    <r>
      <rPr>
        <sz val="11"/>
        <color theme="1"/>
        <rFont val="等线"/>
        <family val="2"/>
        <charset val="134"/>
        <scheme val="minor"/>
      </rPr>
      <t>：</t>
    </r>
  </si>
  <si>
    <t>天机+天梁：规则化动线（法律流程、医疗方案）</t>
  </si>
  <si>
    <t>天机+廉贞：精密控制（电子囚禁、程序编码）</t>
  </si>
  <si>
    <t>天梁星​</t>
  </si>
  <si>
    <r>
      <t>斗分</t>
    </r>
    <r>
      <rPr>
        <sz val="11"/>
        <color theme="1"/>
        <rFont val="等线"/>
        <family val="2"/>
        <charset val="134"/>
        <scheme val="minor"/>
      </rPr>
      <t>：南斗二星系</t>
    </r>
  </si>
  <si>
    <r>
      <t>阴阳五行</t>
    </r>
    <r>
      <rPr>
        <sz val="11"/>
        <color theme="1"/>
        <rFont val="等线"/>
        <family val="2"/>
        <charset val="134"/>
        <scheme val="minor"/>
      </rPr>
      <t>：阳土（戊干）</t>
    </r>
  </si>
  <si>
    <r>
      <t>化气</t>
    </r>
    <r>
      <rPr>
        <sz val="11"/>
        <color theme="1"/>
        <rFont val="等线"/>
        <family val="2"/>
        <charset val="134"/>
        <scheme val="minor"/>
      </rPr>
      <t>：荫、寿</t>
    </r>
  </si>
  <si>
    <r>
      <t>核心意象</t>
    </r>
    <r>
      <rPr>
        <sz val="11"/>
        <color theme="1"/>
        <rFont val="等线"/>
        <family val="2"/>
        <charset val="134"/>
        <scheme val="minor"/>
      </rPr>
      <t>：支柱、支撑、规则、公共性、根脉传承</t>
    </r>
  </si>
  <si>
    <t>一、基础属性​</t>
  </si>
  <si>
    <t>属性​</t>
  </si>
  <si>
    <t>原始定义​</t>
  </si>
  <si>
    <r>
      <t>本质</t>
    </r>
    <r>
      <rPr>
        <sz val="11"/>
        <color theme="1"/>
        <rFont val="等线"/>
        <family val="2"/>
        <charset val="134"/>
        <scheme val="minor"/>
      </rPr>
      <t>​</t>
    </r>
  </si>
  <si>
    <t>象征能承担重量的支柱结构（如建筑梁柱、脊柱、法律体系）</t>
  </si>
  <si>
    <r>
      <t>公共性质</t>
    </r>
    <r>
      <rPr>
        <sz val="11"/>
        <color theme="1"/>
        <rFont val="等线"/>
        <family val="2"/>
        <charset val="134"/>
        <scheme val="minor"/>
      </rPr>
      <t>​</t>
    </r>
  </si>
  <si>
    <t>代表多方利益平衡时的特征（如法规、公共政策）；与天相星的法律执行性质区别</t>
  </si>
  <si>
    <r>
      <t>根脉传承</t>
    </r>
    <r>
      <rPr>
        <sz val="11"/>
        <color theme="1"/>
        <rFont val="等线"/>
        <family val="2"/>
        <charset val="134"/>
        <scheme val="minor"/>
      </rPr>
      <t>​</t>
    </r>
  </si>
  <si>
    <t>庙旺：直系祖先/家族主脉；落陷：旁系祖先或无关灵体（查坟山风水、遗传病）</t>
  </si>
  <si>
    <r>
      <t>颜色表征</t>
    </r>
    <r>
      <rPr>
        <sz val="11"/>
        <color theme="1"/>
        <rFont val="等线"/>
        <family val="2"/>
        <charset val="134"/>
        <scheme val="minor"/>
      </rPr>
      <t>​</t>
    </r>
  </si>
  <si>
    <t>主黄色，对应传统、稳重意象</t>
  </si>
  <si>
    <r>
      <t>庙陷差异</t>
    </r>
    <r>
      <rPr>
        <sz val="11"/>
        <color theme="1"/>
        <rFont val="等线"/>
        <family val="2"/>
        <charset val="134"/>
        <scheme val="minor"/>
      </rPr>
      <t>​</t>
    </r>
  </si>
  <si>
    <t>庙旺（辰/午/未/酉）：支撑力强；落陷（寅/申/巳/亥）：支撑系统崩溃</t>
  </si>
  <si>
    <t>二、单星象义​</t>
  </si>
  <si>
    <t>1. 核心象征​</t>
  </si>
  <si>
    <t>场景​</t>
  </si>
  <si>
    <t>庙旺（7-10级）​</t>
  </si>
  <si>
    <t>落陷（1-3级）​</t>
  </si>
  <si>
    <r>
      <t>支撑体系</t>
    </r>
    <r>
      <rPr>
        <sz val="11"/>
        <color theme="1"/>
        <rFont val="等线"/>
        <family val="2"/>
        <charset val="134"/>
        <scheme val="minor"/>
      </rPr>
      <t>​</t>
    </r>
  </si>
  <si>
    <t>权威支柱（政府法规/家族族长/企业高管）</t>
  </si>
  <si>
    <t>支撑失效（企业倒闭/脊柱伤病/承诺落空）</t>
  </si>
  <si>
    <r>
      <t>规则属性</t>
    </r>
    <r>
      <rPr>
        <sz val="11"/>
        <color theme="1"/>
        <rFont val="等线"/>
        <family val="2"/>
        <charset val="134"/>
        <scheme val="minor"/>
      </rPr>
      <t>​</t>
    </r>
  </si>
  <si>
    <t>本层空间规则（现实法律/行业标准）</t>
  </si>
  <si>
    <t>外层空间规则（玄学/灵体契约）</t>
  </si>
  <si>
    <r>
      <t>公共事务</t>
    </r>
    <r>
      <rPr>
        <sz val="11"/>
        <color theme="1"/>
        <rFont val="等线"/>
        <family val="2"/>
        <charset val="134"/>
        <scheme val="minor"/>
      </rPr>
      <t>​</t>
    </r>
  </si>
  <si>
    <t>达成共识（合同签订/政策落地）</t>
  </si>
  <si>
    <t>未达成共识（谈判破裂/条款争议）</t>
  </si>
  <si>
    <r>
      <t>遗传表征</t>
    </r>
    <r>
      <rPr>
        <sz val="11"/>
        <color theme="1"/>
        <rFont val="等线"/>
        <family val="2"/>
        <charset val="134"/>
        <scheme val="minor"/>
      </rPr>
      <t>​</t>
    </r>
  </si>
  <si>
    <t>家族荫庇（祖产/优质基因）</t>
  </si>
  <si>
    <t>遗传缺陷（先天疾病/家族诅咒）</t>
  </si>
  <si>
    <t>2. 特殊状态​</t>
  </si>
  <si>
    <r>
      <t>风雨飘摇格</t>
    </r>
    <r>
      <rPr>
        <sz val="11"/>
        <color theme="1"/>
        <rFont val="等线"/>
        <family val="2"/>
        <charset val="134"/>
        <scheme val="minor"/>
      </rPr>
      <t>：天梁落陷+煞星（地劫/铃星）→ 命运动荡（如古代名妓/现代事业不稳）</t>
    </r>
  </si>
  <si>
    <r>
      <t>查根脉规则</t>
    </r>
    <r>
      <rPr>
        <sz val="11"/>
        <color theme="1"/>
        <rFont val="等线"/>
        <family val="2"/>
        <charset val="134"/>
        <scheme val="minor"/>
      </rPr>
      <t>：</t>
    </r>
  </si>
  <si>
    <t>父母宫天梁+文昌：旁系亲属影响</t>
  </si>
  <si>
    <t>疾厄宫天梁+天刑：遗传性脊柱疾病</t>
  </si>
  <si>
    <t>三、组合象义​</t>
  </si>
  <si>
    <t>1. 主星组合​</t>
  </si>
  <si>
    <t>庙旺象义​</t>
  </si>
  <si>
    <t>落陷象义​</t>
  </si>
  <si>
    <r>
      <t>天梁+天同</t>
    </r>
    <r>
      <rPr>
        <sz val="11"/>
        <color theme="1"/>
        <rFont val="等线"/>
        <family val="2"/>
        <charset val="134"/>
        <scheme val="minor"/>
      </rPr>
      <t>​</t>
    </r>
  </si>
  <si>
    <t>共识达成（团队协作/传统仪式）</t>
  </si>
  <si>
    <t>空谈无果（理想化方案失效）</t>
  </si>
  <si>
    <r>
      <t>天梁+天机</t>
    </r>
    <r>
      <rPr>
        <sz val="11"/>
        <color theme="1"/>
        <rFont val="等线"/>
        <family val="2"/>
        <charset val="134"/>
        <scheme val="minor"/>
      </rPr>
      <t>​</t>
    </r>
  </si>
  <si>
    <t>移动支撑（道路养护/关节治疗）</t>
  </si>
  <si>
    <t>结构松动（桥梁隐患/神经传导障碍）</t>
  </si>
  <si>
    <r>
      <t>天梁+太阳</t>
    </r>
    <r>
      <rPr>
        <sz val="11"/>
        <color theme="1"/>
        <rFont val="等线"/>
        <family val="2"/>
        <charset val="134"/>
        <scheme val="minor"/>
      </rPr>
      <t>​</t>
    </r>
  </si>
  <si>
    <t>传统权威（学术泰斗/老字号）</t>
  </si>
  <si>
    <t>权威崩塌（伪专家/古董造假）</t>
  </si>
  <si>
    <r>
      <t>天梁+七杀</t>
    </r>
    <r>
      <rPr>
        <sz val="11"/>
        <color theme="1"/>
        <rFont val="等线"/>
        <family val="2"/>
        <charset val="134"/>
        <scheme val="minor"/>
      </rPr>
      <t>​</t>
    </r>
  </si>
  <si>
    <t>刚性支柱（钢筋结构/军事管制）</t>
  </si>
  <si>
    <t>支柱断裂（骨折/制度崩溃）</t>
  </si>
  <si>
    <t>2. 辅星组合​</t>
  </si>
  <si>
    <t>吉象（庙旺）​</t>
  </si>
  <si>
    <t>凶象（落陷）​</t>
  </si>
  <si>
    <r>
      <t>天梁+文昌</t>
    </r>
    <r>
      <rPr>
        <sz val="11"/>
        <color theme="1"/>
        <rFont val="等线"/>
        <family val="2"/>
        <charset val="134"/>
        <scheme val="minor"/>
      </rPr>
      <t>​</t>
    </r>
  </si>
  <si>
    <t>文书支柱（法典编纂/学术传承）</t>
  </si>
  <si>
    <t>规则歪曲（法律漏洞/学术抄袭）</t>
  </si>
  <si>
    <r>
      <t>天梁+铃星</t>
    </r>
    <r>
      <rPr>
        <sz val="11"/>
        <color theme="1"/>
        <rFont val="等线"/>
        <family val="2"/>
        <charset val="134"/>
        <scheme val="minor"/>
      </rPr>
      <t>​</t>
    </r>
  </si>
  <si>
    <t>抢救支撑（ICU生命维持）</t>
  </si>
  <si>
    <t>系统故障（车辆设计缺陷/管理漏洞）</t>
  </si>
  <si>
    <r>
      <t>天梁+地劫</t>
    </r>
    <r>
      <rPr>
        <sz val="11"/>
        <color theme="1"/>
        <rFont val="等线"/>
        <family val="2"/>
        <charset val="134"/>
        <scheme val="minor"/>
      </rPr>
      <t>​</t>
    </r>
  </si>
  <si>
    <t>支柱掏空（蛀虫腐蚀/骨质疏松）</t>
  </si>
  <si>
    <t>结构崩塌（桥梁事故/家族没落）</t>
  </si>
  <si>
    <r>
      <t>天梁+擎羊</t>
    </r>
    <r>
      <rPr>
        <sz val="11"/>
        <color theme="1"/>
        <rFont val="等线"/>
        <family val="2"/>
        <charset val="134"/>
        <scheme val="minor"/>
      </rPr>
      <t>​</t>
    </r>
  </si>
  <si>
    <t>支柱加固（外科钢钉/强化监管）</t>
  </si>
  <si>
    <t>支柱损伤（骨折/政策暴力执行）</t>
  </si>
  <si>
    <t>四、宫位叠加​</t>
  </si>
  <si>
    <t>自身为支柱（管理者/家族担当）</t>
  </si>
  <si>
    <t>自身难支（依赖他人/健康羸弱）</t>
  </si>
  <si>
    <t>长辈为靠山（政府关系/师承名门）</t>
  </si>
  <si>
    <t>长辈失势（证书无效/领导无能）</t>
  </si>
  <si>
    <t>家宅稳固（祖产丰厚/房产增值）</t>
  </si>
  <si>
    <t>家运不稳（抵押房产/凶宅风水）</t>
  </si>
  <si>
    <t>脊柱健康（天梁庙旺）</t>
  </si>
  <si>
    <t>遗传骨病（天梁落陷+煞星）</t>
  </si>
  <si>
    <t>职业支柱（公务员/医疗行业）</t>
  </si>
  <si>
    <t>职权架空（傀儡职位/行业淘汰）</t>
  </si>
  <si>
    <t>触发条件​</t>
  </si>
  <si>
    <t>庙旺效应​</t>
  </si>
  <si>
    <t>落陷效应​</t>
  </si>
  <si>
    <r>
      <t>化禄（壬干）</t>
    </r>
    <r>
      <rPr>
        <sz val="11"/>
        <color theme="1"/>
        <rFont val="等线"/>
        <family val="2"/>
        <charset val="134"/>
        <scheme val="minor"/>
      </rPr>
      <t>​</t>
    </r>
  </si>
  <si>
    <t>增强福泽</t>
  </si>
  <si>
    <t>资源暴增（继承遗产/政策红利）</t>
  </si>
  <si>
    <t>虚浮收益（投资泡沫/虚假荫庇）</t>
  </si>
  <si>
    <r>
      <t>化权（乙干）</t>
    </r>
    <r>
      <rPr>
        <sz val="11"/>
        <color theme="1"/>
        <rFont val="等线"/>
        <family val="2"/>
        <charset val="134"/>
        <scheme val="minor"/>
      </rPr>
      <t>​</t>
    </r>
  </si>
  <si>
    <t>强化权威</t>
  </si>
  <si>
    <t>掌控升级（晋升管理层/学术权威）</t>
  </si>
  <si>
    <t>强权失控（暴力执法/独断专行）</t>
  </si>
  <si>
    <r>
      <t>化科（己干）</t>
    </r>
    <r>
      <rPr>
        <sz val="11"/>
        <color theme="1"/>
        <rFont val="等线"/>
        <family val="2"/>
        <charset val="134"/>
        <scheme val="minor"/>
      </rPr>
      <t>​</t>
    </r>
  </si>
  <si>
    <t>提升名望</t>
  </si>
  <si>
    <t>声誉积累（老字号口碑/传统技艺传承）</t>
  </si>
  <si>
    <t>虚名无实（山寨品牌/文凭造假）</t>
  </si>
  <si>
    <r>
      <t>无化忌</t>
    </r>
    <r>
      <rPr>
        <sz val="11"/>
        <color theme="1"/>
        <rFont val="等线"/>
        <family val="2"/>
        <charset val="134"/>
        <scheme val="minor"/>
      </rPr>
      <t>​</t>
    </r>
  </si>
  <si>
    <t>不直接化忌</t>
  </si>
  <si>
    <t>需结合对宫煞星判断</t>
  </si>
  <si>
    <t>常见「风雨飘摇」格局替代化忌效应</t>
  </si>
  <si>
    <r>
      <t>1. 规则属性冲突</t>
    </r>
    <r>
      <rPr>
        <sz val="11"/>
        <color theme="1"/>
        <rFont val="等线"/>
        <family val="2"/>
        <charset val="134"/>
        <scheme val="minor"/>
      </rPr>
      <t>：</t>
    </r>
  </si>
  <si>
    <t>文档30定义落陷天梁为“外层空间规则”（玄学）</t>
  </si>
  <si>
    <t>文档7定义落陷天梁为“家运不稳”（现实崩塌）</t>
  </si>
  <si>
    <t>→ 二者并存：需根据宫位区分（命宫主玄学，田宅主现实）</t>
  </si>
  <si>
    <r>
      <t>2. 遗传表征差异</t>
    </r>
    <r>
      <rPr>
        <sz val="11"/>
        <color theme="1"/>
        <rFont val="等线"/>
        <family val="2"/>
        <charset val="134"/>
        <scheme val="minor"/>
      </rPr>
      <t>：</t>
    </r>
  </si>
  <si>
    <t>文档9称天梁庙旺主“优质基因”</t>
  </si>
  <si>
    <t>文档14称父母宫天梁主“遗传病”</t>
  </si>
  <si>
    <t>→ 并存：庙旺为正向遗传，落陷为负向遗传</t>
  </si>
  <si>
    <t>一、廉贞定义​</t>
  </si>
  <si>
    <r>
      <t>属火</t>
    </r>
    <r>
      <rPr>
        <sz val="11"/>
        <color theme="1"/>
        <rFont val="等线"/>
        <family val="2"/>
        <charset val="134"/>
        <scheme val="minor"/>
      </rPr>
      <t xml:space="preserve">，化气为“囚”，主 </t>
    </r>
    <r>
      <rPr>
        <b/>
        <sz val="11"/>
        <color theme="1"/>
        <rFont val="等线"/>
        <family val="3"/>
        <charset val="134"/>
        <scheme val="minor"/>
      </rPr>
      <t>抓、血气、精密复杂、电子器件</t>
    </r>
    <r>
      <rPr>
        <sz val="11"/>
        <color theme="1"/>
        <rFont val="等线"/>
        <family val="2"/>
        <charset val="134"/>
        <scheme val="minor"/>
      </rPr>
      <t>。</t>
    </r>
  </si>
  <si>
    <r>
      <t>1. 囚</t>
    </r>
    <r>
      <rPr>
        <sz val="11"/>
        <color theme="1"/>
        <rFont val="等线"/>
        <family val="2"/>
        <charset val="134"/>
        <scheme val="minor"/>
      </rPr>
      <t>：束缚、掌控、拘禁（如法律约束、肿瘤包裹）。</t>
    </r>
  </si>
  <si>
    <r>
      <t>2. 抓</t>
    </r>
    <r>
      <rPr>
        <sz val="11"/>
        <color theme="1"/>
        <rFont val="等线"/>
        <family val="2"/>
        <charset val="134"/>
        <scheme val="minor"/>
      </rPr>
      <t>：主动捕捉、纠缠、执念（如任务绑定、情感执着）。</t>
    </r>
  </si>
  <si>
    <r>
      <t>3. 血气</t>
    </r>
    <r>
      <rPr>
        <sz val="11"/>
        <color theme="1"/>
        <rFont val="等线"/>
        <family val="2"/>
        <charset val="134"/>
        <scheme val="minor"/>
      </rPr>
      <t>：血液相关（炎症、肿瘤）、生命力。</t>
    </r>
  </si>
  <si>
    <r>
      <t>4. 精密</t>
    </r>
    <r>
      <rPr>
        <sz val="11"/>
        <color theme="1"/>
        <rFont val="等线"/>
        <family val="2"/>
        <charset val="134"/>
        <scheme val="minor"/>
      </rPr>
      <t>：电子系统、精密仪器、复杂网络。</t>
    </r>
  </si>
  <si>
    <t>二、廉贞星曜状态​</t>
  </si>
  <si>
    <t>状态</t>
  </si>
  <si>
    <t>关键影响</t>
  </si>
  <si>
    <r>
      <t>巳/午/未/申</t>
    </r>
    <r>
      <rPr>
        <sz val="11"/>
        <color theme="1"/>
        <rFont val="等线"/>
        <family val="2"/>
        <charset val="134"/>
        <scheme val="minor"/>
      </rPr>
      <t>​</t>
    </r>
  </si>
  <si>
    <t>庙旺（7）</t>
  </si>
  <si>
    <t>掌控力强，精密运作（如电路板密集）。</t>
  </si>
  <si>
    <r>
      <t>辰/卯</t>
    </r>
    <r>
      <rPr>
        <sz val="11"/>
        <color theme="1"/>
        <rFont val="等线"/>
        <family val="2"/>
        <charset val="134"/>
        <scheme val="minor"/>
      </rPr>
      <t>​</t>
    </r>
  </si>
  <si>
    <t>执念深，任务繁重。</t>
  </si>
  <si>
    <r>
      <t>寅/丑/子/亥</t>
    </r>
    <r>
      <rPr>
        <sz val="11"/>
        <color theme="1"/>
        <rFont val="等线"/>
        <family val="2"/>
        <charset val="134"/>
        <scheme val="minor"/>
      </rPr>
      <t>​</t>
    </r>
  </si>
  <si>
    <t>落陷（1）</t>
  </si>
  <si>
    <t>失控、气血不足、抓不住重点。</t>
  </si>
  <si>
    <t>三、宫位组合象义​</t>
  </si>
  <si>
    <t>象义​</t>
  </si>
  <si>
    <t>执念深重</t>
  </si>
  <si>
    <t>庙旺：心思缜密；落陷：偏执空想。</t>
  </si>
  <si>
    <t>精密运作</t>
  </si>
  <si>
    <t>电子金融、数据分析（+文昌）。</t>
  </si>
  <si>
    <t>血气问题</t>
  </si>
  <si>
    <t>庙旺：肿瘤包裹；落陷：气血虚（+天虚）。</t>
  </si>
  <si>
    <t>情感纠缠</t>
  </si>
  <si>
    <t>庙旺：痴情控制；落陷：感情疏离。</t>
  </si>
  <si>
    <t>任务绑定</t>
  </si>
  <si>
    <t>庙旺：高压职场；落陷：逃避责任。</t>
  </si>
  <si>
    <t>典型应验​</t>
  </si>
  <si>
    <r>
      <t>廉贞+天府</t>
    </r>
    <r>
      <rPr>
        <sz val="11"/>
        <color theme="1"/>
        <rFont val="等线"/>
        <family val="2"/>
        <charset val="134"/>
        <scheme val="minor"/>
      </rPr>
      <t>​</t>
    </r>
  </si>
  <si>
    <t>空间掌控</t>
  </si>
  <si>
    <t>辰/戌宫：入狱象（空间束缚）。</t>
  </si>
  <si>
    <r>
      <t>廉贞+贪狼</t>
    </r>
    <r>
      <rPr>
        <sz val="11"/>
        <color theme="1"/>
        <rFont val="等线"/>
        <family val="2"/>
        <charset val="134"/>
        <scheme val="minor"/>
      </rPr>
      <t>​</t>
    </r>
  </si>
  <si>
    <t>抓取大小</t>
  </si>
  <si>
    <t>亥宫：贪欲大却抓不住（感情/财富）。</t>
  </si>
  <si>
    <r>
      <t>廉贞+七杀</t>
    </r>
    <r>
      <rPr>
        <sz val="11"/>
        <color theme="1"/>
        <rFont val="等线"/>
        <family val="2"/>
        <charset val="134"/>
        <scheme val="minor"/>
      </rPr>
      <t>​</t>
    </r>
  </si>
  <si>
    <t>囚禁平面</t>
  </si>
  <si>
    <t>未宫：生命危险（如被困火场）。</t>
  </si>
  <si>
    <r>
      <t>廉贞+破军</t>
    </r>
    <r>
      <rPr>
        <sz val="11"/>
        <color theme="1"/>
        <rFont val="等线"/>
        <family val="2"/>
        <charset val="134"/>
        <scheme val="minor"/>
      </rPr>
      <t>​</t>
    </r>
  </si>
  <si>
    <t>突破性抓取</t>
  </si>
  <si>
    <t>卯宫：死缠烂打；酉宫：果断分手。</t>
  </si>
  <si>
    <r>
      <t>廉贞+陀罗</t>
    </r>
    <r>
      <rPr>
        <sz val="11"/>
        <color theme="1"/>
        <rFont val="等线"/>
        <family val="2"/>
        <charset val="134"/>
        <scheme val="minor"/>
      </rPr>
      <t>​</t>
    </r>
  </si>
  <si>
    <t>淤积肿瘤</t>
  </si>
  <si>
    <t>肿瘤形成（阴债纠缠）。</t>
  </si>
  <si>
    <r>
      <t>廉贞+白虎</t>
    </r>
    <r>
      <rPr>
        <sz val="11"/>
        <color theme="1"/>
        <rFont val="等线"/>
        <family val="2"/>
        <charset val="134"/>
        <scheme val="minor"/>
      </rPr>
      <t>​</t>
    </r>
  </si>
  <si>
    <t>肃杀干净</t>
  </si>
  <si>
    <t>癌细胞清除/扩散（全歼性）。</t>
  </si>
  <si>
    <t>五、四化联动象义​</t>
  </si>
  <si>
    <r>
      <t>化禄</t>
    </r>
    <r>
      <rPr>
        <sz val="11"/>
        <color theme="1"/>
        <rFont val="等线"/>
        <family val="2"/>
        <charset val="134"/>
        <scheme val="minor"/>
      </rPr>
      <t>：</t>
    </r>
  </si>
  <si>
    <t>庙旺：强化掌控（如精准投资）；落陷：虚假抓取（如诈骗）。</t>
  </si>
  <si>
    <r>
      <t>化忌</t>
    </r>
    <r>
      <rPr>
        <sz val="11"/>
        <color theme="1"/>
        <rFont val="等线"/>
        <family val="2"/>
        <charset val="134"/>
        <scheme val="minor"/>
      </rPr>
      <t>：</t>
    </r>
  </si>
  <si>
    <t>终止“抓”（庙旺：解脱执念；落陷：由不抓到抓）。</t>
  </si>
  <si>
    <t>例：廉贞落陷化忌（子宫）→ 气血从虚转足。</t>
  </si>
  <si>
    <t>六、辅星组合象义​</t>
  </si>
  <si>
    <t>叠加象义​</t>
  </si>
  <si>
    <t>急躁抓取</t>
  </si>
  <si>
    <t>被任务催逼发脾气。</t>
  </si>
  <si>
    <t>烦恼纠缠</t>
  </si>
  <si>
    <t>被琐事困扰不得脱身。</t>
  </si>
  <si>
    <t>揪出问题</t>
  </si>
  <si>
    <t>主动揭露隐患（+天刑为举报）。</t>
  </si>
  <si>
    <t>法律束缚</t>
  </si>
  <si>
    <t>官司拘留（廉贞庙旺+天刑）。</t>
  </si>
  <si>
    <t>装饰性抓取</t>
  </si>
  <si>
    <t>佩戴首饰/情感粉饰。</t>
  </si>
  <si>
    <t>七、特殊场景​</t>
  </si>
  <si>
    <r>
      <t>1. 电子系统</t>
    </r>
    <r>
      <rPr>
        <sz val="11"/>
        <color theme="1"/>
        <rFont val="等线"/>
        <family val="2"/>
        <charset val="134"/>
        <scheme val="minor"/>
      </rPr>
      <t>：</t>
    </r>
  </si>
  <si>
    <t>庙旺：电路精密（电脑主板）；落陷：系统失灵（+铃星）。</t>
  </si>
  <si>
    <r>
      <t>2. 阴事隐喻</t>
    </r>
    <r>
      <rPr>
        <sz val="11"/>
        <color theme="1"/>
        <rFont val="等线"/>
        <family val="2"/>
        <charset val="134"/>
        <scheme val="minor"/>
      </rPr>
      <t>：</t>
    </r>
  </si>
  <si>
    <t>廉贞+陀罗+天寿：被冤亲债主纠缠（需超度）。</t>
  </si>
  <si>
    <r>
      <t>3. 军警职业</t>
    </r>
    <r>
      <rPr>
        <sz val="11"/>
        <color theme="1"/>
        <rFont val="等线"/>
        <family val="2"/>
        <charset val="134"/>
        <scheme val="minor"/>
      </rPr>
      <t>：</t>
    </r>
  </si>
  <si>
    <t>廉贞庙旺+七杀：刑警抓捕（如“白虎”肃杀）。</t>
  </si>
  <si>
    <t>一、太阴定义​</t>
  </si>
  <si>
    <r>
      <t>属性</t>
    </r>
    <r>
      <rPr>
        <sz val="11"/>
        <color theme="1"/>
        <rFont val="等线"/>
        <family val="2"/>
        <charset val="134"/>
        <scheme val="minor"/>
      </rPr>
      <t>：阴水</t>
    </r>
  </si>
  <si>
    <r>
      <t>原始象义</t>
    </r>
    <r>
      <rPr>
        <sz val="11"/>
        <color theme="1"/>
        <rFont val="等线"/>
        <family val="2"/>
        <charset val="134"/>
        <scheme val="minor"/>
      </rPr>
      <t>：存储、水、女人、时间维度</t>
    </r>
  </si>
  <si>
    <r>
      <t>1. 存储</t>
    </r>
    <r>
      <rPr>
        <sz val="11"/>
        <color theme="1"/>
        <rFont val="等线"/>
        <family val="2"/>
        <charset val="134"/>
        <scheme val="minor"/>
      </rPr>
      <t>：庙旺（存满/稳定），落陷（存空/流失）</t>
    </r>
  </si>
  <si>
    <t>例：财帛宫+太阴庙＝存款丰厚；落陷＝漏财</t>
  </si>
  <si>
    <r>
      <t>2. 水象</t>
    </r>
    <r>
      <rPr>
        <sz val="11"/>
        <color theme="1"/>
        <rFont val="等线"/>
        <family val="2"/>
        <charset val="134"/>
        <scheme val="minor"/>
      </rPr>
      <t>：液体、流动、阴性能量</t>
    </r>
  </si>
  <si>
    <t>引申：湖泊、暗流、情感流动</t>
  </si>
  <si>
    <r>
      <t>3. 女性关联</t>
    </r>
    <r>
      <rPr>
        <sz val="11"/>
        <color theme="1"/>
        <rFont val="等线"/>
        <family val="2"/>
        <charset val="134"/>
        <scheme val="minor"/>
      </rPr>
      <t>：生命中的女性（母亲/妻子/女儿）、女性气质</t>
    </r>
  </si>
  <si>
    <t>男命太阴陷：女人缘弱；女命太阴庙：柔美内敛</t>
  </si>
  <si>
    <r>
      <t>4. 时间维度</t>
    </r>
    <r>
      <rPr>
        <sz val="11"/>
        <color theme="1"/>
        <rFont val="等线"/>
        <family val="2"/>
        <charset val="134"/>
        <scheme val="minor"/>
      </rPr>
      <t>：过去记忆、前世业力、隐性延续</t>
    </r>
  </si>
  <si>
    <t>典型应用​</t>
  </si>
  <si>
    <t>性格阴柔、善存储记忆；落陷+煞星＝心思敏感易悲观</t>
  </si>
  <si>
    <t>+文昌：记忆超群；+铃星：抑郁倾向</t>
  </si>
  <si>
    <t>母亲影响力；文书存储（证书/遗嘱）</t>
  </si>
  <si>
    <t>太阴陷+阴煞：母亲健康隐疾；+天刑：遗产纠纷</t>
  </si>
  <si>
    <t>财富流动模式</t>
  </si>
  <si>
    <t>庙：稳定理财；陷+地劫：破财；+禄存：暗财（灰色收入）</t>
  </si>
  <si>
    <t>水相关疾病（妇科/泌尿/淋巴）</t>
  </si>
  <si>
    <t>+天哭：抑郁症；+擎羊：手术留疤</t>
  </si>
  <si>
    <t>隐性子女（流产/领养）；子女性格安静</t>
  </si>
  <si>
    <t>太阴忌+天虚：难孕；+红鸾：私生子</t>
  </si>
  <si>
    <t>家宅水性（近水/泳池）；家族记忆</t>
  </si>
  <si>
    <t>庙：家族底蕴深；陷+地空：房屋漏水</t>
  </si>
  <si>
    <t>妻子特质/感情存储</t>
  </si>
  <si>
    <t>庙：配偶体贴；陷+火星：冷暴力；+文曲：情书传情</t>
  </si>
  <si>
    <t>幕后工作（会计/仓储）</t>
  </si>
  <si>
    <t>+天机：数据管理；+陀罗：重复性流水线</t>
  </si>
  <si>
    <t>隐性远行（留学/移民）</t>
  </si>
  <si>
    <t>太阴科：海外置产；忌+劫煞：偷渡风险</t>
  </si>
  <si>
    <t>内心存储的快乐/悲伤</t>
  </si>
  <si>
    <t>庙+天喜：知足常乐；陷+天哭：心结难解</t>
  </si>
  <si>
    <t>三、星曜状态吉凶​</t>
  </si>
  <si>
    <t>状态​</t>
  </si>
  <si>
    <t>特质​</t>
  </si>
  <si>
    <t>四化联动​</t>
  </si>
  <si>
    <r>
      <t>庙旺</t>
    </r>
    <r>
      <rPr>
        <sz val="11"/>
        <color theme="1"/>
        <rFont val="等线"/>
        <family val="2"/>
        <charset val="134"/>
        <scheme val="minor"/>
      </rPr>
      <t>​ (子、亥、酉)</t>
    </r>
  </si>
  <si>
    <t>存储力强、情感丰沛</t>
  </si>
  <si>
    <t>化禄：存财增福；化忌：过度囤积引发抑郁</t>
  </si>
  <si>
    <r>
      <t>落陷</t>
    </r>
    <r>
      <rPr>
        <sz val="11"/>
        <color theme="1"/>
        <rFont val="等线"/>
        <family val="2"/>
        <charset val="134"/>
        <scheme val="minor"/>
      </rPr>
      <t>​ (巳、午、未)</t>
    </r>
  </si>
  <si>
    <t>存储空洞、情感疏离</t>
  </si>
  <si>
    <t>化禄：虚情假意；化忌：彻底失去（财/情）</t>
  </si>
  <si>
    <r>
      <t>平势</t>
    </r>
    <r>
      <rPr>
        <sz val="11"/>
        <color theme="1"/>
        <rFont val="等线"/>
        <family val="2"/>
        <charset val="134"/>
        <scheme val="minor"/>
      </rPr>
      <t>​ (其他宫位)</t>
    </r>
  </si>
  <si>
    <t>波动性存储</t>
  </si>
  <si>
    <t>化权：强制管理存储；化科：缓慢积累</t>
  </si>
  <si>
    <t>四、辅星组合关键象义​</t>
  </si>
  <si>
    <t>存储内容（书籍/数据）</t>
  </si>
  <si>
    <t>+父母宫：家谱；+疾厄：DNA记忆</t>
  </si>
  <si>
    <t>存储偏斜（错误记忆/虚假账目）</t>
  </si>
  <si>
    <t>+财帛：洗钱；+夫妻：旧情复燃</t>
  </si>
  <si>
    <t>存储漏洞</t>
  </si>
  <si>
    <t>田宅+太阴地劫：祖产遗失</t>
  </si>
  <si>
    <t>存储虚胀（泡沫资产）</t>
  </si>
  <si>
    <t>财帛+太阴地空：虚假投资</t>
  </si>
  <si>
    <t>切割存储</t>
  </si>
  <si>
    <t>疾厄+太阴擎羊：切除子宫</t>
  </si>
  <si>
    <t>存储烦恼</t>
  </si>
  <si>
    <t>福德+太阴铃星：心事积压成疾</t>
  </si>
  <si>
    <t>存储情欲</t>
  </si>
  <si>
    <t>子女宫+太阴天姚：隐性性生活</t>
  </si>
  <si>
    <t>存储阴性能量（灵体/业障）</t>
  </si>
  <si>
    <t>命宫+太阴阴煞：通灵体质</t>
  </si>
  <si>
    <t>五、特殊组合注解​</t>
  </si>
  <si>
    <r>
      <t>1. 太阴+天同</t>
    </r>
    <r>
      <rPr>
        <sz val="11"/>
        <color theme="1"/>
        <rFont val="等线"/>
        <family val="2"/>
        <charset val="134"/>
        <scheme val="minor"/>
      </rPr>
      <t>：</t>
    </r>
  </si>
  <si>
    <t>庙旺：情感滋养（如母子情深）；落陷：情感绑架（如《金锁记》曹七巧）</t>
  </si>
  <si>
    <r>
      <t>2. 太阴+太阳</t>
    </r>
    <r>
      <rPr>
        <sz val="11"/>
        <color theme="1"/>
        <rFont val="等线"/>
        <family val="2"/>
        <charset val="134"/>
        <scheme val="minor"/>
      </rPr>
      <t>：</t>
    </r>
  </si>
  <si>
    <t>阴阳平衡（夫妻宫佳配）；反背（午宫太阳陷+子宫太阴庙）：女强男弱婚姻</t>
  </si>
  <si>
    <r>
      <t>3. 太阴化忌（乙干）</t>
    </r>
    <r>
      <rPr>
        <sz val="11"/>
        <color theme="1"/>
        <rFont val="等线"/>
        <family val="2"/>
        <charset val="134"/>
        <scheme val="minor"/>
      </rPr>
      <t>：</t>
    </r>
  </si>
  <si>
    <t>触发存储系统崩溃：仓库火灾、记忆丧失、女性健康危机</t>
  </si>
  <si>
    <r>
      <t>五行</t>
    </r>
    <r>
      <rPr>
        <sz val="11"/>
        <color theme="1"/>
        <rFont val="等线"/>
        <family val="2"/>
        <charset val="134"/>
        <scheme val="minor"/>
      </rPr>
      <t>​</t>
    </r>
  </si>
  <si>
    <t>属火（象征温度、光明、发散）</t>
  </si>
  <si>
    <r>
      <t>阴阳</t>
    </r>
    <r>
      <rPr>
        <sz val="11"/>
        <color theme="1"/>
        <rFont val="等线"/>
        <family val="2"/>
        <charset val="134"/>
        <scheme val="minor"/>
      </rPr>
      <t>​</t>
    </r>
  </si>
  <si>
    <t>阳性（主男性、雄性、公开性）</t>
  </si>
  <si>
    <r>
      <t>核心象征</t>
    </r>
    <r>
      <rPr>
        <sz val="11"/>
        <color theme="1"/>
        <rFont val="等线"/>
        <family val="2"/>
        <charset val="134"/>
        <scheme val="minor"/>
      </rPr>
      <t>​</t>
    </r>
  </si>
  <si>
    <t>光明与黑暗、新旧对比、方位（前后/高低）、出头、阳寿、异族关系</t>
  </si>
  <si>
    <t>庙旺（巳/午/未/申/辰/卯）：能量强；落陷（寅/丑/子/亥）：能量弱</t>
  </si>
  <si>
    <t>1. 核心特质​</t>
  </si>
  <si>
    <r>
      <t>发散性</t>
    </r>
    <r>
      <rPr>
        <sz val="11"/>
        <color theme="1"/>
        <rFont val="等线"/>
        <family val="2"/>
        <charset val="134"/>
        <scheme val="minor"/>
      </rPr>
      <t>​</t>
    </r>
  </si>
  <si>
    <t>话能说出去、声音/味道可传播（如公开演讲）</t>
  </si>
  <si>
    <t>信息闭塞（如沟通失败）</t>
  </si>
  <si>
    <r>
      <t>新旧属性</t>
    </r>
    <r>
      <rPr>
        <sz val="11"/>
        <color theme="1"/>
        <rFont val="等线"/>
        <family val="2"/>
        <charset val="134"/>
        <scheme val="minor"/>
      </rPr>
      <t>​</t>
    </r>
  </si>
  <si>
    <t>代表新事物（技术创新）</t>
  </si>
  <si>
    <t>代表旧事物（思想顽固）</t>
  </si>
  <si>
    <r>
      <t>光明属性</t>
    </r>
    <r>
      <rPr>
        <sz val="11"/>
        <color theme="1"/>
        <rFont val="等线"/>
        <family val="2"/>
        <charset val="134"/>
        <scheme val="minor"/>
      </rPr>
      <t>​</t>
    </r>
  </si>
  <si>
    <t>希望、曝光（如真相揭露）</t>
  </si>
  <si>
    <t>黑暗、隐匿（如秘密掩盖）</t>
  </si>
  <si>
    <r>
      <t>温度属性</t>
    </r>
    <r>
      <rPr>
        <sz val="11"/>
        <color theme="1"/>
        <rFont val="等线"/>
        <family val="2"/>
        <charset val="134"/>
        <scheme val="minor"/>
      </rPr>
      <t>​</t>
    </r>
  </si>
  <si>
    <t>高热（发烧）、活力充沛</t>
  </si>
  <si>
    <t>低温（体寒）、能量不足</t>
  </si>
  <si>
    <r>
      <t>“电池模型”</t>
    </r>
    <r>
      <rPr>
        <sz val="11"/>
        <color theme="1"/>
        <rFont val="等线"/>
        <family val="2"/>
        <charset val="134"/>
        <scheme val="minor"/>
      </rPr>
      <t>：庙旺=满电（行动力强），落陷=没电（消极怠工）</t>
    </r>
  </si>
  <si>
    <r>
      <t>昼夜影响</t>
    </r>
    <r>
      <rPr>
        <sz val="11"/>
        <color theme="1"/>
        <rFont val="等线"/>
        <family val="2"/>
        <charset val="134"/>
        <scheme val="minor"/>
      </rPr>
      <t>：辰-酉时（7:00-17:00）能量强；戌-卯时（19:00-5:00）能量弱</t>
    </r>
  </si>
  <si>
    <r>
      <t>太阳+太阴</t>
    </r>
    <r>
      <rPr>
        <sz val="11"/>
        <color theme="1"/>
        <rFont val="等线"/>
        <family val="2"/>
        <charset val="134"/>
        <scheme val="minor"/>
      </rPr>
      <t>​</t>
    </r>
  </si>
  <si>
    <t>阴阳平衡（和谐婚姻）</t>
  </si>
  <si>
    <t>阴阳反背（女强男弱）</t>
  </si>
  <si>
    <r>
      <t>太阳+巨门</t>
    </r>
    <r>
      <rPr>
        <sz val="11"/>
        <color theme="1"/>
        <rFont val="等线"/>
        <family val="2"/>
        <charset val="134"/>
        <scheme val="minor"/>
      </rPr>
      <t>​</t>
    </r>
  </si>
  <si>
    <t>光明门控（公开演讲）</t>
  </si>
  <si>
    <t>门关光弱（怀才不遇）</t>
  </si>
  <si>
    <r>
      <t>太阳+天梁</t>
    </r>
    <r>
      <rPr>
        <sz val="11"/>
        <color theme="1"/>
        <rFont val="等线"/>
        <family val="2"/>
        <charset val="134"/>
        <scheme val="minor"/>
      </rPr>
      <t>​</t>
    </r>
  </si>
  <si>
    <t>权威支柱（法规制定）</t>
  </si>
  <si>
    <t>支柱崩塌（制度崩溃）</t>
  </si>
  <si>
    <r>
      <t>太阳+七杀</t>
    </r>
    <r>
      <rPr>
        <sz val="11"/>
        <color theme="1"/>
        <rFont val="等线"/>
        <family val="2"/>
        <charset val="134"/>
        <scheme val="minor"/>
      </rPr>
      <t>​</t>
    </r>
  </si>
  <si>
    <t>刚性突破（军事行动）</t>
  </si>
  <si>
    <t>暴力失控（冲突升级）</t>
  </si>
  <si>
    <r>
      <t>太阳+左辅</t>
    </r>
    <r>
      <rPr>
        <sz val="11"/>
        <color theme="1"/>
        <rFont val="等线"/>
        <family val="2"/>
        <charset val="134"/>
        <scheme val="minor"/>
      </rPr>
      <t>​</t>
    </r>
  </si>
  <si>
    <t>多点发散（多平台宣传）</t>
  </si>
  <si>
    <t>冗余干扰（信息过载）</t>
  </si>
  <si>
    <r>
      <t>太阳+右弼</t>
    </r>
    <r>
      <rPr>
        <sz val="11"/>
        <color theme="1"/>
        <rFont val="等线"/>
        <family val="2"/>
        <charset val="134"/>
        <scheme val="minor"/>
      </rPr>
      <t>​</t>
    </r>
  </si>
  <si>
    <t>灵活转向（策略调整）</t>
  </si>
  <si>
    <t>路径僵化（固执己见）</t>
  </si>
  <si>
    <r>
      <t>太阳+文昌</t>
    </r>
    <r>
      <rPr>
        <sz val="11"/>
        <color theme="1"/>
        <rFont val="等线"/>
        <family val="2"/>
        <charset val="134"/>
        <scheme val="minor"/>
      </rPr>
      <t>​</t>
    </r>
  </si>
  <si>
    <t>精密传播（数据公开）</t>
  </si>
  <si>
    <t>信息失真（谣言扩散）</t>
  </si>
  <si>
    <r>
      <t>太阳+铃星</t>
    </r>
    <r>
      <rPr>
        <sz val="11"/>
        <color theme="1"/>
        <rFont val="等线"/>
        <family val="2"/>
        <charset val="134"/>
        <scheme val="minor"/>
      </rPr>
      <t>​</t>
    </r>
  </si>
  <si>
    <t>突发曝光（丑闻揭露）</t>
  </si>
  <si>
    <t>持续困扰（负面舆情）</t>
  </si>
  <si>
    <t>热情开朗（领袖气质）</t>
  </si>
  <si>
    <t>消极悲观（自闭倾向）</t>
  </si>
  <si>
    <t>贵人相助（人脉广阔）</t>
  </si>
  <si>
    <t>小人环绕（人际孤立）</t>
  </si>
  <si>
    <t>远行机遇（留学/移民）</t>
  </si>
  <si>
    <t>外界排斥（签证受阻）</t>
  </si>
  <si>
    <t>高血压/眼疾（火性病症）</t>
  </si>
  <si>
    <t>气血虚弱（慢性疲劳）</t>
  </si>
  <si>
    <t>公开消费（品牌消费）</t>
  </si>
  <si>
    <t>财务曝光（税务稽查）</t>
  </si>
  <si>
    <t>声名远播（网红走红）</t>
  </si>
  <si>
    <t>虚名无实（炒作翻车）</t>
  </si>
  <si>
    <t>权威升级（晋升管理层）</t>
  </si>
  <si>
    <t>强权压制（独断专行）</t>
  </si>
  <si>
    <t>声誉积累（老字号口碑）</t>
  </si>
  <si>
    <t>粉饰太平（公关危机）</t>
  </si>
  <si>
    <t>需结合煞星判断</t>
  </si>
  <si>
    <t>常见“光明湮灭”替代化忌效应</t>
  </si>
  <si>
    <r>
      <t>1. 贵星争议</t>
    </r>
    <r>
      <rPr>
        <sz val="11"/>
        <color theme="1"/>
        <rFont val="等线"/>
        <family val="2"/>
        <charset val="134"/>
        <scheme val="minor"/>
      </rPr>
      <t>：</t>
    </r>
  </si>
  <si>
    <t>文档称太阳“不代表贵星”，但交友宫提及“出人头地”</t>
  </si>
  <si>
    <t>→ 并存：庙旺时显贵气，落陷时无贵格。</t>
  </si>
  <si>
    <r>
      <t>2. 新旧定义冲突</t>
    </r>
    <r>
      <rPr>
        <sz val="11"/>
        <color theme="1"/>
        <rFont val="等线"/>
        <family val="2"/>
        <charset val="134"/>
        <scheme val="minor"/>
      </rPr>
      <t>：</t>
    </r>
  </si>
  <si>
    <t>文档7否定“昼夜生人理论”，但文档3沿用时辰划分</t>
  </si>
  <si>
    <t>→ 并列矛盾：部分理论沿用时辰，部分否定。</t>
  </si>
  <si>
    <t>一、天相定义</t>
  </si>
  <si>
    <r>
      <t>属行</t>
    </r>
    <r>
      <rPr>
        <sz val="11"/>
        <color theme="1"/>
        <rFont val="等线"/>
        <family val="2"/>
        <charset val="134"/>
        <scheme val="minor"/>
      </rPr>
      <t>：阳水</t>
    </r>
  </si>
  <si>
    <r>
      <t>原始象义</t>
    </r>
    <r>
      <rPr>
        <sz val="11"/>
        <color theme="1"/>
        <rFont val="等线"/>
        <family val="2"/>
        <charset val="134"/>
        <scheme val="minor"/>
      </rPr>
      <t>：</t>
    </r>
  </si>
  <si>
    <r>
      <t>衣食主</t>
    </r>
    <r>
      <rPr>
        <sz val="11"/>
        <color theme="1"/>
        <rFont val="等线"/>
        <family val="2"/>
        <charset val="134"/>
        <scheme val="minor"/>
      </rPr>
      <t>：掌管吃穿、生活基本需求。</t>
    </r>
  </si>
  <si>
    <r>
      <t>呵护/服务</t>
    </r>
    <r>
      <rPr>
        <sz val="11"/>
        <color theme="1"/>
        <rFont val="等线"/>
        <family val="2"/>
        <charset val="134"/>
        <scheme val="minor"/>
      </rPr>
      <t>：象征保护、陪伴、辅助（如护工、保姆）。</t>
    </r>
  </si>
  <si>
    <r>
      <t>包裹/维生系统</t>
    </r>
    <r>
      <rPr>
        <sz val="11"/>
        <color theme="1"/>
        <rFont val="等线"/>
        <family val="2"/>
        <charset val="134"/>
        <scheme val="minor"/>
      </rPr>
      <t>：覆盖、包裹之物（如衣服、皮肤、食物容器）；维持生命的基础系统（如血液循环）。</t>
    </r>
  </si>
  <si>
    <r>
      <t>同音卦延伸</t>
    </r>
    <r>
      <rPr>
        <sz val="11"/>
        <color theme="1"/>
        <rFont val="等线"/>
        <family val="2"/>
        <charset val="134"/>
        <scheme val="minor"/>
      </rPr>
      <t>：</t>
    </r>
  </si>
  <si>
    <t>“相片”：照片、影像（如X光片、CT扫描）。</t>
  </si>
  <si>
    <t>“相亲”：婚恋介绍、匹配过程。</t>
  </si>
  <si>
    <t>二、宫位组合象义</t>
  </si>
  <si>
    <t>具体表现​</t>
  </si>
  <si>
    <t>性格与外貌</t>
  </si>
  <si>
    <t>重仪表，喜整洁；性格温和，善协调（落陷时虚伪或过分挑剔）。</t>
  </si>
  <si>
    <t>文书/皮肤</t>
  </si>
  <si>
    <t>证件、合同；皮肤状态（+文昌：皮肤细腻；+擎羊：疤痕、破相）。</t>
  </si>
  <si>
    <t>精神需求</t>
  </si>
  <si>
    <t>追求生活享受（庙旺）；过度依赖他人（落陷+煞星）。</t>
  </si>
  <si>
    <t>居住环境</t>
  </si>
  <si>
    <t>房屋质量（庙旺：舒适；落陷+地劫：漏水）；家中维生物品（冰箱、空调）。</t>
  </si>
  <si>
    <t>职业性质</t>
  </si>
  <si>
    <t>服务业、护理、餐饮、服装业；化忌时工作敷衍。</t>
  </si>
  <si>
    <t>身体系统</t>
  </si>
  <si>
    <t>皮肤、消化系统（天相+火星：胃灼热）；免疫系统（+天梁：慢性病需长期呵护）。</t>
  </si>
  <si>
    <t>生计来源</t>
  </si>
  <si>
    <t>稳定收入（工资）；消费观（庙旺：注重品质；落陷：浪费）。</t>
  </si>
  <si>
    <t>亲子关系/性生活</t>
  </si>
  <si>
    <t>对孩子过度保护；性生活卫生（+阴煞：避孕措施）。</t>
  </si>
  <si>
    <t>三、星曜位置与庙陷</t>
  </si>
  <si>
    <t>地支​</t>
  </si>
  <si>
    <t>庙陷等级​</t>
  </si>
  <si>
    <t>特性​</t>
  </si>
  <si>
    <t>巳午未申</t>
  </si>
  <si>
    <t>陷（1级）</t>
  </si>
  <si>
    <t>呵护力不足，易敷衍了事。</t>
  </si>
  <si>
    <t>辰酉</t>
  </si>
  <si>
    <t>利（4级）</t>
  </si>
  <si>
    <t>能履行责任，但缺乏热情。</t>
  </si>
  <si>
    <t>卯戌</t>
  </si>
  <si>
    <t>庙（7级）</t>
  </si>
  <si>
    <t>尽职尽责，生活精致。</t>
  </si>
  <si>
    <t>寅丑子亥</t>
  </si>
  <si>
    <t>旺（6级）</t>
  </si>
  <si>
    <t>无微不至的照顾，维生系统稳固（如健康饮食）。</t>
  </si>
  <si>
    <r>
      <t>注</t>
    </r>
    <r>
      <rPr>
        <sz val="11"/>
        <color theme="1"/>
        <rFont val="等线"/>
        <family val="2"/>
        <charset val="134"/>
        <scheme val="minor"/>
      </rPr>
      <t>：水位（亥子丑）庙旺时天相力量最强，火位（巳午未）落陷时最弱。</t>
    </r>
  </si>
  <si>
    <t>四、主星组合象义</t>
  </si>
  <si>
    <t>权威性维护</t>
  </si>
  <si>
    <t>高档生活（紫微科：奢侈品）；严格管理（紫微权：制度执行者）。</t>
  </si>
  <si>
    <r>
      <t>武曲+天相</t>
    </r>
    <r>
      <rPr>
        <sz val="11"/>
        <color theme="1"/>
        <rFont val="等线"/>
        <family val="2"/>
        <charset val="134"/>
        <scheme val="minor"/>
      </rPr>
      <t>​</t>
    </r>
  </si>
  <si>
    <t>财务维生</t>
  </si>
  <si>
    <t>理财规划（武曲庙）；金融服务业（+文昌：会计审计）。</t>
  </si>
  <si>
    <r>
      <t>廉贞+天相</t>
    </r>
    <r>
      <rPr>
        <sz val="11"/>
        <color theme="1"/>
        <rFont val="等线"/>
        <family val="2"/>
        <charset val="134"/>
        <scheme val="minor"/>
      </rPr>
      <t>​</t>
    </r>
  </si>
  <si>
    <t>精密包裹</t>
  </si>
  <si>
    <t>电子产品维修（廉贞庙）；微创手术（廉贞陷+天刑）。</t>
  </si>
  <si>
    <r>
      <t>天梁+天相</t>
    </r>
    <r>
      <rPr>
        <sz val="11"/>
        <color theme="1"/>
        <rFont val="等线"/>
        <family val="2"/>
        <charset val="134"/>
        <scheme val="minor"/>
      </rPr>
      <t>​</t>
    </r>
  </si>
  <si>
    <t>公共支持</t>
  </si>
  <si>
    <t>社会福利工作；家族传承（天梁庙：家规严格）。</t>
  </si>
  <si>
    <t>五、辅星组合象义</t>
  </si>
  <si>
    <t>内容修饰</t>
  </si>
  <si>
    <t>合同美化（文昌庙）；食物摆盘精致（+天厨）。</t>
  </si>
  <si>
    <t>内容问题</t>
  </si>
  <si>
    <t>合同漏洞（文曲忌）；食品变质（文曲+铃星）。</t>
  </si>
  <si>
    <t>琐碎烦恼</t>
  </si>
  <si>
    <t>家务纠纷（田宅宫）；衣食搭配不当的焦虑。</t>
  </si>
  <si>
    <t>急迫性破坏</t>
  </si>
  <si>
    <t>皮肤烫伤（疾厄宫）；压不住火气（福德宫）。</t>
  </si>
  <si>
    <t>切割伤害</t>
  </si>
  <si>
    <t>皮肤破损（父母宫）；手术切口（+天梁）。</t>
  </si>
  <si>
    <t>虚浮夸大</t>
  </si>
  <si>
    <t>过度包装（地空庙）；食物分量不足（地空陷）。</t>
  </si>
  <si>
    <t>隐蔽问题</t>
  </si>
  <si>
    <t>食物防腐剂超标（子女宫）；护肤品过敏（疾厄宫）。</t>
  </si>
  <si>
    <t>关键要点</t>
  </si>
  <si>
    <r>
      <t>1. 天相化忌</t>
    </r>
    <r>
      <rPr>
        <sz val="11"/>
        <color theme="1"/>
        <rFont val="等线"/>
        <family val="2"/>
        <charset val="134"/>
        <scheme val="minor"/>
      </rPr>
      <t>：维生系统失效（如保险失效、服务中断）。</t>
    </r>
  </si>
  <si>
    <r>
      <t>2. 天相+煞星</t>
    </r>
    <r>
      <rPr>
        <sz val="11"/>
        <color theme="1"/>
        <rFont val="等线"/>
        <family val="2"/>
        <charset val="134"/>
        <scheme val="minor"/>
      </rPr>
      <t>：</t>
    </r>
  </si>
  <si>
    <t>火位（巳午未）：呵护敷衍，易引发抱怨。</t>
  </si>
  <si>
    <t>水位（亥子丑）：过度保护，导致依赖。</t>
  </si>
  <si>
    <r>
      <t>3. 特殊组合</t>
    </r>
    <r>
      <rPr>
        <sz val="11"/>
        <color theme="1"/>
        <rFont val="等线"/>
        <family val="2"/>
        <charset val="134"/>
        <scheme val="minor"/>
      </rPr>
      <t>：</t>
    </r>
  </si>
  <si>
    <r>
      <t>天相+红鸾</t>
    </r>
    <r>
      <rPr>
        <sz val="11"/>
        <color theme="1"/>
        <rFont val="等线"/>
        <family val="2"/>
        <charset val="134"/>
        <scheme val="minor"/>
      </rPr>
      <t>：婚庆服务业（婚纱、喜糖）。</t>
    </r>
  </si>
  <si>
    <r>
      <t>天相+天姚</t>
    </r>
    <r>
      <rPr>
        <sz val="11"/>
        <color theme="1"/>
        <rFont val="等线"/>
        <family val="2"/>
        <charset val="134"/>
        <scheme val="minor"/>
      </rPr>
      <t>：时尚行业（服装设计、化妆品）。</t>
    </r>
  </si>
  <si>
    <t>一、武曲定义​</t>
  </si>
  <si>
    <r>
      <t>属金</t>
    </r>
    <r>
      <rPr>
        <sz val="11"/>
        <color theme="1"/>
        <rFont val="等线"/>
        <family val="2"/>
        <charset val="134"/>
        <scheme val="minor"/>
      </rPr>
      <t>，化气为财，主财富、坚硬之物、武力、刚毅、寡淡。</t>
    </r>
  </si>
  <si>
    <r>
      <t>1. 财星</t>
    </r>
    <r>
      <rPr>
        <sz val="11"/>
        <color theme="1"/>
        <rFont val="等线"/>
        <family val="2"/>
        <charset val="134"/>
        <scheme val="minor"/>
      </rPr>
      <t>：正财、金属钱财、金融活动。</t>
    </r>
  </si>
  <si>
    <r>
      <t>2. 硬物</t>
    </r>
    <r>
      <rPr>
        <sz val="11"/>
        <color theme="1"/>
        <rFont val="等线"/>
        <family val="2"/>
        <charset val="134"/>
        <scheme val="minor"/>
      </rPr>
      <t>：骨骼、牙齿、金属器械、武器。</t>
    </r>
  </si>
  <si>
    <r>
      <t>3. 武力</t>
    </r>
    <r>
      <rPr>
        <sz val="11"/>
        <color theme="1"/>
        <rFont val="等线"/>
        <family val="2"/>
        <charset val="134"/>
        <scheme val="minor"/>
      </rPr>
      <t>：刚强、果断、军事、斗争。</t>
    </r>
  </si>
  <si>
    <r>
      <t>4. 寡宿</t>
    </r>
    <r>
      <rPr>
        <sz val="11"/>
        <color theme="1"/>
        <rFont val="等线"/>
        <family val="2"/>
        <charset val="134"/>
        <scheme val="minor"/>
      </rPr>
      <t>：冷淡、孤独、不善表达情感。</t>
    </r>
  </si>
  <si>
    <r>
      <t>5. 执行</t>
    </r>
    <r>
      <rPr>
        <sz val="11"/>
        <color theme="1"/>
        <rFont val="等线"/>
        <family val="2"/>
        <charset val="134"/>
        <scheme val="minor"/>
      </rPr>
      <t>：务实、执行力强，但缺乏变通。</t>
    </r>
  </si>
  <si>
    <t>二、宫位组合含义​</t>
  </si>
  <si>
    <t>性格刚强，独立自主，重实际利益，易显冷漠。</t>
  </si>
  <si>
    <t>主业正财，宜金融、金属行业；化忌时资金链断裂。</t>
  </si>
  <si>
    <t>事业务实（如军警、工程），职权分明，忌优柔寡断。</t>
  </si>
  <si>
    <t>感情理性，缺乏浪漫，配偶性格强硬或从事武职。</t>
  </si>
  <si>
    <t>易患骨骼病、牙疾、结石；+煞星主骨折手术。</t>
  </si>
  <si>
    <t>外出遇权威人士或财务纠纷；化权得贵人提携。</t>
  </si>
  <si>
    <t>家中多金属物品（保险柜、刀具），住宅近银行、军营。</t>
  </si>
  <si>
    <t>三、星曜亮度与吉凶​</t>
  </si>
  <si>
    <t>亮度​</t>
  </si>
  <si>
    <t>象义强度​</t>
  </si>
  <si>
    <r>
      <t>辰/酉</t>
    </r>
    <r>
      <rPr>
        <sz val="11"/>
        <color theme="1"/>
        <rFont val="等线"/>
        <family val="2"/>
        <charset val="134"/>
        <scheme val="minor"/>
      </rPr>
      <t>​</t>
    </r>
  </si>
  <si>
    <t>庙（7）</t>
  </si>
  <si>
    <t>财运强，行事果决，骨骼健壮。</t>
  </si>
  <si>
    <r>
      <t>巳/申</t>
    </r>
    <r>
      <rPr>
        <sz val="11"/>
        <color theme="1"/>
        <rFont val="等线"/>
        <family val="2"/>
        <charset val="134"/>
        <scheme val="minor"/>
      </rPr>
      <t>​</t>
    </r>
  </si>
  <si>
    <t>旺（6）</t>
  </si>
  <si>
    <t>财路广但波动大，性格刚中带柔。</t>
  </si>
  <si>
    <r>
      <t>卯/戌</t>
    </r>
    <r>
      <rPr>
        <sz val="11"/>
        <color theme="1"/>
        <rFont val="等线"/>
        <family val="2"/>
        <charset val="134"/>
        <scheme val="minor"/>
      </rPr>
      <t>​</t>
    </r>
  </si>
  <si>
    <t>利（4）</t>
  </si>
  <si>
    <t>财运平淡，需主动争取，易关节劳损。</t>
  </si>
  <si>
    <r>
      <t>寅/亥</t>
    </r>
    <r>
      <rPr>
        <sz val="11"/>
        <color theme="1"/>
        <rFont val="等线"/>
        <family val="2"/>
        <charset val="134"/>
        <scheme val="minor"/>
      </rPr>
      <t>​</t>
    </r>
  </si>
  <si>
    <t>得（5）</t>
  </si>
  <si>
    <t>财来财去，晚年积蓄；体弱易风寒。</t>
  </si>
  <si>
    <r>
      <t>子/午/丑/未</t>
    </r>
    <r>
      <rPr>
        <sz val="11"/>
        <color theme="1"/>
        <rFont val="等线"/>
        <family val="2"/>
        <charset val="134"/>
        <scheme val="minor"/>
      </rPr>
      <t>​</t>
    </r>
  </si>
  <si>
    <t>平/陷（1-3）</t>
  </si>
  <si>
    <t>求财辛苦，健康不佳，性情孤僻。</t>
  </si>
  <si>
    <t>四、四化影响​</t>
  </si>
  <si>
    <t>触发宫干​</t>
  </si>
  <si>
    <t>己干</t>
  </si>
  <si>
    <t>财运爆发（实业、金属交易），但易因固执失机。</t>
  </si>
  <si>
    <t>庚干</t>
  </si>
  <si>
    <t>职权提升（管理、军职），行动力强，但冲突增多。</t>
  </si>
  <si>
    <t>甲干</t>
  </si>
  <si>
    <t>专业名声（金融、技术），化解财务纠纷。</t>
  </si>
  <si>
    <t>壬干</t>
  </si>
  <si>
    <t>破财、资金冻结，骨骼伤病，人际孤立。</t>
  </si>
  <si>
    <t>五、辅星组合实战案例​</t>
  </si>
  <si>
    <t>应事案例​</t>
  </si>
  <si>
    <t>武曲+火星</t>
  </si>
  <si>
    <t>快速破财（股票暴亏）、急性骨伤（扭伤）。</t>
  </si>
  <si>
    <t>武曲+擎羊</t>
  </si>
  <si>
    <t>武力冲突（打架）、骨折手术、强制裁员。</t>
  </si>
  <si>
    <t>武曲+文昌</t>
  </si>
  <si>
    <t>金融文书（贷款合同）、财务审计纠纷。</t>
  </si>
  <si>
    <t>武曲+地空</t>
  </si>
  <si>
    <t>虚财（期货泡沫）、骨质空洞（骨质疏松）。</t>
  </si>
  <si>
    <t>武曲+天刑</t>
  </si>
  <si>
    <t>财务官司、军事纪律处分，或骨科手术。</t>
  </si>
  <si>
    <r>
      <t>禄存</t>
    </r>
    <r>
      <rPr>
        <sz val="11"/>
        <color theme="1"/>
        <rFont val="等线"/>
        <family val="2"/>
        <charset val="134"/>
        <scheme val="minor"/>
      </rPr>
      <t>​</t>
    </r>
  </si>
  <si>
    <t>武曲+禄存</t>
  </si>
  <si>
    <t>财富积累（房地产、贵金属），但孤克亲友。</t>
  </si>
  <si>
    <r>
      <t>天哭</t>
    </r>
    <r>
      <rPr>
        <sz val="11"/>
        <color theme="1"/>
        <rFont val="等线"/>
        <family val="2"/>
        <charset val="134"/>
        <scheme val="minor"/>
      </rPr>
      <t>​</t>
    </r>
  </si>
  <si>
    <t>武曲+天哭</t>
  </si>
  <si>
    <t>因财悲伤（遗产纠纷）、骨骼剧痛（晚期骨癌）。</t>
  </si>
  <si>
    <t>六、重点提示​</t>
  </si>
  <si>
    <r>
      <t>武曲逢煞</t>
    </r>
    <r>
      <rPr>
        <sz val="11"/>
        <color theme="1"/>
        <rFont val="等线"/>
        <family val="2"/>
        <charset val="134"/>
        <scheme val="minor"/>
      </rPr>
      <t>（火星、铃星、擎羊、陀罗）：</t>
    </r>
  </si>
  <si>
    <t>财路凶险（高利贷、赌债），健康预警（金属外伤、手术）。</t>
  </si>
  <si>
    <r>
      <t>武曲逢吉</t>
    </r>
    <r>
      <rPr>
        <sz val="11"/>
        <color theme="1"/>
        <rFont val="等线"/>
        <family val="2"/>
        <charset val="134"/>
        <scheme val="minor"/>
      </rPr>
      <t>（禄存、天马）：</t>
    </r>
  </si>
  <si>
    <t>实业致富（矿山、机械），但需防人际疏离。</t>
  </si>
  <si>
    <t>一、贪狼定义​</t>
  </si>
  <si>
    <r>
      <t>属性</t>
    </r>
    <r>
      <rPr>
        <sz val="11"/>
        <color theme="1"/>
        <rFont val="等线"/>
        <family val="2"/>
        <charset val="134"/>
        <scheme val="minor"/>
      </rPr>
      <t>：阳木 + 阴水</t>
    </r>
  </si>
  <si>
    <r>
      <t>斗分</t>
    </r>
    <r>
      <rPr>
        <sz val="11"/>
        <color theme="1"/>
        <rFont val="等线"/>
        <family val="2"/>
        <charset val="134"/>
        <scheme val="minor"/>
      </rPr>
      <t>：北斗第一星</t>
    </r>
  </si>
  <si>
    <r>
      <t>化气</t>
    </r>
    <r>
      <rPr>
        <sz val="11"/>
        <color theme="1"/>
        <rFont val="等线"/>
        <family val="2"/>
        <charset val="134"/>
        <scheme val="minor"/>
      </rPr>
      <t>：贪、欲（主欲望、体积、肉体）</t>
    </r>
  </si>
  <si>
    <r>
      <t>1. 所有物体的统称</t>
    </r>
    <r>
      <rPr>
        <sz val="11"/>
        <color theme="1"/>
        <rFont val="等线"/>
        <family val="2"/>
        <charset val="134"/>
        <scheme val="minor"/>
      </rPr>
      <t>：泛指物质存在，如物体、空间、肉体。</t>
    </r>
  </si>
  <si>
    <r>
      <t>2. 体积大小</t>
    </r>
    <r>
      <rPr>
        <sz val="11"/>
        <color theme="1"/>
        <rFont val="等线"/>
        <family val="2"/>
        <charset val="134"/>
        <scheme val="minor"/>
      </rPr>
      <t>：庙旺（体积大/欲望强）；落陷（体积小/欲望弱）。</t>
    </r>
  </si>
  <si>
    <r>
      <t>3. 欲望</t>
    </r>
    <r>
      <rPr>
        <sz val="11"/>
        <color theme="1"/>
        <rFont val="等线"/>
        <family val="2"/>
        <charset val="134"/>
        <scheme val="minor"/>
      </rPr>
      <t>：贪欲、肉欲、物欲、求知欲。</t>
    </r>
  </si>
  <si>
    <r>
      <t>4. 肉体</t>
    </r>
    <r>
      <rPr>
        <sz val="11"/>
        <color theme="1"/>
        <rFont val="等线"/>
        <family val="2"/>
        <charset val="134"/>
        <scheme val="minor"/>
      </rPr>
      <t>：肉体体积（肥胖、肿瘤）、生殖器官。</t>
    </r>
  </si>
  <si>
    <r>
      <t>5. 同音卦</t>
    </r>
    <r>
      <rPr>
        <sz val="11"/>
        <color theme="1"/>
        <rFont val="等线"/>
        <family val="2"/>
        <charset val="134"/>
        <scheme val="minor"/>
      </rPr>
      <t>：</t>
    </r>
  </si>
  <si>
    <t>“狼” → 野心、掠夺性（如投资扩张）；</t>
  </si>
  <si>
    <t>“贪” → 贪恋、沉迷（如赌博、色欲）。</t>
  </si>
  <si>
    <t>二、贪狼宫位含义​</t>
  </si>
  <si>
    <t>应用场景​</t>
  </si>
  <si>
    <t>欲望主导人生</t>
  </si>
  <si>
    <t>物欲强，易沉迷享乐；庙旺：善交际；落陷：孤僻。</t>
  </si>
  <si>
    <t>财富体积</t>
  </si>
  <si>
    <t>庙旺：大额投资；落陷：小额投机（如彩票）。+火星：暴富/暴亏。</t>
  </si>
  <si>
    <t>肉体关系</t>
  </si>
  <si>
    <t>性生活频率；+天喜：多子女；+铃星：性冷淡。</t>
  </si>
  <si>
    <t>病灶体积</t>
  </si>
  <si>
    <t>+廉贞：肿瘤大小；+文昌：骨骼畸形。</t>
  </si>
  <si>
    <t>空间移动</t>
  </si>
  <si>
    <t>远行规模（庙旺：跨国；落陷：短途）。</t>
  </si>
  <si>
    <t>事业规模</t>
  </si>
  <si>
    <t>创业野心；+地空：盲目扩张。</t>
  </si>
  <si>
    <t>三、贪狼星曜状态​</t>
  </si>
  <si>
    <t>象义侧重​</t>
  </si>
  <si>
    <r>
      <t>巳/午/未</t>
    </r>
    <r>
      <rPr>
        <sz val="11"/>
        <color theme="1"/>
        <rFont val="等线"/>
        <family val="2"/>
        <charset val="134"/>
        <scheme val="minor"/>
      </rPr>
      <t>​</t>
    </r>
  </si>
  <si>
    <t>陷（1）</t>
  </si>
  <si>
    <t>欲望弱，体积小（如保守投资）</t>
  </si>
  <si>
    <r>
      <t>申/酉</t>
    </r>
    <r>
      <rPr>
        <sz val="11"/>
        <color theme="1"/>
        <rFont val="等线"/>
        <family val="2"/>
        <charset val="134"/>
        <scheme val="minor"/>
      </rPr>
      <t>​</t>
    </r>
  </si>
  <si>
    <t>中等规模（如中小企业）</t>
  </si>
  <si>
    <r>
      <t>亥</t>
    </r>
    <r>
      <rPr>
        <sz val="11"/>
        <color theme="1"/>
        <rFont val="等线"/>
        <family val="2"/>
        <charset val="134"/>
        <scheme val="minor"/>
      </rPr>
      <t>​</t>
    </r>
  </si>
  <si>
    <t>欲望极强，体积大（如跨国并购）</t>
  </si>
  <si>
    <r>
      <t>寅/卯</t>
    </r>
    <r>
      <rPr>
        <sz val="11"/>
        <color theme="1"/>
        <rFont val="等线"/>
        <family val="2"/>
        <charset val="134"/>
        <scheme val="minor"/>
      </rPr>
      <t>​</t>
    </r>
  </si>
  <si>
    <t>扩张性强（如快速开店）</t>
  </si>
  <si>
    <t>四、贪狼组合象义​</t>
  </si>
  <si>
    <r>
      <t>贪狼 + 紫微</t>
    </r>
    <r>
      <rPr>
        <sz val="11"/>
        <color theme="1"/>
        <rFont val="等线"/>
        <family val="2"/>
        <charset val="134"/>
        <scheme val="minor"/>
      </rPr>
      <t>​</t>
    </r>
  </si>
  <si>
    <t>高级欲望</t>
  </si>
  <si>
    <t>追求奢侈品（紫微庙）或虚名（紫微陷）。</t>
  </si>
  <si>
    <r>
      <t>贪狼 + 武曲</t>
    </r>
    <r>
      <rPr>
        <sz val="11"/>
        <color theme="1"/>
        <rFont val="等线"/>
        <family val="2"/>
        <charset val="134"/>
        <scheme val="minor"/>
      </rPr>
      <t>​</t>
    </r>
  </si>
  <si>
    <t>金钱欲望</t>
  </si>
  <si>
    <t>武曲庙：实业投资；武曲陷：赌博投机。</t>
  </si>
  <si>
    <r>
      <t>贪狼 + 廉贞</t>
    </r>
    <r>
      <rPr>
        <sz val="11"/>
        <color theme="1"/>
        <rFont val="等线"/>
        <family val="2"/>
        <charset val="134"/>
        <scheme val="minor"/>
      </rPr>
      <t>​</t>
    </r>
  </si>
  <si>
    <t>肉体纠缠</t>
  </si>
  <si>
    <t>肿瘤（廉贞囚）+ 体积（贪狼）→ 癌症晚期。</t>
  </si>
  <si>
    <r>
      <t>贪狼 + 火星</t>
    </r>
    <r>
      <rPr>
        <sz val="11"/>
        <color theme="1"/>
        <rFont val="等线"/>
        <family val="2"/>
        <charset val="134"/>
        <scheme val="minor"/>
      </rPr>
      <t>​</t>
    </r>
  </si>
  <si>
    <t>欲望爆发</t>
  </si>
  <si>
    <t>投资冲动（火星急）+ 体积扩大（贪狼）→ 盲目加仓。</t>
  </si>
  <si>
    <r>
      <t>贪狼 + 地空</t>
    </r>
    <r>
      <rPr>
        <sz val="11"/>
        <color theme="1"/>
        <rFont val="等线"/>
        <family val="2"/>
        <charset val="134"/>
        <scheme val="minor"/>
      </rPr>
      <t>​</t>
    </r>
  </si>
  <si>
    <t>虚妄膨胀</t>
  </si>
  <si>
    <t>地空（过分） + 贪狼庙（欲望大）→ 融资骗局。</t>
  </si>
  <si>
    <r>
      <t>贪狼 + 文昌</t>
    </r>
    <r>
      <rPr>
        <sz val="11"/>
        <color theme="1"/>
        <rFont val="等线"/>
        <family val="2"/>
        <charset val="134"/>
        <scheme val="minor"/>
      </rPr>
      <t>​</t>
    </r>
  </si>
  <si>
    <t>歪曲体积</t>
  </si>
  <si>
    <t>文昌（不正） + 贪狼（肉体）→ 整容失败/体型畸形。</t>
  </si>
  <si>
    <r>
      <t>贪狼 + 天刑</t>
    </r>
    <r>
      <rPr>
        <sz val="11"/>
        <color theme="1"/>
        <rFont val="等线"/>
        <family val="2"/>
        <charset val="134"/>
        <scheme val="minor"/>
      </rPr>
      <t>​</t>
    </r>
  </si>
  <si>
    <t>约束欲望</t>
  </si>
  <si>
    <t>法律制裁（天刑管） + 贪狼（贪欲）→ 因贪污入狱。</t>
  </si>
  <si>
    <t>五、关键逻辑​</t>
  </si>
  <si>
    <r>
      <t>1. 体积与欲望的转化</t>
    </r>
    <r>
      <rPr>
        <sz val="11"/>
        <color theme="1"/>
        <rFont val="等线"/>
        <family val="2"/>
        <charset val="134"/>
        <scheme val="minor"/>
      </rPr>
      <t>：</t>
    </r>
  </si>
  <si>
    <t>贪狼庙旺见禄存：欲望转化为实际财富（如囤货居奇）。</t>
  </si>
  <si>
    <t>贪狼落陷化忌：欲望落空（如投资血本无归）。</t>
  </si>
  <si>
    <r>
      <t>2. 肉体与疾病的关联</t>
    </r>
    <r>
      <rPr>
        <sz val="11"/>
        <color theme="1"/>
        <rFont val="等线"/>
        <family val="2"/>
        <charset val="134"/>
        <scheme val="minor"/>
      </rPr>
      <t>：</t>
    </r>
  </si>
  <si>
    <t>贪狼 + 天同：脂肪堆积（天同享乐 + 贪狼体积）。</t>
  </si>
  <si>
    <t>贪狼 + 七杀：扩散病灶（七杀线状扩散 + 贪狼体积）。</t>
  </si>
  <si>
    <t>陷（1） 10-30%</t>
    <phoneticPr fontId="2" type="noConversion"/>
  </si>
  <si>
    <t>利（4） 40-60%</t>
    <phoneticPr fontId="2" type="noConversion"/>
  </si>
  <si>
    <t>庙（7） 90-100%</t>
    <phoneticPr fontId="2" type="noConversion"/>
  </si>
  <si>
    <t>旺（6） 70-80%</t>
    <phoneticPr fontId="2" type="noConversion"/>
  </si>
  <si>
    <t>一、天同定义​</t>
  </si>
  <si>
    <r>
      <t>属水</t>
    </r>
    <r>
      <rPr>
        <sz val="11"/>
        <color theme="1"/>
        <rFont val="等线"/>
        <family val="2"/>
        <charset val="134"/>
        <scheme val="minor"/>
      </rPr>
      <t>，核心为</t>
    </r>
    <r>
      <rPr>
        <b/>
        <sz val="11"/>
        <color theme="1"/>
        <rFont val="等线"/>
        <family val="3"/>
        <charset val="134"/>
        <scheme val="minor"/>
      </rPr>
      <t>心魂感受</t>
    </r>
    <r>
      <rPr>
        <sz val="11"/>
        <color theme="1"/>
        <rFont val="等线"/>
        <family val="2"/>
        <charset val="134"/>
        <scheme val="minor"/>
      </rPr>
      <t>，涵盖以下维度：</t>
    </r>
  </si>
  <si>
    <r>
      <t>1. 心情状态</t>
    </r>
    <r>
      <rPr>
        <sz val="11"/>
        <color theme="1"/>
        <rFont val="等线"/>
        <family val="2"/>
        <charset val="134"/>
        <scheme val="minor"/>
      </rPr>
      <t>（70%高频应验）：</t>
    </r>
  </si>
  <si>
    <t>庙旺（子亥水位）：愉悦、童真、豁达</t>
  </si>
  <si>
    <t>落陷（巳午火位）：老成、忧郁、麻木</t>
  </si>
  <si>
    <r>
      <t>2. 灵魂本质</t>
    </r>
    <r>
      <rPr>
        <sz val="11"/>
        <color theme="1"/>
        <rFont val="等线"/>
        <family val="2"/>
        <charset val="134"/>
        <scheme val="minor"/>
      </rPr>
      <t>：</t>
    </r>
  </si>
  <si>
    <r>
      <t>轮回中的</t>
    </r>
    <r>
      <rPr>
        <b/>
        <sz val="11"/>
        <color theme="1"/>
        <rFont val="等线"/>
        <family val="3"/>
        <charset val="134"/>
        <scheme val="minor"/>
      </rPr>
      <t>福报载体</t>
    </r>
    <r>
      <rPr>
        <sz val="11"/>
        <color theme="1"/>
        <rFont val="等线"/>
        <family val="2"/>
        <charset val="134"/>
        <scheme val="minor"/>
      </rPr>
      <t>（主魂），决定先天福气厚薄</t>
    </r>
  </si>
  <si>
    <t>庙旺：纯净灵性；落陷：世故沉浊</t>
  </si>
  <si>
    <r>
      <t>3. 行为特质</t>
    </r>
    <r>
      <rPr>
        <sz val="11"/>
        <color theme="1"/>
        <rFont val="等线"/>
        <family val="2"/>
        <charset val="134"/>
        <scheme val="minor"/>
      </rPr>
      <t>：</t>
    </r>
  </si>
  <si>
    <t>享受主义（懒散/贪玩/重感官）</t>
  </si>
  <si>
    <t>共情力强（易被外界牵动情绪）</t>
  </si>
  <si>
    <r>
      <t>4. 同音卦延伸</t>
    </r>
    <r>
      <rPr>
        <sz val="11"/>
        <color theme="1"/>
        <rFont val="等线"/>
        <family val="2"/>
        <charset val="134"/>
        <scheme val="minor"/>
      </rPr>
      <t>：</t>
    </r>
  </si>
  <si>
    <t>“同”＝镜子（自我投射）、同心锁（情感羁绊）</t>
  </si>
  <si>
    <t>“童”＝孩童、幼稚、创造力</t>
  </si>
  <si>
    <t>二、天同宫位含义​</t>
  </si>
  <si>
    <t>本性天真，抗压能力弱</t>
  </si>
  <si>
    <t>+煞星：玻璃心；+文昌：文艺天赋</t>
  </si>
  <si>
    <t>消费观享乐主义</t>
  </si>
  <si>
    <t>化忌：为快乐挥霍；化禄：意外之财</t>
  </si>
  <si>
    <t>工作追求轻松</t>
  </si>
  <si>
    <t>落陷+天梁：被迫承担重任</t>
  </si>
  <si>
    <t>亲子关系/性生活态度</t>
  </si>
  <si>
    <t>庙旺：宠溺孩子；落陷：性冷淡</t>
  </si>
  <si>
    <t>心理疾病温床</t>
  </si>
  <si>
    <t>+铃星：抑郁症；+擎羊：心绞痛</t>
  </si>
  <si>
    <t>对外界的情绪感知</t>
  </si>
  <si>
    <t>化忌：旅途抑郁；化禄：异乡遇贵人</t>
  </si>
  <si>
    <t>三、天同星曜状态​</t>
  </si>
  <si>
    <t>庙陷​</t>
  </si>
  <si>
    <t>关键特质​</t>
  </si>
  <si>
    <r>
      <t>子</t>
    </r>
    <r>
      <rPr>
        <sz val="11"/>
        <color theme="1"/>
        <rFont val="等线"/>
        <family val="2"/>
        <charset val="134"/>
        <scheme val="minor"/>
      </rPr>
      <t>​</t>
    </r>
  </si>
  <si>
    <t>庙</t>
  </si>
  <si>
    <t>福泽深厚，大智若愚</t>
  </si>
  <si>
    <t>灵感迸发，精神富足</t>
  </si>
  <si>
    <r>
      <t>巳</t>
    </r>
    <r>
      <rPr>
        <sz val="11"/>
        <color theme="1"/>
        <rFont val="等线"/>
        <family val="2"/>
        <charset val="134"/>
        <scheme val="minor"/>
      </rPr>
      <t>​</t>
    </r>
  </si>
  <si>
    <t>陷</t>
  </si>
  <si>
    <t>强颜欢笑，内心孤寂</t>
  </si>
  <si>
    <r>
      <t>午</t>
    </r>
    <r>
      <rPr>
        <sz val="11"/>
        <color theme="1"/>
        <rFont val="等线"/>
        <family val="2"/>
        <charset val="134"/>
        <scheme val="minor"/>
      </rPr>
      <t>​</t>
    </r>
  </si>
  <si>
    <t>乐极生悲，情绪极端</t>
  </si>
  <si>
    <r>
      <t>寅</t>
    </r>
    <r>
      <rPr>
        <sz val="11"/>
        <color theme="1"/>
        <rFont val="等线"/>
        <family val="2"/>
        <charset val="134"/>
        <scheme val="minor"/>
      </rPr>
      <t>​</t>
    </r>
  </si>
  <si>
    <t>得</t>
  </si>
  <si>
    <t>知足常乐，但易躺平</t>
  </si>
  <si>
    <r>
      <t>申</t>
    </r>
    <r>
      <rPr>
        <sz val="11"/>
        <color theme="1"/>
        <rFont val="等线"/>
        <family val="2"/>
        <charset val="134"/>
        <scheme val="minor"/>
      </rPr>
      <t>​</t>
    </r>
  </si>
  <si>
    <t>善借外力，贵人提携</t>
  </si>
  <si>
    <t>四、天同组合象义​</t>
  </si>
  <si>
    <t>1. 天同太阴（水水组合）​</t>
  </si>
  <si>
    <r>
      <t>核心</t>
    </r>
    <r>
      <rPr>
        <sz val="11"/>
        <color theme="1"/>
        <rFont val="等线"/>
        <family val="2"/>
        <charset val="134"/>
        <scheme val="minor"/>
      </rPr>
      <t>：内心感受与存储机制的交互</t>
    </r>
  </si>
  <si>
    <r>
      <t>庙旺（子亥）</t>
    </r>
    <r>
      <rPr>
        <sz val="11"/>
        <color theme="1"/>
        <rFont val="等线"/>
        <family val="2"/>
        <charset val="134"/>
        <scheme val="minor"/>
      </rPr>
      <t>：</t>
    </r>
  </si>
  <si>
    <t>感悟力穿透三世（例：前世记忆浮现）</t>
  </si>
  <si>
    <t>化忌（癸干）：顿悟放下执念</t>
  </si>
  <si>
    <r>
      <t>落陷（巳午）</t>
    </r>
    <r>
      <rPr>
        <sz val="11"/>
        <color theme="1"/>
        <rFont val="等线"/>
        <family val="2"/>
        <charset val="134"/>
        <scheme val="minor"/>
      </rPr>
      <t>：</t>
    </r>
  </si>
  <si>
    <t>乙干化忌：麻木中突然痛苦觉醒</t>
  </si>
  <si>
    <t>丁干化禄：纵欲填补空虚</t>
  </si>
  <si>
    <t>2. 天同天梁（水土组合）​</t>
  </si>
  <si>
    <r>
      <t>本质</t>
    </r>
    <r>
      <rPr>
        <sz val="11"/>
        <color theme="1"/>
        <rFont val="等线"/>
        <family val="2"/>
        <charset val="134"/>
        <scheme val="minor"/>
      </rPr>
      <t>：感性认同 vs 理性支撑</t>
    </r>
  </si>
  <si>
    <r>
      <t>冲突相</t>
    </r>
    <r>
      <rPr>
        <sz val="11"/>
        <color theme="1"/>
        <rFont val="等线"/>
        <family val="2"/>
        <charset val="134"/>
        <scheme val="minor"/>
      </rPr>
      <t>：</t>
    </r>
  </si>
  <si>
    <t>寅宫（天同得5 + 天梁庙7）：理想主义但根基不稳</t>
  </si>
  <si>
    <t>申宫（天同得5 + 天梁陷1）：空有热情缺乏方法论</t>
  </si>
  <si>
    <r>
      <t>调和相</t>
    </r>
    <r>
      <rPr>
        <sz val="11"/>
        <color theme="1"/>
        <rFont val="等线"/>
        <family val="2"/>
        <charset val="134"/>
        <scheme val="minor"/>
      </rPr>
      <t>：</t>
    </r>
  </si>
  <si>
    <t>化科（乙干）：将感悟转化为人生准则</t>
  </si>
  <si>
    <t>3. 天同擎羊（水金组合）​</t>
  </si>
  <si>
    <r>
      <t>身体</t>
    </r>
    <r>
      <rPr>
        <sz val="11"/>
        <color theme="1"/>
        <rFont val="等线"/>
        <family val="2"/>
        <charset val="134"/>
        <scheme val="minor"/>
      </rPr>
      <t>：心脉受伤（心梗/情伤）</t>
    </r>
  </si>
  <si>
    <r>
      <t>事件</t>
    </r>
    <r>
      <rPr>
        <sz val="11"/>
        <color theme="1"/>
        <rFont val="等线"/>
        <family val="2"/>
        <charset val="134"/>
        <scheme val="minor"/>
      </rPr>
      <t>：</t>
    </r>
  </si>
  <si>
    <t>庙旺：为守护纯真抗争（如维权）</t>
  </si>
  <si>
    <t>落陷：因软弱遭欺凌</t>
  </si>
  <si>
    <t>4. 天同火星（水火组合）​</t>
  </si>
  <si>
    <r>
      <t>情绪爆发链</t>
    </r>
    <r>
      <rPr>
        <sz val="11"/>
        <color theme="1"/>
        <rFont val="等线"/>
        <family val="2"/>
        <charset val="134"/>
        <scheme val="minor"/>
      </rPr>
      <t>：</t>
    </r>
  </si>
  <si>
    <t>压抑（同陷）→ 躁狂（火星）→ 崩溃（化忌）</t>
  </si>
  <si>
    <r>
      <t>特殊象</t>
    </r>
    <r>
      <rPr>
        <sz val="11"/>
        <color theme="1"/>
        <rFont val="等线"/>
        <family val="2"/>
        <charset val="134"/>
        <scheme val="minor"/>
      </rPr>
      <t>：</t>
    </r>
  </si>
  <si>
    <t>午宫（同陷1 + 火星庙7）：自毁倾向</t>
  </si>
  <si>
    <t>五、关键禁忌​</t>
  </si>
  <si>
    <r>
      <t>1. 天同化忌</t>
    </r>
    <r>
      <rPr>
        <sz val="11"/>
        <color theme="1"/>
        <rFont val="等线"/>
        <family val="2"/>
        <charset val="134"/>
        <scheme val="minor"/>
      </rPr>
      <t>：</t>
    </r>
  </si>
  <si>
    <t>庙旺：终止错误快乐（戒烟酒）</t>
  </si>
  <si>
    <t>落陷：从麻木中觉醒（痛定思痛）</t>
  </si>
  <si>
    <r>
      <t>2. 水象联动</t>
    </r>
    <r>
      <rPr>
        <sz val="11"/>
        <color theme="1"/>
        <rFont val="等线"/>
        <family val="2"/>
        <charset val="134"/>
        <scheme val="minor"/>
      </rPr>
      <t>：</t>
    </r>
  </si>
  <si>
    <t>天同+文曲化忌：沉溺虚幻文学</t>
  </si>
  <si>
    <t>天同+太阴落陷：抑郁体质</t>
  </si>
  <si>
    <t>属金（主肃杀、切割）</t>
  </si>
  <si>
    <t>阴金</t>
  </si>
  <si>
    <t>线、平面、数字1/10（象征线性结构、切割面、持久性）</t>
  </si>
  <si>
    <r>
      <t>无四化</t>
    </r>
    <r>
      <rPr>
        <sz val="11"/>
        <color theme="1"/>
        <rFont val="等线"/>
        <family val="2"/>
        <charset val="134"/>
        <scheme val="minor"/>
      </rPr>
      <t>​</t>
    </r>
  </si>
  <si>
    <t>不直接参与四化，需借他星或宫位触发</t>
  </si>
  <si>
    <t>庙旺（6-7级）​</t>
  </si>
  <si>
    <r>
      <t>线性属性</t>
    </r>
    <r>
      <rPr>
        <sz val="11"/>
        <color theme="1"/>
        <rFont val="等线"/>
        <family val="2"/>
        <charset val="134"/>
        <scheme val="minor"/>
      </rPr>
      <t>​</t>
    </r>
  </si>
  <si>
    <t>持久稳固（如血管畅通、事业长久）</t>
  </si>
  <si>
    <t>断裂失控（如资金链断裂、神经损伤）</t>
  </si>
  <si>
    <r>
      <t>切割性</t>
    </r>
    <r>
      <rPr>
        <sz val="11"/>
        <color theme="1"/>
        <rFont val="等线"/>
        <family val="2"/>
        <charset val="134"/>
        <scheme val="minor"/>
      </rPr>
      <t>​</t>
    </r>
  </si>
  <si>
    <t>精准分割（外科手术、法律裁决）</t>
  </si>
  <si>
    <t>暴力破坏（械斗、意外骨折）</t>
  </si>
  <si>
    <r>
      <t>平面象征</t>
    </r>
    <r>
      <rPr>
        <sz val="11"/>
        <color theme="1"/>
        <rFont val="等线"/>
        <family val="2"/>
        <charset val="134"/>
        <scheme val="minor"/>
      </rPr>
      <t>​</t>
    </r>
  </si>
  <si>
    <t>二维稳定（地标平面、屏幕显示）</t>
  </si>
  <si>
    <t>平面崩塌（地基塌陷、屏幕碎裂）</t>
  </si>
  <si>
    <t>2. 宫位含义​</t>
  </si>
  <si>
    <t>线状器官疾病（气管炎、肠梗阻）</t>
  </si>
  <si>
    <t>+文昌：支气管炎；+擎羊：手术留疤</t>
  </si>
  <si>
    <t>线性财富流（稳定收入链）</t>
  </si>
  <si>
    <t>+地空：泡沫投资；+武曲：金融纠纷</t>
  </si>
  <si>
    <t>越界行为（压线行驶、签证违规）</t>
  </si>
  <si>
    <t>+陀罗：行程延误；+火星：交通事故</t>
  </si>
  <si>
    <t>流产器械象（刮宫工具）</t>
  </si>
  <si>
    <t>+天刑：堕胎手术；+铃星：生育烦恼</t>
  </si>
  <si>
    <t>关系切割（离婚协议）</t>
  </si>
  <si>
    <t>+左辅：多角恋；+擎羊：感情暴力</t>
  </si>
  <si>
    <t>1. 辅星组合​</t>
  </si>
  <si>
    <r>
      <t>七杀+陀罗</t>
    </r>
    <r>
      <rPr>
        <sz val="11"/>
        <color theme="1"/>
        <rFont val="等线"/>
        <family val="2"/>
        <charset val="134"/>
        <scheme val="minor"/>
      </rPr>
      <t>​</t>
    </r>
  </si>
  <si>
    <t>线打转（毛线团、烫发）</t>
  </si>
  <si>
    <t>线纠缠（人际纠纷、电路短路）</t>
  </si>
  <si>
    <r>
      <t>七杀+擎羊</t>
    </r>
    <r>
      <rPr>
        <sz val="11"/>
        <color theme="1"/>
        <rFont val="等线"/>
        <family val="2"/>
        <charset val="134"/>
        <scheme val="minor"/>
      </rPr>
      <t>​</t>
    </r>
  </si>
  <si>
    <t>切割精准（激光手术）</t>
  </si>
  <si>
    <t>暴力伤痕（刀伤、家暴）</t>
  </si>
  <si>
    <r>
      <t>七杀+地空</t>
    </r>
    <r>
      <rPr>
        <sz val="11"/>
        <color theme="1"/>
        <rFont val="等线"/>
        <family val="2"/>
        <charset val="134"/>
        <scheme val="minor"/>
      </rPr>
      <t>​</t>
    </r>
  </si>
  <si>
    <t>平面隆起（建筑穹顶）</t>
  </si>
  <si>
    <t>泡沫破裂（投资崩盘）</t>
  </si>
  <si>
    <r>
      <t>七杀+地劫</t>
    </r>
    <r>
      <rPr>
        <sz val="11"/>
        <color theme="1"/>
        <rFont val="等线"/>
        <family val="2"/>
        <charset val="134"/>
        <scheme val="minor"/>
      </rPr>
      <t>​</t>
    </r>
  </si>
  <si>
    <t>线性中断（信号丢失）</t>
  </si>
  <si>
    <t>彻底断裂（脊椎损伤）</t>
  </si>
  <si>
    <r>
      <t>七杀+文昌</t>
    </r>
    <r>
      <rPr>
        <sz val="11"/>
        <color theme="1"/>
        <rFont val="等线"/>
        <family val="2"/>
        <charset val="134"/>
        <scheme val="minor"/>
      </rPr>
      <t>​</t>
    </r>
  </si>
  <si>
    <t>线扭斜（麻花辫）</t>
  </si>
  <si>
    <t>线歪曲（学术造假）</t>
  </si>
  <si>
    <r>
      <t>七杀+铃星</t>
    </r>
    <r>
      <rPr>
        <sz val="11"/>
        <color theme="1"/>
        <rFont val="等线"/>
        <family val="2"/>
        <charset val="134"/>
        <scheme val="minor"/>
      </rPr>
      <t>​</t>
    </r>
  </si>
  <si>
    <t>铃铛挂线（警示系统）</t>
  </si>
  <si>
    <t>持续噪音（神经衰弱）</t>
  </si>
  <si>
    <t>2. 主星组合​</t>
  </si>
  <si>
    <r>
      <t>七杀+紫微</t>
    </r>
    <r>
      <rPr>
        <sz val="11"/>
        <color theme="1"/>
        <rFont val="等线"/>
        <family val="2"/>
        <charset val="134"/>
        <scheme val="minor"/>
      </rPr>
      <t>​</t>
    </r>
  </si>
  <si>
    <t>高端线性（黄金脉络、高压电缆）</t>
  </si>
  <si>
    <t>辰/戌宫：权威切割（法律制裁）</t>
  </si>
  <si>
    <r>
      <t>七杀+武曲</t>
    </r>
    <r>
      <rPr>
        <sz val="11"/>
        <color theme="1"/>
        <rFont val="等线"/>
        <family val="2"/>
        <charset val="134"/>
        <scheme val="minor"/>
      </rPr>
      <t>​</t>
    </r>
  </si>
  <si>
    <t>硬线冲突（骨折、金融狙击）</t>
  </si>
  <si>
    <t>+火星：战争爆发</t>
  </si>
  <si>
    <r>
      <t>七杀+天机</t>
    </r>
    <r>
      <rPr>
        <sz val="11"/>
        <color theme="1"/>
        <rFont val="等线"/>
        <family val="2"/>
        <charset val="134"/>
        <scheme val="minor"/>
      </rPr>
      <t>​</t>
    </r>
  </si>
  <si>
    <t>动态线路（交通网、神经传导）</t>
  </si>
  <si>
    <t>+陀罗：机械故障</t>
  </si>
  <si>
    <r>
      <t>七杀+廉贞</t>
    </r>
    <r>
      <rPr>
        <sz val="11"/>
        <color theme="1"/>
        <rFont val="等线"/>
        <family val="2"/>
        <charset val="134"/>
        <scheme val="minor"/>
      </rPr>
      <t>​</t>
    </r>
  </si>
  <si>
    <t>精密切割（微创手术）</t>
  </si>
  <si>
    <t>+天刑：肿瘤切除</t>
  </si>
  <si>
    <t>四、宫位叠加规则​</t>
  </si>
  <si>
    <r>
      <t>1. 一六共宗调级</t>
    </r>
    <r>
      <rPr>
        <sz val="11"/>
        <color theme="1"/>
        <rFont val="等线"/>
        <family val="2"/>
        <charset val="134"/>
        <scheme val="minor"/>
      </rPr>
      <t>：</t>
    </r>
  </si>
  <si>
    <t>疾厄宫状态可调整命宫七杀能量（例：疾厄宫紫微庙→强化命宫七杀执行力）</t>
  </si>
  <si>
    <r>
      <t>2. 三合联动</t>
    </r>
    <r>
      <rPr>
        <sz val="11"/>
        <color theme="1"/>
        <rFont val="等线"/>
        <family val="2"/>
        <charset val="134"/>
        <scheme val="minor"/>
      </rPr>
      <t>：</t>
    </r>
  </si>
  <si>
    <t>财帛宫+官禄宫七杀：主业收入链稳固（如制造业流水线）</t>
  </si>
  <si>
    <r>
      <t>3. 对宫冲照</t>
    </r>
    <r>
      <rPr>
        <sz val="11"/>
        <color theme="1"/>
        <rFont val="等线"/>
        <family val="2"/>
        <charset val="134"/>
        <scheme val="minor"/>
      </rPr>
      <t>：</t>
    </r>
  </si>
  <si>
    <t>夫妻宫七杀+迁移宫太阳：异地婚姻切割（长期分居）</t>
  </si>
  <si>
    <t>触发方式​</t>
  </si>
  <si>
    <t>效应​</t>
  </si>
  <si>
    <t>借武曲/贪狼化禄</t>
  </si>
  <si>
    <t>线性扩张（血管增生、业务拓展）</t>
  </si>
  <si>
    <t>借文昌/文曲化忌</t>
  </si>
  <si>
    <t>线性中断（神经阻断、合作破裂）</t>
  </si>
  <si>
    <t>借紫微/太阳化权</t>
  </si>
  <si>
    <t>强化切割（军事管制、手术决策）</t>
  </si>
  <si>
    <r>
      <t>1. 七杀+文昌组合争议</t>
    </r>
    <r>
      <rPr>
        <sz val="11"/>
        <color theme="1"/>
        <rFont val="等线"/>
        <family val="2"/>
        <charset val="134"/>
        <scheme val="minor"/>
      </rPr>
      <t>：</t>
    </r>
  </si>
  <si>
    <t>文档3称“七杀文昌主浪荡”，文档4称“文武兼备但犹豫”</t>
  </si>
  <si>
    <t>→ 并存矛盾：需结合宫位（迁移宫主漂泊，官禄宫主才能）</t>
  </si>
  <si>
    <r>
      <t>2. 落陷宫位差异</t>
    </r>
    <r>
      <rPr>
        <sz val="11"/>
        <color theme="1"/>
        <rFont val="等线"/>
        <family val="2"/>
        <charset val="134"/>
        <scheme val="minor"/>
      </rPr>
      <t>：</t>
    </r>
  </si>
  <si>
    <t>文档5定义子/亥宫陷（1级），文档18标注亥宫庙旺</t>
  </si>
  <si>
    <t>→ 以最新版手册（文档6）为准：亥宫为庙（7级）</t>
  </si>
  <si>
    <t>一、破军定义​</t>
  </si>
  <si>
    <r>
      <t>1. 突破（70%）</t>
    </r>
    <r>
      <rPr>
        <sz val="11"/>
        <color theme="1"/>
        <rFont val="等线"/>
        <family val="2"/>
        <charset val="134"/>
        <scheme val="minor"/>
      </rPr>
      <t>：破旧立新、状态转换（如改革、破坏）。</t>
    </r>
  </si>
  <si>
    <r>
      <t>2. 用力行为（24%）</t>
    </r>
    <r>
      <rPr>
        <sz val="11"/>
        <color theme="1"/>
        <rFont val="等线"/>
        <family val="2"/>
        <charset val="134"/>
        <scheme val="minor"/>
      </rPr>
      <t>：打、搬、背等力量型动作。</t>
    </r>
  </si>
  <si>
    <r>
      <t>3. “破”的负面象征（5%）</t>
    </r>
    <r>
      <rPr>
        <sz val="11"/>
        <color theme="1"/>
        <rFont val="等线"/>
        <family val="2"/>
        <charset val="134"/>
        <scheme val="minor"/>
      </rPr>
      <t>：垃圾、破烂、杂乱（区别于“旧”）。</t>
    </r>
  </si>
  <si>
    <r>
      <t>4. 水象（1%）</t>
    </r>
    <r>
      <rPr>
        <sz val="11"/>
        <color theme="1"/>
        <rFont val="等线"/>
        <family val="2"/>
        <charset val="134"/>
        <scheme val="minor"/>
      </rPr>
      <t>：有力量的水（洪水/海水），需太阴+力士触发。</t>
    </r>
  </si>
  <si>
    <t>庙旺（7级）象义​</t>
  </si>
  <si>
    <t>落陷（1级）象义​</t>
  </si>
  <si>
    <t>变革领袖（创业/革新）</t>
  </si>
  <si>
    <t>破坏者（暴力倾向/鲁莽）</t>
  </si>
  <si>
    <t>风险投资获利（如杠杆交易）</t>
  </si>
  <si>
    <t>突发破财（赌博失利/诈骗）</t>
  </si>
  <si>
    <t>手术成功（微创/肿瘤切除）</t>
  </si>
  <si>
    <t>意外重伤（骨折/器官破裂）</t>
  </si>
  <si>
    <t>跨境突破（移民/跨国业务）</t>
  </si>
  <si>
    <t>违规越界（签证拒签/偷渡）</t>
  </si>
  <si>
    <t>关系革新（闪婚/开放式婚姻）</t>
  </si>
  <si>
    <t>感情破裂（家暴/离婚诉讼）</t>
  </si>
  <si>
    <t>三、星曜状态与庙陷​</t>
  </si>
  <si>
    <t>关键影响​</t>
  </si>
  <si>
    <t>矛盾说明​</t>
  </si>
  <si>
    <r>
      <t>巳午未</t>
    </r>
    <r>
      <rPr>
        <sz val="11"/>
        <color theme="1"/>
        <rFont val="等线"/>
        <family val="2"/>
        <charset val="134"/>
        <scheme val="minor"/>
      </rPr>
      <t>​</t>
    </r>
  </si>
  <si>
    <t>高效突破（科技革新）</t>
  </si>
  <si>
    <r>
      <t>子亥</t>
    </r>
    <r>
      <rPr>
        <sz val="11"/>
        <color theme="1"/>
        <rFont val="等线"/>
        <family val="2"/>
        <charset val="134"/>
        <scheme val="minor"/>
      </rPr>
      <t>​</t>
    </r>
  </si>
  <si>
    <t>无效挣扎（计划流产）</t>
  </si>
  <si>
    <r>
      <t>寅卯</t>
    </r>
    <r>
      <rPr>
        <sz val="11"/>
        <color theme="1"/>
        <rFont val="等线"/>
        <family val="2"/>
        <charset val="134"/>
        <scheme val="minor"/>
      </rPr>
      <t>​</t>
    </r>
  </si>
  <si>
    <t>快速扩张（连锁店爆发）</t>
  </si>
  <si>
    <t>1. 煞星组合​</t>
  </si>
  <si>
    <r>
      <t>破军+擎羊</t>
    </r>
    <r>
      <rPr>
        <sz val="11"/>
        <color theme="1"/>
        <rFont val="等线"/>
        <family val="2"/>
        <charset val="134"/>
        <scheme val="minor"/>
      </rPr>
      <t>​</t>
    </r>
  </si>
  <si>
    <t>精准切割（外科手术）</t>
  </si>
  <si>
    <t>暴力伤害（械斗/家暴）</t>
  </si>
  <si>
    <r>
      <t>破军+地劫</t>
    </r>
    <r>
      <rPr>
        <sz val="11"/>
        <color theme="1"/>
        <rFont val="等线"/>
        <family val="2"/>
        <charset val="134"/>
        <scheme val="minor"/>
      </rPr>
      <t>​</t>
    </r>
  </si>
  <si>
    <t>创新性破局（技术革命）</t>
  </si>
  <si>
    <t>资源掏空（投资泡沫/破产）</t>
  </si>
  <si>
    <r>
      <t>破军+火星</t>
    </r>
    <r>
      <rPr>
        <sz val="11"/>
        <color theme="1"/>
        <rFont val="等线"/>
        <family val="2"/>
        <charset val="134"/>
        <scheme val="minor"/>
      </rPr>
      <t>​</t>
    </r>
  </si>
  <si>
    <t>突发性突破（专利发明）</t>
  </si>
  <si>
    <t>灾难性破坏（爆炸/火灾）</t>
  </si>
  <si>
    <t>2. 吉星组合​</t>
  </si>
  <si>
    <t>叠加效应​</t>
  </si>
  <si>
    <r>
      <t>破军+左辅</t>
    </r>
    <r>
      <rPr>
        <sz val="11"/>
        <color theme="1"/>
        <rFont val="等线"/>
        <family val="2"/>
        <charset val="134"/>
        <scheme val="minor"/>
      </rPr>
      <t>​</t>
    </r>
  </si>
  <si>
    <t>多次突破（连续创业）</t>
  </si>
  <si>
    <t>+财帛宫：融资多轮</t>
  </si>
  <si>
    <r>
      <t>破军+文曲</t>
    </r>
    <r>
      <rPr>
        <sz val="11"/>
        <color theme="1"/>
        <rFont val="等线"/>
        <family val="2"/>
        <charset val="134"/>
        <scheme val="minor"/>
      </rPr>
      <t>​</t>
    </r>
  </si>
  <si>
    <t>突破性内容（颠覆性论文）</t>
  </si>
  <si>
    <t>+官禄宫：行业标准改写</t>
  </si>
  <si>
    <r>
      <t>破军+天喜</t>
    </r>
    <r>
      <rPr>
        <sz val="11"/>
        <color theme="1"/>
        <rFont val="等线"/>
        <family val="2"/>
        <charset val="134"/>
        <scheme val="minor"/>
      </rPr>
      <t>​</t>
    </r>
  </si>
  <si>
    <t>喜庆变革（婚礼创新）</t>
  </si>
  <si>
    <t>+子女宫：试管婴儿</t>
  </si>
  <si>
    <t>五、四化联动规则​</t>
  </si>
  <si>
    <r>
      <t>1. 化禄（借武曲）</t>
    </r>
    <r>
      <rPr>
        <sz val="11"/>
        <color theme="1"/>
        <rFont val="等线"/>
        <family val="2"/>
        <charset val="134"/>
        <scheme val="minor"/>
      </rPr>
      <t>：</t>
    </r>
  </si>
  <si>
    <t>增强突破力（庙旺：变革成功；落陷：盲目扩张）。</t>
  </si>
  <si>
    <r>
      <t>2. 化权（借紫微）</t>
    </r>
    <r>
      <rPr>
        <sz val="11"/>
        <color theme="1"/>
        <rFont val="等线"/>
        <family val="2"/>
        <charset val="134"/>
        <scheme val="minor"/>
      </rPr>
      <t>：</t>
    </r>
  </si>
  <si>
    <t>木火位：权威改革（政策推行）；金水位：不自量力（失败抗争）。</t>
  </si>
  <si>
    <r>
      <t>3. 无化忌</t>
    </r>
    <r>
      <rPr>
        <sz val="11"/>
        <color theme="1"/>
        <rFont val="等线"/>
        <family val="2"/>
        <charset val="134"/>
        <scheme val="minor"/>
      </rPr>
      <t>：</t>
    </r>
  </si>
  <si>
    <t>煞星替代化忌效应（如+铃星=突破引发纠纷）。</t>
  </si>
  <si>
    <r>
      <t>1. 火位突破</t>
    </r>
    <r>
      <rPr>
        <sz val="11"/>
        <color theme="1"/>
        <rFont val="等线"/>
        <family val="2"/>
        <charset val="134"/>
        <scheme val="minor"/>
      </rPr>
      <t>：</t>
    </r>
  </si>
  <si>
    <t>任何星在巳/午宫突破均属“高级”（如科技革命）。</t>
  </si>
  <si>
    <r>
      <t>2. 水位突破</t>
    </r>
    <r>
      <rPr>
        <sz val="11"/>
        <color theme="1"/>
        <rFont val="等线"/>
        <family val="2"/>
        <charset val="134"/>
        <scheme val="minor"/>
      </rPr>
      <t>：</t>
    </r>
  </si>
  <si>
    <t>子/亥宫突破幅度小（如局部优化），但文档3称亥宫可庙旺。</t>
  </si>
  <si>
    <r>
      <t>3. “破”的双重性</t>
    </r>
    <r>
      <rPr>
        <sz val="11"/>
        <color theme="1"/>
        <rFont val="等线"/>
        <family val="2"/>
        <charset val="134"/>
        <scheme val="minor"/>
      </rPr>
      <t>：</t>
    </r>
  </si>
  <si>
    <t>庙旺+文昌：破旧立新（拆除危房）；落陷+阴煞：破坏文化遗产。</t>
  </si>
  <si>
    <t>一、文昌定义​</t>
  </si>
  <si>
    <r>
      <t>属性</t>
    </r>
    <r>
      <rPr>
        <sz val="11"/>
        <color theme="1"/>
        <rFont val="等线"/>
        <family val="2"/>
        <charset val="134"/>
        <scheme val="minor"/>
      </rPr>
      <t>：属金</t>
    </r>
  </si>
  <si>
    <r>
      <t>1. 传递功能（20%）</t>
    </r>
    <r>
      <rPr>
        <sz val="11"/>
        <color theme="1"/>
        <rFont val="等线"/>
        <family val="2"/>
        <charset val="134"/>
        <scheme val="minor"/>
      </rPr>
      <t>：信息传达、知识传播（如考试通知、任命书）。</t>
    </r>
  </si>
  <si>
    <r>
      <t>2. 正斜属性（80%）</t>
    </r>
    <r>
      <rPr>
        <sz val="11"/>
        <color theme="1"/>
        <rFont val="等线"/>
        <family val="2"/>
        <charset val="134"/>
        <scheme val="minor"/>
      </rPr>
      <t>：</t>
    </r>
  </si>
  <si>
    <r>
      <t>正（化科）</t>
    </r>
    <r>
      <rPr>
        <sz val="11"/>
        <color theme="1"/>
        <rFont val="等线"/>
        <family val="2"/>
        <charset val="134"/>
        <scheme val="minor"/>
      </rPr>
      <t>：文昌化科（丙干触发）主正向传播（学术传承、官方宣言）。</t>
    </r>
  </si>
  <si>
    <r>
      <t>斜（化忌）</t>
    </r>
    <r>
      <rPr>
        <sz val="11"/>
        <color theme="1"/>
        <rFont val="等线"/>
        <family val="2"/>
        <charset val="134"/>
        <scheme val="minor"/>
      </rPr>
      <t>：文昌化忌（辛干触发）主歪曲传递（谣言、证书造假）。</t>
    </r>
  </si>
  <si>
    <r>
      <t>3. 同音卦延伸</t>
    </r>
    <r>
      <rPr>
        <sz val="11"/>
        <color theme="1"/>
        <rFont val="等线"/>
        <family val="2"/>
        <charset val="134"/>
        <scheme val="minor"/>
      </rPr>
      <t>：</t>
    </r>
  </si>
  <si>
    <t>“昌” → 昌明（文化繁荣）；“曲” → 曲折（信息偏差）。</t>
  </si>
  <si>
    <t>传播天赋（新闻评论员、学术权威）</t>
  </si>
  <si>
    <t>行为偏差（投资失误、学习方向错误）</t>
  </si>
  <si>
    <t>文书权威（学历证书、法律文件）</t>
  </si>
  <si>
    <t>文书造假（假学历、合同陷阱）</t>
  </si>
  <si>
    <t>财务数据精准（审计、账目清晰）</t>
  </si>
  <si>
    <t>财务漏洞（洗钱、虚报账目）</t>
  </si>
  <si>
    <t>正缘婚书（合法婚姻登记）</t>
  </si>
  <si>
    <t>非正缘感情（婚外情、再婚配偶）</t>
  </si>
  <si>
    <t>优质基因（子女天赋优异）</t>
  </si>
  <si>
    <t>血缘异常（非亲生子女、遗传缺陷）</t>
  </si>
  <si>
    <t>神经系统健康</t>
  </si>
  <si>
    <t>骨骼畸形（脊柱侧弯、关节错位）</t>
  </si>
  <si>
    <t>留学/移民通知（签证获批）</t>
  </si>
  <si>
    <t>信息误导（偷渡风险、流言攻击）</t>
  </si>
  <si>
    <r>
      <t>文昌+紫微</t>
    </r>
    <r>
      <rPr>
        <sz val="11"/>
        <color theme="1"/>
        <rFont val="等线"/>
        <family val="2"/>
        <charset val="134"/>
        <scheme val="minor"/>
      </rPr>
      <t>​</t>
    </r>
  </si>
  <si>
    <t>权威传播（政府宣言）</t>
  </si>
  <si>
    <t>上梁不正（政策歪曲）</t>
  </si>
  <si>
    <r>
      <t>文昌+天机</t>
    </r>
    <r>
      <rPr>
        <sz val="11"/>
        <color theme="1"/>
        <rFont val="等线"/>
        <family val="2"/>
        <charset val="134"/>
        <scheme val="minor"/>
      </rPr>
      <t>​</t>
    </r>
  </si>
  <si>
    <t>精密计算（数据编程）</t>
  </si>
  <si>
    <t>路径偏差（导航错误）</t>
  </si>
  <si>
    <r>
      <t>文昌+太阳</t>
    </r>
    <r>
      <rPr>
        <sz val="11"/>
        <color theme="1"/>
        <rFont val="等线"/>
        <family val="2"/>
        <charset val="134"/>
        <scheme val="minor"/>
      </rPr>
      <t>​</t>
    </r>
  </si>
  <si>
    <t>公开透明（新闻发布会）</t>
  </si>
  <si>
    <t>有色眼镜（偏见报道）</t>
  </si>
  <si>
    <r>
      <t>文昌+武曲</t>
    </r>
    <r>
      <rPr>
        <sz val="11"/>
        <color theme="1"/>
        <rFont val="等线"/>
        <family val="2"/>
        <charset val="134"/>
        <scheme val="minor"/>
      </rPr>
      <t>​</t>
    </r>
  </si>
  <si>
    <t>金融文书（贷款合同）</t>
  </si>
  <si>
    <t>金融诈骗（P2P暴雷）</t>
  </si>
  <si>
    <r>
      <t>文昌+廉贞</t>
    </r>
    <r>
      <rPr>
        <sz val="11"/>
        <color theme="1"/>
        <rFont val="等线"/>
        <family val="2"/>
        <charset val="134"/>
        <scheme val="minor"/>
      </rPr>
      <t>​</t>
    </r>
  </si>
  <si>
    <t>精准抓捕（刑侦破案）</t>
  </si>
  <si>
    <t>误判冤案（错抓无辜）</t>
  </si>
  <si>
    <t>五、辅星组合象义​</t>
  </si>
  <si>
    <r>
      <t>文昌+陀罗</t>
    </r>
    <r>
      <rPr>
        <sz val="11"/>
        <color theme="1"/>
        <rFont val="等线"/>
        <family val="2"/>
        <charset val="134"/>
        <scheme val="minor"/>
      </rPr>
      <t>​</t>
    </r>
  </si>
  <si>
    <t>持久传递（学术研究）</t>
  </si>
  <si>
    <t>传销链条（非法集资）</t>
  </si>
  <si>
    <r>
      <t>文昌+火星</t>
    </r>
    <r>
      <rPr>
        <sz val="11"/>
        <color theme="1"/>
        <rFont val="等线"/>
        <family val="2"/>
        <charset val="134"/>
        <scheme val="minor"/>
      </rPr>
      <t>​</t>
    </r>
  </si>
  <si>
    <t>紧急通告（疫情预警）</t>
  </si>
  <si>
    <t>谣言扩散（网络暴力）</t>
  </si>
  <si>
    <r>
      <t>文昌+铃星</t>
    </r>
    <r>
      <rPr>
        <sz val="11"/>
        <color theme="1"/>
        <rFont val="等线"/>
        <family val="2"/>
        <charset val="134"/>
        <scheme val="minor"/>
      </rPr>
      <t>​</t>
    </r>
  </si>
  <si>
    <t>深度分析（智库报告）</t>
  </si>
  <si>
    <t>制造焦虑（营销话术）</t>
  </si>
  <si>
    <r>
      <t>文昌+擎羊</t>
    </r>
    <r>
      <rPr>
        <sz val="11"/>
        <color theme="1"/>
        <rFont val="等线"/>
        <family val="2"/>
        <charset val="134"/>
        <scheme val="minor"/>
      </rPr>
      <t>​</t>
    </r>
  </si>
  <si>
    <t>侧向伤害（诽谤诉讼）</t>
  </si>
  <si>
    <r>
      <t>文昌+地劫</t>
    </r>
    <r>
      <rPr>
        <sz val="11"/>
        <color theme="1"/>
        <rFont val="等线"/>
        <family val="2"/>
        <charset val="134"/>
        <scheme val="minor"/>
      </rPr>
      <t>​</t>
    </r>
  </si>
  <si>
    <t>创新突破（技术专利）</t>
  </si>
  <si>
    <t>数据泄露（黑客攻击）</t>
  </si>
  <si>
    <t>六、四化联动​</t>
  </si>
  <si>
    <r>
      <t>化禄（无）</t>
    </r>
    <r>
      <rPr>
        <sz val="11"/>
        <color theme="1"/>
        <rFont val="等线"/>
        <family val="2"/>
        <charset val="134"/>
        <scheme val="minor"/>
      </rPr>
      <t>​</t>
    </r>
  </si>
  <si>
    <t>借太阳化禄强化传播力</t>
  </si>
  <si>
    <t>借太阴化禄虚增数据</t>
  </si>
  <si>
    <r>
      <t>化权（无）</t>
    </r>
    <r>
      <rPr>
        <sz val="11"/>
        <color theme="1"/>
        <rFont val="等线"/>
        <family val="2"/>
        <charset val="134"/>
        <scheme val="minor"/>
      </rPr>
      <t>​</t>
    </r>
  </si>
  <si>
    <t>借紫微化权提升公信力</t>
  </si>
  <si>
    <t>借破军化权歪曲权威</t>
  </si>
  <si>
    <r>
      <t>化科（丙干）</t>
    </r>
    <r>
      <rPr>
        <sz val="11"/>
        <color theme="1"/>
        <rFont val="等线"/>
        <family val="2"/>
        <charset val="134"/>
        <scheme val="minor"/>
      </rPr>
      <t>​</t>
    </r>
  </si>
  <si>
    <t>学术成就（论文发表）</t>
  </si>
  <si>
    <t>虚假荣誉（学历造假）</t>
  </si>
  <si>
    <r>
      <t>化忌（辛干）</t>
    </r>
    <r>
      <rPr>
        <sz val="11"/>
        <color theme="1"/>
        <rFont val="等线"/>
        <family val="2"/>
        <charset val="134"/>
        <scheme val="minor"/>
      </rPr>
      <t>​</t>
    </r>
  </si>
  <si>
    <t>终止错误（谣言澄清）</t>
  </si>
  <si>
    <t>信息扭曲（机密泄露）</t>
  </si>
  <si>
    <t>七、矛盾说明​</t>
  </si>
  <si>
    <r>
      <t>1. 文昌化忌的触发宫位</t>
    </r>
    <r>
      <rPr>
        <sz val="11"/>
        <color theme="1"/>
        <rFont val="等线"/>
        <family val="2"/>
        <charset val="134"/>
        <scheme val="minor"/>
      </rPr>
      <t>：</t>
    </r>
  </si>
  <si>
    <t>文档6称辛干触发文昌化忌，但文档39提及“文昌化忌入命主文书过失”。</t>
  </si>
  <si>
    <t>→ 并存：辛干为触发条件，入命宫为应验场景。</t>
  </si>
  <si>
    <r>
      <t>2. 女命文昌的吉凶争议</t>
    </r>
    <r>
      <rPr>
        <sz val="11"/>
        <color theme="1"/>
        <rFont val="等线"/>
        <family val="2"/>
        <charset val="134"/>
        <scheme val="minor"/>
      </rPr>
      <t>：</t>
    </r>
  </si>
  <si>
    <t>文档11称“女命文昌主秀丽清奇”，但文档39称“文昌+煞星主娼妓或夭折”。</t>
  </si>
  <si>
    <t>→ 需结合煞星：无煞为吉，逢擎羊火铃为凶。</t>
  </si>
  <si>
    <t>一、左辅定义</t>
  </si>
  <si>
    <t>延伸解读​</t>
  </si>
  <si>
    <r>
      <t>多、重复、增加</t>
    </r>
    <r>
      <rPr>
        <sz val="11"/>
        <color theme="1"/>
        <rFont val="等线"/>
        <family val="2"/>
        <charset val="134"/>
        <scheme val="minor"/>
      </rPr>
      <t>​</t>
    </r>
  </si>
  <si>
    <t>代表数量增多、重复出现、辅助性事物</t>
  </si>
  <si>
    <r>
      <t>庙旺</t>
    </r>
    <r>
      <rPr>
        <sz val="11"/>
        <color theme="1"/>
        <rFont val="等线"/>
        <family val="2"/>
        <charset val="134"/>
        <scheme val="minor"/>
      </rPr>
      <t>​</t>
    </r>
  </si>
  <si>
    <t>力量强（庙7）</t>
  </si>
  <si>
    <t>显著增加或重复效果明显</t>
  </si>
  <si>
    <r>
      <t>落陷</t>
    </r>
    <r>
      <rPr>
        <sz val="11"/>
        <color theme="1"/>
        <rFont val="等线"/>
        <family val="2"/>
        <charset val="134"/>
        <scheme val="minor"/>
      </rPr>
      <t>​</t>
    </r>
  </si>
  <si>
    <t>力量弱（平3-陷1）</t>
  </si>
  <si>
    <t>增加效果微弱或不稳定</t>
  </si>
  <si>
    <t>命运多线发展</t>
  </si>
  <si>
    <t>多次职业变动、多重人生角色</t>
  </si>
  <si>
    <t>多父母/师长</t>
  </si>
  <si>
    <t>认干亲、多位导师指导</t>
  </si>
  <si>
    <t>多房产/空间</t>
  </si>
  <si>
    <t>多处房产、频繁搬家</t>
  </si>
  <si>
    <t>多职业/项目</t>
  </si>
  <si>
    <t>兼职、跨行业工作</t>
  </si>
  <si>
    <t>多朋友/合作伙伴</t>
  </si>
  <si>
    <t>广泛人脉、团队协作</t>
  </si>
  <si>
    <t>多病灶/反复伤病</t>
  </si>
  <si>
    <t>慢性病迁延、多处身体问题</t>
  </si>
  <si>
    <t>三、主星组合象义</t>
  </si>
  <si>
    <t>主星​</t>
  </si>
  <si>
    <r>
      <t>紫微+左辅</t>
    </r>
    <r>
      <rPr>
        <sz val="11"/>
        <color theme="1"/>
        <rFont val="等线"/>
        <family val="2"/>
        <charset val="134"/>
        <scheme val="minor"/>
      </rPr>
      <t>​</t>
    </r>
  </si>
  <si>
    <t>多个重要事物并存</t>
  </si>
  <si>
    <t>公司多部门领导、感情多选择对象</t>
  </si>
  <si>
    <r>
      <t>天机+左辅</t>
    </r>
    <r>
      <rPr>
        <sz val="11"/>
        <color theme="1"/>
        <rFont val="等线"/>
        <family val="2"/>
        <charset val="134"/>
        <scheme val="minor"/>
      </rPr>
      <t>​</t>
    </r>
  </si>
  <si>
    <t>多次计算/多线程运作</t>
  </si>
  <si>
    <t>多方案策划、CPU多核处理</t>
  </si>
  <si>
    <t>多重发散/多途径传播</t>
  </si>
  <si>
    <t>多渠道广告投放、多光源照明</t>
  </si>
  <si>
    <r>
      <t>武曲+左辅</t>
    </r>
    <r>
      <rPr>
        <sz val="11"/>
        <color theme="1"/>
        <rFont val="等线"/>
        <family val="2"/>
        <charset val="134"/>
        <scheme val="minor"/>
      </rPr>
      <t>​</t>
    </r>
  </si>
  <si>
    <t>多笔钱财/多次交易</t>
  </si>
  <si>
    <t>分期付款、多账户资金</t>
  </si>
  <si>
    <r>
      <t>天同+左辅</t>
    </r>
    <r>
      <rPr>
        <sz val="11"/>
        <color theme="1"/>
        <rFont val="等线"/>
        <family val="2"/>
        <charset val="134"/>
        <scheme val="minor"/>
      </rPr>
      <t>​</t>
    </r>
  </si>
  <si>
    <t>多想法/多子女</t>
  </si>
  <si>
    <t>多个创业点子、多胎生育</t>
  </si>
  <si>
    <r>
      <t>廉贞+左辅</t>
    </r>
    <r>
      <rPr>
        <sz val="11"/>
        <color theme="1"/>
        <rFont val="等线"/>
        <family val="2"/>
        <charset val="134"/>
        <scheme val="minor"/>
      </rPr>
      <t>​</t>
    </r>
  </si>
  <si>
    <t>多处抓取/多电子设备</t>
  </si>
  <si>
    <t>多监控探头、多线程数据处理</t>
  </si>
  <si>
    <r>
      <t>天府+左辅</t>
    </r>
    <r>
      <rPr>
        <sz val="11"/>
        <color theme="1"/>
        <rFont val="等线"/>
        <family val="2"/>
        <charset val="134"/>
        <scheme val="minor"/>
      </rPr>
      <t>​</t>
    </r>
  </si>
  <si>
    <t>多空间/多仓库</t>
  </si>
  <si>
    <t>连锁仓库、多房间户型</t>
  </si>
  <si>
    <r>
      <t>太阴+左辅</t>
    </r>
    <r>
      <rPr>
        <sz val="11"/>
        <color theme="1"/>
        <rFont val="等线"/>
        <family val="2"/>
        <charset val="134"/>
        <scheme val="minor"/>
      </rPr>
      <t>​</t>
    </r>
  </si>
  <si>
    <t>多存储/多女性关联</t>
  </si>
  <si>
    <t>多个储蓄账户、复杂女性关系</t>
  </si>
  <si>
    <r>
      <t>贪狼+左辅</t>
    </r>
    <r>
      <rPr>
        <sz val="11"/>
        <color theme="1"/>
        <rFont val="等线"/>
        <family val="2"/>
        <charset val="134"/>
        <scheme val="minor"/>
      </rPr>
      <t>​</t>
    </r>
  </si>
  <si>
    <t>多欲望/多体积</t>
  </si>
  <si>
    <t>多元化投资、身体多处赘肉</t>
  </si>
  <si>
    <r>
      <t>巨门+左辅</t>
    </r>
    <r>
      <rPr>
        <sz val="11"/>
        <color theme="1"/>
        <rFont val="等线"/>
        <family val="2"/>
        <charset val="134"/>
        <scheme val="minor"/>
      </rPr>
      <t>​</t>
    </r>
  </si>
  <si>
    <t>多门路/多语言</t>
  </si>
  <si>
    <t>多外语能力、多条业务渠道</t>
  </si>
  <si>
    <r>
      <t>天相+左辅</t>
    </r>
    <r>
      <rPr>
        <sz val="11"/>
        <color theme="1"/>
        <rFont val="等线"/>
        <family val="2"/>
        <charset val="134"/>
        <scheme val="minor"/>
      </rPr>
      <t>​</t>
    </r>
  </si>
  <si>
    <t>多呵护/多衣食</t>
  </si>
  <si>
    <t>多重保险保障、多套服饰</t>
  </si>
  <si>
    <r>
      <t>天梁+左辅</t>
    </r>
    <r>
      <rPr>
        <sz val="11"/>
        <color theme="1"/>
        <rFont val="等线"/>
        <family val="2"/>
        <charset val="134"/>
        <scheme val="minor"/>
      </rPr>
      <t>​</t>
    </r>
  </si>
  <si>
    <t>多支柱/多规则</t>
  </si>
  <si>
    <t>多部门协作、法律多条款</t>
  </si>
  <si>
    <r>
      <t>七杀+左辅</t>
    </r>
    <r>
      <rPr>
        <sz val="11"/>
        <color theme="1"/>
        <rFont val="等线"/>
        <family val="2"/>
        <charset val="134"/>
        <scheme val="minor"/>
      </rPr>
      <t>​</t>
    </r>
  </si>
  <si>
    <t>多线路/多平面</t>
  </si>
  <si>
    <t>多电路布线、多屏幕显示</t>
  </si>
  <si>
    <t>多次突破/多打击</t>
  </si>
  <si>
    <t>连续创业尝试、多次手术</t>
  </si>
  <si>
    <t>四、辅星组合象义</t>
  </si>
  <si>
    <r>
      <t>火星+左辅</t>
    </r>
    <r>
      <rPr>
        <sz val="11"/>
        <color theme="1"/>
        <rFont val="等线"/>
        <family val="2"/>
        <charset val="134"/>
        <scheme val="minor"/>
      </rPr>
      <t>​</t>
    </r>
  </si>
  <si>
    <t>多处火情/多次急躁</t>
  </si>
  <si>
    <t>多地点火灾、频繁发脾气</t>
  </si>
  <si>
    <r>
      <t>铃星+左辅</t>
    </r>
    <r>
      <rPr>
        <sz val="11"/>
        <color theme="1"/>
        <rFont val="等线"/>
        <family val="2"/>
        <charset val="134"/>
        <scheme val="minor"/>
      </rPr>
      <t>​</t>
    </r>
  </si>
  <si>
    <t>多重烦恼</t>
  </si>
  <si>
    <t>多线程工作压力、家庭多方矛盾</t>
  </si>
  <si>
    <r>
      <t>文昌+左辅</t>
    </r>
    <r>
      <rPr>
        <sz val="11"/>
        <color theme="1"/>
        <rFont val="等线"/>
        <family val="2"/>
        <charset val="134"/>
        <scheme val="minor"/>
      </rPr>
      <t>​</t>
    </r>
  </si>
  <si>
    <t>多条不正宣传</t>
  </si>
  <si>
    <t>多平台虚假广告（手册P142）</t>
  </si>
  <si>
    <r>
      <t>文曲+左辅</t>
    </r>
    <r>
      <rPr>
        <sz val="11"/>
        <color theme="1"/>
        <rFont val="等线"/>
        <family val="2"/>
        <charset val="134"/>
        <scheme val="minor"/>
      </rPr>
      <t>​</t>
    </r>
  </si>
  <si>
    <t>多内容重复</t>
  </si>
  <si>
    <t>文件多版本备份、课程复训</t>
  </si>
  <si>
    <r>
      <t>地劫+左辅</t>
    </r>
    <r>
      <rPr>
        <sz val="11"/>
        <color theme="1"/>
        <rFont val="等线"/>
        <family val="2"/>
        <charset val="134"/>
        <scheme val="minor"/>
      </rPr>
      <t>​</t>
    </r>
  </si>
  <si>
    <t>多窟窿/连续损失</t>
  </si>
  <si>
    <t>多处投资亏损、多次物品遗失</t>
  </si>
  <si>
    <r>
      <t>地空+左辅</t>
    </r>
    <r>
      <rPr>
        <sz val="11"/>
        <color theme="1"/>
        <rFont val="等线"/>
        <family val="2"/>
        <charset val="134"/>
        <scheme val="minor"/>
      </rPr>
      <t>​</t>
    </r>
  </si>
  <si>
    <t>多次虚耗</t>
  </si>
  <si>
    <t>反复无效投入、多次计划落空</t>
  </si>
  <si>
    <r>
      <t>擎羊+左辅</t>
    </r>
    <r>
      <rPr>
        <sz val="11"/>
        <color theme="1"/>
        <rFont val="等线"/>
        <family val="2"/>
        <charset val="134"/>
        <scheme val="minor"/>
      </rPr>
      <t>​</t>
    </r>
  </si>
  <si>
    <t>多次切割伤害</t>
  </si>
  <si>
    <t>多次手术、多部位外伤</t>
  </si>
  <si>
    <r>
      <t>陀罗+左辅</t>
    </r>
    <r>
      <rPr>
        <sz val="11"/>
        <color theme="1"/>
        <rFont val="等线"/>
        <family val="2"/>
        <charset val="134"/>
        <scheme val="minor"/>
      </rPr>
      <t>​</t>
    </r>
  </si>
  <si>
    <t>多次拖延循环</t>
  </si>
  <si>
    <t>项目反复延期、感情纠缠</t>
  </si>
  <si>
    <r>
      <t>天哭+左辅</t>
    </r>
    <r>
      <rPr>
        <sz val="11"/>
        <color theme="1"/>
        <rFont val="等线"/>
        <family val="2"/>
        <charset val="134"/>
        <scheme val="minor"/>
      </rPr>
      <t>​</t>
    </r>
  </si>
  <si>
    <t>多次悲伤</t>
  </si>
  <si>
    <t>连续噩耗、反复抑郁发作</t>
  </si>
  <si>
    <r>
      <t>天喜+左辅</t>
    </r>
    <r>
      <rPr>
        <sz val="11"/>
        <color theme="1"/>
        <rFont val="等线"/>
        <family val="2"/>
        <charset val="134"/>
        <scheme val="minor"/>
      </rPr>
      <t>​</t>
    </r>
  </si>
  <si>
    <t>多重喜悦</t>
  </si>
  <si>
    <t>多喜临门（结婚+升职+生子）</t>
  </si>
  <si>
    <r>
      <t>阴煞+左辅</t>
    </r>
    <r>
      <rPr>
        <sz val="11"/>
        <color theme="1"/>
        <rFont val="等线"/>
        <family val="2"/>
        <charset val="134"/>
        <scheme val="minor"/>
      </rPr>
      <t>​</t>
    </r>
  </si>
  <si>
    <t>多个隐藏事物</t>
  </si>
  <si>
    <t>多重间谍身份、多灵体干扰（手册P159）</t>
  </si>
  <si>
    <t>（五）右弼</t>
  </si>
  <si>
    <t>1. 右弼定义</t>
  </si>
  <si>
    <r>
      <t>属木</t>
    </r>
    <r>
      <rPr>
        <sz val="11"/>
        <color theme="1"/>
        <rFont val="等线"/>
        <family val="2"/>
        <charset val="134"/>
        <scheme val="minor"/>
      </rPr>
      <t>，主“转向、改变、又一次”。</t>
    </r>
  </si>
  <si>
    <t>同音卦：代表“转弯、扭转方向、重复操作”。</t>
  </si>
  <si>
    <t>本质：事物发展轨迹的转折点或重复性行为。</t>
  </si>
  <si>
    <t>2. 右弼星曜亮度表</t>
  </si>
  <si>
    <t>亮度</t>
  </si>
  <si>
    <t>数值</t>
  </si>
  <si>
    <r>
      <t>水位</t>
    </r>
    <r>
      <rPr>
        <sz val="11"/>
        <color theme="1"/>
        <rFont val="等线"/>
        <family val="2"/>
        <charset val="134"/>
        <scheme val="minor"/>
      </rPr>
      <t>（亥、子、丑）</t>
    </r>
  </si>
  <si>
    <t>高能量</t>
  </si>
  <si>
    <r>
      <t>木位</t>
    </r>
    <r>
      <rPr>
        <sz val="11"/>
        <color theme="1"/>
        <rFont val="等线"/>
        <family val="2"/>
        <charset val="134"/>
        <scheme val="minor"/>
      </rPr>
      <t>（寅、卯、辰）</t>
    </r>
  </si>
  <si>
    <t>中高能量</t>
  </si>
  <si>
    <r>
      <t>金火位</t>
    </r>
    <r>
      <rPr>
        <sz val="11"/>
        <color theme="1"/>
        <rFont val="等线"/>
        <family val="2"/>
        <charset val="134"/>
        <scheme val="minor"/>
      </rPr>
      <t>（巳、午、未、申、酉、戌）</t>
    </r>
  </si>
  <si>
    <t>平（3）</t>
  </si>
  <si>
    <t>普通能量</t>
  </si>
  <si>
    <r>
      <t>关键</t>
    </r>
    <r>
      <rPr>
        <sz val="11"/>
        <color theme="1"/>
        <rFont val="等线"/>
        <family val="2"/>
        <charset val="134"/>
        <scheme val="minor"/>
      </rPr>
      <t>：水位（力量最大）&gt; 木位 &gt; 金火位（力量最弱）。</t>
    </r>
  </si>
  <si>
    <t>3. 宫位组合象义</t>
  </si>
  <si>
    <t>核心象义</t>
  </si>
  <si>
    <t>具体应用场景示例</t>
  </si>
  <si>
    <t>文书/身份的转变</t>
  </si>
  <si>
    <t>转学、换专业、换身份证、养父母/继父母</t>
  </si>
  <si>
    <t>思想转变方向</t>
  </si>
  <si>
    <t>心性多变（木水宫）或固执（金火宫）</t>
  </si>
  <si>
    <t>空间/环境的改变</t>
  </si>
  <si>
    <t>搬家、换办公室、换车、内心本质转变</t>
  </si>
  <si>
    <t>外界环境变动</t>
  </si>
  <si>
    <t>变天、掉头回家、生存环境突变</t>
  </si>
  <si>
    <t>身体状态扭转</t>
  </si>
  <si>
    <t>病情逆转、指标好转、瑜伽扭脖</t>
  </si>
  <si>
    <t>财产流转</t>
  </si>
  <si>
    <t>转账、汇款、财产转移</t>
  </si>
  <si>
    <t>后代/客户的转向</t>
  </si>
  <si>
    <t>孩子性取向变、客户转移、DNA检测非亲生</t>
  </si>
  <si>
    <t>感情类型转变</t>
  </si>
  <si>
    <t>喜欢的类型改变、未离婚但情感转向</t>
  </si>
  <si>
    <t>人际关系转向</t>
  </si>
  <si>
    <t>换朋友、同行转变、好友反目</t>
  </si>
  <si>
    <t>4. 主星组合象义</t>
  </si>
  <si>
    <t>主星 + 右弼</t>
  </si>
  <si>
    <t>核心联动</t>
  </si>
  <si>
    <t>典型场景</t>
  </si>
  <si>
    <r>
      <t>天机 + 右弼</t>
    </r>
    <r>
      <rPr>
        <sz val="11"/>
        <color theme="1"/>
        <rFont val="等线"/>
        <family val="2"/>
        <charset val="134"/>
        <scheme val="minor"/>
      </rPr>
      <t>​</t>
    </r>
  </si>
  <si>
    <t>道路/机械转向</t>
  </si>
  <si>
    <t>道路转弯、换车、人生轨迹突变</t>
  </si>
  <si>
    <r>
      <t>太阳 + 右弼</t>
    </r>
    <r>
      <rPr>
        <sz val="11"/>
        <color theme="1"/>
        <rFont val="等线"/>
        <family val="2"/>
        <charset val="134"/>
        <scheme val="minor"/>
      </rPr>
      <t>​</t>
    </r>
  </si>
  <si>
    <t>传播/关注点转移</t>
  </si>
  <si>
    <t>广告方向调整、视线转移、新旧交替（古董翻新）</t>
  </si>
  <si>
    <r>
      <t>武曲 + 右弼</t>
    </r>
    <r>
      <rPr>
        <sz val="11"/>
        <color theme="1"/>
        <rFont val="等线"/>
        <family val="2"/>
        <charset val="134"/>
        <scheme val="minor"/>
      </rPr>
      <t>​</t>
    </r>
  </si>
  <si>
    <t>钱/硬物的流转</t>
  </si>
  <si>
    <t>换牙、骨折复位、资金流向变更</t>
  </si>
  <si>
    <r>
      <t>天同 + 右弼</t>
    </r>
    <r>
      <rPr>
        <sz val="11"/>
        <color theme="1"/>
        <rFont val="等线"/>
        <family val="2"/>
        <charset val="134"/>
        <scheme val="minor"/>
      </rPr>
      <t>​</t>
    </r>
  </si>
  <si>
    <t>感受/认同转变</t>
  </si>
  <si>
    <t>想法多变、玩的地点更换、感悟方向调整</t>
  </si>
  <si>
    <r>
      <t>廉贞 + 右弼</t>
    </r>
    <r>
      <rPr>
        <sz val="11"/>
        <color theme="1"/>
        <rFont val="等线"/>
        <family val="2"/>
        <charset val="134"/>
        <scheme val="minor"/>
      </rPr>
      <t>​</t>
    </r>
  </si>
  <si>
    <t>抓取/电子转向</t>
  </si>
  <si>
    <t>电子器材更换、突破方向调整（如修行）</t>
  </si>
  <si>
    <r>
      <t>天府 + 右弼</t>
    </r>
    <r>
      <rPr>
        <sz val="11"/>
        <color theme="1"/>
        <rFont val="等线"/>
        <family val="2"/>
        <charset val="134"/>
        <scheme val="minor"/>
      </rPr>
      <t>​</t>
    </r>
  </si>
  <si>
    <t>空间/房产更换</t>
  </si>
  <si>
    <t>换房子、换公司、换群组</t>
  </si>
  <si>
    <r>
      <t>太阴 + 右弼</t>
    </r>
    <r>
      <rPr>
        <sz val="11"/>
        <color theme="1"/>
        <rFont val="等线"/>
        <family val="2"/>
        <charset val="134"/>
        <scheme val="minor"/>
      </rPr>
      <t>​</t>
    </r>
  </si>
  <si>
    <t>存储/女人/水的转向</t>
  </si>
  <si>
    <t>女人类型变、液体流向变（油箱没油）、投资方向调整</t>
  </si>
  <si>
    <r>
      <t>贪狼 + 右弼</t>
    </r>
    <r>
      <rPr>
        <sz val="11"/>
        <color theme="1"/>
        <rFont val="等线"/>
        <family val="2"/>
        <charset val="134"/>
        <scheme val="minor"/>
      </rPr>
      <t>​</t>
    </r>
  </si>
  <si>
    <t>欲望/体积转向</t>
  </si>
  <si>
    <t>爱好改变、肌肉转肥肉、投资方向调整</t>
  </si>
  <si>
    <r>
      <t>巨门 + 右弼</t>
    </r>
    <r>
      <rPr>
        <sz val="11"/>
        <color theme="1"/>
        <rFont val="等线"/>
        <family val="2"/>
        <charset val="134"/>
        <scheme val="minor"/>
      </rPr>
      <t>​</t>
    </r>
  </si>
  <si>
    <t>说话/承诺转向</t>
  </si>
  <si>
    <t>改口、毁约、学科转换、国籍变更</t>
  </si>
  <si>
    <r>
      <t>天相 + 右弼</t>
    </r>
    <r>
      <rPr>
        <sz val="11"/>
        <color theme="1"/>
        <rFont val="等线"/>
        <family val="2"/>
        <charset val="134"/>
        <scheme val="minor"/>
      </rPr>
      <t>​</t>
    </r>
  </si>
  <si>
    <t>呵护/生活习惯转向</t>
  </si>
  <si>
    <t>换护工、换口味、穿衣风格变</t>
  </si>
  <si>
    <r>
      <t>天梁 + 右弼</t>
    </r>
    <r>
      <rPr>
        <sz val="11"/>
        <color theme="1"/>
        <rFont val="等线"/>
        <family val="2"/>
        <charset val="134"/>
        <scheme val="minor"/>
      </rPr>
      <t>​</t>
    </r>
  </si>
  <si>
    <t>规则/支撑系统转向</t>
  </si>
  <si>
    <t>立场转变、领导更换、腰椎增生（支撑变形）</t>
  </si>
  <si>
    <r>
      <t>七杀 + 右弼</t>
    </r>
    <r>
      <rPr>
        <sz val="11"/>
        <color theme="1"/>
        <rFont val="等线"/>
        <family val="2"/>
        <charset val="134"/>
        <scheme val="minor"/>
      </rPr>
      <t>​</t>
    </r>
  </si>
  <si>
    <t>线/平面转向</t>
  </si>
  <si>
    <t>工作行业转、感情多线转单线</t>
  </si>
  <si>
    <r>
      <t>破军 + 右弼</t>
    </r>
    <r>
      <rPr>
        <sz val="11"/>
        <color theme="1"/>
        <rFont val="等线"/>
        <family val="2"/>
        <charset val="134"/>
        <scheme val="minor"/>
      </rPr>
      <t>​</t>
    </r>
  </si>
  <si>
    <t>突破/打击方向转向</t>
  </si>
  <si>
    <t>投资方向换、突破点调整、分手（各自突破）</t>
  </si>
  <si>
    <t>5. 辅星组合象义</t>
  </si>
  <si>
    <t>辅星 + 右弼</t>
  </si>
  <si>
    <t>联动效果</t>
  </si>
  <si>
    <r>
      <t>文昌 + 右弼</t>
    </r>
    <r>
      <rPr>
        <sz val="11"/>
        <color theme="1"/>
        <rFont val="等线"/>
        <family val="2"/>
        <charset val="134"/>
        <scheme val="minor"/>
      </rPr>
      <t>​</t>
    </r>
  </si>
  <si>
    <t>内容传递方向歪斜</t>
  </si>
  <si>
    <r>
      <t>文曲 + 右弼</t>
    </r>
    <r>
      <rPr>
        <sz val="11"/>
        <color theme="1"/>
        <rFont val="等线"/>
        <family val="2"/>
        <charset val="134"/>
        <scheme val="minor"/>
      </rPr>
      <t>​</t>
    </r>
  </si>
  <si>
    <t>文字/合同含义被扭转</t>
  </si>
  <si>
    <r>
      <t>地劫 + 右弼</t>
    </r>
    <r>
      <rPr>
        <sz val="11"/>
        <color theme="1"/>
        <rFont val="等线"/>
        <family val="2"/>
        <charset val="134"/>
        <scheme val="minor"/>
      </rPr>
      <t>​</t>
    </r>
  </si>
  <si>
    <t>转向后掉入坑洞</t>
  </si>
  <si>
    <r>
      <t>地空 + 右弼</t>
    </r>
    <r>
      <rPr>
        <sz val="11"/>
        <color theme="1"/>
        <rFont val="等线"/>
        <family val="2"/>
        <charset val="134"/>
        <scheme val="minor"/>
      </rPr>
      <t>​</t>
    </r>
  </si>
  <si>
    <t>膨胀后转向或转向后膨胀</t>
  </si>
  <si>
    <r>
      <t>火星 + 右弼</t>
    </r>
    <r>
      <rPr>
        <sz val="11"/>
        <color theme="1"/>
        <rFont val="等线"/>
        <family val="2"/>
        <charset val="134"/>
        <scheme val="minor"/>
      </rPr>
      <t>​</t>
    </r>
  </si>
  <si>
    <t>快速转向</t>
  </si>
  <si>
    <r>
      <t>铃星 + 右弼</t>
    </r>
    <r>
      <rPr>
        <sz val="11"/>
        <color theme="1"/>
        <rFont val="等线"/>
        <family val="2"/>
        <charset val="134"/>
        <scheme val="minor"/>
      </rPr>
      <t>​</t>
    </r>
  </si>
  <si>
    <t>转向引发烦恼</t>
  </si>
  <si>
    <r>
      <t>天刑 + 右弼</t>
    </r>
    <r>
      <rPr>
        <sz val="11"/>
        <color theme="1"/>
        <rFont val="等线"/>
        <family val="2"/>
        <charset val="134"/>
        <scheme val="minor"/>
      </rPr>
      <t>​</t>
    </r>
  </si>
  <si>
    <t>管理方式转弯（如开车转弯）</t>
  </si>
  <si>
    <r>
      <t>天喜 + 右弼</t>
    </r>
    <r>
      <rPr>
        <sz val="11"/>
        <color theme="1"/>
        <rFont val="等线"/>
        <family val="2"/>
        <charset val="134"/>
        <scheme val="minor"/>
      </rPr>
      <t>​</t>
    </r>
  </si>
  <si>
    <t>快乐转向悲伤（喜极生悲）</t>
  </si>
  <si>
    <r>
      <t>阴煞 + 右弼</t>
    </r>
    <r>
      <rPr>
        <sz val="11"/>
        <color theme="1"/>
        <rFont val="等线"/>
        <family val="2"/>
        <charset val="134"/>
        <scheme val="minor"/>
      </rPr>
      <t>​</t>
    </r>
  </si>
  <si>
    <t>暗中转向（如幕后操作）</t>
  </si>
  <si>
    <t>关键补充说明</t>
  </si>
  <si>
    <r>
      <t>1. 转向的吉凶</t>
    </r>
    <r>
      <rPr>
        <sz val="11"/>
        <color theme="1"/>
        <rFont val="等线"/>
        <family val="2"/>
        <charset val="134"/>
        <scheme val="minor"/>
      </rPr>
      <t>：</t>
    </r>
  </si>
  <si>
    <t>木水位转向（庙旺）：自然、顺势而为，多吉。</t>
  </si>
  <si>
    <t>金火位转向（平陷）：生硬、费力，多凶。</t>
  </si>
  <si>
    <r>
      <t>例</t>
    </r>
    <r>
      <rPr>
        <sz val="11"/>
        <color theme="1"/>
        <rFont val="等线"/>
        <family val="2"/>
        <charset val="134"/>
        <scheme val="minor"/>
      </rPr>
      <t>：夫妻宫右弼化忌 + 火星：感情强行转向导致冲突。</t>
    </r>
  </si>
  <si>
    <r>
      <t>2. 重复性行为</t>
    </r>
    <r>
      <rPr>
        <sz val="11"/>
        <color theme="1"/>
        <rFont val="等线"/>
        <family val="2"/>
        <charset val="134"/>
        <scheme val="minor"/>
      </rPr>
      <t>：</t>
    </r>
  </si>
  <si>
    <t>右弼在命宫/事业宫：反复做同一件事（如流水线工作）。</t>
  </si>
  <si>
    <r>
      <t>例</t>
    </r>
    <r>
      <rPr>
        <sz val="11"/>
        <color theme="1"/>
        <rFont val="等线"/>
        <family val="2"/>
        <charset val="134"/>
        <scheme val="minor"/>
      </rPr>
      <t>：右弼 + 左弼：反复操作（如流水线工人）。</t>
    </r>
  </si>
  <si>
    <t>天魁星​</t>
  </si>
  <si>
    <r>
      <t>基础属性</t>
    </r>
    <r>
      <rPr>
        <sz val="11"/>
        <color theme="1"/>
        <rFont val="等线"/>
        <family val="2"/>
        <charset val="134"/>
        <scheme val="minor"/>
      </rPr>
      <t>​</t>
    </r>
  </si>
  <si>
    <r>
      <t>核心定义</t>
    </r>
    <r>
      <rPr>
        <sz val="11"/>
        <color theme="1"/>
        <rFont val="等线"/>
        <family val="2"/>
        <charset val="134"/>
        <scheme val="minor"/>
      </rPr>
      <t>：象征实质性的帮助，代表贵人扶持、成长助力，吉性纯粹稳定。</t>
    </r>
  </si>
  <si>
    <r>
      <t>本质特征</t>
    </r>
    <r>
      <rPr>
        <sz val="11"/>
        <color theme="1"/>
        <rFont val="等线"/>
        <family val="2"/>
        <charset val="134"/>
        <scheme val="minor"/>
      </rPr>
      <t>：区别于文昌文曲的卦意扭转，天魁的吉性直接且无杂染。</t>
    </r>
  </si>
  <si>
    <t>单星象义​</t>
  </si>
  <si>
    <r>
      <t>一般状态</t>
    </r>
    <r>
      <rPr>
        <sz val="11"/>
        <color theme="1"/>
        <rFont val="等线"/>
        <family val="2"/>
        <charset val="134"/>
        <scheme val="minor"/>
      </rPr>
      <t>​</t>
    </r>
  </si>
  <si>
    <t>提供实质性帮助（如资源支持、机遇引导）</t>
  </si>
  <si>
    <t>贵人提携、困境解脱</t>
  </si>
  <si>
    <r>
      <t>与凶星同宫</t>
    </r>
    <r>
      <rPr>
        <sz val="11"/>
        <color theme="1"/>
        <rFont val="等线"/>
        <family val="2"/>
        <charset val="134"/>
        <scheme val="minor"/>
      </rPr>
      <t>​</t>
    </r>
  </si>
  <si>
    <t>痛苦转化为成长助力（如逆境促进行动）</t>
  </si>
  <si>
    <t>童年严厉教育促成学业进步</t>
  </si>
  <si>
    <r>
      <t>行业对应</t>
    </r>
    <r>
      <rPr>
        <sz val="11"/>
        <color theme="1"/>
        <rFont val="等线"/>
        <family val="2"/>
        <charset val="134"/>
        <scheme val="minor"/>
      </rPr>
      <t>​</t>
    </r>
  </si>
  <si>
    <t>辅佐服务业（“痛而后效”领域）</t>
  </si>
  <si>
    <t>盲人按摩、中医正骨、康复护理</t>
  </si>
  <si>
    <t>辅星/主星​</t>
  </si>
  <si>
    <t>组合效应​</t>
  </si>
  <si>
    <r>
      <t>天魁 + 擎羊</t>
    </r>
    <r>
      <rPr>
        <sz val="11"/>
        <color theme="1"/>
        <rFont val="等线"/>
        <family val="2"/>
        <charset val="134"/>
        <scheme val="minor"/>
      </rPr>
      <t>​</t>
    </r>
  </si>
  <si>
    <t>痛苦中获助力（严厉环境促成长）</t>
  </si>
  <si>
    <t>体罚教育下反成学霸</t>
  </si>
  <si>
    <r>
      <t>天魁 + 煞星（如火星）</t>
    </r>
    <r>
      <rPr>
        <sz val="11"/>
        <color theme="1"/>
        <rFont val="等线"/>
        <family val="2"/>
        <charset val="134"/>
        <scheme val="minor"/>
      </rPr>
      <t>​</t>
    </r>
  </si>
  <si>
    <t>帮助伴随冲突（贵人严苛）</t>
  </si>
  <si>
    <t>导师高压训练提升技能</t>
  </si>
  <si>
    <r>
      <t>天魁 + 吉星（如禄存）</t>
    </r>
    <r>
      <rPr>
        <sz val="11"/>
        <color theme="1"/>
        <rFont val="等线"/>
        <family val="2"/>
        <charset val="134"/>
        <scheme val="minor"/>
      </rPr>
      <t>​</t>
    </r>
  </si>
  <si>
    <t>资源性扶持（财富或机会赠与）</t>
  </si>
  <si>
    <t>继承家产或获得投资</t>
  </si>
  <si>
    <t>宫位叠加​</t>
  </si>
  <si>
    <t>健康需长期护理</t>
  </si>
  <si>
    <t>预示住院、残疾康复或慢性病管理</t>
  </si>
  <si>
    <t>天生得贵人缘</t>
  </si>
  <si>
    <t>一生遇关键扶持者（如伯乐、导师）</t>
  </si>
  <si>
    <t>职场助力</t>
  </si>
  <si>
    <t>晋升受上级提携，项目获资源支持</t>
  </si>
  <si>
    <t>财务援助</t>
  </si>
  <si>
    <t>获得贷款、赠款或意外资助</t>
  </si>
  <si>
    <t>负面应验​</t>
  </si>
  <si>
    <r>
      <t>过度帮扶</t>
    </r>
    <r>
      <rPr>
        <sz val="11"/>
        <color theme="1"/>
        <rFont val="等线"/>
        <family val="2"/>
        <charset val="134"/>
        <scheme val="minor"/>
      </rPr>
      <t>：导致依赖或能力退化（如富二代溺爱致无能）。</t>
    </r>
  </si>
  <si>
    <r>
      <t>健康预警</t>
    </r>
    <r>
      <rPr>
        <sz val="11"/>
        <color theme="1"/>
        <rFont val="等线"/>
        <family val="2"/>
        <charset val="134"/>
        <scheme val="minor"/>
      </rPr>
      <t>：在疾厄宫时，预示需长期医疗护理（如住院或康复治疗）。</t>
    </r>
  </si>
  <si>
    <t>关键逻辑​</t>
  </si>
  <si>
    <r>
      <t>1. 断卦技巧</t>
    </r>
    <r>
      <rPr>
        <sz val="11"/>
        <color theme="1"/>
        <rFont val="等线"/>
        <family val="2"/>
        <charset val="134"/>
        <scheme val="minor"/>
      </rPr>
      <t>：实际占断中，只需确认天魁“产生帮助”的基本性质，无需过度解读细节。</t>
    </r>
  </si>
  <si>
    <r>
      <t>2. 吉凶辩证</t>
    </r>
    <r>
      <rPr>
        <sz val="11"/>
        <color theme="1"/>
        <rFont val="等线"/>
        <family val="2"/>
        <charset val="134"/>
        <scheme val="minor"/>
      </rPr>
      <t>：</t>
    </r>
  </si>
  <si>
    <t>庙旺时（水位亥子丑）：帮助高效且正向。</t>
  </si>
  <si>
    <t>落陷时（金火位申酉巳午）：帮助可能伴随负担或无效。</t>
  </si>
  <si>
    <r>
      <t>3. 行业关联</t>
    </r>
    <r>
      <rPr>
        <sz val="11"/>
        <color theme="1"/>
        <rFont val="等线"/>
        <family val="2"/>
        <charset val="134"/>
        <scheme val="minor"/>
      </rPr>
      <t>：强关联“痛而后效”领域（如物理治疗），痛感本身是转化成长的媒介。</t>
    </r>
  </si>
  <si>
    <t>一、天钺定义​</t>
  </si>
  <si>
    <t>阴火</t>
  </si>
  <si>
    <t>阴性</t>
  </si>
  <si>
    <r>
      <t>化气</t>
    </r>
    <r>
      <rPr>
        <sz val="11"/>
        <color theme="1"/>
        <rFont val="等线"/>
        <family val="2"/>
        <charset val="134"/>
        <scheme val="minor"/>
      </rPr>
      <t>​</t>
    </r>
  </si>
  <si>
    <t>助（贵人扶持）</t>
  </si>
  <si>
    <t>玉堂贵人（隐性贵人、女性贵人、间接助力）</t>
  </si>
  <si>
    <r>
      <t>与天魁区别</t>
    </r>
    <r>
      <rPr>
        <sz val="11"/>
        <color theme="1"/>
        <rFont val="等线"/>
        <family val="2"/>
        <charset val="134"/>
        <scheme val="minor"/>
      </rPr>
      <t>​</t>
    </r>
  </si>
  <si>
    <t>天魁（天乙贵人）：公开显性助力；天钺（玉堂贵人）：隐性/间接助力</t>
  </si>
  <si>
    <t>贵人性质</t>
  </si>
  <si>
    <t>隐性资源（如幕后金主、女性长辈提携）</t>
  </si>
  <si>
    <t>虚假助力（表面帮忙实则无益）</t>
  </si>
  <si>
    <t>健康关联</t>
  </si>
  <si>
    <t>专业护理（康复师、月子服务）</t>
  </si>
  <si>
    <t>无效照料（护工敷衍）</t>
  </si>
  <si>
    <t>事件触发</t>
  </si>
  <si>
    <t>绝处逢生（危机中意外得救）</t>
  </si>
  <si>
    <t>帮倒忙（援助反致损失）</t>
  </si>
  <si>
    <r>
      <t>天钺+紫微</t>
    </r>
    <r>
      <rPr>
        <sz val="11"/>
        <color theme="1"/>
        <rFont val="等线"/>
        <family val="2"/>
        <charset val="134"/>
        <scheme val="minor"/>
      </rPr>
      <t>​</t>
    </r>
  </si>
  <si>
    <t>幕后权威（如董事会匿名支持）</t>
  </si>
  <si>
    <t>傀儡操控（被隐性势力控制）</t>
  </si>
  <si>
    <r>
      <t>天钺+天同</t>
    </r>
    <r>
      <rPr>
        <sz val="11"/>
        <color theme="1"/>
        <rFont val="等线"/>
        <family val="2"/>
        <charset val="134"/>
        <scheme val="minor"/>
      </rPr>
      <t>​</t>
    </r>
  </si>
  <si>
    <t>情感庇护（干妈关照、心理疏导）</t>
  </si>
  <si>
    <t>溺爱纵容（过度保护致能力退化）</t>
  </si>
  <si>
    <r>
      <t>天钺+太阴</t>
    </r>
    <r>
      <rPr>
        <sz val="11"/>
        <color theme="1"/>
        <rFont val="等线"/>
        <family val="2"/>
        <charset val="134"/>
        <scheme val="minor"/>
      </rPr>
      <t>​</t>
    </r>
  </si>
  <si>
    <t>女性资源（遗产继承、闺蜜相助）</t>
  </si>
  <si>
    <t>虚情假意（女性关系利用）</t>
  </si>
  <si>
    <r>
      <t>天钺+文昌</t>
    </r>
    <r>
      <rPr>
        <sz val="11"/>
        <color theme="1"/>
        <rFont val="等线"/>
        <family val="2"/>
        <charset val="134"/>
        <scheme val="minor"/>
      </rPr>
      <t>​</t>
    </r>
  </si>
  <si>
    <t>文书贵人（匿名推荐信、机密文件传递）</t>
  </si>
  <si>
    <t>学历造假（虚假背书）</t>
  </si>
  <si>
    <r>
      <t>天钺+铃星</t>
    </r>
    <r>
      <rPr>
        <sz val="11"/>
        <color theme="1"/>
        <rFont val="等线"/>
        <family val="2"/>
        <charset val="134"/>
        <scheme val="minor"/>
      </rPr>
      <t>​</t>
    </r>
  </si>
  <si>
    <t>紧急暗助（火灾中神秘人救援）</t>
  </si>
  <si>
    <t>拖延误事（承诺援助却失联）</t>
  </si>
  <si>
    <r>
      <t>天钺+擎羊</t>
    </r>
    <r>
      <rPr>
        <sz val="11"/>
        <color theme="1"/>
        <rFont val="等线"/>
        <family val="2"/>
        <charset val="134"/>
        <scheme val="minor"/>
      </rPr>
      <t>​</t>
    </r>
  </si>
  <si>
    <t>暴力庇护（黑社会保护伞）</t>
  </si>
  <si>
    <t>反遭背刺（保镖变杀手）</t>
  </si>
  <si>
    <r>
      <t>天钺+阴煞</t>
    </r>
    <r>
      <rPr>
        <sz val="11"/>
        <color theme="1"/>
        <rFont val="等线"/>
        <family val="2"/>
        <charset val="134"/>
        <scheme val="minor"/>
      </rPr>
      <t>​</t>
    </r>
  </si>
  <si>
    <t>灵界贵人（托梦指点、祖先荫庇）</t>
  </si>
  <si>
    <t>邪祟干扰（伪装的“帮助”）</t>
  </si>
  <si>
    <r>
      <t>天钺+地劫</t>
    </r>
    <r>
      <rPr>
        <sz val="11"/>
        <color theme="1"/>
        <rFont val="等线"/>
        <family val="2"/>
        <charset val="134"/>
        <scheme val="minor"/>
      </rPr>
      <t>​</t>
    </r>
  </si>
  <si>
    <t>漏洞填补（资金链断裂时注资）</t>
  </si>
  <si>
    <t>援助落空（承诺贷款被拒）</t>
  </si>
  <si>
    <t>四、宫位叠加象义​</t>
  </si>
  <si>
    <t>天生贵人缘（常遇隐形伯乐）</t>
  </si>
  <si>
    <t>依赖成性（总期待他人解救）</t>
  </si>
  <si>
    <t>继母/养母扶持</t>
  </si>
  <si>
    <t>长辈虚情（表面关怀实为监视）</t>
  </si>
  <si>
    <t>高端护理（VIP病房特护）</t>
  </si>
  <si>
    <t>医疗欺诈（假专家误诊）</t>
  </si>
  <si>
    <t>隐性资产（匿名信托、海外账户）</t>
  </si>
  <si>
    <t>虚假融资（庞氏骗局）</t>
  </si>
  <si>
    <t>异地贵人（旅居遇庇护者）</t>
  </si>
  <si>
    <t>签证黑中介（假担保真诈骗）</t>
  </si>
  <si>
    <t>幕后推手（猎头暗中挖角）</t>
  </si>
  <si>
    <t>虚假猎头（骗取简历）</t>
  </si>
  <si>
    <r>
      <t>无独立四化</t>
    </r>
    <r>
      <rPr>
        <sz val="11"/>
        <color theme="1"/>
        <rFont val="等线"/>
        <family val="2"/>
        <charset val="134"/>
        <scheme val="minor"/>
      </rPr>
      <t>​</t>
    </r>
  </si>
  <si>
    <t>需借他星触发</t>
  </si>
  <si>
    <t>借太阳化禄：贵人声名显达</t>
  </si>
  <si>
    <t>借巨门化忌：贵人变仇人</t>
  </si>
  <si>
    <r>
      <t>特殊联动</t>
    </r>
    <r>
      <rPr>
        <sz val="11"/>
        <color theme="1"/>
        <rFont val="等线"/>
        <family val="2"/>
        <charset val="134"/>
        <scheme val="minor"/>
      </rPr>
      <t>​</t>
    </r>
  </si>
  <si>
    <t>壬干天梁化禄</t>
  </si>
  <si>
    <t>天钺+天梁：慈善机构援助</t>
  </si>
  <si>
    <t>天钺+天梁陷：伪善组织敛财</t>
  </si>
  <si>
    <r>
      <t>1. 贵人真伪性争议</t>
    </r>
    <r>
      <rPr>
        <sz val="11"/>
        <color theme="1"/>
        <rFont val="等线"/>
        <family val="2"/>
        <charset val="134"/>
        <scheme val="minor"/>
      </rPr>
      <t>：</t>
    </r>
  </si>
  <si>
    <t>文档40称天钺为“玉堂贵人”，但文档89提及“天钺+阴煞”可为邪祟伪装。</t>
  </si>
  <si>
    <t>→ 并存：需结合煞星判断（无煞为真贵人，见阴煞/地空则伪）。</t>
  </si>
  <si>
    <r>
      <t>2. 健康护理差异</t>
    </r>
    <r>
      <rPr>
        <sz val="11"/>
        <color theme="1"/>
        <rFont val="等线"/>
        <family val="2"/>
        <charset val="134"/>
        <scheme val="minor"/>
      </rPr>
      <t>：</t>
    </r>
  </si>
  <si>
    <t>文档83主“专业护理”，文档89提“医疗欺诈”。</t>
  </si>
  <si>
    <t>→ 以宫位为准：疾厄宫庙旺（7级）为专业护理，落陷（1级）为欺诈。</t>
  </si>
  <si>
    <r>
      <t>隐性本质</t>
    </r>
    <r>
      <rPr>
        <sz val="11"/>
        <color theme="1"/>
        <rFont val="等线"/>
        <family val="2"/>
        <charset val="134"/>
        <scheme val="minor"/>
      </rPr>
      <t>：天钺之力需“被动触发”（如危机时自动显现），主动求援易失效。</t>
    </r>
  </si>
  <si>
    <r>
      <t>火性矛盾</t>
    </r>
    <r>
      <rPr>
        <sz val="11"/>
        <color theme="1"/>
        <rFont val="等线"/>
        <family val="2"/>
        <charset val="134"/>
        <scheme val="minor"/>
      </rPr>
      <t>：阴火属性使其助力常伴代价（如受助后需回报）。</t>
    </r>
  </si>
  <si>
    <t>阴土</t>
  </si>
  <si>
    <r>
      <t>斗分</t>
    </r>
    <r>
      <rPr>
        <sz val="11"/>
        <color theme="1"/>
        <rFont val="等线"/>
        <family val="2"/>
        <charset val="134"/>
        <scheme val="minor"/>
      </rPr>
      <t>​</t>
    </r>
  </si>
  <si>
    <t>北斗第四星</t>
  </si>
  <si>
    <t>块状实体（金锭、粮袋、血栓、结石）</t>
  </si>
  <si>
    <r>
      <t>财富表征</t>
    </r>
    <r>
      <rPr>
        <sz val="11"/>
        <color theme="1"/>
        <rFont val="等线"/>
        <family val="2"/>
        <charset val="134"/>
        <scheme val="minor"/>
      </rPr>
      <t>​</t>
    </r>
  </si>
  <si>
    <t>财富积聚（固定资产、遗产）</t>
  </si>
  <si>
    <t>债务堆积/虚耗（投资泡沫）</t>
  </si>
  <si>
    <r>
      <t>健康关联</t>
    </r>
    <r>
      <rPr>
        <sz val="11"/>
        <color theme="1"/>
        <rFont val="等线"/>
        <family val="2"/>
        <charset val="134"/>
        <scheme val="minor"/>
      </rPr>
      <t>​</t>
    </r>
  </si>
  <si>
    <t>身体硬块（结石、血栓）</t>
  </si>
  <si>
    <t>病理性肿块（肿瘤）</t>
  </si>
  <si>
    <r>
      <t>精神属性</t>
    </r>
    <r>
      <rPr>
        <sz val="11"/>
        <color theme="1"/>
        <rFont val="等线"/>
        <family val="2"/>
        <charset val="134"/>
        <scheme val="minor"/>
      </rPr>
      <t>​</t>
    </r>
  </si>
  <si>
    <t>思想沉淀（学识积累）</t>
  </si>
  <si>
    <t>思维僵化（守旧拒变）</t>
  </si>
  <si>
    <t>2. 疾病对应表​</t>
  </si>
  <si>
    <t>身体部位​</t>
  </si>
  <si>
    <t>典型病症​</t>
  </si>
  <si>
    <t>组合触发条件​</t>
  </si>
  <si>
    <r>
      <t>头部（午）</t>
    </r>
    <r>
      <rPr>
        <sz val="11"/>
        <color theme="1"/>
        <rFont val="等线"/>
        <family val="2"/>
        <charset val="134"/>
        <scheme val="minor"/>
      </rPr>
      <t>​</t>
    </r>
  </si>
  <si>
    <t>脑血栓、耳屎、牙肿包</t>
  </si>
  <si>
    <t>太阳+禄存/禄存独坐</t>
  </si>
  <si>
    <r>
      <t>颈部（未）</t>
    </r>
    <r>
      <rPr>
        <sz val="11"/>
        <color theme="1"/>
        <rFont val="等线"/>
        <family val="2"/>
        <charset val="134"/>
        <scheme val="minor"/>
      </rPr>
      <t>​</t>
    </r>
  </si>
  <si>
    <t>甲状腺结节</t>
  </si>
  <si>
    <t>禄存独坐</t>
  </si>
  <si>
    <r>
      <t>胸部（辰/酉）</t>
    </r>
    <r>
      <rPr>
        <sz val="11"/>
        <color theme="1"/>
        <rFont val="等线"/>
        <family val="2"/>
        <charset val="134"/>
        <scheme val="minor"/>
      </rPr>
      <t>​</t>
    </r>
  </si>
  <si>
    <t>乳腺结节/肺癌肿块</t>
  </si>
  <si>
    <t>廉贞+禄存/陀罗+禄存</t>
  </si>
  <si>
    <r>
      <t>腹部（卯/戌）</t>
    </r>
    <r>
      <rPr>
        <sz val="11"/>
        <color theme="1"/>
        <rFont val="等线"/>
        <family val="2"/>
        <charset val="134"/>
        <scheme val="minor"/>
      </rPr>
      <t>​</t>
    </r>
  </si>
  <si>
    <t>腹腔硬块/肾结石</t>
  </si>
  <si>
    <t>武曲+禄存+铃星</t>
  </si>
  <si>
    <r>
      <t>下阴（子/丑）</t>
    </r>
    <r>
      <rPr>
        <sz val="11"/>
        <color theme="1"/>
        <rFont val="等线"/>
        <family val="2"/>
        <charset val="134"/>
        <scheme val="minor"/>
      </rPr>
      <t>​</t>
    </r>
  </si>
  <si>
    <t>尿路结石/囊肿</t>
  </si>
  <si>
    <t>禄存独坐+煞星</t>
  </si>
  <si>
    <r>
      <t>禄存+武曲</t>
    </r>
    <r>
      <rPr>
        <sz val="11"/>
        <color theme="1"/>
        <rFont val="等线"/>
        <family val="2"/>
        <charset val="134"/>
        <scheme val="minor"/>
      </rPr>
      <t>​</t>
    </r>
  </si>
  <si>
    <t>实业财富（矿山、贵金属）</t>
  </si>
  <si>
    <t>财务漏洞（洗钱、虚账）</t>
  </si>
  <si>
    <r>
      <t>禄存+天府</t>
    </r>
    <r>
      <rPr>
        <sz val="11"/>
        <color theme="1"/>
        <rFont val="等线"/>
        <family val="2"/>
        <charset val="134"/>
        <scheme val="minor"/>
      </rPr>
      <t>​</t>
    </r>
  </si>
  <si>
    <t>资源稳固（祖产丰厚）</t>
  </si>
  <si>
    <t>资源虚耗（家道中落）</t>
  </si>
  <si>
    <r>
      <t>禄存+天梁</t>
    </r>
    <r>
      <rPr>
        <sz val="11"/>
        <color theme="1"/>
        <rFont val="等线"/>
        <family val="2"/>
        <charset val="134"/>
        <scheme val="minor"/>
      </rPr>
      <t>​</t>
    </r>
  </si>
  <si>
    <t>规则性财富（法律遗产）</t>
  </si>
  <si>
    <t>规则崩塌（遗产纠纷）</t>
  </si>
  <si>
    <r>
      <t>禄存+七杀</t>
    </r>
    <r>
      <rPr>
        <sz val="11"/>
        <color theme="1"/>
        <rFont val="等线"/>
        <family val="2"/>
        <charset val="134"/>
        <scheme val="minor"/>
      </rPr>
      <t>​</t>
    </r>
  </si>
  <si>
    <t>线性财富链（稳定收入）</t>
  </si>
  <si>
    <t>资金链断裂（破产）</t>
  </si>
  <si>
    <r>
      <t>禄存+文昌</t>
    </r>
    <r>
      <rPr>
        <sz val="11"/>
        <color theme="1"/>
        <rFont val="等线"/>
        <family val="2"/>
        <charset val="134"/>
        <scheme val="minor"/>
      </rPr>
      <t>​</t>
    </r>
  </si>
  <si>
    <t>证书加持（学历变现）</t>
  </si>
  <si>
    <r>
      <t>禄存+擎羊</t>
    </r>
    <r>
      <rPr>
        <sz val="11"/>
        <color theme="1"/>
        <rFont val="等线"/>
        <family val="2"/>
        <charset val="134"/>
        <scheme val="minor"/>
      </rPr>
      <t>​</t>
    </r>
  </si>
  <si>
    <t>强制积累（高利贷）</t>
  </si>
  <si>
    <t>财富切割（抢劫/诈骗）</t>
  </si>
  <si>
    <r>
      <t>禄存+地空</t>
    </r>
    <r>
      <rPr>
        <sz val="11"/>
        <color theme="1"/>
        <rFont val="等线"/>
        <family val="2"/>
        <charset val="134"/>
        <scheme val="minor"/>
      </rPr>
      <t>​</t>
    </r>
  </si>
  <si>
    <t>虚浮资产（期货泡沫）</t>
  </si>
  <si>
    <t>身无分文（空账）</t>
  </si>
  <si>
    <r>
      <t>禄存+铃星</t>
    </r>
    <r>
      <rPr>
        <sz val="11"/>
        <color theme="1"/>
        <rFont val="等线"/>
        <family val="2"/>
        <charset val="134"/>
        <scheme val="minor"/>
      </rPr>
      <t>​</t>
    </r>
  </si>
  <si>
    <t>债务堆积（信用卡透支）</t>
  </si>
  <si>
    <t>突发破财（投资暴雷）</t>
  </si>
  <si>
    <t>节俭守财（实业家）</t>
  </si>
  <si>
    <t>吝啬孤克（守财奴）</t>
  </si>
  <si>
    <t>资金固积（定期存款）</t>
  </si>
  <si>
    <t>账目混乱（洗钱漏洞）</t>
  </si>
  <si>
    <t>家产丰厚（金锭地契）</t>
  </si>
  <si>
    <t>祖业耗尽（抵押房产）</t>
  </si>
  <si>
    <t>生理硬块（结石/血栓）</t>
  </si>
  <si>
    <t>恶性肿块（癌症晚期）</t>
  </si>
  <si>
    <t>血缘异常（非亲生/领养）</t>
  </si>
  <si>
    <t>老而孤独（无后嗣）</t>
  </si>
  <si>
    <t>联动机制​</t>
  </si>
  <si>
    <r>
      <t>化禄放大</t>
    </r>
    <r>
      <rPr>
        <sz val="11"/>
        <color theme="1"/>
        <rFont val="等线"/>
        <family val="2"/>
        <charset val="134"/>
        <scheme val="minor"/>
      </rPr>
      <t>​</t>
    </r>
  </si>
  <si>
    <t>财富暴增（如武曲化禄）</t>
  </si>
  <si>
    <t>落陷时反致虚耗（太阳陷化禄）</t>
  </si>
  <si>
    <r>
      <t>化忌冲击</t>
    </r>
    <r>
      <rPr>
        <sz val="11"/>
        <color theme="1"/>
        <rFont val="等线"/>
        <family val="2"/>
        <charset val="134"/>
        <scheme val="minor"/>
      </rPr>
      <t>​</t>
    </r>
  </si>
  <si>
    <t>库破（羊陀夹忌主破产）</t>
  </si>
  <si>
    <t>与“禄存无四化”定义冲突</t>
  </si>
  <si>
    <r>
      <t>自化禄</t>
    </r>
    <r>
      <rPr>
        <sz val="11"/>
        <color theme="1"/>
        <rFont val="等线"/>
        <family val="2"/>
        <charset val="134"/>
        <scheme val="minor"/>
      </rPr>
      <t>​</t>
    </r>
  </si>
  <si>
    <t>短期聚财（如田宅自化禄）</t>
  </si>
  <si>
    <t>需结合主星判断（天府自化禄吉，地劫自化禄凶）</t>
  </si>
  <si>
    <t>关键矛盾说明​</t>
  </si>
  <si>
    <t>文档3称“禄存无四化”，但文档37提出“化禄放大效应”可借他星触发→ 并存矛盾。</t>
  </si>
  <si>
    <r>
      <t>2. 孤克属性</t>
    </r>
    <r>
      <rPr>
        <sz val="11"/>
        <color theme="1"/>
        <rFont val="等线"/>
        <family val="2"/>
        <charset val="134"/>
        <scheme val="minor"/>
      </rPr>
      <t>：</t>
    </r>
  </si>
  <si>
    <t>文档8称“禄存入六亲主孤克”，文档13称“子女宫禄存主贵子”→ 需分宫位：六亲宫主孤，子女宫逢吉星反主贵。</t>
  </si>
  <si>
    <t>阳火</t>
  </si>
  <si>
    <t>持续运动状态、动态传输/移动性</t>
  </si>
  <si>
    <t>不可调节的持续运动（如GIF动图、资金流、差旅）</t>
  </si>
  <si>
    <r>
      <t>与天机区别</t>
    </r>
    <r>
      <rPr>
        <sz val="11"/>
        <color theme="1"/>
        <rFont val="等线"/>
        <family val="2"/>
        <charset val="134"/>
        <scheme val="minor"/>
      </rPr>
      <t>​</t>
    </r>
  </si>
  <si>
    <t>天机可调节运动路径，天马为单向不可控运动</t>
  </si>
  <si>
    <r>
      <t>动态传输</t>
    </r>
    <r>
      <rPr>
        <sz val="11"/>
        <color theme="1"/>
        <rFont val="等线"/>
        <family val="2"/>
        <charset val="134"/>
        <scheme val="minor"/>
      </rPr>
      <t>​</t>
    </r>
  </si>
  <si>
    <t>移动畅通（跨境物流、数据流）</t>
  </si>
  <si>
    <t>移动阻塞（交通中断、资金冻结）</t>
  </si>
  <si>
    <r>
      <t>运动状态</t>
    </r>
    <r>
      <rPr>
        <sz val="11"/>
        <color theme="1"/>
        <rFont val="等线"/>
        <family val="2"/>
        <charset val="134"/>
        <scheme val="minor"/>
      </rPr>
      <t>​</t>
    </r>
  </si>
  <si>
    <t>高频变动（频繁出差、实时数据更新）</t>
  </si>
  <si>
    <t>动态停滞（项目搁置、思维僵化）</t>
  </si>
  <si>
    <r>
      <t>行业表征</t>
    </r>
    <r>
      <rPr>
        <sz val="11"/>
        <color theme="1"/>
        <rFont val="等线"/>
        <family val="2"/>
        <charset val="134"/>
        <scheme val="minor"/>
      </rPr>
      <t>​</t>
    </r>
  </si>
  <si>
    <t>流动性行业（物流、旅游、金融）</t>
  </si>
  <si>
    <t>固守产业（传统制造业、仓储）</t>
  </si>
  <si>
    <r>
      <t>生马 vs 流马</t>
    </r>
    <r>
      <rPr>
        <sz val="11"/>
        <color theme="1"/>
        <rFont val="等线"/>
        <family val="2"/>
        <charset val="134"/>
        <scheme val="minor"/>
      </rPr>
      <t>：按生年月份确立宫位，无分类差异。</t>
    </r>
  </si>
  <si>
    <r>
      <t>思想宫位</t>
    </r>
    <r>
      <rPr>
        <sz val="11"/>
        <color theme="1"/>
        <rFont val="等线"/>
        <family val="2"/>
        <charset val="134"/>
        <scheme val="minor"/>
      </rPr>
      <t>：思维停不下来（不利修行）。</t>
    </r>
  </si>
  <si>
    <t>1. 吉星组合​</t>
  </si>
  <si>
    <r>
      <t>天马+禄存</t>
    </r>
    <r>
      <rPr>
        <sz val="11"/>
        <color theme="1"/>
        <rFont val="等线"/>
        <family val="2"/>
        <charset val="134"/>
        <scheme val="minor"/>
      </rPr>
      <t>​</t>
    </r>
  </si>
  <si>
    <t>禄马交驰（财富流动增值）</t>
  </si>
  <si>
    <t>虚动耗财（无效投资）</t>
  </si>
  <si>
    <t>天马+紫微/天府</t>
  </si>
  <si>
    <t>扶舆马（权威性移动，如跨国升迁）</t>
  </si>
  <si>
    <t>虚张声势（名不副实的差旅）</t>
  </si>
  <si>
    <r>
      <t>天马+日月</t>
    </r>
    <r>
      <rPr>
        <sz val="11"/>
        <color theme="1"/>
        <rFont val="等线"/>
        <family val="2"/>
        <charset val="134"/>
        <scheme val="minor"/>
      </rPr>
      <t>​</t>
    </r>
  </si>
  <si>
    <t>雌雄马（稳定财流/积极贵气）</t>
  </si>
  <si>
    <t>飘泊不定（居无定所）</t>
  </si>
  <si>
    <t>2. 煞星组合​</t>
  </si>
  <si>
    <r>
      <t>天马+火星</t>
    </r>
    <r>
      <rPr>
        <sz val="11"/>
        <color theme="1"/>
        <rFont val="等线"/>
        <family val="2"/>
        <charset val="134"/>
        <scheme val="minor"/>
      </rPr>
      <t>​</t>
    </r>
  </si>
  <si>
    <t>战马（突发变动：意外出差/投资暴雷）</t>
  </si>
  <si>
    <t>车祸、紧急任务派遣</t>
  </si>
  <si>
    <r>
      <t>天马+擎羊</t>
    </r>
    <r>
      <rPr>
        <sz val="11"/>
        <color theme="1"/>
        <rFont val="等线"/>
        <family val="2"/>
        <charset val="134"/>
        <scheme val="minor"/>
      </rPr>
      <t>​</t>
    </r>
  </si>
  <si>
    <t>负尸马（波动损失：车祸/合作破裂）</t>
  </si>
  <si>
    <t>交通事故赔偿纠纷</t>
  </si>
  <si>
    <r>
      <t>天马+陀罗</t>
    </r>
    <r>
      <rPr>
        <sz val="11"/>
        <color theme="1"/>
        <rFont val="等线"/>
        <family val="2"/>
        <charset val="134"/>
        <scheme val="minor"/>
      </rPr>
      <t>​</t>
    </r>
  </si>
  <si>
    <t>折足马（拖延阻滞：签证延期/款项拖欠）</t>
  </si>
  <si>
    <t>项目烂尾、慢性病迁延</t>
  </si>
  <si>
    <r>
      <t>天马+空劫忌</t>
    </r>
    <r>
      <rPr>
        <sz val="11"/>
        <color theme="1"/>
        <rFont val="等线"/>
        <family val="2"/>
        <charset val="134"/>
        <scheme val="minor"/>
      </rPr>
      <t>​</t>
    </r>
  </si>
  <si>
    <t>死马（终身奔走无功：资金链断裂）</t>
  </si>
  <si>
    <t>创业屡败、劳碌无果</t>
  </si>
  <si>
    <t>一生奔波立业（外贸商人、探险家）</t>
  </si>
  <si>
    <t>劳碌无为（频繁换岗无成就）</t>
  </si>
  <si>
    <t>跨境机遇（留学、移民成功）</t>
  </si>
  <si>
    <t>违规越界（偷渡遣返）</t>
  </si>
  <si>
    <t>资金流动频繁（短期理财、外汇）</t>
  </si>
  <si>
    <t>虚耗破财（投机亏损）</t>
  </si>
  <si>
    <t>配偶来自远方/异地姻缘</t>
  </si>
  <si>
    <t>感情疏离（长期分居）</t>
  </si>
  <si>
    <t>动态职业（记者、航空业）</t>
  </si>
  <si>
    <t>工作不稳（频繁失业）</t>
  </si>
  <si>
    <t>频繁搬家/跨国置业</t>
  </si>
  <si>
    <t>家宅不宁（抵押房产）</t>
  </si>
  <si>
    <r>
      <t>借他星化禄</t>
    </r>
    <r>
      <rPr>
        <sz val="11"/>
        <color theme="1"/>
        <rFont val="等线"/>
        <family val="2"/>
        <charset val="134"/>
        <scheme val="minor"/>
      </rPr>
      <t>​</t>
    </r>
  </si>
  <si>
    <t>增强运动力</t>
  </si>
  <si>
    <t>加速成功（跨境业务扩张）</t>
  </si>
  <si>
    <r>
      <t>借他星化忌</t>
    </r>
    <r>
      <rPr>
        <sz val="11"/>
        <color theme="1"/>
        <rFont val="等线"/>
        <family val="2"/>
        <charset val="134"/>
        <scheme val="minor"/>
      </rPr>
      <t>​</t>
    </r>
  </si>
  <si>
    <t>阻滞运动</t>
  </si>
  <si>
    <t>动态中断（航班取消、合作终止）</t>
  </si>
  <si>
    <r>
      <t>自化科</t>
    </r>
    <r>
      <rPr>
        <sz val="11"/>
        <color theme="1"/>
        <rFont val="等线"/>
        <family val="2"/>
        <charset val="134"/>
        <scheme val="minor"/>
      </rPr>
      <t>​</t>
    </r>
  </si>
  <si>
    <t>延缓变动</t>
  </si>
  <si>
    <t>差旅延期（签证审核延长）</t>
  </si>
  <si>
    <r>
      <t>1. “动”的双重性</t>
    </r>
    <r>
      <rPr>
        <sz val="11"/>
        <color theme="1"/>
        <rFont val="等线"/>
        <family val="2"/>
        <charset val="134"/>
        <scheme val="minor"/>
      </rPr>
      <t>：</t>
    </r>
  </si>
  <si>
    <t>庙旺（水火位）：创造价值（如跨境贸易）。</t>
  </si>
  <si>
    <t>落陷（金火位）：消耗资源（如无效出差）。</t>
  </si>
  <si>
    <r>
      <t>2. 现代象义延伸</t>
    </r>
    <r>
      <rPr>
        <sz val="11"/>
        <color theme="1"/>
        <rFont val="等线"/>
        <family val="2"/>
        <charset val="134"/>
        <scheme val="minor"/>
      </rPr>
      <t>：</t>
    </r>
  </si>
  <si>
    <t>技术层面：实时数据流、动态IP地址。</t>
  </si>
  <si>
    <t>社会层面：共享经济、闪送服务。</t>
  </si>
  <si>
    <r>
      <t>1. 庙陷定位冲突</t>
    </r>
    <r>
      <rPr>
        <sz val="11"/>
        <color theme="1"/>
        <rFont val="等线"/>
        <family val="2"/>
        <charset val="134"/>
        <scheme val="minor"/>
      </rPr>
      <t>：</t>
    </r>
  </si>
  <si>
    <t>文档1：未宫天马为庙旺；文档3：未宫为平势（非庙旺）。</t>
  </si>
  <si>
    <t>→ 并存矛盾，需结合主星状态综合判断。</t>
  </si>
  <si>
    <r>
      <t>2. 天马天才组合</t>
    </r>
    <r>
      <rPr>
        <sz val="11"/>
        <color theme="1"/>
        <rFont val="等线"/>
        <family val="2"/>
        <charset val="134"/>
        <scheme val="minor"/>
      </rPr>
      <t>：</t>
    </r>
  </si>
  <si>
    <t>文档4：主“天马行空”的创意；文档5：遇煞星则“思维混乱”。</t>
  </si>
  <si>
    <t>→ 吉凶取决于煞吉星配比。</t>
  </si>
  <si>
    <t>阳金（主切割） / 阳火（主伤害）</t>
  </si>
  <si>
    <r>
      <t>控制性差异</t>
    </r>
    <r>
      <rPr>
        <sz val="11"/>
        <color theme="1"/>
        <rFont val="等线"/>
        <family val="2"/>
        <charset val="134"/>
        <scheme val="minor"/>
      </rPr>
      <t>​</t>
    </r>
  </si>
  <si>
    <t>无控制性质（区别于天刑的“可控伤害”）</t>
  </si>
  <si>
    <r>
      <t>庙陷关键</t>
    </r>
    <r>
      <rPr>
        <sz val="11"/>
        <color theme="1"/>
        <rFont val="等线"/>
        <family val="2"/>
        <charset val="134"/>
        <scheme val="minor"/>
      </rPr>
      <t>​</t>
    </r>
  </si>
  <si>
    <t>金位（申/酉）庙旺（7级）主伤害深；水位（子/亥）落陷（1级）主伤害浅</t>
  </si>
  <si>
    <t>精准切割（外科手术、法律裁决）</t>
  </si>
  <si>
    <r>
      <t>深入性</t>
    </r>
    <r>
      <rPr>
        <sz val="11"/>
        <color theme="1"/>
        <rFont val="等线"/>
        <family val="2"/>
        <charset val="134"/>
        <scheme val="minor"/>
      </rPr>
      <t>​</t>
    </r>
  </si>
  <si>
    <t>深度剖析（学术研究、肿瘤浸润）</t>
  </si>
  <si>
    <t>表面创伤（浅表伤口）</t>
  </si>
  <si>
    <r>
      <t>伤害性</t>
    </r>
    <r>
      <rPr>
        <sz val="11"/>
        <color theme="1"/>
        <rFont val="等线"/>
        <family val="2"/>
        <charset val="134"/>
        <scheme val="minor"/>
      </rPr>
      <t>​</t>
    </r>
  </si>
  <si>
    <t>高效破坏（行业革新、军事打击）</t>
  </si>
  <si>
    <t>2. 庙陷表矛盾说明​</t>
  </si>
  <si>
    <r>
      <t>未宫状态冲突</t>
    </r>
    <r>
      <rPr>
        <sz val="11"/>
        <color theme="1"/>
        <rFont val="等线"/>
        <family val="2"/>
        <charset val="134"/>
        <scheme val="minor"/>
      </rPr>
      <t>：</t>
    </r>
  </si>
  <si>
    <t>文档22：未宫平（3级）</t>
  </si>
  <si>
    <t>文档30：未宫庙（7级）</t>
  </si>
  <si>
    <t>→ 并存矛盾，需结合主星判断。</t>
  </si>
  <si>
    <r>
      <t>紫微+擎羊</t>
    </r>
    <r>
      <rPr>
        <sz val="11"/>
        <color theme="1"/>
        <rFont val="等线"/>
        <family val="2"/>
        <charset val="134"/>
        <scheme val="minor"/>
      </rPr>
      <t>​</t>
    </r>
  </si>
  <si>
    <t>高压任务（权威施压） / 顶级工艺（刻刀雕刻）</t>
  </si>
  <si>
    <t>官灾（权威崩塌） / 自尊心受损</t>
  </si>
  <si>
    <r>
      <t>太阳+擎羊</t>
    </r>
    <r>
      <rPr>
        <sz val="11"/>
        <color theme="1"/>
        <rFont val="等线"/>
        <family val="2"/>
        <charset val="134"/>
        <scheme val="minor"/>
      </rPr>
      <t>​</t>
    </r>
  </si>
  <si>
    <t>曝光伤害（丑闻揭露） / 激光手术</t>
  </si>
  <si>
    <t>暗伤隐匿（秘密掩盖） / 沟通暴力</t>
  </si>
  <si>
    <r>
      <t>天同+擎羊</t>
    </r>
    <r>
      <rPr>
        <sz val="11"/>
        <color theme="1"/>
        <rFont val="等线"/>
        <family val="2"/>
        <charset val="134"/>
        <scheme val="minor"/>
      </rPr>
      <t>​</t>
    </r>
  </si>
  <si>
    <t>轮回业伤（前世创伤延续）</t>
  </si>
  <si>
    <t>现实剧痛（疾病折磨）</t>
  </si>
  <si>
    <r>
      <t>贪狼+擎羊</t>
    </r>
    <r>
      <rPr>
        <sz val="11"/>
        <color theme="1"/>
        <rFont val="等线"/>
        <family val="2"/>
        <charset val="134"/>
        <scheme val="minor"/>
      </rPr>
      <t>​</t>
    </r>
  </si>
  <si>
    <t>欲望戒断（戒毒） / 肿瘤切除</t>
  </si>
  <si>
    <t>投资血本无归 / 肉体溃烂</t>
  </si>
  <si>
    <r>
      <t>天相+擎羊</t>
    </r>
    <r>
      <rPr>
        <sz val="11"/>
        <color theme="1"/>
        <rFont val="等线"/>
        <family val="2"/>
        <charset val="134"/>
        <scheme val="minor"/>
      </rPr>
      <t>​</t>
    </r>
  </si>
  <si>
    <t>皮肤破损（手术切口） / 食材切割（生鱼片）</t>
  </si>
  <si>
    <t>家暴 / 生活艰辛</t>
  </si>
  <si>
    <t>战略打击（军事行动） / 领域突破</t>
  </si>
  <si>
    <t>器官切除 / 合作破裂</t>
  </si>
  <si>
    <r>
      <t>天才+擎羊</t>
    </r>
    <r>
      <rPr>
        <sz val="11"/>
        <color theme="1"/>
        <rFont val="等线"/>
        <family val="2"/>
        <charset val="134"/>
        <scheme val="minor"/>
      </rPr>
      <t>​</t>
    </r>
  </si>
  <si>
    <t>深度思考（研究透彻）</t>
  </si>
  <si>
    <t>强迫性焦虑（钻牛角尖）</t>
  </si>
  <si>
    <t>邪招制敌（策略性打击）</t>
  </si>
  <si>
    <t>传播诽谤（造谣中伤）</t>
  </si>
  <si>
    <r>
      <t>阴煞+擎羊</t>
    </r>
    <r>
      <rPr>
        <sz val="11"/>
        <color theme="1"/>
        <rFont val="等线"/>
        <family val="2"/>
        <charset val="134"/>
        <scheme val="minor"/>
      </rPr>
      <t>​</t>
    </r>
  </si>
  <si>
    <t>精准化疗（癌症治疗）</t>
  </si>
  <si>
    <t>暗中捅刀（背叛）</t>
  </si>
  <si>
    <r>
      <t>火星+擎羊</t>
    </r>
    <r>
      <rPr>
        <sz val="11"/>
        <color theme="1"/>
        <rFont val="等线"/>
        <family val="2"/>
        <charset val="134"/>
        <scheme val="minor"/>
      </rPr>
      <t>​</t>
    </r>
  </si>
  <si>
    <t>激光切割（精密制造）</t>
  </si>
  <si>
    <t>爆炸伤害（事故炸伤）</t>
  </si>
  <si>
    <r>
      <t>地劫+擎羊</t>
    </r>
    <r>
      <rPr>
        <sz val="11"/>
        <color theme="1"/>
        <rFont val="等线"/>
        <family val="2"/>
        <charset val="134"/>
        <scheme val="minor"/>
      </rPr>
      <t>​</t>
    </r>
  </si>
  <si>
    <t>考古挖掘（文物出土）</t>
  </si>
  <si>
    <t>陷阱深坑（投资骗局）</t>
  </si>
  <si>
    <t>手术成功（微创治疗）</t>
  </si>
  <si>
    <t>慢性疼痛（关节炎）</t>
  </si>
  <si>
    <t>果断离婚（关系切割）</t>
  </si>
  <si>
    <t>家暴纠纷（情感暴力）</t>
  </si>
  <si>
    <t>资产分割（离婚析产）</t>
  </si>
  <si>
    <t>诈骗掏空（资金链断裂）</t>
  </si>
  <si>
    <t>跨境打击（国际制裁）</t>
  </si>
  <si>
    <t>偷渡遣返（违规越境）</t>
  </si>
  <si>
    <t>裁员整顿（企业管理）</t>
  </si>
  <si>
    <t>职场暴力（肢体冲突）</t>
  </si>
  <si>
    <t>化禄（借武曲）</t>
  </si>
  <si>
    <t>投资获利（矿业开采）</t>
  </si>
  <si>
    <t>资源虚耗（无效投入）</t>
  </si>
  <si>
    <t>化忌（借文昌）</t>
  </si>
  <si>
    <t>谣言澄清（法律维权）</t>
  </si>
  <si>
    <t>伤害失控（医疗事故）</t>
  </si>
  <si>
    <t>借紫微化权：高压管控</t>
  </si>
  <si>
    <t>借廉贞化忌：囚禁伤害</t>
  </si>
  <si>
    <r>
      <t>1. 天同擎羊的伤害性质</t>
    </r>
    <r>
      <rPr>
        <sz val="11"/>
        <color theme="1"/>
        <rFont val="等线"/>
        <family val="2"/>
        <charset val="134"/>
        <scheme val="minor"/>
      </rPr>
      <t>：</t>
    </r>
  </si>
  <si>
    <t>文档13：主“能带到轮回中的伤害”（业力创伤）</t>
  </si>
  <si>
    <t>文档31：主“疾病带来非常痛”（现实病痛）</t>
  </si>
  <si>
    <t>→ 并存：庙旺为业力显现，落陷为现实病痛。</t>
  </si>
  <si>
    <r>
      <t>2. 文昌擎羊的传播差异</t>
    </r>
    <r>
      <rPr>
        <sz val="11"/>
        <color theme="1"/>
        <rFont val="等线"/>
        <family val="2"/>
        <charset val="134"/>
        <scheme val="minor"/>
      </rPr>
      <t>：</t>
    </r>
  </si>
  <si>
    <t>文档5：主“传播伤害，说坏话”</t>
  </si>
  <si>
    <t>文档27：主“斜着伤害（出邪招）”</t>
  </si>
  <si>
    <t>→ 统一：均属语言/策略性伤害，角度不同。</t>
  </si>
  <si>
    <t>切割、切断、深入、不可控伤害，痛苦</t>
    <phoneticPr fontId="2" type="noConversion"/>
  </si>
  <si>
    <t>一、陀罗定义​</t>
  </si>
  <si>
    <t>北斗煞星</t>
  </si>
  <si>
    <t>原地打转、循环往复、拖延、缠绕</t>
  </si>
  <si>
    <t>空间迷失（如鬼打墙）、行为无效循环（重复无进展）</t>
  </si>
  <si>
    <r>
      <t>循环性</t>
    </r>
    <r>
      <rPr>
        <sz val="11"/>
        <color theme="1"/>
        <rFont val="等线"/>
        <family val="2"/>
        <charset val="134"/>
        <scheme val="minor"/>
      </rPr>
      <t>​</t>
    </r>
  </si>
  <si>
    <t>精密周期运作（如机械齿轮）</t>
  </si>
  <si>
    <t>失控空转（如拖延症晚期）</t>
  </si>
  <si>
    <t>身体关联</t>
  </si>
  <si>
    <t>慢性病迁延（如关节炎、强迫症）</t>
  </si>
  <si>
    <t>事件表征</t>
  </si>
  <si>
    <t>流程循环（流水线工作）</t>
  </si>
  <si>
    <t>计划无限延期（如项目烂尾）</t>
  </si>
  <si>
    <t>2. 庙陷差异​</t>
  </si>
  <si>
    <r>
      <t>水位（亥/子）</t>
    </r>
    <r>
      <rPr>
        <sz val="11"/>
        <color theme="1"/>
        <rFont val="等线"/>
        <family val="2"/>
        <charset val="134"/>
        <scheme val="minor"/>
      </rPr>
      <t>：庙旺（7级）→ 循环可控（精密仪器周期运转）</t>
    </r>
  </si>
  <si>
    <r>
      <t>火位（巳/午）</t>
    </r>
    <r>
      <rPr>
        <sz val="11"/>
        <color theme="1"/>
        <rFont val="等线"/>
        <family val="2"/>
        <charset val="134"/>
        <scheme val="minor"/>
      </rPr>
      <t>：落陷（1级）→ 循环失控（拖延症/无效重复）</t>
    </r>
  </si>
  <si>
    <r>
      <t>矛盾说明</t>
    </r>
    <r>
      <rPr>
        <sz val="11"/>
        <color theme="1"/>
        <rFont val="等线"/>
        <family val="2"/>
        <charset val="134"/>
        <scheme val="minor"/>
      </rPr>
      <t>：文档7称亥宫庙旺，文档10定义水位落陷 → 并存矛盾</t>
    </r>
  </si>
  <si>
    <r>
      <t>陀罗+贪狼</t>
    </r>
    <r>
      <rPr>
        <sz val="11"/>
        <color theme="1"/>
        <rFont val="等线"/>
        <family val="2"/>
        <charset val="134"/>
        <scheme val="minor"/>
      </rPr>
      <t>​</t>
    </r>
  </si>
  <si>
    <t>情欲循环（复杂感情关系）</t>
  </si>
  <si>
    <t>酒色成痨（性病/纵欲过度）</t>
  </si>
  <si>
    <r>
      <t>陀罗+破军</t>
    </r>
    <r>
      <rPr>
        <sz val="11"/>
        <color theme="1"/>
        <rFont val="等线"/>
        <family val="2"/>
        <charset val="134"/>
        <scheme val="minor"/>
      </rPr>
      <t>​</t>
    </r>
  </si>
  <si>
    <t>财务反复（投资回本周期长）</t>
  </si>
  <si>
    <t>债务滚雪球（高利贷陷阱）</t>
  </si>
  <si>
    <r>
      <t>陀罗+七杀</t>
    </r>
    <r>
      <rPr>
        <sz val="11"/>
        <color theme="1"/>
        <rFont val="等线"/>
        <family val="2"/>
        <charset val="134"/>
        <scheme val="minor"/>
      </rPr>
      <t>​</t>
    </r>
  </si>
  <si>
    <t>线性缠绕（电路板排线）</t>
  </si>
  <si>
    <t>人际纠纷（关系纠缠不清）</t>
  </si>
  <si>
    <r>
      <t>陀罗+天同</t>
    </r>
    <r>
      <rPr>
        <sz val="11"/>
        <color theme="1"/>
        <rFont val="等线"/>
        <family val="2"/>
        <charset val="134"/>
        <scheme val="minor"/>
      </rPr>
      <t>​</t>
    </r>
  </si>
  <si>
    <t>情感依赖（旧情难忘）</t>
  </si>
  <si>
    <t>抑郁倾向（强迫性回忆）</t>
  </si>
  <si>
    <r>
      <t>陀罗+文昌</t>
    </r>
    <r>
      <rPr>
        <sz val="11"/>
        <color theme="1"/>
        <rFont val="等线"/>
        <family val="2"/>
        <charset val="134"/>
        <scheme val="minor"/>
      </rPr>
      <t>​</t>
    </r>
  </si>
  <si>
    <t>信息循环（定期报告/学术复检）</t>
  </si>
  <si>
    <t>传销洗脑（车轱辘话术）</t>
  </si>
  <si>
    <r>
      <t>陀罗+铃星</t>
    </r>
    <r>
      <rPr>
        <sz val="11"/>
        <color theme="1"/>
        <rFont val="等线"/>
        <family val="2"/>
        <charset val="134"/>
        <scheme val="minor"/>
      </rPr>
      <t>​</t>
    </r>
  </si>
  <si>
    <t>关节预警（膝盖劳损）</t>
  </si>
  <si>
    <t>持续疼痛（慢性关节炎）</t>
  </si>
  <si>
    <r>
      <t>陀罗+火星</t>
    </r>
    <r>
      <rPr>
        <sz val="11"/>
        <color theme="1"/>
        <rFont val="等线"/>
        <family val="2"/>
        <charset val="134"/>
        <scheme val="minor"/>
      </rPr>
      <t>​</t>
    </r>
  </si>
  <si>
    <t>急躁循环（赶工返工）</t>
  </si>
  <si>
    <t>意外烫伤（机械过热故障）</t>
  </si>
  <si>
    <r>
      <t>陀罗+地空</t>
    </r>
    <r>
      <rPr>
        <sz val="11"/>
        <color theme="1"/>
        <rFont val="等线"/>
        <family val="2"/>
        <charset val="134"/>
        <scheme val="minor"/>
      </rPr>
      <t>​</t>
    </r>
  </si>
  <si>
    <t>虚耗循环（无效投资）</t>
  </si>
  <si>
    <t>积蓄流失（养老金被骗）</t>
  </si>
  <si>
    <t>性格坚韧（长期坚持目标）</t>
  </si>
  <si>
    <t>优柔寡断（决策拖延）</t>
  </si>
  <si>
    <t>关节保养（运动员周期性训练）</t>
  </si>
  <si>
    <t>慢性骨病（类风湿性关节炎）</t>
  </si>
  <si>
    <t>分期理财（定期存款滚动）</t>
  </si>
  <si>
    <t>债务循环（信用卡最低还款）</t>
  </si>
  <si>
    <t>流程优化（标准化生产）</t>
  </si>
  <si>
    <t>职场拖延（效率低下）</t>
  </si>
  <si>
    <t>关系复合（分手后复婚）</t>
  </si>
  <si>
    <t>冷战轮回（情感僵局）</t>
  </si>
  <si>
    <t>借武曲化禄：资金回笼加速</t>
  </si>
  <si>
    <t>借廉贞化忌：肿瘤恶化（循环失控）</t>
  </si>
  <si>
    <t>陀罗+天梁：慢性病稳定控制</t>
  </si>
  <si>
    <t>陀罗+天梁陷：治疗无效</t>
  </si>
  <si>
    <t>文档10定义水位（亥/子）落陷，文档7称亥宫庙旺→ 并存矛盾，需结合主星状态综合判断。</t>
  </si>
  <si>
    <r>
      <t>2. 健康表征差异</t>
    </r>
    <r>
      <rPr>
        <sz val="11"/>
        <color theme="1"/>
        <rFont val="等线"/>
        <family val="2"/>
        <charset val="134"/>
        <scheme val="minor"/>
      </rPr>
      <t>：</t>
    </r>
  </si>
  <si>
    <t>文档14称陀罗主“骨折/暗疾”，文档23强调“肿瘤/结石”→ 统一于“气血阻滞导致病理凝结”。</t>
  </si>
  <si>
    <t>关节疾病（膝盖、腰椎）、肿瘤/结石，气血阻滞</t>
    <phoneticPr fontId="2" type="noConversion"/>
  </si>
  <si>
    <t>一、地空定义​</t>
  </si>
  <si>
    <t>属水</t>
  </si>
  <si>
    <t>多出来的东西、超出福报的部分、虚胀、过分</t>
  </si>
  <si>
    <r>
      <t>本质差异</t>
    </r>
    <r>
      <rPr>
        <sz val="11"/>
        <color theme="1"/>
        <rFont val="等线"/>
        <family val="2"/>
        <charset val="134"/>
        <scheme val="minor"/>
      </rPr>
      <t>​</t>
    </r>
  </si>
  <si>
    <t>与地劫（代表缺失）相反；需结合宫位五行判断幅度</t>
  </si>
  <si>
    <t>金水位（申/酉/亥/子）力量大→过分明显；木火位（寅/卯/巳/午）力量弱→轻微超出</t>
  </si>
  <si>
    <t>庙旺（金水位）象义​</t>
  </si>
  <si>
    <t>落陷（木火位）象义​</t>
  </si>
  <si>
    <r>
      <t>虚胀性</t>
    </r>
    <r>
      <rPr>
        <sz val="11"/>
        <color theme="1"/>
        <rFont val="等线"/>
        <family val="2"/>
        <charset val="134"/>
        <scheme val="minor"/>
      </rPr>
      <t>​</t>
    </r>
  </si>
  <si>
    <t>显著超出（如投资泡沫、身体浮肿）</t>
  </si>
  <si>
    <t>轻微超出（如略超预算、局部肿胀）</t>
  </si>
  <si>
    <r>
      <t>过分性</t>
    </r>
    <r>
      <rPr>
        <sz val="11"/>
        <color theme="1"/>
        <rFont val="等线"/>
        <family val="2"/>
        <charset val="134"/>
        <scheme val="minor"/>
      </rPr>
      <t>​</t>
    </r>
  </si>
  <si>
    <t>过度消耗（挥霍无度）、过度理想化</t>
  </si>
  <si>
    <t>略超常理（小贪心、轻度焦虑）</t>
  </si>
  <si>
    <t>溢出效应</t>
  </si>
  <si>
    <t>资源过剩（库存积压）、情感泛滥</t>
  </si>
  <si>
    <t>小范围冗余（琐事堆积、短期压力）</t>
  </si>
  <si>
    <t>2. 特殊矛盾说明​</t>
  </si>
  <si>
    <r>
      <t>水位状态冲突</t>
    </r>
    <r>
      <rPr>
        <sz val="11"/>
        <color theme="1"/>
        <rFont val="等线"/>
        <family val="2"/>
        <charset val="134"/>
        <scheme val="minor"/>
      </rPr>
      <t>：</t>
    </r>
  </si>
  <si>
    <t>文档144称水位（亥子丑）地空力量大（庙旺）</t>
  </si>
  <si>
    <t>文档145庙旺表标注亥子宫为陷（1级）</t>
  </si>
  <si>
    <t>→ 并存矛盾：理论定义与庙陷表不一致，需分场景应用</t>
  </si>
  <si>
    <t>庙旺象义（金水位）​</t>
  </si>
  <si>
    <t>落陷象义（木火位）​</t>
  </si>
  <si>
    <t>虚财膨胀（融资泡沫/虚假估值）</t>
  </si>
  <si>
    <t>小额透支（信用卡超支）</t>
  </si>
  <si>
    <t>病理性肿胀（肿瘤/水肿）</t>
  </si>
  <si>
    <t>局部浮肿（蚊虫叮咬）</t>
  </si>
  <si>
    <t>房产过剩（空置率过高）</t>
  </si>
  <si>
    <t>储物间堆满杂物</t>
  </si>
  <si>
    <t>过度溺爱（物质宠溺）</t>
  </si>
  <si>
    <t>偶尔纵容（零食超标）</t>
  </si>
  <si>
    <t>感情泛滥（多角关系）</t>
  </si>
  <si>
    <t>短暂暧昧</t>
  </si>
  <si>
    <t>1. 吉象组合（庙旺）​</t>
  </si>
  <si>
    <r>
      <t>紫微+地空</t>
    </r>
    <r>
      <rPr>
        <sz val="11"/>
        <color theme="1"/>
        <rFont val="等线"/>
        <family val="2"/>
        <charset val="134"/>
        <scheme val="minor"/>
      </rPr>
      <t>​</t>
    </r>
  </si>
  <si>
    <t>理想过高（不切实际的野心）</t>
  </si>
  <si>
    <t>创业者盲目扩张</t>
  </si>
  <si>
    <r>
      <t>天府+地空</t>
    </r>
    <r>
      <rPr>
        <sz val="11"/>
        <color theme="1"/>
        <rFont val="等线"/>
        <family val="2"/>
        <charset val="134"/>
        <scheme val="minor"/>
      </rPr>
      <t>​</t>
    </r>
  </si>
  <si>
    <t>空间虚胀（豪宅空置）</t>
  </si>
  <si>
    <t>别墅无人居住</t>
  </si>
  <si>
    <r>
      <t>太阴+地空</t>
    </r>
    <r>
      <rPr>
        <sz val="11"/>
        <color theme="1"/>
        <rFont val="等线"/>
        <family val="2"/>
        <charset val="134"/>
        <scheme val="minor"/>
      </rPr>
      <t>​</t>
    </r>
  </si>
  <si>
    <t>存储溢出（囤积癖）</t>
  </si>
  <si>
    <t>疯狂购物填满仓库</t>
  </si>
  <si>
    <r>
      <t>天相+地空</t>
    </r>
    <r>
      <rPr>
        <sz val="11"/>
        <color theme="1"/>
        <rFont val="等线"/>
        <family val="2"/>
        <charset val="134"/>
        <scheme val="minor"/>
      </rPr>
      <t>​</t>
    </r>
  </si>
  <si>
    <t>呵护过度（过度医疗/溺爱）</t>
  </si>
  <si>
    <t>家长强迫孩子补课</t>
  </si>
  <si>
    <t>2. 凶象组合（落陷）​</t>
  </si>
  <si>
    <r>
      <t>破军+地空</t>
    </r>
    <r>
      <rPr>
        <sz val="11"/>
        <color theme="1"/>
        <rFont val="等线"/>
        <family val="2"/>
        <charset val="134"/>
        <scheme val="minor"/>
      </rPr>
      <t>​</t>
    </r>
  </si>
  <si>
    <t>突破失控（盲目创业失败）</t>
  </si>
  <si>
    <t>借贷投资血本无归</t>
  </si>
  <si>
    <r>
      <t>贪狼+地空</t>
    </r>
    <r>
      <rPr>
        <sz val="11"/>
        <color theme="1"/>
        <rFont val="等线"/>
        <family val="2"/>
        <charset val="134"/>
        <scheme val="minor"/>
      </rPr>
      <t>​</t>
    </r>
  </si>
  <si>
    <t>欲望膨胀（赌博成瘾）</t>
  </si>
  <si>
    <t>沉迷网游挥霍积蓄</t>
  </si>
  <si>
    <t>平面虚胀（股价泡沫）</t>
  </si>
  <si>
    <t>股票虚高后崩盘</t>
  </si>
  <si>
    <t>触发场景​</t>
  </si>
  <si>
    <r>
      <t>地空+火星</t>
    </r>
    <r>
      <rPr>
        <sz val="11"/>
        <color theme="1"/>
        <rFont val="等线"/>
        <family val="2"/>
        <charset val="134"/>
        <scheme val="minor"/>
      </rPr>
      <t>​</t>
    </r>
  </si>
  <si>
    <t>急速膨胀（突发性投资过热）</t>
  </si>
  <si>
    <t>炒币短期暴增后暴跌</t>
  </si>
  <si>
    <r>
      <t>地空+铃星</t>
    </r>
    <r>
      <rPr>
        <sz val="11"/>
        <color theme="1"/>
        <rFont val="等线"/>
        <family val="2"/>
        <charset val="134"/>
        <scheme val="minor"/>
      </rPr>
      <t>​</t>
    </r>
  </si>
  <si>
    <t>烦恼过剩（焦虑症复发）</t>
  </si>
  <si>
    <t>工作压力导致失眠</t>
  </si>
  <si>
    <r>
      <t>地空+文昌</t>
    </r>
    <r>
      <rPr>
        <sz val="11"/>
        <color theme="1"/>
        <rFont val="等线"/>
        <family val="2"/>
        <charset val="134"/>
        <scheme val="minor"/>
      </rPr>
      <t>​</t>
    </r>
  </si>
  <si>
    <t>虚假内容（夸大宣传）</t>
  </si>
  <si>
    <t>广告过度包装遭投诉</t>
  </si>
  <si>
    <r>
      <t>地空+阴煞</t>
    </r>
    <r>
      <rPr>
        <sz val="11"/>
        <color theme="1"/>
        <rFont val="等线"/>
        <family val="2"/>
        <charset val="134"/>
        <scheme val="minor"/>
      </rPr>
      <t>​</t>
    </r>
  </si>
  <si>
    <t>隐性过剩（暗箱操作资金）</t>
  </si>
  <si>
    <t>洗钱活动规模失控</t>
  </si>
  <si>
    <t>六、四化联动规则​</t>
  </si>
  <si>
    <r>
      <t>无直接四化</t>
    </r>
    <r>
      <rPr>
        <sz val="11"/>
        <color theme="1"/>
        <rFont val="等线"/>
        <family val="2"/>
        <charset val="134"/>
        <scheme val="minor"/>
      </rPr>
      <t>：地空不参与四化，需借他星触发</t>
    </r>
  </si>
  <si>
    <r>
      <t>化禄（借武曲）</t>
    </r>
    <r>
      <rPr>
        <sz val="11"/>
        <color theme="1"/>
        <rFont val="等线"/>
        <family val="2"/>
        <charset val="134"/>
        <scheme val="minor"/>
      </rPr>
      <t>：加剧虚胀（如虚假繁荣）</t>
    </r>
  </si>
  <si>
    <r>
      <t>化忌（借巨门）</t>
    </r>
    <r>
      <rPr>
        <sz val="11"/>
        <color theme="1"/>
        <rFont val="等线"/>
        <family val="2"/>
        <charset val="134"/>
        <scheme val="minor"/>
      </rPr>
      <t>：戳破泡沫（如骗局曝光）</t>
    </r>
  </si>
  <si>
    <r>
      <t>1. “碗倒扣”模型</t>
    </r>
    <r>
      <rPr>
        <sz val="11"/>
        <color theme="1"/>
        <rFont val="等线"/>
        <family val="2"/>
        <charset val="134"/>
        <scheme val="minor"/>
      </rPr>
      <t>：</t>
    </r>
  </si>
  <si>
    <t>庙旺：碗口朝下→资源悬空无法使用（如闲置资产）</t>
  </si>
  <si>
    <t>落陷：碗斜置→资源轻微溢出（如零钱洒落）</t>
  </si>
  <si>
    <r>
      <t>2. 福报阈值</t>
    </r>
    <r>
      <rPr>
        <sz val="11"/>
        <color theme="1"/>
        <rFont val="等线"/>
        <family val="2"/>
        <charset val="134"/>
        <scheme val="minor"/>
      </rPr>
      <t>：</t>
    </r>
  </si>
  <si>
    <t>地空位置指示个体福报承载极限，超限则引发崩塌</t>
    <phoneticPr fontId="2" type="noConversion"/>
  </si>
  <si>
    <t>（二）地劫​</t>
  </si>
  <si>
    <t>1. 地劫定义​</t>
  </si>
  <si>
    <r>
      <t>斗分</t>
    </r>
    <r>
      <rPr>
        <sz val="11"/>
        <color theme="1"/>
        <rFont val="等线"/>
        <family val="2"/>
        <charset val="134"/>
        <scheme val="minor"/>
      </rPr>
      <t>：中斗第一星</t>
    </r>
  </si>
  <si>
    <r>
      <t>阴阳五行</t>
    </r>
    <r>
      <rPr>
        <sz val="11"/>
        <color theme="1"/>
        <rFont val="等线"/>
        <family val="2"/>
        <charset val="134"/>
        <scheme val="minor"/>
      </rPr>
      <t>：阳火</t>
    </r>
  </si>
  <si>
    <r>
      <t>本质</t>
    </r>
    <r>
      <rPr>
        <sz val="11"/>
        <color theme="1"/>
        <rFont val="等线"/>
        <family val="2"/>
        <charset val="134"/>
        <scheme val="minor"/>
      </rPr>
      <t>：劫夺、窟窿、坑洞、缺失、中断、失去</t>
    </r>
  </si>
  <si>
    <r>
      <t>核心意象</t>
    </r>
    <r>
      <rPr>
        <sz val="11"/>
        <color theme="1"/>
        <rFont val="等线"/>
        <family val="2"/>
        <charset val="134"/>
        <scheme val="minor"/>
      </rPr>
      <t>：</t>
    </r>
  </si>
  <si>
    <t>物体：空心结构、凹陷处、断口、漏洞</t>
  </si>
  <si>
    <t>事件：计划落空、资源流失、机会错失</t>
  </si>
  <si>
    <t>身体：器官缺损、骨折空洞、气血亏虚</t>
  </si>
  <si>
    <t>2. 星曜特性​</t>
  </si>
  <si>
    <t>3. 宫位组合象义​</t>
  </si>
  <si>
    <t>人生多突发性损失，精神空虚感强</t>
  </si>
  <si>
    <t>钱财莫名消耗（如投资踩坑、意外破财）</t>
  </si>
  <si>
    <t>身体有先天缺陷或手术留洞（如蛀牙、胃穿孔）</t>
  </si>
  <si>
    <t>外出遇陷阱（车祸、诈骗）</t>
  </si>
  <si>
    <t>房屋漏水、地下室；家族传承中断</t>
  </si>
  <si>
    <t>4. 主星组合象义​</t>
  </si>
  <si>
    <r>
      <t>紫微+地劫</t>
    </r>
    <r>
      <rPr>
        <sz val="11"/>
        <color theme="1"/>
        <rFont val="等线"/>
        <family val="2"/>
        <charset val="134"/>
        <scheme val="minor"/>
      </rPr>
      <t>​</t>
    </r>
  </si>
  <si>
    <t>权威崩塌（如公司破产、职位被架空）</t>
  </si>
  <si>
    <t>思维断链（健忘）、机械故障（如电脑死机）</t>
  </si>
  <si>
    <r>
      <t>太阳+地劫</t>
    </r>
    <r>
      <rPr>
        <sz val="11"/>
        <color theme="1"/>
        <rFont val="等线"/>
        <family val="2"/>
        <charset val="134"/>
        <scheme val="minor"/>
      </rPr>
      <t>​</t>
    </r>
  </si>
  <si>
    <t>希望落空（考试失利）、曝光失败（广告无效）</t>
  </si>
  <si>
    <r>
      <t>武曲+地劫</t>
    </r>
    <r>
      <rPr>
        <sz val="11"/>
        <color theme="1"/>
        <rFont val="等线"/>
        <family val="2"/>
        <charset val="134"/>
        <scheme val="minor"/>
      </rPr>
      <t>​</t>
    </r>
  </si>
  <si>
    <r>
      <t>财窟窿</t>
    </r>
    <r>
      <rPr>
        <sz val="11"/>
        <color theme="1"/>
        <rFont val="等线"/>
        <family val="2"/>
        <charset val="134"/>
        <scheme val="minor"/>
      </rPr>
      <t>（负债）、金属断裂（骨折、刀具崩口）</t>
    </r>
  </si>
  <si>
    <r>
      <t>天同+地劫</t>
    </r>
    <r>
      <rPr>
        <sz val="11"/>
        <color theme="1"/>
        <rFont val="等线"/>
        <family val="2"/>
        <charset val="134"/>
        <scheme val="minor"/>
      </rPr>
      <t>​</t>
    </r>
  </si>
  <si>
    <t>情感空洞（失恋麻木）、信仰崩塌</t>
  </si>
  <si>
    <r>
      <t>廉贞+地劫</t>
    </r>
    <r>
      <rPr>
        <sz val="11"/>
        <color theme="1"/>
        <rFont val="等线"/>
        <family val="2"/>
        <charset val="134"/>
        <scheme val="minor"/>
      </rPr>
      <t>​</t>
    </r>
  </si>
  <si>
    <t>抓空（机会错失）、电子失灵（手机黑屏）</t>
  </si>
  <si>
    <r>
      <t>天府+地劫</t>
    </r>
    <r>
      <rPr>
        <sz val="11"/>
        <color theme="1"/>
        <rFont val="等线"/>
        <family val="2"/>
        <charset val="134"/>
        <scheme val="minor"/>
      </rPr>
      <t>​</t>
    </r>
  </si>
  <si>
    <t>仓库空虚（存款见底）、空间废弃（烂尾楼）</t>
  </si>
  <si>
    <r>
      <t>太阴+地劫</t>
    </r>
    <r>
      <rPr>
        <sz val="11"/>
        <color theme="1"/>
        <rFont val="等线"/>
        <family val="2"/>
        <charset val="134"/>
        <scheme val="minor"/>
      </rPr>
      <t>​</t>
    </r>
  </si>
  <si>
    <t>存储泄露（忘事）、女性缘薄（母缘浅）</t>
  </si>
  <si>
    <r>
      <t>贪狼+地劫</t>
    </r>
    <r>
      <rPr>
        <sz val="11"/>
        <color theme="1"/>
        <rFont val="等线"/>
        <family val="2"/>
        <charset val="134"/>
        <scheme val="minor"/>
      </rPr>
      <t>​</t>
    </r>
  </si>
  <si>
    <t>欲望成空（减肥失败）、体积缺失（器官切除）</t>
  </si>
  <si>
    <r>
      <t>巨门+地劫</t>
    </r>
    <r>
      <rPr>
        <sz val="11"/>
        <color theme="1"/>
        <rFont val="等线"/>
        <family val="2"/>
        <charset val="134"/>
        <scheme val="minor"/>
      </rPr>
      <t>​</t>
    </r>
  </si>
  <si>
    <t>口误泄密、门洞破损（如房门破洞）</t>
  </si>
  <si>
    <r>
      <t>天相+地劫</t>
    </r>
    <r>
      <rPr>
        <sz val="11"/>
        <color theme="1"/>
        <rFont val="等线"/>
        <family val="2"/>
        <charset val="134"/>
        <scheme val="minor"/>
      </rPr>
      <t>​</t>
    </r>
  </si>
  <si>
    <t>维生系统漏洞（社保断缴）、呵护缺失（亲子疏离）</t>
  </si>
  <si>
    <t>支柱倒塌（企业倒闭）、规则失效（合同作废）</t>
  </si>
  <si>
    <t>线路中断（失业）、平面破损（屏幕碎裂）</t>
  </si>
  <si>
    <t>突破失败（创业崩盘）、力量消散（体力透支）</t>
  </si>
  <si>
    <t>5. 辅星组合象义​</t>
  </si>
  <si>
    <r>
      <t>地劫+火星</t>
    </r>
    <r>
      <rPr>
        <sz val="11"/>
        <color theme="1"/>
        <rFont val="等线"/>
        <family val="2"/>
        <charset val="134"/>
        <scheme val="minor"/>
      </rPr>
      <t>​</t>
    </r>
  </si>
  <si>
    <t>突发性劫难（火灾烧毁财物）</t>
  </si>
  <si>
    <r>
      <t>地劫+铃星</t>
    </r>
    <r>
      <rPr>
        <sz val="11"/>
        <color theme="1"/>
        <rFont val="等线"/>
        <family val="2"/>
        <charset val="134"/>
        <scheme val="minor"/>
      </rPr>
      <t>​</t>
    </r>
  </si>
  <si>
    <t>慢性损耗（长期疾病耗钱）</t>
  </si>
  <si>
    <t>切割型缺失（截肢、裁员）</t>
  </si>
  <si>
    <r>
      <t>地劫+陀罗</t>
    </r>
    <r>
      <rPr>
        <sz val="11"/>
        <color theme="1"/>
        <rFont val="等线"/>
        <family val="2"/>
        <charset val="134"/>
        <scheme val="minor"/>
      </rPr>
      <t>​</t>
    </r>
  </si>
  <si>
    <t>缓慢侵蚀（蛀牙、资产缩水）</t>
  </si>
  <si>
    <r>
      <t>地劫+空亡</t>
    </r>
    <r>
      <rPr>
        <sz val="11"/>
        <color theme="1"/>
        <rFont val="等线"/>
        <family val="2"/>
        <charset val="134"/>
        <scheme val="minor"/>
      </rPr>
      <t>​</t>
    </r>
  </si>
  <si>
    <t>双重空洞（精神肉体双空虚）</t>
  </si>
  <si>
    <r>
      <t>地劫+天哭</t>
    </r>
    <r>
      <rPr>
        <sz val="11"/>
        <color theme="1"/>
        <rFont val="等线"/>
        <family val="2"/>
        <charset val="134"/>
        <scheme val="minor"/>
      </rPr>
      <t>​</t>
    </r>
  </si>
  <si>
    <t>损失引发悲伤（破财致抑郁）</t>
  </si>
  <si>
    <r>
      <t>地劫+天喜</t>
    </r>
    <r>
      <rPr>
        <sz val="11"/>
        <color theme="1"/>
        <rFont val="等线"/>
        <family val="2"/>
        <charset val="134"/>
        <scheme val="minor"/>
      </rPr>
      <t>​</t>
    </r>
  </si>
  <si>
    <t>喜事落空（婚礼取消）</t>
  </si>
  <si>
    <t>6. 特殊场景应验​</t>
  </si>
  <si>
    <r>
      <t>投资</t>
    </r>
    <r>
      <rPr>
        <sz val="11"/>
        <color theme="1"/>
        <rFont val="等线"/>
        <family val="2"/>
        <charset val="134"/>
        <scheme val="minor"/>
      </rPr>
      <t>：武曲地劫在财帛宫 → 项目资金链断裂</t>
    </r>
  </si>
  <si>
    <r>
      <t>健康</t>
    </r>
    <r>
      <rPr>
        <sz val="11"/>
        <color theme="1"/>
        <rFont val="等线"/>
        <family val="2"/>
        <charset val="134"/>
        <scheme val="minor"/>
      </rPr>
      <t>：天梁地劫在疾厄宫 → 骨质疏松易骨折</t>
    </r>
  </si>
  <si>
    <r>
      <t>感情</t>
    </r>
    <r>
      <rPr>
        <sz val="11"/>
        <color theme="1"/>
        <rFont val="等线"/>
        <family val="2"/>
        <charset val="134"/>
        <scheme val="minor"/>
      </rPr>
      <t>：天同地劫在夫妻宫 → 情感无法共鸣，关系名存实亡</t>
    </r>
  </si>
  <si>
    <r>
      <t>职业</t>
    </r>
    <r>
      <rPr>
        <sz val="11"/>
        <color theme="1"/>
        <rFont val="等线"/>
        <family val="2"/>
        <charset val="134"/>
        <scheme val="minor"/>
      </rPr>
      <t>：七杀地劫在官禄宫 → 行业突然衰退（如教培失业潮）</t>
    </r>
  </si>
  <si>
    <t>关键区别：地劫 vs 地空​</t>
  </si>
  <si>
    <t>特征​</t>
  </si>
  <si>
    <t>地劫​</t>
  </si>
  <si>
    <t>地空​</t>
  </si>
  <si>
    <r>
      <t>核心意象</t>
    </r>
    <r>
      <rPr>
        <sz val="11"/>
        <color theme="1"/>
        <rFont val="等线"/>
        <family val="2"/>
        <charset val="134"/>
        <scheme val="minor"/>
      </rPr>
      <t>​</t>
    </r>
  </si>
  <si>
    <r>
      <t>缺失窟窿</t>
    </r>
    <r>
      <rPr>
        <sz val="11"/>
        <color theme="1"/>
        <rFont val="等线"/>
        <family val="2"/>
        <charset val="134"/>
        <scheme val="minor"/>
      </rPr>
      <t>（减法）</t>
    </r>
  </si>
  <si>
    <r>
      <t>虚浮鼓胀</t>
    </r>
    <r>
      <rPr>
        <sz val="11"/>
        <color theme="1"/>
        <rFont val="等线"/>
        <family val="2"/>
        <charset val="134"/>
        <scheme val="minor"/>
      </rPr>
      <t>（加法）</t>
    </r>
  </si>
  <si>
    <r>
      <t>钱财</t>
    </r>
    <r>
      <rPr>
        <sz val="11"/>
        <color theme="1"/>
        <rFont val="等线"/>
        <family val="2"/>
        <charset val="134"/>
        <scheme val="minor"/>
      </rPr>
      <t>​</t>
    </r>
  </si>
  <si>
    <t>钱财被劫（被动损失）</t>
  </si>
  <si>
    <t>虚账泡沫（主动超支）</t>
  </si>
  <si>
    <r>
      <t>身体</t>
    </r>
    <r>
      <rPr>
        <sz val="11"/>
        <color theme="1"/>
        <rFont val="等线"/>
        <family val="2"/>
        <charset val="134"/>
        <scheme val="minor"/>
      </rPr>
      <t>​</t>
    </r>
  </si>
  <si>
    <t>器官缺损（如摘肾）</t>
  </si>
  <si>
    <t>异常增生（如肿瘤）</t>
  </si>
  <si>
    <r>
      <t>事件</t>
    </r>
    <r>
      <rPr>
        <sz val="11"/>
        <color theme="1"/>
        <rFont val="等线"/>
        <family val="2"/>
        <charset val="134"/>
        <scheme val="minor"/>
      </rPr>
      <t>​</t>
    </r>
  </si>
  <si>
    <t>机会中断（突然终止）</t>
  </si>
  <si>
    <t>计划膨胀（不切实际）</t>
  </si>
  <si>
    <t>一、火星定义​</t>
  </si>
  <si>
    <r>
      <t>属阳火</t>
    </r>
    <r>
      <rPr>
        <sz val="11"/>
        <color theme="1"/>
        <rFont val="等线"/>
        <family val="2"/>
        <charset val="134"/>
        <scheme val="minor"/>
      </rPr>
      <t>，主「光、热、急」。</t>
    </r>
  </si>
  <si>
    <r>
      <t>庙旺（巳午未申）</t>
    </r>
    <r>
      <rPr>
        <sz val="11"/>
        <color theme="1"/>
        <rFont val="等线"/>
        <family val="2"/>
        <charset val="134"/>
        <scheme val="minor"/>
      </rPr>
      <t>：温度高、光亮强、速度快（80%急骤）。</t>
    </r>
  </si>
  <si>
    <r>
      <t>落陷（子丑亥）</t>
    </r>
    <r>
      <rPr>
        <sz val="11"/>
        <color theme="1"/>
        <rFont val="等线"/>
        <family val="2"/>
        <charset val="134"/>
        <scheme val="minor"/>
      </rPr>
      <t>：温度低、光弱、速度缓。</t>
    </r>
  </si>
  <si>
    <r>
      <t>核心特质</t>
    </r>
    <r>
      <rPr>
        <sz val="11"/>
        <color theme="1"/>
        <rFont val="等线"/>
        <family val="2"/>
        <charset val="134"/>
        <scheme val="minor"/>
      </rPr>
      <t>：突发性、爆发力、光亮（与太阳并列唯二主光亮的星曜）。</t>
    </r>
  </si>
  <si>
    <t>二、火星星曜特性​</t>
  </si>
  <si>
    <t>应验​</t>
  </si>
  <si>
    <t>细节​</t>
  </si>
  <si>
    <r>
      <t>光亮</t>
    </r>
    <r>
      <rPr>
        <sz val="11"/>
        <color theme="1"/>
        <rFont val="等线"/>
        <family val="2"/>
        <charset val="134"/>
        <scheme val="minor"/>
      </rPr>
      <t>​</t>
    </r>
  </si>
  <si>
    <t>光源、曝光、显化</t>
  </si>
  <si>
    <t>庙旺：强光（探照灯）；落陷：微光（烛火）</t>
  </si>
  <si>
    <r>
      <t>热度</t>
    </r>
    <r>
      <rPr>
        <sz val="11"/>
        <color theme="1"/>
        <rFont val="等线"/>
        <family val="2"/>
        <charset val="134"/>
        <scheme val="minor"/>
      </rPr>
      <t>​</t>
    </r>
  </si>
  <si>
    <t>温度、炎症、急症</t>
  </si>
  <si>
    <t>身体：发烧、烫伤；事物：紧急任务、火爆事件</t>
  </si>
  <si>
    <r>
      <t>速度</t>
    </r>
    <r>
      <rPr>
        <sz val="11"/>
        <color theme="1"/>
        <rFont val="等线"/>
        <family val="2"/>
        <charset val="134"/>
        <scheme val="minor"/>
      </rPr>
      <t>​</t>
    </r>
  </si>
  <si>
    <t>突发、加速、急躁</t>
  </si>
  <si>
    <t>庙旺：秒速响应；落陷：拖延但终爆发</t>
  </si>
  <si>
    <r>
      <t>破坏性</t>
    </r>
    <r>
      <rPr>
        <sz val="11"/>
        <color theme="1"/>
        <rFont val="等线"/>
        <family val="2"/>
        <charset val="134"/>
        <scheme val="minor"/>
      </rPr>
      <t>​</t>
    </r>
  </si>
  <si>
    <t>冲突、切割、爆炸</t>
  </si>
  <si>
    <t>+擎羊：暴力切割；+地劫：瞬间崩塌</t>
  </si>
  <si>
    <r>
      <t>正向应用</t>
    </r>
    <r>
      <rPr>
        <sz val="11"/>
        <color theme="1"/>
        <rFont val="等线"/>
        <family val="2"/>
        <charset val="134"/>
        <scheme val="minor"/>
      </rPr>
      <t>​</t>
    </r>
  </si>
  <si>
    <t>灵感迸发、快速突破</t>
  </si>
  <si>
    <t>火星化禄（借丙干）：急中生智；+天才：突发奇想</t>
  </si>
  <si>
    <t>应验事件​</t>
  </si>
  <si>
    <t>典型组合​</t>
  </si>
  <si>
    <t>性格急躁，行动力强</t>
  </si>
  <si>
    <t>火星庙旺：创业先锋；落陷：冲动误事</t>
  </si>
  <si>
    <t>快财快失，投资高风险</t>
  </si>
  <si>
    <t>+武曲：炒股暴富；+地劫：瞬间破产</t>
  </si>
  <si>
    <t>急性病、炎症、外伤</t>
  </si>
  <si>
    <t>火星陷+天刑：慢性炎症突发恶化</t>
  </si>
  <si>
    <t>外出遇突发状况</t>
  </si>
  <si>
    <t>火星庙：紧急出差；+天虚：航班取消</t>
  </si>
  <si>
    <t>高压工作、紧急项目</t>
  </si>
  <si>
    <t>+七杀：突击抢险；+陀罗：反复加班</t>
  </si>
  <si>
    <t>家中火灾隐患、电器故障</t>
  </si>
  <si>
    <t>+廉贞：电路短路；+阴煞：煤气泄漏</t>
  </si>
  <si>
    <t>联动效应​</t>
  </si>
  <si>
    <t>太阳火星</t>
  </si>
  <si>
    <t>光热叠加，公开爆发事件</t>
  </si>
  <si>
    <t>丑宫：网络舆情爆炸；午宫：明星绯闻</t>
  </si>
  <si>
    <t>武曲火星</t>
  </si>
  <si>
    <t>硬碰硬冲突</t>
  </si>
  <si>
    <t>武曲忌+火星：金融风暴；+擎羊：械斗</t>
  </si>
  <si>
    <t>天机火星</t>
  </si>
  <si>
    <t>信息急速传播</t>
  </si>
  <si>
    <t>+文昌：热搜头条；+阴煞：谣言扩散</t>
  </si>
  <si>
    <t>廉贞火星</t>
  </si>
  <si>
    <t>电子系统故障/血光</t>
  </si>
  <si>
    <t>廉贞陷：手机爆炸；庙旺：急性出血</t>
  </si>
  <si>
    <t>天同火星</t>
  </si>
  <si>
    <t>快乐转愤怒</t>
  </si>
  <si>
    <t>天同禄+火星：喜极而泣转暴怒</t>
  </si>
  <si>
    <t>巨门火星</t>
  </si>
  <si>
    <t>激烈争吵</t>
  </si>
  <si>
    <t>+擎羊：法庭辩论；+铃星：电话骂战</t>
  </si>
  <si>
    <r>
      <t>火星+天刑</t>
    </r>
    <r>
      <rPr>
        <sz val="11"/>
        <color theme="1"/>
        <rFont val="等线"/>
        <family val="2"/>
        <charset val="134"/>
        <scheme val="minor"/>
      </rPr>
      <t>​</t>
    </r>
  </si>
  <si>
    <t>快速执法/暴力管制</t>
  </si>
  <si>
    <t>官禄宫：紧急封控；交友宫：警察突袭</t>
  </si>
  <si>
    <r>
      <t>火星+铃星</t>
    </r>
    <r>
      <rPr>
        <sz val="11"/>
        <color theme="1"/>
        <rFont val="等线"/>
        <family val="2"/>
        <charset val="134"/>
        <scheme val="minor"/>
      </rPr>
      <t>​</t>
    </r>
  </si>
  <si>
    <t>急上加烦</t>
  </si>
  <si>
    <t>疾厄宫：高烧谵妄；夫妻宫：闪离纠纷</t>
  </si>
  <si>
    <r>
      <t>火星+地空</t>
    </r>
    <r>
      <rPr>
        <sz val="11"/>
        <color theme="1"/>
        <rFont val="等线"/>
        <family val="2"/>
        <charset val="134"/>
        <scheme val="minor"/>
      </rPr>
      <t>​</t>
    </r>
  </si>
  <si>
    <t>虚假火爆</t>
  </si>
  <si>
    <t>财帛宫：泡沫经济；迁移宫：虚惊一场</t>
  </si>
  <si>
    <t>物理伤害</t>
  </si>
  <si>
    <t>巳午宫：火灾；寅申宫：车祸切割伤</t>
  </si>
  <si>
    <r>
      <t>火星+阴煞</t>
    </r>
    <r>
      <rPr>
        <sz val="11"/>
        <color theme="1"/>
        <rFont val="等线"/>
        <family val="2"/>
        <charset val="134"/>
        <scheme val="minor"/>
      </rPr>
      <t>​</t>
    </r>
  </si>
  <si>
    <t>不明热源/灵异火象</t>
  </si>
  <si>
    <t>田宅宫：电器自燃；福德宫：鬼火幻觉</t>
  </si>
  <si>
    <r>
      <t>2. 时空属性</t>
    </r>
    <r>
      <rPr>
        <sz val="11"/>
        <color theme="1"/>
        <rFont val="等线"/>
        <family val="2"/>
        <charset val="134"/>
        <scheme val="minor"/>
      </rPr>
      <t>：</t>
    </r>
  </si>
  <si>
    <r>
      <t>春季（寅卯辰）</t>
    </r>
    <r>
      <rPr>
        <sz val="11"/>
        <color theme="1"/>
        <rFont val="等线"/>
        <family val="2"/>
        <charset val="134"/>
        <scheme val="minor"/>
      </rPr>
      <t>：火星力弱，多虚惊</t>
    </r>
  </si>
  <si>
    <r>
      <t>夏季（巳午未）</t>
    </r>
    <r>
      <rPr>
        <sz val="11"/>
        <color theme="1"/>
        <rFont val="等线"/>
        <family val="2"/>
        <charset val="134"/>
        <scheme val="minor"/>
      </rPr>
      <t>：破坏力峰值，慎防火灾</t>
    </r>
  </si>
  <si>
    <r>
      <t>3. 疾病应验</t>
    </r>
    <r>
      <rPr>
        <sz val="11"/>
        <color theme="1"/>
        <rFont val="等线"/>
        <family val="2"/>
        <charset val="134"/>
        <scheme val="minor"/>
      </rPr>
      <t>：</t>
    </r>
  </si>
  <si>
    <r>
      <t>1. 四化联动</t>
    </r>
    <r>
      <rPr>
        <sz val="11"/>
        <color theme="1"/>
        <rFont val="等线"/>
        <family val="2"/>
        <charset val="134"/>
        <scheme val="minor"/>
      </rPr>
      <t>：火星不直接参与四化，但受</t>
    </r>
    <r>
      <rPr>
        <sz val="11"/>
        <color rgb="FFFF0000"/>
        <rFont val="等线"/>
        <family val="3"/>
        <charset val="134"/>
        <scheme val="minor"/>
      </rPr>
      <t>丙干（天同化禄）激发时，急中生智；遇壬干（武曲化忌）时，暴力破财。</t>
    </r>
    <phoneticPr fontId="2" type="noConversion"/>
  </si>
  <si>
    <t>火星在疾厄宫+天哭：急性传染病</t>
    <phoneticPr fontId="2" type="noConversion"/>
  </si>
  <si>
    <t>火星在父母宫+病符：突发脑溢血</t>
    <phoneticPr fontId="2" type="noConversion"/>
  </si>
  <si>
    <t>一、铃星定义​</t>
  </si>
  <si>
    <t>属火</t>
  </si>
  <si>
    <t>烦恼、噪音、振动、高频波动</t>
  </si>
  <si>
    <t>任何令人不悦的声音或精神困扰（如噪音、焦虑、琐碎烦恼）</t>
  </si>
  <si>
    <r>
      <t>特殊性质</t>
    </r>
    <r>
      <rPr>
        <sz val="11"/>
        <color theme="1"/>
        <rFont val="等线"/>
        <family val="2"/>
        <charset val="134"/>
        <scheme val="minor"/>
      </rPr>
      <t>​</t>
    </r>
  </si>
  <si>
    <t>无庙陷差异（十二宫位均亮），吉凶取决于组合与触发事件</t>
  </si>
  <si>
    <r>
      <t>正向应卦</t>
    </r>
    <r>
      <rPr>
        <sz val="11"/>
        <color theme="1"/>
        <rFont val="等线"/>
        <family val="2"/>
        <charset val="134"/>
        <scheme val="minor"/>
      </rPr>
      <t>​</t>
    </r>
  </si>
  <si>
    <t>解决他人烦恼的职业（心理咨询师、医生）</t>
  </si>
  <si>
    <r>
      <t>声音表征</t>
    </r>
    <r>
      <rPr>
        <sz val="11"/>
        <color theme="1"/>
        <rFont val="等线"/>
        <family val="2"/>
        <charset val="134"/>
        <scheme val="minor"/>
      </rPr>
      <t>​</t>
    </r>
  </si>
  <si>
    <t>噪音（装修声、闹铃、电器杂音）、不悦音波</t>
  </si>
  <si>
    <r>
      <t>情绪表征</t>
    </r>
    <r>
      <rPr>
        <sz val="11"/>
        <color theme="1"/>
        <rFont val="等线"/>
        <family val="2"/>
        <charset val="134"/>
        <scheme val="minor"/>
      </rPr>
      <t>​</t>
    </r>
  </si>
  <si>
    <t>焦虑、慢性烦恼、钻牛角尖</t>
  </si>
  <si>
    <r>
      <t>身体关联</t>
    </r>
    <r>
      <rPr>
        <sz val="11"/>
        <color theme="1"/>
        <rFont val="等线"/>
        <family val="2"/>
        <charset val="134"/>
        <scheme val="minor"/>
      </rPr>
      <t>​</t>
    </r>
  </si>
  <si>
    <t>耐受性疼痛（关节痛、牙疼）、慢性炎症</t>
  </si>
  <si>
    <r>
      <t>事件触发</t>
    </r>
    <r>
      <rPr>
        <sz val="11"/>
        <color theme="1"/>
        <rFont val="等线"/>
        <family val="2"/>
        <charset val="134"/>
        <scheme val="minor"/>
      </rPr>
      <t>​</t>
    </r>
  </si>
  <si>
    <t>琐事纠缠（流程繁琐、多部门协调）</t>
  </si>
  <si>
    <t>性格焦虑易烦，庙旺+吉星可转化烦恼为职业优势</t>
  </si>
  <si>
    <t>慢性疼痛（关节炎、牙周炎）</t>
  </si>
  <si>
    <t>财务纠纷（债务催收、投资焦虑）</t>
  </si>
  <si>
    <t>外出遇阻滞（航班延误、签证麻烦）</t>
  </si>
  <si>
    <t>感情摩擦（冷战、争吵）</t>
  </si>
  <si>
    <t>三、主星组合象义​</t>
  </si>
  <si>
    <t>1. 十四主星叠加​</t>
  </si>
  <si>
    <r>
      <t>紫微+铃星</t>
    </r>
    <r>
      <rPr>
        <sz val="11"/>
        <color theme="1"/>
        <rFont val="等线"/>
        <family val="2"/>
        <charset val="134"/>
        <scheme val="minor"/>
      </rPr>
      <t>​</t>
    </r>
  </si>
  <si>
    <t>权威性烦恼（政策争议、高层决策压力）</t>
  </si>
  <si>
    <t>企业CEO面临股东问责</t>
  </si>
  <si>
    <r>
      <t>天机+铃星</t>
    </r>
    <r>
      <rPr>
        <sz val="11"/>
        <color theme="1"/>
        <rFont val="等线"/>
        <family val="2"/>
        <charset val="134"/>
        <scheme val="minor"/>
      </rPr>
      <t>​</t>
    </r>
  </si>
  <si>
    <t>动态烦恼（交通噪音、机械故障异响）</t>
  </si>
  <si>
    <t>车辆行驶中异响；工作计划反复延期</t>
  </si>
  <si>
    <t>公开性烦恼（舆论压力、曝光丑闻）</t>
  </si>
  <si>
    <t>明星遭遇网络暴力；政策引发群体抗议</t>
  </si>
  <si>
    <r>
      <t>武曲+铃星</t>
    </r>
    <r>
      <rPr>
        <sz val="11"/>
        <color theme="1"/>
        <rFont val="等线"/>
        <family val="2"/>
        <charset val="134"/>
        <scheme val="minor"/>
      </rPr>
      <t>​</t>
    </r>
  </si>
  <si>
    <t>财务/骨骼烦恼（债务纠纷、骨痛）</t>
  </si>
  <si>
    <t>高利贷催债；骨质疏松症疼痛</t>
  </si>
  <si>
    <r>
      <t>天同+铃星</t>
    </r>
    <r>
      <rPr>
        <sz val="11"/>
        <color theme="1"/>
        <rFont val="等线"/>
        <family val="2"/>
        <charset val="134"/>
        <scheme val="minor"/>
      </rPr>
      <t>​</t>
    </r>
  </si>
  <si>
    <t>情感烦恼（多愁善感、恋爱纠结）</t>
  </si>
  <si>
    <t>失恋抑郁；养育子女的琐碎压力</t>
  </si>
  <si>
    <r>
      <t>廉贞+铃星</t>
    </r>
    <r>
      <rPr>
        <sz val="11"/>
        <color theme="1"/>
        <rFont val="等线"/>
        <family val="2"/>
        <charset val="134"/>
        <scheme val="minor"/>
      </rPr>
      <t>​</t>
    </r>
  </si>
  <si>
    <t>电子烦恼（设备干扰、精密仪器故障）</t>
  </si>
  <si>
    <t>手机信号干扰；服务器宕机</t>
  </si>
  <si>
    <r>
      <t>天府+铃星</t>
    </r>
    <r>
      <rPr>
        <sz val="11"/>
        <color theme="1"/>
        <rFont val="等线"/>
        <family val="2"/>
        <charset val="134"/>
        <scheme val="minor"/>
      </rPr>
      <t>​</t>
    </r>
  </si>
  <si>
    <t>空间噪音（房屋隔音差、仓库机械声）</t>
  </si>
  <si>
    <t>住宅临近工地；仓库通风机轰鸣</t>
  </si>
  <si>
    <r>
      <t>太阴+铃星</t>
    </r>
    <r>
      <rPr>
        <sz val="11"/>
        <color theme="1"/>
        <rFont val="等线"/>
        <family val="2"/>
        <charset val="134"/>
        <scheme val="minor"/>
      </rPr>
      <t>​</t>
    </r>
  </si>
  <si>
    <t>存储烦恼（储蓄流失、女性关系困扰）</t>
  </si>
  <si>
    <t>存款被盗刷；婆媳矛盾</t>
  </si>
  <si>
    <r>
      <t>贪狼+铃星</t>
    </r>
    <r>
      <rPr>
        <sz val="11"/>
        <color theme="1"/>
        <rFont val="等线"/>
        <family val="2"/>
        <charset val="134"/>
        <scheme val="minor"/>
      </rPr>
      <t>​</t>
    </r>
  </si>
  <si>
    <t>欲望烦恼（减肥失败、投资贪念落空）</t>
  </si>
  <si>
    <t>暴饮暴食后自责；赌博成瘾负债</t>
  </si>
  <si>
    <r>
      <t>巨门+铃星</t>
    </r>
    <r>
      <rPr>
        <sz val="11"/>
        <color theme="1"/>
        <rFont val="等线"/>
        <family val="2"/>
        <charset val="134"/>
        <scheme val="minor"/>
      </rPr>
      <t>​</t>
    </r>
  </si>
  <si>
    <t>口舌烦恼（沟通障碍、谣言中伤）</t>
  </si>
  <si>
    <t>职场语言暴力；名誉诽谤诉讼</t>
  </si>
  <si>
    <r>
      <t>天相+铃星</t>
    </r>
    <r>
      <rPr>
        <sz val="11"/>
        <color theme="1"/>
        <rFont val="等线"/>
        <family val="2"/>
        <charset val="134"/>
        <scheme val="minor"/>
      </rPr>
      <t>​</t>
    </r>
  </si>
  <si>
    <t>生活烦恼（衣食质量问题、服务纠纷）</t>
  </si>
  <si>
    <t>食物变质投诉；物业维修拖延</t>
  </si>
  <si>
    <t>规则烦恼（法律纠纷、医疗系统低效）</t>
  </si>
  <si>
    <t>医保报销纠纷；ICU抢救流程拖延</t>
  </si>
  <si>
    <t>线性烦恼（电路干扰、职业风险）</t>
  </si>
  <si>
    <t>电线短路火花；高危行业心理压力</t>
  </si>
  <si>
    <r>
      <t>破军+铃星</t>
    </r>
    <r>
      <rPr>
        <sz val="11"/>
        <color theme="1"/>
        <rFont val="等线"/>
        <family val="2"/>
        <charset val="134"/>
        <scheme val="minor"/>
      </rPr>
      <t>​</t>
    </r>
  </si>
  <si>
    <t>破坏性噪音（施工噪音、暴力冲突）</t>
  </si>
  <si>
    <t>邻居装修扰民；拆迁纠纷</t>
  </si>
  <si>
    <r>
      <t>铃星+火星</t>
    </r>
    <r>
      <rPr>
        <sz val="11"/>
        <color theme="1"/>
        <rFont val="等线"/>
        <family val="2"/>
        <charset val="134"/>
        <scheme val="minor"/>
      </rPr>
      <t>​</t>
    </r>
  </si>
  <si>
    <t>急躁烦恼（突发性纠纷、爆炸噪音）</t>
  </si>
  <si>
    <t>争吵升级为斗殴；电路起火爆鸣</t>
  </si>
  <si>
    <r>
      <t>铃星+擎羊</t>
    </r>
    <r>
      <rPr>
        <sz val="11"/>
        <color theme="1"/>
        <rFont val="等线"/>
        <family val="2"/>
        <charset val="134"/>
        <scheme val="minor"/>
      </rPr>
      <t>​</t>
    </r>
  </si>
  <si>
    <t>切割型烦恼（手术疼痛、裁员冲突）</t>
  </si>
  <si>
    <t>术后伤口阵痛；暴力裁员抗议</t>
  </si>
  <si>
    <r>
      <t>铃星+陀罗</t>
    </r>
    <r>
      <rPr>
        <sz val="11"/>
        <color theme="1"/>
        <rFont val="等线"/>
        <family val="2"/>
        <charset val="134"/>
        <scheme val="minor"/>
      </rPr>
      <t>​</t>
    </r>
  </si>
  <si>
    <t>循环烦恼（关节旧伤复发、债务滚雪球）</t>
  </si>
  <si>
    <t>膝关节炎阴雨天发作；高利贷复利累积</t>
  </si>
  <si>
    <r>
      <t>铃星+地空</t>
    </r>
    <r>
      <rPr>
        <sz val="11"/>
        <color theme="1"/>
        <rFont val="等线"/>
        <family val="2"/>
        <charset val="134"/>
        <scheme val="minor"/>
      </rPr>
      <t>​</t>
    </r>
  </si>
  <si>
    <t>虚妄烦恼（投资泡沫焦虑、妄想症）</t>
  </si>
  <si>
    <t>炒股患得患失；被迫害妄想</t>
  </si>
  <si>
    <r>
      <t>铃星+天喜</t>
    </r>
    <r>
      <rPr>
        <sz val="11"/>
        <color theme="1"/>
        <rFont val="等线"/>
        <family val="2"/>
        <charset val="134"/>
        <scheme val="minor"/>
      </rPr>
      <t>​</t>
    </r>
  </si>
  <si>
    <t>悲喜交织（育儿辛苦与快乐并存）</t>
  </si>
  <si>
    <t>养娃累并幸福；宠物拆家又治愈</t>
  </si>
  <si>
    <r>
      <t>铃星+解神</t>
    </r>
    <r>
      <rPr>
        <sz val="11"/>
        <color theme="1"/>
        <rFont val="等线"/>
        <family val="2"/>
        <charset val="134"/>
        <scheme val="minor"/>
      </rPr>
      <t>​</t>
    </r>
  </si>
  <si>
    <t>解除烦恼（债务重组成功、心理疏导见效）</t>
  </si>
  <si>
    <t>破产后债务和解；心理咨询缓解焦虑</t>
  </si>
  <si>
    <r>
      <t>铃星+文昌</t>
    </r>
    <r>
      <rPr>
        <sz val="11"/>
        <color theme="1"/>
        <rFont val="等线"/>
        <family val="2"/>
        <charset val="134"/>
        <scheme val="minor"/>
      </rPr>
      <t>​</t>
    </r>
  </si>
  <si>
    <t>学术烦恼（论文反复修改、考试压力）</t>
  </si>
  <si>
    <t>毕业论文答辩焦虑；职业资格考试挫败</t>
  </si>
  <si>
    <t>增强烦恼</t>
  </si>
  <si>
    <t>太阳化禄+铃星：舆论压力倍增</t>
  </si>
  <si>
    <t>终止烦恼</t>
  </si>
  <si>
    <t>天同化忌+铃星：情感纠结结束</t>
  </si>
  <si>
    <t>武曲化忌+铃星：财务纠纷彻底化解</t>
  </si>
  <si>
    <r>
      <t>1. 水位状态冲突</t>
    </r>
    <r>
      <rPr>
        <sz val="11"/>
        <color theme="1"/>
        <rFont val="等线"/>
        <family val="2"/>
        <charset val="134"/>
        <scheme val="minor"/>
      </rPr>
      <t>：</t>
    </r>
  </si>
  <si>
    <t>文档2称水位（亥子）铃星落陷，文档25定义全宫位无庙陷</t>
  </si>
  <si>
    <t>→ 采用“全宫位无庙陷”为主，但标注矛盾来源</t>
  </si>
  <si>
    <r>
      <t>2. 女命吉凶争议</t>
    </r>
    <r>
      <rPr>
        <sz val="11"/>
        <color theme="1"/>
        <rFont val="等线"/>
        <family val="2"/>
        <charset val="134"/>
        <scheme val="minor"/>
      </rPr>
      <t>：</t>
    </r>
  </si>
  <si>
    <t>文档20称女命铃星“性刚克夫”，文档32主张“无固有吉凶”</t>
  </si>
  <si>
    <t>→ 并存：需结合具体组合（如+贪狼可主财丰）</t>
  </si>
  <si>
    <t>七、关键逻辑​</t>
  </si>
  <si>
    <r>
      <t>烦恼的双重性</t>
    </r>
    <r>
      <rPr>
        <sz val="11"/>
        <color theme="1"/>
        <rFont val="等线"/>
        <family val="2"/>
        <charset val="134"/>
        <scheme val="minor"/>
      </rPr>
      <t>：</t>
    </r>
  </si>
  <si>
    <r>
      <t>声音与精神的统一</t>
    </r>
    <r>
      <rPr>
        <sz val="11"/>
        <color theme="1"/>
        <rFont val="等线"/>
        <family val="2"/>
        <charset val="134"/>
        <scheme val="minor"/>
      </rPr>
      <t>：</t>
    </r>
  </si>
  <si>
    <t>物理噪音（如装修声）与心理焦虑（如工作压力）均属铃星范畴</t>
  </si>
  <si>
    <r>
      <t>煞星组合（火星、擎羊）</t>
    </r>
    <r>
      <rPr>
        <sz val="11"/>
        <color rgb="FFFF0000"/>
        <rFont val="等线"/>
        <family val="3"/>
        <charset val="134"/>
        <scheme val="minor"/>
      </rPr>
      <t>强化负面效应</t>
    </r>
    <phoneticPr fontId="2" type="noConversion"/>
  </si>
  <si>
    <r>
      <t>吉星组合（解神、天喜）</t>
    </r>
    <r>
      <rPr>
        <sz val="11"/>
        <color rgb="FFFF0000"/>
        <rFont val="等线"/>
        <family val="3"/>
        <charset val="134"/>
        <scheme val="minor"/>
      </rPr>
      <t>可转化烦恼为动力</t>
    </r>
    <phoneticPr fontId="2" type="noConversion"/>
  </si>
  <si>
    <t>约束、管理、法律、伤害（区别于擎羊的无控切割）</t>
  </si>
  <si>
    <t>具控制性质（如司法制裁、手术规范）</t>
  </si>
  <si>
    <r>
      <t>矛盾说明</t>
    </r>
    <r>
      <rPr>
        <sz val="11"/>
        <color theme="1"/>
        <rFont val="等线"/>
        <family val="2"/>
        <charset val="134"/>
        <scheme val="minor"/>
      </rPr>
      <t>​</t>
    </r>
  </si>
  <si>
    <t>文档9称天刑属“增加卦色彩”的次要星；文档12强调小星可具决定性力量 → 并存矛盾</t>
  </si>
  <si>
    <r>
      <t>管理性</t>
    </r>
    <r>
      <rPr>
        <sz val="11"/>
        <color theme="1"/>
        <rFont val="等线"/>
        <family val="2"/>
        <charset val="134"/>
        <scheme val="minor"/>
      </rPr>
      <t>​</t>
    </r>
  </si>
  <si>
    <t>规则执行（法律审判、职场考核）</t>
  </si>
  <si>
    <r>
      <t>约束性</t>
    </r>
    <r>
      <rPr>
        <sz val="11"/>
        <color theme="1"/>
        <rFont val="等线"/>
        <family val="2"/>
        <charset val="134"/>
        <scheme val="minor"/>
      </rPr>
      <t>​</t>
    </r>
  </si>
  <si>
    <t>行为限制（监狱囚禁、减肥自律）</t>
  </si>
  <si>
    <t>可控伤害（外科手术、纪律惩戒）</t>
  </si>
  <si>
    <t>身体约束（术后固定、慢性病管理）</t>
  </si>
  <si>
    <t>自律性强（严守规则） / 过度自我约束（压抑）</t>
  </si>
  <si>
    <t>职权管理（HR考核、司法工作）</t>
  </si>
  <si>
    <t>医疗干预（手术、康复训练）</t>
  </si>
  <si>
    <t>关系约束（婚姻协议、情感管制）</t>
  </si>
  <si>
    <t>长辈管教（家规、师长期望）</t>
  </si>
  <si>
    <r>
      <t>天刑+廉贞</t>
    </r>
    <r>
      <rPr>
        <sz val="11"/>
        <color theme="1"/>
        <rFont val="等线"/>
        <family val="2"/>
        <charset val="134"/>
        <scheme val="minor"/>
      </rPr>
      <t>​</t>
    </r>
  </si>
  <si>
    <t>精密控制（电子囚禁、程序监管）</t>
  </si>
  <si>
    <t>监控系统权限管理</t>
  </si>
  <si>
    <r>
      <t>天刑+武曲</t>
    </r>
    <r>
      <rPr>
        <sz val="11"/>
        <color theme="1"/>
        <rFont val="等线"/>
        <family val="2"/>
        <charset val="134"/>
        <scheme val="minor"/>
      </rPr>
      <t>​</t>
    </r>
  </si>
  <si>
    <t>刚性管理（军事纪律、财务审计）</t>
  </si>
  <si>
    <t>军队操练 / 税务稽查</t>
  </si>
  <si>
    <r>
      <t>天刑+太阳</t>
    </r>
    <r>
      <rPr>
        <sz val="11"/>
        <color theme="1"/>
        <rFont val="等线"/>
        <family val="2"/>
        <charset val="134"/>
        <scheme val="minor"/>
      </rPr>
      <t>​</t>
    </r>
  </si>
  <si>
    <t>公开制裁（舆论审判、行政处罚）</t>
  </si>
  <si>
    <t>明星偷税漏税曝光</t>
  </si>
  <si>
    <r>
      <t>天刑+天同</t>
    </r>
    <r>
      <rPr>
        <sz val="11"/>
        <color theme="1"/>
        <rFont val="等线"/>
        <family val="2"/>
        <charset val="134"/>
        <scheme val="minor"/>
      </rPr>
      <t>​</t>
    </r>
  </si>
  <si>
    <t>情感约束（戒瘾治疗、心理干预）</t>
  </si>
  <si>
    <t>强制戒毒 / 心理咨询协议</t>
  </si>
  <si>
    <r>
      <t>天刑+铃星</t>
    </r>
    <r>
      <rPr>
        <sz val="11"/>
        <color theme="1"/>
        <rFont val="等线"/>
        <family val="2"/>
        <charset val="134"/>
        <scheme val="minor"/>
      </rPr>
      <t>​</t>
    </r>
  </si>
  <si>
    <t>管理烦恼（职场纠纷、医患矛盾）</t>
  </si>
  <si>
    <t>员工投诉主管 / 术后康复纠纷</t>
  </si>
  <si>
    <r>
      <t>天刑+地劫</t>
    </r>
    <r>
      <rPr>
        <sz val="11"/>
        <color theme="1"/>
        <rFont val="等线"/>
        <family val="2"/>
        <charset val="134"/>
        <scheme val="minor"/>
      </rPr>
      <t>​</t>
    </r>
  </si>
  <si>
    <t>约束失效（法律漏洞、监管盲区）</t>
  </si>
  <si>
    <t>合同欺诈逃责 / 医疗事故责任不清</t>
  </si>
  <si>
    <r>
      <t>天刑+擎羊</t>
    </r>
    <r>
      <rPr>
        <sz val="11"/>
        <color theme="1"/>
        <rFont val="等线"/>
        <family val="2"/>
        <charset val="134"/>
        <scheme val="minor"/>
      </rPr>
      <t>​</t>
    </r>
  </si>
  <si>
    <t>暴力管控（刑讯逼供、过度执法）</t>
  </si>
  <si>
    <t>警察暴力执法 / 体罚学生</t>
  </si>
  <si>
    <r>
      <t>天刑+文昌</t>
    </r>
    <r>
      <rPr>
        <sz val="11"/>
        <color theme="1"/>
        <rFont val="等线"/>
        <family val="2"/>
        <charset val="134"/>
        <scheme val="minor"/>
      </rPr>
      <t>​</t>
    </r>
  </si>
  <si>
    <t>文书管制（合同条款、法律条文）</t>
  </si>
  <si>
    <t>竞业协议约束 / 知识产权诉讼</t>
  </si>
  <si>
    <r>
      <t>无直接四化</t>
    </r>
    <r>
      <rPr>
        <sz val="11"/>
        <color theme="1"/>
        <rFont val="等线"/>
        <family val="2"/>
        <charset val="134"/>
        <scheme val="minor"/>
      </rPr>
      <t>：需借他星触发</t>
    </r>
  </si>
  <si>
    <r>
      <t>化权（借紫微）</t>
    </r>
    <r>
      <rPr>
        <sz val="11"/>
        <color theme="1"/>
        <rFont val="等线"/>
        <family val="2"/>
        <charset val="134"/>
        <scheme val="minor"/>
      </rPr>
      <t>：强化管控（如政策收紧）</t>
    </r>
  </si>
  <si>
    <r>
      <t>化忌（借巨门）</t>
    </r>
    <r>
      <rPr>
        <sz val="11"/>
        <color theme="1"/>
        <rFont val="等线"/>
        <family val="2"/>
        <charset val="134"/>
        <scheme val="minor"/>
      </rPr>
      <t>：约束失控（如法律失效） |</t>
    </r>
  </si>
  <si>
    <r>
      <t>1. “可控性”核心</t>
    </r>
    <r>
      <rPr>
        <sz val="11"/>
        <color theme="1"/>
        <rFont val="等线"/>
        <family val="2"/>
        <charset val="134"/>
        <scheme val="minor"/>
      </rPr>
      <t>：</t>
    </r>
  </si>
  <si>
    <t>与擎羊的切割差异：天刑的伤害需符合规则（如合法手术）。</t>
  </si>
  <si>
    <r>
      <t>2. 行业关联</t>
    </r>
    <r>
      <rPr>
        <sz val="11"/>
        <color theme="1"/>
        <rFont val="等线"/>
        <family val="2"/>
        <charset val="134"/>
        <scheme val="minor"/>
      </rPr>
      <t>：</t>
    </r>
  </si>
  <si>
    <t>司法、医疗、教育等需规范操作的领域。</t>
  </si>
  <si>
    <t>一、天寿定义​</t>
  </si>
  <si>
    <t>寿元、因果、时间范围（广义）；狭义指寿命长短</t>
  </si>
  <si>
    <t>象征生命周期的起点与终点（源起源灭）</t>
  </si>
  <si>
    <t>无庙陷差异（全宫位能量恒定）</t>
  </si>
  <si>
    <r>
      <t>寿元表征</t>
    </r>
    <r>
      <rPr>
        <sz val="11"/>
        <color theme="1"/>
        <rFont val="等线"/>
        <family val="2"/>
        <charset val="134"/>
        <scheme val="minor"/>
      </rPr>
      <t>​</t>
    </r>
  </si>
  <si>
    <t>寿命长短、生命周期（如老年期、慢性病进程）</t>
  </si>
  <si>
    <r>
      <t>因果关联</t>
    </r>
    <r>
      <rPr>
        <sz val="11"/>
        <color theme="1"/>
        <rFont val="等线"/>
        <family val="2"/>
        <charset val="134"/>
        <scheme val="minor"/>
      </rPr>
      <t>​</t>
    </r>
  </si>
  <si>
    <t>前世业力延续（如先天疾病）、家族遗传</t>
  </si>
  <si>
    <r>
      <t>时间维度</t>
    </r>
    <r>
      <rPr>
        <sz val="11"/>
        <color theme="1"/>
        <rFont val="等线"/>
        <family val="2"/>
        <charset val="134"/>
        <scheme val="minor"/>
      </rPr>
      <t>​</t>
    </r>
  </si>
  <si>
    <t>长期性事件（如十年规划）、历史周期</t>
  </si>
  <si>
    <r>
      <t>灵性延伸</t>
    </r>
    <r>
      <rPr>
        <sz val="11"/>
        <color theme="1"/>
        <rFont val="等线"/>
        <family val="2"/>
        <charset val="134"/>
        <scheme val="minor"/>
      </rPr>
      <t>​</t>
    </r>
  </si>
  <si>
    <t>+阴煞 → 灵体生命（如祖先灵魂、轮回因果）</t>
  </si>
  <si>
    <r>
      <t>天寿+七杀</t>
    </r>
    <r>
      <rPr>
        <sz val="11"/>
        <color theme="1"/>
        <rFont val="等线"/>
        <family val="2"/>
        <charset val="134"/>
        <scheme val="minor"/>
      </rPr>
      <t>​</t>
    </r>
  </si>
  <si>
    <t>线性寿命（稳定生命周期）</t>
  </si>
  <si>
    <t>慢性病长期生存（如糖尿病带病延年）</t>
  </si>
  <si>
    <r>
      <t>天寿+破军</t>
    </r>
    <r>
      <rPr>
        <sz val="11"/>
        <color theme="1"/>
        <rFont val="等线"/>
        <family val="2"/>
        <charset val="134"/>
        <scheme val="minor"/>
      </rPr>
      <t>​</t>
    </r>
  </si>
  <si>
    <t>突破性寿命（医疗技术延寿）</t>
  </si>
  <si>
    <t>心脏搭桥术后存活超20年</t>
  </si>
  <si>
    <r>
      <t>天寿+天梁</t>
    </r>
    <r>
      <rPr>
        <sz val="11"/>
        <color theme="1"/>
        <rFont val="等线"/>
        <family val="2"/>
        <charset val="134"/>
        <scheme val="minor"/>
      </rPr>
      <t>​</t>
    </r>
  </si>
  <si>
    <t>支柱性寿命（依赖外部支持）</t>
  </si>
  <si>
    <t>靠呼吸机维持生命</t>
  </si>
  <si>
    <r>
      <t>天寿+阴煞</t>
    </r>
    <r>
      <rPr>
        <sz val="11"/>
        <color theme="1"/>
        <rFont val="等线"/>
        <family val="2"/>
        <charset val="134"/>
        <scheme val="minor"/>
      </rPr>
      <t>​</t>
    </r>
  </si>
  <si>
    <t>灵体寿元（祖先庇佑/业债索命）</t>
  </si>
  <si>
    <t>家族短寿诅咒；祠堂香火续命</t>
  </si>
  <si>
    <r>
      <t>天寿+陀罗</t>
    </r>
    <r>
      <rPr>
        <sz val="11"/>
        <color theme="1"/>
        <rFont val="等线"/>
        <family val="2"/>
        <charset val="134"/>
        <scheme val="minor"/>
      </rPr>
      <t>​</t>
    </r>
  </si>
  <si>
    <t>拖延性寿命（苟延残喘）</t>
  </si>
  <si>
    <t>植物人状态维持</t>
  </si>
  <si>
    <r>
      <t>天寿+火星</t>
    </r>
    <r>
      <rPr>
        <sz val="11"/>
        <color theme="1"/>
        <rFont val="等线"/>
        <family val="2"/>
        <charset val="134"/>
        <scheme val="minor"/>
      </rPr>
      <t>​</t>
    </r>
  </si>
  <si>
    <t>突发性终结（猝死）</t>
  </si>
  <si>
    <t>心梗突发离世</t>
  </si>
  <si>
    <r>
      <t>天寿+铃星</t>
    </r>
    <r>
      <rPr>
        <sz val="11"/>
        <color theme="1"/>
        <rFont val="等线"/>
        <family val="2"/>
        <charset val="134"/>
        <scheme val="minor"/>
      </rPr>
      <t>​</t>
    </r>
  </si>
  <si>
    <t>慢性消耗寿命（进行性疾病）</t>
  </si>
  <si>
    <t>阿尔茨海默症晚期</t>
  </si>
  <si>
    <t>先天寿命格局（长寿基因/夭折风险）</t>
  </si>
  <si>
    <t>疾病预后（生存期评估）</t>
  </si>
  <si>
    <t>长辈寿元（父母健康状况）</t>
  </si>
  <si>
    <t>后代生命周期（子女先天体质）</t>
  </si>
  <si>
    <t>精神寿命（晚年心智状态）</t>
  </si>
  <si>
    <r>
      <t>化禄（借天同）</t>
    </r>
    <r>
      <rPr>
        <sz val="11"/>
        <color theme="1"/>
        <rFont val="等线"/>
        <family val="2"/>
        <charset val="134"/>
        <scheme val="minor"/>
      </rPr>
      <t>：延长寿命（如抗癌成功）</t>
    </r>
  </si>
  <si>
    <r>
      <t>化忌（借廉贞）</t>
    </r>
    <r>
      <rPr>
        <sz val="11"/>
        <color theme="1"/>
        <rFont val="等线"/>
        <family val="2"/>
        <charset val="134"/>
        <scheme val="minor"/>
      </rPr>
      <t>：终结寿命（如晚期肿瘤扩散） |</t>
    </r>
  </si>
  <si>
    <r>
      <t>1. 星曜分类争议</t>
    </r>
    <r>
      <rPr>
        <sz val="11"/>
        <color theme="1"/>
        <rFont val="等线"/>
        <family val="2"/>
        <charset val="134"/>
        <scheme val="minor"/>
      </rPr>
      <t>：</t>
    </r>
  </si>
  <si>
    <t>文档19将天寿归类为“小星”，文档43强调其“寿元本质” → 并存矛盾</t>
  </si>
  <si>
    <r>
      <t>2. 健康关联差异</t>
    </r>
    <r>
      <rPr>
        <sz val="11"/>
        <color theme="1"/>
        <rFont val="等线"/>
        <family val="2"/>
        <charset val="134"/>
        <scheme val="minor"/>
      </rPr>
      <t>：</t>
    </r>
  </si>
  <si>
    <t>文档19称天寿+阴煞主“灵体寿命”，文档42提“需护理（现实医疗）” → 分场景并存</t>
  </si>
  <si>
    <t>一、天才定义​</t>
  </si>
  <si>
    <t>想象、幻想、算计、智慧显现</t>
  </si>
  <si>
    <t>代表“想到但未实现”的事物（如商业计划、未来假设）</t>
  </si>
  <si>
    <t>需区分“实际智慧”与“虚妄幻想”（庙旺主真才实学，落陷主空想）</t>
  </si>
  <si>
    <r>
      <t>智慧表征</t>
    </r>
    <r>
      <rPr>
        <sz val="11"/>
        <color theme="1"/>
        <rFont val="等线"/>
        <family val="2"/>
        <charset val="134"/>
        <scheme val="minor"/>
      </rPr>
      <t>​</t>
    </r>
  </si>
  <si>
    <t>高智商、创新思维（如学术突破）</t>
  </si>
  <si>
    <t>空想无果（如不切实际的创业计划）</t>
  </si>
  <si>
    <r>
      <t>幻想属性</t>
    </r>
    <r>
      <rPr>
        <sz val="11"/>
        <color theme="1"/>
        <rFont val="等线"/>
        <family val="2"/>
        <charset val="134"/>
        <scheme val="minor"/>
      </rPr>
      <t>​</t>
    </r>
  </si>
  <si>
    <t>灵感迸发（艺术创作）</t>
  </si>
  <si>
    <t>妄想症（如被迫害妄想）</t>
  </si>
  <si>
    <r>
      <t>算计能力</t>
    </r>
    <r>
      <rPr>
        <sz val="11"/>
        <color theme="1"/>
        <rFont val="等线"/>
        <family val="2"/>
        <charset val="134"/>
        <scheme val="minor"/>
      </rPr>
      <t>​</t>
    </r>
  </si>
  <si>
    <t>精密筹划（战略布局）</t>
  </si>
  <si>
    <t>过度算计（患得患失）</t>
  </si>
  <si>
    <t>2. 特殊说明​</t>
  </si>
  <si>
    <r>
      <t>与天同星区别</t>
    </r>
    <r>
      <rPr>
        <sz val="11"/>
        <color theme="1"/>
        <rFont val="等线"/>
        <family val="2"/>
        <charset val="134"/>
        <scheme val="minor"/>
      </rPr>
      <t>：</t>
    </r>
  </si>
  <si>
    <t>天才：主动想象与设计；天同：被动感受与体验</t>
  </si>
  <si>
    <r>
      <t>福德宫关联</t>
    </r>
    <r>
      <rPr>
        <sz val="11"/>
        <color theme="1"/>
        <rFont val="等线"/>
        <family val="2"/>
        <charset val="134"/>
        <scheme val="minor"/>
      </rPr>
      <t>：天才+福德宫主“魂级思想整合”</t>
    </r>
  </si>
  <si>
    <t>天赋异禀（庙旺）；眼高手低（落陷）</t>
  </si>
  <si>
    <t>精神创造力（庙旺）；思想混乱（落陷+煞星）</t>
  </si>
  <si>
    <t>职业智慧（如研发能力）；虚假头衔（如学历造假）</t>
  </si>
  <si>
    <t>脑神经活跃（庙旺）；神经衰弱（落陷+铃星）</t>
  </si>
  <si>
    <t>1. 庙旺组合​</t>
  </si>
  <si>
    <r>
      <t>紫微+天才</t>
    </r>
    <r>
      <rPr>
        <sz val="11"/>
        <color theme="1"/>
        <rFont val="等线"/>
        <family val="2"/>
        <charset val="134"/>
        <scheme val="minor"/>
      </rPr>
      <t>​</t>
    </r>
  </si>
  <si>
    <t>顶级思维（学术权威/战略家）</t>
  </si>
  <si>
    <t>诺贝尔奖得主的研究灵感</t>
  </si>
  <si>
    <r>
      <t>太阳+天才</t>
    </r>
    <r>
      <rPr>
        <sz val="11"/>
        <color theme="1"/>
        <rFont val="等线"/>
        <family val="2"/>
        <charset val="134"/>
        <scheme val="minor"/>
      </rPr>
      <t>​</t>
    </r>
  </si>
  <si>
    <t>慧眼识珠（公开的智慧洞察）</t>
  </si>
  <si>
    <t>知名投资人精准预判行业趋势</t>
  </si>
  <si>
    <r>
      <t>天同+天才</t>
    </r>
    <r>
      <rPr>
        <sz val="11"/>
        <color theme="1"/>
        <rFont val="等线"/>
        <family val="2"/>
        <charset val="134"/>
        <scheme val="minor"/>
      </rPr>
      <t>​</t>
    </r>
  </si>
  <si>
    <t>悟道境界（宗教哲学领悟）</t>
  </si>
  <si>
    <t>高僧参透佛法真谛</t>
  </si>
  <si>
    <r>
      <t>天梁+天才</t>
    </r>
    <r>
      <rPr>
        <sz val="11"/>
        <color theme="1"/>
        <rFont val="等线"/>
        <family val="2"/>
        <charset val="134"/>
        <scheme val="minor"/>
      </rPr>
      <t>​</t>
    </r>
  </si>
  <si>
    <t>规则创新（法律/制度设计）</t>
  </si>
  <si>
    <t>宪法修订专家</t>
  </si>
  <si>
    <t>2. 落陷组合​</t>
  </si>
  <si>
    <r>
      <t>贪狼+天才</t>
    </r>
    <r>
      <rPr>
        <sz val="11"/>
        <color theme="1"/>
        <rFont val="等线"/>
        <family val="2"/>
        <charset val="134"/>
        <scheme val="minor"/>
      </rPr>
      <t>​</t>
    </r>
  </si>
  <si>
    <t>欲望幻想（减肥妄想症）</t>
  </si>
  <si>
    <t>盲目购买减肥药无效</t>
  </si>
  <si>
    <r>
      <t>巨门+天才</t>
    </r>
    <r>
      <rPr>
        <sz val="11"/>
        <color theme="1"/>
        <rFont val="等线"/>
        <family val="2"/>
        <charset val="134"/>
        <scheme val="minor"/>
      </rPr>
      <t>​</t>
    </r>
  </si>
  <si>
    <t>阴谋论（虚假信息编造）</t>
  </si>
  <si>
    <t>网络谣言制造者</t>
  </si>
  <si>
    <r>
      <t>地空+天才</t>
    </r>
    <r>
      <rPr>
        <sz val="11"/>
        <color theme="1"/>
        <rFont val="等线"/>
        <family val="2"/>
        <charset val="134"/>
        <scheme val="minor"/>
      </rPr>
      <t>​</t>
    </r>
  </si>
  <si>
    <t>虚妄计划（投资泡沫）</t>
  </si>
  <si>
    <t>炒作虚拟货币血本无归</t>
  </si>
  <si>
    <r>
      <t>文昌+天才</t>
    </r>
    <r>
      <rPr>
        <sz val="11"/>
        <color theme="1"/>
        <rFont val="等线"/>
        <family val="2"/>
        <charset val="134"/>
        <scheme val="minor"/>
      </rPr>
      <t>​</t>
    </r>
  </si>
  <si>
    <t>学术创新（论文突破）</t>
  </si>
  <si>
    <t>学术造假（数据篡改）</t>
  </si>
  <si>
    <r>
      <t>铃星+天才</t>
    </r>
    <r>
      <rPr>
        <sz val="11"/>
        <color theme="1"/>
        <rFont val="等线"/>
        <family val="2"/>
        <charset val="134"/>
        <scheme val="minor"/>
      </rPr>
      <t>​</t>
    </r>
  </si>
  <si>
    <t>焦虑性思考（紧急方案策划）</t>
  </si>
  <si>
    <t>钻牛角尖（强迫性思维）</t>
  </si>
  <si>
    <r>
      <t>天姚+天才</t>
    </r>
    <r>
      <rPr>
        <sz val="11"/>
        <color theme="1"/>
        <rFont val="等线"/>
        <family val="2"/>
        <charset val="134"/>
        <scheme val="minor"/>
      </rPr>
      <t>​</t>
    </r>
  </si>
  <si>
    <t>奇思妙想（艺术创意）</t>
  </si>
  <si>
    <t>荒诞念头（如食用异物）</t>
  </si>
  <si>
    <r>
      <t>阴煞+天才</t>
    </r>
    <r>
      <rPr>
        <sz val="11"/>
        <color theme="1"/>
        <rFont val="等线"/>
        <family val="2"/>
        <charset val="134"/>
        <scheme val="minor"/>
      </rPr>
      <t>​</t>
    </r>
  </si>
  <si>
    <t>隐秘谋略（特工情报分析）</t>
  </si>
  <si>
    <t>背地使坏（陷害算计）</t>
  </si>
  <si>
    <r>
      <t>地劫+天才</t>
    </r>
    <r>
      <rPr>
        <sz val="11"/>
        <color theme="1"/>
        <rFont val="等线"/>
        <family val="2"/>
        <charset val="134"/>
        <scheme val="minor"/>
      </rPr>
      <t>​</t>
    </r>
  </si>
  <si>
    <t>空性智慧（佛学顿悟）</t>
  </si>
  <si>
    <t>精神空虚（吸毒致幻）</t>
  </si>
  <si>
    <t>六、关键矛盾说明​</t>
  </si>
  <si>
    <r>
      <t>1. 实现性争议</t>
    </r>
    <r>
      <rPr>
        <sz val="11"/>
        <color theme="1"/>
        <rFont val="等线"/>
        <family val="2"/>
        <charset val="134"/>
        <scheme val="minor"/>
      </rPr>
      <t>：</t>
    </r>
  </si>
  <si>
    <t>文档9强调天才星“仅代表想象，不代表实现”</t>
  </si>
  <si>
    <t>文档30记载天同天才可“感悟天地大道”（实际达成）</t>
  </si>
  <si>
    <t>→ 并存矛盾：需结合四化判断（化禄可促实现，化忌则落空）</t>
  </si>
  <si>
    <r>
      <t>2. 智商关联差异</t>
    </r>
    <r>
      <rPr>
        <sz val="11"/>
        <color theme="1"/>
        <rFont val="等线"/>
        <family val="2"/>
        <charset val="134"/>
        <scheme val="minor"/>
      </rPr>
      <t>：</t>
    </r>
  </si>
  <si>
    <t>文档14称天才+紫微主“顶级智商”</t>
  </si>
  <si>
    <t>文档52提天才+孤辰主“一根筋”（思维僵化）</t>
  </si>
  <si>
    <t>→ 分状态：庙旺为高智商，落陷为思维缺陷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</si>
</sst>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b/>
      <sz val="13.5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E0E0E0"/>
      </left>
      <right style="medium">
        <color rgb="FFE0E0E0"/>
      </right>
      <top style="medium">
        <color rgb="FFE0E0E0"/>
      </top>
      <bottom style="medium">
        <color rgb="FFE0E0E0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3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0" fontId="1" fillId="0" borderId="0" xfId="0" applyFont="1" applyAlignment="1">
      <alignment horizontal="left" vertical="center" indent="2"/>
    </xf>
    <xf numFmtId="0" fontId="0" fillId="0" borderId="0" xfId="0" applyAlignment="1">
      <alignment horizontal="left" vertical="center" indent="2"/>
    </xf>
    <xf numFmtId="0" fontId="0" fillId="0" borderId="0" xfId="0" applyAlignment="1">
      <alignment horizontal="left" vertical="center" indent="3"/>
    </xf>
    <xf numFmtId="0" fontId="4" fillId="0" borderId="0" xfId="0" applyFont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0" xfId="0" applyFont="1">
      <alignment vertical="center"/>
    </xf>
    <xf numFmtId="0" fontId="5" fillId="0" borderId="1" xfId="0" applyFont="1" applyBorder="1" applyAlignment="1">
      <alignment horizontal="left" vertical="center" wrapText="1" indent="1"/>
    </xf>
    <xf numFmtId="0" fontId="4" fillId="0" borderId="1" xfId="0" applyFont="1" applyBorder="1" applyAlignment="1">
      <alignment horizontal="left" vertical="center" wrapText="1" indent="1"/>
    </xf>
    <xf numFmtId="0" fontId="6" fillId="0" borderId="0" xfId="0" applyFont="1">
      <alignment vertical="center"/>
    </xf>
    <xf numFmtId="0" fontId="1" fillId="0" borderId="0" xfId="0" applyFont="1" applyAlignment="1">
      <alignment horizontal="left" vertical="center" indent="3"/>
    </xf>
    <xf numFmtId="0" fontId="6" fillId="0" borderId="0" xfId="0" applyFont="1" applyAlignment="1">
      <alignment horizontal="left" vertical="center" indent="2"/>
    </xf>
    <xf numFmtId="0" fontId="7" fillId="0" borderId="0" xfId="0" applyFont="1" applyAlignment="1">
      <alignment horizontal="left" vertical="center" indent="2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72684-AED1-46C8-B286-C73E08579A91}">
  <dimension ref="B1:G82"/>
  <sheetViews>
    <sheetView topLeftCell="A58" zoomScaleNormal="100" workbookViewId="0">
      <selection activeCell="B2" sqref="B2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x14ac:dyDescent="0.2">
      <c r="G1" t="str">
        <f>"&lt;dl&gt;&lt;dt&gt;" &amp; B1 &amp; "&lt;/dt&gt;&lt;dd&gt;" &amp; C1 &amp; "&lt;/dd&gt;&lt;dd&gt;" &amp; D1 &amp; "&lt;/dd&gt;&lt;/dl&gt;"</f>
        <v>&lt;dl&gt;&lt;dt&gt;&lt;/dt&gt;&lt;dd&gt;&lt;/dd&gt;&lt;dd&gt;&lt;/dd&gt;&lt;/dl&gt;</v>
      </c>
    </row>
    <row r="2" spans="2:7" x14ac:dyDescent="0.2">
      <c r="B2" t="s">
        <v>22</v>
      </c>
    </row>
    <row r="5" spans="2:7" ht="17.25" x14ac:dyDescent="0.2">
      <c r="B5" s="5" t="s">
        <v>23</v>
      </c>
    </row>
    <row r="7" spans="2:7" x14ac:dyDescent="0.2">
      <c r="B7" s="1" t="s">
        <v>24</v>
      </c>
    </row>
    <row r="8" spans="2:7" x14ac:dyDescent="0.2">
      <c r="B8" s="6"/>
    </row>
    <row r="9" spans="2:7" x14ac:dyDescent="0.2">
      <c r="B9" s="7" t="s">
        <v>25</v>
      </c>
    </row>
    <row r="10" spans="2:7" x14ac:dyDescent="0.2">
      <c r="B10" s="6"/>
    </row>
    <row r="11" spans="2:7" x14ac:dyDescent="0.2">
      <c r="B11" s="8" t="s">
        <v>26</v>
      </c>
    </row>
    <row r="12" spans="2:7" x14ac:dyDescent="0.2">
      <c r="B12" s="8" t="s">
        <v>27</v>
      </c>
    </row>
    <row r="13" spans="2:7" x14ac:dyDescent="0.2">
      <c r="B13" s="8" t="s">
        <v>28</v>
      </c>
    </row>
    <row r="14" spans="2:7" x14ac:dyDescent="0.2">
      <c r="B14" s="8" t="s">
        <v>29</v>
      </c>
    </row>
    <row r="15" spans="2:7" x14ac:dyDescent="0.2">
      <c r="B15" s="9"/>
    </row>
    <row r="16" spans="2:7" x14ac:dyDescent="0.2">
      <c r="B16" s="10" t="s">
        <v>30</v>
      </c>
    </row>
    <row r="17" spans="2:7" x14ac:dyDescent="0.2">
      <c r="B17" s="10" t="s">
        <v>31</v>
      </c>
    </row>
    <row r="21" spans="2:7" ht="17.25" x14ac:dyDescent="0.2">
      <c r="B21" s="5" t="s">
        <v>32</v>
      </c>
    </row>
    <row r="22" spans="2:7" ht="16.5" thickBot="1" x14ac:dyDescent="0.25">
      <c r="B22" s="11"/>
    </row>
    <row r="23" spans="2:7" ht="16.5" thickBot="1" x14ac:dyDescent="0.25">
      <c r="B23" s="12" t="s">
        <v>18</v>
      </c>
      <c r="C23" s="12" t="s">
        <v>19</v>
      </c>
      <c r="D23" s="12" t="s">
        <v>20</v>
      </c>
      <c r="E23" s="12" t="s">
        <v>21</v>
      </c>
    </row>
    <row r="24" spans="2:7" ht="16.5" thickBot="1" x14ac:dyDescent="0.25">
      <c r="B24" s="14" t="s">
        <v>33</v>
      </c>
      <c r="C24" s="15" t="s">
        <v>1</v>
      </c>
      <c r="D24" s="15" t="s">
        <v>2</v>
      </c>
      <c r="E24" s="15"/>
      <c r="G24" t="str">
        <f t="shared" ref="G24:G52" si="0">"&lt;dl&gt;&lt;dt&gt;" &amp; B24 &amp; "&lt;/dt&gt;&lt;dd&gt;" &amp; C24 &amp; "&lt;/dd&gt;&lt;dd&gt;" &amp; D24 &amp; "&lt;/dd&gt;&lt;/dl&gt;"</f>
        <v>&lt;dl&gt;&lt;dt&gt;田宅宫​&lt;/dt&gt;&lt;dd&gt;家宅广阔（别墅、地标建筑）&lt;/dd&gt;&lt;dd&gt;家道中落（抵押房产、凶宅）&lt;/dd&gt;&lt;/dl&gt;</v>
      </c>
    </row>
    <row r="25" spans="2:7" ht="16.5" thickBot="1" x14ac:dyDescent="0.25">
      <c r="B25" s="14" t="s">
        <v>34</v>
      </c>
      <c r="C25" s="15" t="s">
        <v>4</v>
      </c>
      <c r="D25" s="15" t="s">
        <v>5</v>
      </c>
      <c r="E25" s="15"/>
      <c r="G25" t="str">
        <f t="shared" si="0"/>
        <v>&lt;dl&gt;&lt;dt&gt;财帛宫​&lt;/dt&gt;&lt;dd&gt;储蓄力强（固定资产、稳定理财）&lt;/dd&gt;&lt;dd&gt;资源虚耗（投资泡沫、账目漏洞）&lt;/dd&gt;&lt;/dl&gt;</v>
      </c>
    </row>
    <row r="26" spans="2:7" ht="16.5" thickBot="1" x14ac:dyDescent="0.25">
      <c r="B26" s="14" t="s">
        <v>35</v>
      </c>
      <c r="C26" s="15" t="s">
        <v>7</v>
      </c>
      <c r="D26" s="15" t="s">
        <v>8</v>
      </c>
      <c r="E26" s="15"/>
      <c r="G26" t="str">
        <f t="shared" si="0"/>
        <v>&lt;dl&gt;&lt;dt&gt;疾厄宫​&lt;/dt&gt;&lt;dd&gt;脾胃健康（土主中焦）&lt;/dd&gt;&lt;dd&gt;胃病（+铃星主胃痛）&lt;/dd&gt;&lt;/dl&gt;</v>
      </c>
    </row>
    <row r="27" spans="2:7" ht="16.5" thickBot="1" x14ac:dyDescent="0.25">
      <c r="B27" s="14" t="s">
        <v>36</v>
      </c>
      <c r="C27" s="15" t="s">
        <v>10</v>
      </c>
      <c r="D27" s="15" t="s">
        <v>11</v>
      </c>
      <c r="E27" s="15"/>
      <c r="G27" t="str">
        <f t="shared" si="0"/>
        <v>&lt;dl&gt;&lt;dt&gt;父母宫​&lt;/dt&gt;&lt;dd&gt;长辈为靠山（政府关系、师承名门）&lt;/dd&gt;&lt;dd&gt;文书问题（+文昌忌：证书造假）&lt;/dd&gt;&lt;/dl&gt;</v>
      </c>
    </row>
    <row r="28" spans="2:7" ht="16.5" thickBot="1" x14ac:dyDescent="0.25">
      <c r="B28" s="14" t="s">
        <v>37</v>
      </c>
      <c r="C28" s="15" t="s">
        <v>13</v>
      </c>
      <c r="D28" s="15" t="s">
        <v>14</v>
      </c>
      <c r="E28" s="15"/>
      <c r="G28" t="str">
        <f t="shared" si="0"/>
        <v>&lt;dl&gt;&lt;dt&gt;交友宫​&lt;/dt&gt;&lt;dd&gt;贵人圈层（高端人脉）&lt;/dd&gt;&lt;dd&gt;孤立无援（小人背叛）&lt;/dd&gt;&lt;/dl&gt;</v>
      </c>
    </row>
    <row r="29" spans="2:7" ht="16.5" thickBot="1" x14ac:dyDescent="0.25">
      <c r="B29" s="14" t="s">
        <v>38</v>
      </c>
      <c r="C29" s="15" t="s">
        <v>16</v>
      </c>
      <c r="D29" s="15" t="s">
        <v>17</v>
      </c>
      <c r="E29" s="15"/>
      <c r="G29" t="str">
        <f t="shared" si="0"/>
        <v>&lt;dl&gt;&lt;dt&gt;迁移宫​&lt;/dt&gt;&lt;dd&gt;异地置产（跨国资产）&lt;/dd&gt;&lt;dd&gt;漂泊无定（+天马：频繁搬家）&lt;/dd&gt;&lt;/dl&gt;</v>
      </c>
    </row>
    <row r="32" spans="2:7" ht="17.25" x14ac:dyDescent="0.2">
      <c r="B32" s="5" t="s">
        <v>39</v>
      </c>
    </row>
    <row r="33" spans="2:7" ht="16.5" thickBot="1" x14ac:dyDescent="0.25">
      <c r="B33" s="11"/>
    </row>
    <row r="34" spans="2:7" ht="16.5" thickBot="1" x14ac:dyDescent="0.25">
      <c r="B34" s="12" t="s">
        <v>40</v>
      </c>
      <c r="C34" s="12" t="s">
        <v>41</v>
      </c>
      <c r="D34" s="12" t="s">
        <v>42</v>
      </c>
      <c r="E34" s="12" t="s">
        <v>21</v>
      </c>
    </row>
    <row r="35" spans="2:7" ht="16.5" thickBot="1" x14ac:dyDescent="0.25">
      <c r="B35" s="14" t="s">
        <v>43</v>
      </c>
      <c r="C35" s="15" t="s">
        <v>44</v>
      </c>
      <c r="D35" s="15" t="s">
        <v>45</v>
      </c>
      <c r="E35" s="15"/>
      <c r="G35" t="str">
        <f t="shared" si="0"/>
        <v>&lt;dl&gt;&lt;dt&gt;天府+铃星​&lt;/dt&gt;&lt;dd&gt;空间内热闹（社群活跃）&lt;/dd&gt;&lt;dd&gt;家宅不宁（房屋纠纷）&lt;/dd&gt;&lt;/dl&gt;</v>
      </c>
    </row>
    <row r="36" spans="2:7" ht="16.5" thickBot="1" x14ac:dyDescent="0.25">
      <c r="B36" s="14" t="s">
        <v>46</v>
      </c>
      <c r="C36" s="15" t="s">
        <v>47</v>
      </c>
      <c r="D36" s="15" t="s">
        <v>48</v>
      </c>
      <c r="E36" s="15"/>
      <c r="G36" t="str">
        <f t="shared" si="0"/>
        <v>&lt;dl&gt;&lt;dt&gt;天府+地劫​&lt;/dt&gt;&lt;dd&gt;资源流失（突发破财）&lt;/dd&gt;&lt;dd&gt;家道中空（祖产败尽）&lt;/dd&gt;&lt;/dl&gt;</v>
      </c>
    </row>
    <row r="37" spans="2:7" ht="16.5" thickBot="1" x14ac:dyDescent="0.25">
      <c r="B37" s="14" t="s">
        <v>49</v>
      </c>
      <c r="C37" s="15" t="s">
        <v>50</v>
      </c>
      <c r="D37" s="15" t="s">
        <v>51</v>
      </c>
      <c r="E37" s="15"/>
      <c r="G37" t="str">
        <f t="shared" si="0"/>
        <v>&lt;dl&gt;&lt;dt&gt;天府+文昌​&lt;/dt&gt;&lt;dd&gt;腹有锦绣（学识渊博）&lt;/dd&gt;&lt;dd&gt;虚有其表（证书无效）&lt;/dd&gt;&lt;/dl&gt;</v>
      </c>
    </row>
    <row r="38" spans="2:7" ht="16.5" thickBot="1" x14ac:dyDescent="0.25">
      <c r="B38" s="14" t="s">
        <v>52</v>
      </c>
      <c r="C38" s="15" t="s">
        <v>53</v>
      </c>
      <c r="D38" s="15" t="s">
        <v>54</v>
      </c>
      <c r="E38" s="15"/>
      <c r="G38" t="str">
        <f t="shared" si="0"/>
        <v>&lt;dl&gt;&lt;dt&gt;天府+天喜​&lt;/dt&gt;&lt;dd&gt;家宅喜庆（婚宴场所）&lt;/dd&gt;&lt;dd&gt;虚假欢庆（表面和睦）&lt;/dd&gt;&lt;/dl&gt;</v>
      </c>
    </row>
    <row r="39" spans="2:7" ht="16.5" thickBot="1" x14ac:dyDescent="0.25">
      <c r="B39" s="14" t="s">
        <v>55</v>
      </c>
      <c r="C39" s="15" t="s">
        <v>56</v>
      </c>
      <c r="D39" s="15" t="s">
        <v>57</v>
      </c>
      <c r="E39" s="15"/>
      <c r="G39" t="str">
        <f t="shared" si="0"/>
        <v>&lt;dl&gt;&lt;dt&gt;天府+陀罗​&lt;/dt&gt;&lt;dd&gt;空间稳固（长期持有房产）&lt;/dd&gt;&lt;dd&gt;发展停滞（项目烂尾）&lt;/dd&gt;&lt;/dl&gt;</v>
      </c>
    </row>
    <row r="40" spans="2:7" ht="16.5" thickBot="1" x14ac:dyDescent="0.25">
      <c r="B40" s="14" t="s">
        <v>58</v>
      </c>
      <c r="C40" s="15" t="s">
        <v>59</v>
      </c>
      <c r="D40" s="15" t="s">
        <v>60</v>
      </c>
      <c r="E40" s="15"/>
      <c r="G40" t="str">
        <f t="shared" si="0"/>
        <v>&lt;dl&gt;&lt;dt&gt;天府+阴煞​&lt;/dt&gt;&lt;dd&gt;灵性空间（寺庙、祠堂）&lt;/dd&gt;&lt;dd&gt;阴气积聚（凶宅风水）&lt;/dd&gt;&lt;/dl&gt;</v>
      </c>
    </row>
    <row r="41" spans="2:7" ht="16.5" thickBot="1" x14ac:dyDescent="0.25">
      <c r="B41" s="14" t="s">
        <v>61</v>
      </c>
      <c r="C41" s="15" t="s">
        <v>62</v>
      </c>
      <c r="D41" s="15" t="s">
        <v>63</v>
      </c>
      <c r="E41" s="15"/>
      <c r="G41" t="str">
        <f t="shared" si="0"/>
        <v>&lt;dl&gt;&lt;dt&gt;天府+凤阁​&lt;/dt&gt;&lt;dd&gt;高档房产（豪宅、会所）&lt;/dd&gt;&lt;dd&gt;空间局促（蜗居）&lt;/dd&gt;&lt;/dl&gt;</v>
      </c>
    </row>
    <row r="42" spans="2:7" ht="16.5" thickBot="1" x14ac:dyDescent="0.25">
      <c r="B42" s="14" t="s">
        <v>64</v>
      </c>
      <c r="C42" s="15" t="s">
        <v>65</v>
      </c>
      <c r="D42" s="15" t="s">
        <v>66</v>
      </c>
      <c r="E42" s="15"/>
      <c r="G42" t="str">
        <f t="shared" si="0"/>
        <v>&lt;dl&gt;&lt;dt&gt;天府+天刑​&lt;/dt&gt;&lt;dd&gt;法律空间（法院、监狱）&lt;/dd&gt;&lt;dd&gt;空间禁锢（囚禁感）&lt;/dd&gt;&lt;/dl&gt;</v>
      </c>
    </row>
    <row r="43" spans="2:7" ht="16.5" thickBot="1" x14ac:dyDescent="0.25">
      <c r="B43" s="14" t="s">
        <v>67</v>
      </c>
      <c r="C43" s="15" t="s">
        <v>68</v>
      </c>
      <c r="D43" s="15" t="s">
        <v>69</v>
      </c>
      <c r="E43" s="15"/>
      <c r="G43" t="str">
        <f t="shared" si="0"/>
        <v>&lt;dl&gt;&lt;dt&gt;天府+地空​&lt;/dt&gt;&lt;dd&gt;虚拟空间（网络平台）&lt;/dd&gt;&lt;dd&gt;资源泡沫（虚假投资）&lt;/dd&gt;&lt;/dl&gt;</v>
      </c>
    </row>
    <row r="46" spans="2:7" ht="17.25" x14ac:dyDescent="0.2">
      <c r="B46" s="5" t="s">
        <v>70</v>
      </c>
    </row>
    <row r="47" spans="2:7" ht="16.5" thickBot="1" x14ac:dyDescent="0.25">
      <c r="B47" s="11"/>
    </row>
    <row r="48" spans="2:7" ht="16.5" thickBot="1" x14ac:dyDescent="0.25">
      <c r="B48" s="12" t="s">
        <v>71</v>
      </c>
      <c r="C48" s="12" t="s">
        <v>72</v>
      </c>
      <c r="D48" s="12" t="s">
        <v>73</v>
      </c>
      <c r="E48" s="12" t="s">
        <v>21</v>
      </c>
    </row>
    <row r="49" spans="2:7" ht="16.5" thickBot="1" x14ac:dyDescent="0.25">
      <c r="B49" s="14" t="s">
        <v>74</v>
      </c>
      <c r="C49" s="15" t="s">
        <v>75</v>
      </c>
      <c r="D49" s="15" t="s">
        <v>76</v>
      </c>
      <c r="E49" s="15"/>
      <c r="G49" t="str">
        <f t="shared" si="0"/>
        <v>&lt;dl&gt;&lt;dt&gt;天府+紫微​&lt;/dt&gt;&lt;dd&gt;权威空间（政府大楼、银行）&lt;/dd&gt;&lt;dd&gt;辰/戌宫：入狱象（空间束缚）&lt;/dd&gt;&lt;/dl&gt;</v>
      </c>
    </row>
    <row r="50" spans="2:7" ht="16.5" thickBot="1" x14ac:dyDescent="0.25">
      <c r="B50" s="14" t="s">
        <v>77</v>
      </c>
      <c r="C50" s="15" t="s">
        <v>78</v>
      </c>
      <c r="D50" s="15" t="s">
        <v>79</v>
      </c>
      <c r="E50" s="15"/>
      <c r="G50" t="str">
        <f t="shared" si="0"/>
        <v>&lt;dl&gt;&lt;dt&gt;天府+武曲​&lt;/dt&gt;&lt;dd&gt;金融空间（银行、保险柜）&lt;/dd&gt;&lt;dd&gt;账目混乱（+地劫：财务漏洞）&lt;/dd&gt;&lt;/dl&gt;</v>
      </c>
    </row>
    <row r="51" spans="2:7" ht="16.5" thickBot="1" x14ac:dyDescent="0.25">
      <c r="B51" s="14" t="s">
        <v>80</v>
      </c>
      <c r="C51" s="15" t="s">
        <v>81</v>
      </c>
      <c r="D51" s="15" t="s">
        <v>82</v>
      </c>
      <c r="E51" s="15"/>
      <c r="G51" t="str">
        <f t="shared" si="0"/>
        <v>&lt;dl&gt;&lt;dt&gt;天府+廉贞​&lt;/dt&gt;&lt;dd&gt;掌控空间（公司总部、电子系统）&lt;/dd&gt;&lt;dd&gt;戌宫化忌：失控（服务器崩溃）&lt;/dd&gt;&lt;/dl&gt;</v>
      </c>
    </row>
    <row r="52" spans="2:7" ht="16.5" thickBot="1" x14ac:dyDescent="0.25">
      <c r="B52" s="14" t="s">
        <v>83</v>
      </c>
      <c r="C52" s="15" t="s">
        <v>84</v>
      </c>
      <c r="D52" s="15" t="s">
        <v>85</v>
      </c>
      <c r="E52" s="15"/>
      <c r="G52" t="str">
        <f t="shared" si="0"/>
        <v>&lt;dl&gt;&lt;dt&gt;天府+太阳​&lt;/dt&gt;&lt;dd&gt;公共空间（广场、地标）&lt;/dd&gt;&lt;dd&gt;寅宫落陷：权威崩塌（烂尾工程）&lt;/dd&gt;&lt;/dl&gt;</v>
      </c>
    </row>
    <row r="55" spans="2:7" ht="17.25" x14ac:dyDescent="0.2">
      <c r="B55" s="5" t="s">
        <v>86</v>
      </c>
    </row>
    <row r="56" spans="2:7" x14ac:dyDescent="0.2">
      <c r="B56" s="6"/>
    </row>
    <row r="57" spans="2:7" x14ac:dyDescent="0.2">
      <c r="B57" s="7" t="s">
        <v>87</v>
      </c>
    </row>
    <row r="58" spans="2:7" x14ac:dyDescent="0.2">
      <c r="B58" s="6"/>
    </row>
    <row r="59" spans="2:7" x14ac:dyDescent="0.2">
      <c r="B59" s="8" t="s">
        <v>88</v>
      </c>
    </row>
    <row r="60" spans="2:7" x14ac:dyDescent="0.2">
      <c r="B60" s="8" t="s">
        <v>89</v>
      </c>
    </row>
    <row r="64" spans="2:7" ht="17.25" x14ac:dyDescent="0.2">
      <c r="B64" s="5" t="s">
        <v>90</v>
      </c>
    </row>
    <row r="65" spans="2:2" x14ac:dyDescent="0.2">
      <c r="B65" s="6"/>
    </row>
    <row r="66" spans="2:2" x14ac:dyDescent="0.2">
      <c r="B66" s="7" t="s">
        <v>91</v>
      </c>
    </row>
    <row r="67" spans="2:2" x14ac:dyDescent="0.2">
      <c r="B67" s="6"/>
    </row>
    <row r="68" spans="2:2" x14ac:dyDescent="0.2">
      <c r="B68" s="9" t="s">
        <v>92</v>
      </c>
    </row>
    <row r="69" spans="2:2" x14ac:dyDescent="0.2">
      <c r="B69" s="9" t="s">
        <v>93</v>
      </c>
    </row>
    <row r="70" spans="2:2" x14ac:dyDescent="0.2">
      <c r="B70" s="7" t="s">
        <v>94</v>
      </c>
    </row>
    <row r="71" spans="2:2" x14ac:dyDescent="0.2">
      <c r="B71" s="6"/>
    </row>
    <row r="72" spans="2:2" x14ac:dyDescent="0.2">
      <c r="B72" s="9" t="s">
        <v>95</v>
      </c>
    </row>
    <row r="73" spans="2:2" x14ac:dyDescent="0.2">
      <c r="B73" s="9" t="s">
        <v>96</v>
      </c>
    </row>
    <row r="77" spans="2:2" ht="17.25" x14ac:dyDescent="0.2">
      <c r="B77" s="5" t="s">
        <v>97</v>
      </c>
    </row>
    <row r="80" spans="2:2" x14ac:dyDescent="0.2">
      <c r="B80" s="16" t="s">
        <v>98</v>
      </c>
    </row>
    <row r="81" spans="2:2" x14ac:dyDescent="0.2">
      <c r="B81" s="6"/>
    </row>
    <row r="82" spans="2:2" x14ac:dyDescent="0.2">
      <c r="B82" s="6" t="s">
        <v>99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82056-04B1-4B56-B227-FEAB7B0699A0}">
  <dimension ref="B1:G82"/>
  <sheetViews>
    <sheetView topLeftCell="A32" zoomScaleNormal="100" workbookViewId="0">
      <selection activeCell="J49" sqref="J49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x14ac:dyDescent="0.2">
      <c r="B1" t="s">
        <v>100</v>
      </c>
      <c r="G1" t="str">
        <f>"&lt;dl&gt;&lt;dt&gt;" &amp; B1 &amp; "&lt;/dt&gt;&lt;dd&gt;" &amp; C1 &amp; "&lt;/dd&gt;&lt;dd&gt;" &amp; D1 &amp; "&lt;/dd&gt;&lt;/dl&gt;"</f>
        <v>&lt;dl&gt;&lt;dt&gt;在紫微斗数中，文曲星属水，主掌内容、文书、传递信息，是决定事物内涵的关键辅星。以下是其核心含义及在不同场景中的应用：&lt;/dt&gt;&lt;dd&gt;&lt;/dd&gt;&lt;dd&gt;&lt;/dd&gt;&lt;/dl&gt;</v>
      </c>
    </row>
    <row r="4" spans="2:7" ht="17.25" x14ac:dyDescent="0.2">
      <c r="B4" s="5" t="s">
        <v>101</v>
      </c>
    </row>
    <row r="5" spans="2:7" x14ac:dyDescent="0.2">
      <c r="B5" s="6"/>
    </row>
    <row r="6" spans="2:7" x14ac:dyDescent="0.2">
      <c r="B6" s="7" t="s">
        <v>102</v>
      </c>
    </row>
    <row r="7" spans="2:7" x14ac:dyDescent="0.2">
      <c r="B7" s="6"/>
    </row>
    <row r="8" spans="2:7" x14ac:dyDescent="0.2">
      <c r="B8" s="8" t="s">
        <v>103</v>
      </c>
    </row>
    <row r="9" spans="2:7" x14ac:dyDescent="0.2">
      <c r="B9" s="8" t="s">
        <v>104</v>
      </c>
    </row>
    <row r="10" spans="2:7" x14ac:dyDescent="0.2">
      <c r="B10" s="8" t="s">
        <v>105</v>
      </c>
    </row>
    <row r="11" spans="2:7" x14ac:dyDescent="0.2">
      <c r="B11" s="9"/>
    </row>
    <row r="12" spans="2:7" x14ac:dyDescent="0.2">
      <c r="B12" s="17" t="s">
        <v>106</v>
      </c>
    </row>
    <row r="13" spans="2:7" x14ac:dyDescent="0.2">
      <c r="B13" s="17" t="s">
        <v>107</v>
      </c>
    </row>
    <row r="14" spans="2:7" x14ac:dyDescent="0.2">
      <c r="B14" s="7" t="s">
        <v>108</v>
      </c>
    </row>
    <row r="15" spans="2:7" x14ac:dyDescent="0.2">
      <c r="B15" s="6"/>
    </row>
    <row r="16" spans="2:7" x14ac:dyDescent="0.2">
      <c r="B16" s="8" t="s">
        <v>109</v>
      </c>
    </row>
    <row r="17" spans="2:7" x14ac:dyDescent="0.2">
      <c r="B17" s="8" t="s">
        <v>110</v>
      </c>
    </row>
    <row r="21" spans="2:7" ht="17.25" x14ac:dyDescent="0.2">
      <c r="B21" s="5" t="s">
        <v>111</v>
      </c>
    </row>
    <row r="22" spans="2:7" ht="15" thickBot="1" x14ac:dyDescent="0.25"/>
    <row r="23" spans="2:7" ht="16.5" thickBot="1" x14ac:dyDescent="0.25">
      <c r="B23" s="2" t="s">
        <v>18</v>
      </c>
      <c r="C23" s="2" t="s">
        <v>112</v>
      </c>
      <c r="D23" s="2" t="s">
        <v>113</v>
      </c>
      <c r="E23" s="12"/>
    </row>
    <row r="24" spans="2:7" ht="16.5" thickBot="1" x14ac:dyDescent="0.25">
      <c r="B24" s="3" t="s">
        <v>9</v>
      </c>
      <c r="C24" s="4" t="s">
        <v>114</v>
      </c>
      <c r="D24" s="4" t="s">
        <v>115</v>
      </c>
      <c r="E24" s="15"/>
      <c r="G24" t="str">
        <f t="shared" ref="G24:G52" si="0">"&lt;dl&gt;&lt;dt&gt;" &amp; B24 &amp; "&lt;/dt&gt;&lt;dd&gt;" &amp; C24 &amp; "&lt;/dd&gt;&lt;dd&gt;" &amp; D24 &amp; "&lt;/dd&gt;&lt;/dl&gt;"</f>
        <v>&lt;dl&gt;&lt;dt&gt;父母宫​&lt;/dt&gt;&lt;dd&gt;文书合同、证书、长辈学识&lt;/dd&gt;&lt;dd&gt;签约条款问题、学历证书真伪&lt;/dd&gt;&lt;/dl&gt;</v>
      </c>
    </row>
    <row r="25" spans="2:7" ht="16.5" thickBot="1" x14ac:dyDescent="0.25">
      <c r="B25" s="3" t="s">
        <v>116</v>
      </c>
      <c r="C25" s="4" t="s">
        <v>117</v>
      </c>
      <c r="D25" s="4" t="s">
        <v>118</v>
      </c>
      <c r="E25" s="15"/>
      <c r="G25" t="str">
        <f t="shared" si="0"/>
        <v>&lt;dl&gt;&lt;dt&gt;福德宫​&lt;/dt&gt;&lt;dd&gt;思想内容、精神感悟&lt;/dd&gt;&lt;dd&gt;内心纠结、灵感创意&lt;/dd&gt;&lt;/dl&gt;</v>
      </c>
    </row>
    <row r="26" spans="2:7" ht="16.5" thickBot="1" x14ac:dyDescent="0.25">
      <c r="B26" s="3" t="s">
        <v>15</v>
      </c>
      <c r="C26" s="4" t="s">
        <v>119</v>
      </c>
      <c r="D26" s="4" t="s">
        <v>120</v>
      </c>
      <c r="E26" s="15"/>
      <c r="G26" t="str">
        <f t="shared" si="0"/>
        <v>&lt;dl&gt;&lt;dt&gt;迁移宫​&lt;/dt&gt;&lt;dd&gt;外界消息、异地信息&lt;/dd&gt;&lt;dd&gt;留学通知、移民政策变动&lt;/dd&gt;&lt;/dl&gt;</v>
      </c>
    </row>
    <row r="27" spans="2:7" ht="16.5" thickBot="1" x14ac:dyDescent="0.25">
      <c r="B27" s="3" t="s">
        <v>6</v>
      </c>
      <c r="C27" s="4" t="s">
        <v>121</v>
      </c>
      <c r="D27" s="4" t="s">
        <v>122</v>
      </c>
      <c r="E27" s="15"/>
      <c r="G27" t="str">
        <f t="shared" si="0"/>
        <v>&lt;dl&gt;&lt;dt&gt;疾厄宫​&lt;/dt&gt;&lt;dd&gt;身体信息（DNA、病历）&lt;/dd&gt;&lt;dd&gt;基因检测报告、健康档案&lt;/dd&gt;&lt;/dl&gt;</v>
      </c>
    </row>
    <row r="28" spans="2:7" ht="16.5" thickBot="1" x14ac:dyDescent="0.25">
      <c r="B28" s="3" t="s">
        <v>3</v>
      </c>
      <c r="C28" s="4" t="s">
        <v>123</v>
      </c>
      <c r="D28" s="4" t="s">
        <v>124</v>
      </c>
      <c r="E28" s="15"/>
      <c r="G28" t="str">
        <f t="shared" si="0"/>
        <v>&lt;dl&gt;&lt;dt&gt;财帛宫​&lt;/dt&gt;&lt;dd&gt;财务内容（账目、投资方案）&lt;/dd&gt;&lt;dd&gt;审计漏洞、理财协议陷阱&lt;/dd&gt;&lt;/dl&gt;</v>
      </c>
    </row>
    <row r="29" spans="2:7" ht="16.5" thickBot="1" x14ac:dyDescent="0.25">
      <c r="B29" s="3" t="s">
        <v>125</v>
      </c>
      <c r="C29" s="4" t="s">
        <v>126</v>
      </c>
      <c r="D29" s="4" t="s">
        <v>127</v>
      </c>
      <c r="E29" s="15"/>
      <c r="G29" t="str">
        <f t="shared" si="0"/>
        <v>&lt;dl&gt;&lt;dt&gt;夫妻宫​&lt;/dt&gt;&lt;dd&gt;感情表达、承诺内容&lt;/dd&gt;&lt;dd&gt;甜言蜜语 vs. 欺骗性承诺&lt;/dd&gt;&lt;/dl&gt;</v>
      </c>
    </row>
    <row r="30" spans="2:7" x14ac:dyDescent="0.2">
      <c r="B30" s="3" t="s">
        <v>128</v>
      </c>
      <c r="C30" s="4" t="s">
        <v>129</v>
      </c>
      <c r="D30" s="4" t="s">
        <v>130</v>
      </c>
    </row>
    <row r="33" spans="2:7" ht="18" thickBot="1" x14ac:dyDescent="0.25">
      <c r="B33" s="5" t="s">
        <v>131</v>
      </c>
    </row>
    <row r="34" spans="2:7" ht="16.5" thickBot="1" x14ac:dyDescent="0.25">
      <c r="B34" s="6"/>
      <c r="E34" s="12"/>
    </row>
    <row r="35" spans="2:7" ht="16.5" thickBot="1" x14ac:dyDescent="0.25">
      <c r="B35" s="7" t="s">
        <v>132</v>
      </c>
      <c r="E35" s="15"/>
      <c r="G35" t="str">
        <f t="shared" si="0"/>
        <v>&lt;dl&gt;&lt;dt&gt;1. 文曲+煞星（如铃星、地劫）：&lt;/dt&gt;&lt;dd&gt;&lt;/dd&gt;&lt;dd&gt;&lt;/dd&gt;&lt;/dl&gt;</v>
      </c>
    </row>
    <row r="36" spans="2:7" ht="16.5" thickBot="1" x14ac:dyDescent="0.25">
      <c r="B36" s="6"/>
      <c r="E36" s="15"/>
      <c r="G36" t="str">
        <f t="shared" si="0"/>
        <v>&lt;dl&gt;&lt;dt&gt;&lt;/dt&gt;&lt;dd&gt;&lt;/dd&gt;&lt;dd&gt;&lt;/dd&gt;&lt;/dl&gt;</v>
      </c>
    </row>
    <row r="37" spans="2:7" ht="16.5" thickBot="1" x14ac:dyDescent="0.25">
      <c r="B37" s="8" t="s">
        <v>133</v>
      </c>
      <c r="E37" s="15"/>
      <c r="G37" t="str">
        <f t="shared" si="0"/>
        <v>&lt;dl&gt;&lt;dt&gt;文曲铃星：内容引发烦恼（如争议性文章、投诉信）。&lt;/dt&gt;&lt;dd&gt;&lt;/dd&gt;&lt;dd&gt;&lt;/dd&gt;&lt;/dl&gt;</v>
      </c>
    </row>
    <row r="38" spans="2:7" ht="16.5" thickBot="1" x14ac:dyDescent="0.25">
      <c r="B38" s="8" t="s">
        <v>134</v>
      </c>
      <c r="E38" s="15"/>
      <c r="G38" t="str">
        <f t="shared" si="0"/>
        <v>&lt;dl&gt;&lt;dt&gt;文曲地劫：信息缺失或漏洞（合同漏洞、数据丢失）。&lt;/dt&gt;&lt;dd&gt;&lt;/dd&gt;&lt;dd&gt;&lt;/dd&gt;&lt;/dl&gt;</v>
      </c>
    </row>
    <row r="39" spans="2:7" ht="16.5" thickBot="1" x14ac:dyDescent="0.25">
      <c r="B39" s="7" t="s">
        <v>135</v>
      </c>
      <c r="E39" s="15"/>
      <c r="G39" t="str">
        <f t="shared" si="0"/>
        <v>&lt;dl&gt;&lt;dt&gt;2. 文曲+吉星（如天梁、天相）：&lt;/dt&gt;&lt;dd&gt;&lt;/dd&gt;&lt;dd&gt;&lt;/dd&gt;&lt;/dl&gt;</v>
      </c>
    </row>
    <row r="40" spans="2:7" ht="16.5" thickBot="1" x14ac:dyDescent="0.25">
      <c r="B40" s="6"/>
      <c r="E40" s="15"/>
      <c r="G40" t="str">
        <f t="shared" si="0"/>
        <v>&lt;dl&gt;&lt;dt&gt;&lt;/dt&gt;&lt;dd&gt;&lt;/dd&gt;&lt;dd&gt;&lt;/dd&gt;&lt;/dl&gt;</v>
      </c>
    </row>
    <row r="41" spans="2:7" ht="16.5" thickBot="1" x14ac:dyDescent="0.25">
      <c r="B41" s="8" t="s">
        <v>136</v>
      </c>
      <c r="E41" s="15"/>
      <c r="G41" t="str">
        <f t="shared" si="0"/>
        <v>&lt;dl&gt;&lt;dt&gt;文曲天梁：权威内容（法律法规、学术著作）。&lt;/dt&gt;&lt;dd&gt;&lt;/dd&gt;&lt;dd&gt;&lt;/dd&gt;&lt;/dl&gt;</v>
      </c>
    </row>
    <row r="42" spans="2:7" ht="16.5" thickBot="1" x14ac:dyDescent="0.25">
      <c r="B42" s="8" t="s">
        <v>137</v>
      </c>
      <c r="E42" s="15"/>
      <c r="G42" t="str">
        <f t="shared" si="0"/>
        <v>&lt;dl&gt;&lt;dt&gt;文曲天相：生活化内容（菜谱、使用说明书）。&lt;/dt&gt;&lt;dd&gt;&lt;/dd&gt;&lt;dd&gt;&lt;/dd&gt;&lt;/dl&gt;</v>
      </c>
    </row>
    <row r="43" spans="2:7" ht="16.5" thickBot="1" x14ac:dyDescent="0.25">
      <c r="B43" s="7" t="s">
        <v>138</v>
      </c>
      <c r="E43" s="15"/>
      <c r="G43" t="str">
        <f t="shared" si="0"/>
        <v>&lt;dl&gt;&lt;dt&gt;3. 文曲化忌：&lt;/dt&gt;&lt;dd&gt;&lt;/dd&gt;&lt;dd&gt;&lt;/dd&gt;&lt;/dl&gt;</v>
      </c>
    </row>
    <row r="44" spans="2:7" x14ac:dyDescent="0.2">
      <c r="B44" s="6"/>
    </row>
    <row r="45" spans="2:7" x14ac:dyDescent="0.2">
      <c r="B45" s="9" t="s">
        <v>139</v>
      </c>
    </row>
    <row r="47" spans="2:7" ht="15" thickBot="1" x14ac:dyDescent="0.25"/>
    <row r="48" spans="2:7" ht="16.5" thickBot="1" x14ac:dyDescent="0.25">
      <c r="E48" s="12"/>
    </row>
    <row r="49" spans="2:7" ht="18" thickBot="1" x14ac:dyDescent="0.25">
      <c r="B49" s="5" t="s">
        <v>140</v>
      </c>
      <c r="E49" s="15"/>
      <c r="G49" t="str">
        <f t="shared" si="0"/>
        <v>&lt;dl&gt;&lt;dt&gt;四、实际案例参考&lt;/dt&gt;&lt;dd&gt;&lt;/dd&gt;&lt;dd&gt;&lt;/dd&gt;&lt;/dl&gt;</v>
      </c>
    </row>
    <row r="50" spans="2:7" ht="16.5" thickBot="1" x14ac:dyDescent="0.25">
      <c r="B50" s="6"/>
      <c r="E50" s="15"/>
      <c r="G50" t="str">
        <f t="shared" si="0"/>
        <v>&lt;dl&gt;&lt;dt&gt;&lt;/dt&gt;&lt;dd&gt;&lt;/dd&gt;&lt;dd&gt;&lt;/dd&gt;&lt;/dl&gt;</v>
      </c>
    </row>
    <row r="51" spans="2:7" ht="16.5" thickBot="1" x14ac:dyDescent="0.25">
      <c r="B51" s="7" t="s">
        <v>141</v>
      </c>
      <c r="E51" s="15"/>
      <c r="G51" t="str">
        <f t="shared" si="0"/>
        <v>&lt;dl&gt;&lt;dt&gt;占工作：文曲在官禄宫+文昌 → 从事文案、编辑、教育等需深度内容输出的职业。&lt;/dt&gt;&lt;dd&gt;&lt;/dd&gt;&lt;dd&gt;&lt;/dd&gt;&lt;/dl&gt;</v>
      </c>
    </row>
    <row r="52" spans="2:7" ht="16.5" thickBot="1" x14ac:dyDescent="0.25">
      <c r="B52" s="7" t="s">
        <v>142</v>
      </c>
      <c r="E52" s="15"/>
      <c r="G52" t="str">
        <f t="shared" si="0"/>
        <v>&lt;dl&gt;&lt;dt&gt;占健康：文曲在疾厄宫+天刑 → 病历误诊或隐瞒病情。&lt;/dt&gt;&lt;dd&gt;&lt;/dd&gt;&lt;dd&gt;&lt;/dd&gt;&lt;/dl&gt;</v>
      </c>
    </row>
    <row r="53" spans="2:7" x14ac:dyDescent="0.2">
      <c r="B53" s="7" t="s">
        <v>143</v>
      </c>
    </row>
    <row r="57" spans="2:7" ht="17.25" x14ac:dyDescent="0.2">
      <c r="B57" s="5" t="s">
        <v>144</v>
      </c>
    </row>
    <row r="58" spans="2:7" x14ac:dyDescent="0.2">
      <c r="B58" s="6"/>
    </row>
    <row r="59" spans="2:7" x14ac:dyDescent="0.2">
      <c r="B59" s="7" t="s">
        <v>145</v>
      </c>
    </row>
    <row r="60" spans="2:7" x14ac:dyDescent="0.2">
      <c r="B60" s="7" t="s">
        <v>146</v>
      </c>
    </row>
    <row r="61" spans="2:7" x14ac:dyDescent="0.2">
      <c r="B61" s="7" t="s">
        <v>147</v>
      </c>
    </row>
    <row r="64" spans="2:7" ht="17.25" x14ac:dyDescent="0.2">
      <c r="B64" s="5"/>
    </row>
    <row r="65" spans="2:2" x14ac:dyDescent="0.2">
      <c r="B65" s="6"/>
    </row>
    <row r="66" spans="2:2" x14ac:dyDescent="0.2">
      <c r="B66" s="7"/>
    </row>
    <row r="67" spans="2:2" x14ac:dyDescent="0.2">
      <c r="B67" s="6"/>
    </row>
    <row r="68" spans="2:2" x14ac:dyDescent="0.2">
      <c r="B68" s="9"/>
    </row>
    <row r="69" spans="2:2" x14ac:dyDescent="0.2">
      <c r="B69" s="9"/>
    </row>
    <row r="70" spans="2:2" x14ac:dyDescent="0.2">
      <c r="B70" s="7"/>
    </row>
    <row r="71" spans="2:2" x14ac:dyDescent="0.2">
      <c r="B71" s="6"/>
    </row>
    <row r="72" spans="2:2" x14ac:dyDescent="0.2">
      <c r="B72" s="9"/>
    </row>
    <row r="73" spans="2:2" x14ac:dyDescent="0.2">
      <c r="B73" s="9"/>
    </row>
    <row r="77" spans="2:2" ht="17.25" x14ac:dyDescent="0.2">
      <c r="B77" s="5"/>
    </row>
    <row r="80" spans="2:2" x14ac:dyDescent="0.2">
      <c r="B80" s="16"/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FF27-68BD-412A-A321-22A0C5D4D51F}">
  <dimension ref="B1:G82"/>
  <sheetViews>
    <sheetView topLeftCell="A23" zoomScaleNormal="100" workbookViewId="0">
      <selection activeCell="B1" sqref="B1:D42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148</v>
      </c>
      <c r="G1" t="str">
        <f>"&lt;dl&gt;&lt;dt&gt;" &amp; B1 &amp; "&lt;/dt&gt;&lt;dd&gt;" &amp; C1 &amp; "&lt;/dd&gt;&lt;dd&gt;" &amp; D1 &amp; "&lt;/dd&gt;&lt;/dl&gt;"</f>
        <v>&lt;dl&gt;&lt;dt&gt;紫微星​&lt;/dt&gt;&lt;dd&gt;&lt;/dd&gt;&lt;dd&gt;&lt;/dd&gt;&lt;/dl&gt;</v>
      </c>
    </row>
    <row r="3" spans="2:7" x14ac:dyDescent="0.2">
      <c r="B3" s="1" t="s">
        <v>149</v>
      </c>
    </row>
    <row r="4" spans="2:7" x14ac:dyDescent="0.2">
      <c r="B4" s="1" t="s">
        <v>150</v>
      </c>
    </row>
    <row r="5" spans="2:7" x14ac:dyDescent="0.2">
      <c r="B5" s="1" t="s">
        <v>151</v>
      </c>
    </row>
    <row r="6" spans="2:7" x14ac:dyDescent="0.2">
      <c r="B6" s="1" t="s">
        <v>152</v>
      </c>
    </row>
    <row r="9" spans="2:7" ht="17.25" x14ac:dyDescent="0.2">
      <c r="B9" s="5" t="s">
        <v>153</v>
      </c>
    </row>
    <row r="11" spans="2:7" x14ac:dyDescent="0.2">
      <c r="B11" t="s">
        <v>154</v>
      </c>
    </row>
    <row r="12" spans="2:7" x14ac:dyDescent="0.2">
      <c r="B12" s="2" t="s">
        <v>155</v>
      </c>
      <c r="C12" s="2" t="s">
        <v>156</v>
      </c>
      <c r="D12" s="2" t="s">
        <v>157</v>
      </c>
    </row>
    <row r="13" spans="2:7" x14ac:dyDescent="0.2">
      <c r="B13" s="3" t="s">
        <v>158</v>
      </c>
      <c r="C13" s="4" t="s">
        <v>159</v>
      </c>
      <c r="D13" s="4" t="s">
        <v>160</v>
      </c>
    </row>
    <row r="14" spans="2:7" x14ac:dyDescent="0.2">
      <c r="B14" s="3" t="s">
        <v>161</v>
      </c>
      <c r="C14" s="4" t="s">
        <v>162</v>
      </c>
      <c r="D14" s="4" t="s">
        <v>163</v>
      </c>
    </row>
    <row r="15" spans="2:7" ht="28.5" x14ac:dyDescent="0.2">
      <c r="B15" s="3" t="s">
        <v>164</v>
      </c>
      <c r="C15" s="4" t="s">
        <v>165</v>
      </c>
      <c r="D15" s="4" t="s">
        <v>166</v>
      </c>
    </row>
    <row r="16" spans="2:7" x14ac:dyDescent="0.2">
      <c r="B16" s="3" t="s">
        <v>167</v>
      </c>
      <c r="C16" s="4" t="s">
        <v>168</v>
      </c>
      <c r="D16" s="4" t="s">
        <v>169</v>
      </c>
    </row>
    <row r="17" spans="2:7" x14ac:dyDescent="0.2">
      <c r="B17" s="3" t="s">
        <v>170</v>
      </c>
      <c r="C17" s="4" t="s">
        <v>171</v>
      </c>
      <c r="D17" s="4" t="s">
        <v>172</v>
      </c>
    </row>
    <row r="20" spans="2:7" ht="17.25" x14ac:dyDescent="0.2">
      <c r="B20" s="5" t="s">
        <v>173</v>
      </c>
    </row>
    <row r="22" spans="2:7" ht="15" thickBot="1" x14ac:dyDescent="0.25">
      <c r="B22" t="s">
        <v>174</v>
      </c>
    </row>
    <row r="23" spans="2:7" ht="16.5" thickBot="1" x14ac:dyDescent="0.25">
      <c r="B23" s="2" t="s">
        <v>175</v>
      </c>
      <c r="C23" s="2" t="s">
        <v>176</v>
      </c>
      <c r="D23" s="2" t="s">
        <v>177</v>
      </c>
      <c r="E23" s="12"/>
    </row>
    <row r="24" spans="2:7" ht="16.5" thickBot="1" x14ac:dyDescent="0.25">
      <c r="B24" s="3" t="s">
        <v>178</v>
      </c>
      <c r="C24" s="4" t="s">
        <v>179</v>
      </c>
      <c r="D24" s="4" t="s">
        <v>180</v>
      </c>
      <c r="E24" s="15"/>
      <c r="G24" t="str">
        <f t="shared" ref="G24:G52" si="0">"&lt;dl&gt;&lt;dt&gt;" &amp; B24 &amp; "&lt;/dt&gt;&lt;dd&gt;" &amp; C24 &amp; "&lt;/dd&gt;&lt;dd&gt;" &amp; D24 &amp; "&lt;/dd&gt;&lt;/dl&gt;"</f>
        <v>&lt;dl&gt;&lt;dt&gt;文昌​&lt;/dt&gt;&lt;dd&gt;传播权威内容（官方宣言/专利文书）&lt;/dd&gt;&lt;dd&gt;扭曲重要信息（谣言惑众/政策歪曲）&lt;/dd&gt;&lt;/dl&gt;</v>
      </c>
    </row>
    <row r="25" spans="2:7" ht="16.5" thickBot="1" x14ac:dyDescent="0.25">
      <c r="B25" s="3" t="s">
        <v>181</v>
      </c>
      <c r="C25" s="4" t="s">
        <v>182</v>
      </c>
      <c r="D25" s="4" t="s">
        <v>183</v>
      </c>
      <c r="E25" s="15"/>
      <c r="G25" t="str">
        <f t="shared" si="0"/>
        <v>&lt;dl&gt;&lt;dt&gt;文曲​&lt;/dt&gt;&lt;dd&gt;顶级文化内容（传世名作/核心机密）&lt;/dd&gt;&lt;dd&gt;内容空洞浮夸（虚假广告/学术造假）&lt;/dd&gt;&lt;/dl&gt;</v>
      </c>
    </row>
    <row r="26" spans="2:7" ht="16.5" thickBot="1" x14ac:dyDescent="0.25">
      <c r="B26" s="3" t="s">
        <v>184</v>
      </c>
      <c r="C26" s="4" t="s">
        <v>185</v>
      </c>
      <c r="D26" s="4" t="s">
        <v>186</v>
      </c>
      <c r="E26" s="15"/>
      <c r="G26" t="str">
        <f t="shared" si="0"/>
        <v>&lt;dl&gt;&lt;dt&gt;左辅​&lt;/dt&gt;&lt;dd&gt;多重尊贵（双领导制/多学位）&lt;/dd&gt;&lt;dd&gt;权威分散（多头管理混乱）&lt;/dd&gt;&lt;/dl&gt;</v>
      </c>
    </row>
    <row r="27" spans="2:7" ht="16.5" thickBot="1" x14ac:dyDescent="0.25">
      <c r="B27" s="3" t="s">
        <v>187</v>
      </c>
      <c r="C27" s="4" t="s">
        <v>188</v>
      </c>
      <c r="D27" s="4" t="s">
        <v>189</v>
      </c>
      <c r="E27" s="15"/>
      <c r="G27" t="str">
        <f t="shared" si="0"/>
        <v>&lt;dl&gt;&lt;dt&gt;火星​&lt;/dt&gt;&lt;dd&gt;高速高调（火箭发射/明星走红）&lt;/dd&gt;&lt;dd&gt;尊贵被焚（名人丑闻/大厦火灾）&lt;/dd&gt;&lt;/dl&gt;</v>
      </c>
    </row>
    <row r="28" spans="2:7" ht="16.5" thickBot="1" x14ac:dyDescent="0.25">
      <c r="B28" s="3" t="s">
        <v>190</v>
      </c>
      <c r="C28" s="4" t="s">
        <v>191</v>
      </c>
      <c r="D28" s="4" t="s">
        <v>192</v>
      </c>
      <c r="E28" s="15"/>
      <c r="G28" t="str">
        <f t="shared" si="0"/>
        <v>&lt;dl&gt;&lt;dt&gt;擎羊​&lt;/dt&gt;&lt;dd&gt;权威切割（重大改革/外科手术）&lt;/dd&gt;&lt;dd&gt;尊贵受损（毁容/降职）&lt;/dd&gt;&lt;/dl&gt;</v>
      </c>
    </row>
    <row r="29" spans="2:7" ht="16.5" thickBot="1" x14ac:dyDescent="0.25">
      <c r="B29" s="3" t="s">
        <v>193</v>
      </c>
      <c r="C29" s="4" t="s">
        <v>194</v>
      </c>
      <c r="D29" s="4" t="s">
        <v>195</v>
      </c>
      <c r="E29" s="15"/>
      <c r="G29" t="str">
        <f t="shared" si="0"/>
        <v>&lt;dl&gt;&lt;dt&gt;地劫​&lt;/dt&gt;&lt;dd&gt;失去唯一性（皇权颠覆/专利失效）&lt;/dd&gt;&lt;dd&gt;表面尊贵实则空洞（镀金首饰）&lt;/dd&gt;&lt;/dl&gt;</v>
      </c>
    </row>
    <row r="30" spans="2:7" ht="28.5" x14ac:dyDescent="0.2">
      <c r="B30" s="3" t="s">
        <v>196</v>
      </c>
      <c r="C30" s="4" t="s">
        <v>197</v>
      </c>
      <c r="D30" s="4" t="s">
        <v>198</v>
      </c>
    </row>
    <row r="33" spans="2:7" ht="18" thickBot="1" x14ac:dyDescent="0.25">
      <c r="B33" s="5" t="s">
        <v>199</v>
      </c>
    </row>
    <row r="34" spans="2:7" ht="16.5" thickBot="1" x14ac:dyDescent="0.25">
      <c r="E34" s="12"/>
    </row>
    <row r="35" spans="2:7" ht="16.5" thickBot="1" x14ac:dyDescent="0.25">
      <c r="B35" s="2" t="s">
        <v>200</v>
      </c>
      <c r="C35" s="2" t="s">
        <v>156</v>
      </c>
      <c r="D35" s="2" t="s">
        <v>157</v>
      </c>
      <c r="E35" s="15"/>
      <c r="G35" t="str">
        <f t="shared" si="0"/>
        <v>&lt;dl&gt;&lt;dt&gt;宫位&lt;/dt&gt;&lt;dd&gt;庙旺（7-10）象义&lt;/dd&gt;&lt;dd&gt;落陷（1-3）象义&lt;/dd&gt;&lt;/dl&gt;</v>
      </c>
    </row>
    <row r="36" spans="2:7" ht="16.5" thickBot="1" x14ac:dyDescent="0.25">
      <c r="B36" s="3" t="s">
        <v>201</v>
      </c>
      <c r="C36" s="4" t="s">
        <v>202</v>
      </c>
      <c r="D36" s="4" t="s">
        <v>203</v>
      </c>
      <c r="E36" s="15"/>
      <c r="G36" t="str">
        <f t="shared" si="0"/>
        <v>&lt;dl&gt;&lt;dt&gt;命宫​&lt;/dt&gt;&lt;dd&gt;天生贵气（领袖气质/学霸）&lt;/dd&gt;&lt;dd&gt;孤高自负（人缘差/眼高手低）&lt;/dd&gt;&lt;/dl&gt;</v>
      </c>
    </row>
    <row r="37" spans="2:7" ht="16.5" thickBot="1" x14ac:dyDescent="0.25">
      <c r="B37" s="3" t="s">
        <v>3</v>
      </c>
      <c r="C37" s="4" t="s">
        <v>204</v>
      </c>
      <c r="D37" s="4" t="s">
        <v>205</v>
      </c>
      <c r="E37" s="15"/>
      <c r="G37" t="str">
        <f t="shared" si="0"/>
        <v>&lt;dl&gt;&lt;dt&gt;财帛宫​&lt;/dt&gt;&lt;dd&gt;体面收入（高薪/遗产）&lt;/dd&gt;&lt;dd&gt;虚耗钱财（充大款/投资泡沫）&lt;/dd&gt;&lt;/dl&gt;</v>
      </c>
    </row>
    <row r="38" spans="2:7" ht="16.5" thickBot="1" x14ac:dyDescent="0.25">
      <c r="B38" s="3" t="s">
        <v>206</v>
      </c>
      <c r="C38" s="4" t="s">
        <v>207</v>
      </c>
      <c r="D38" s="4" t="s">
        <v>208</v>
      </c>
      <c r="E38" s="15"/>
      <c r="G38" t="str">
        <f t="shared" si="0"/>
        <v>&lt;dl&gt;&lt;dt&gt;官禄宫​&lt;/dt&gt;&lt;dd&gt;管理阶层（CEO/公务员）&lt;/dd&gt;&lt;dd&gt;空有头衔（傀儡领导/闲职）&lt;/dd&gt;&lt;/dl&gt;</v>
      </c>
    </row>
    <row r="39" spans="2:7" ht="16.5" thickBot="1" x14ac:dyDescent="0.25">
      <c r="B39" s="3" t="s">
        <v>0</v>
      </c>
      <c r="C39" s="4" t="s">
        <v>209</v>
      </c>
      <c r="D39" s="4" t="s">
        <v>210</v>
      </c>
      <c r="E39" s="15"/>
      <c r="G39" t="str">
        <f t="shared" si="0"/>
        <v>&lt;dl&gt;&lt;dt&gt;田宅宫​&lt;/dt&gt;&lt;dd&gt;豪华房产（别墅/地标建筑）&lt;/dd&gt;&lt;dd&gt;家道中落（抵押豪宅/凶宅）&lt;/dd&gt;&lt;/dl&gt;</v>
      </c>
    </row>
    <row r="40" spans="2:7" ht="16.5" thickBot="1" x14ac:dyDescent="0.25">
      <c r="B40" s="3" t="s">
        <v>6</v>
      </c>
      <c r="C40" s="4" t="s">
        <v>211</v>
      </c>
      <c r="D40" s="4" t="s">
        <v>212</v>
      </c>
      <c r="E40" s="15"/>
      <c r="G40" t="str">
        <f t="shared" si="0"/>
        <v>&lt;dl&gt;&lt;dt&gt;疾厄宫​&lt;/dt&gt;&lt;dd&gt;重要器官病（心脏病/脑瘤）&lt;/dd&gt;&lt;dd&gt;脾胃虚弱（富贵病/消化不良）&lt;/dd&gt;&lt;/dl&gt;</v>
      </c>
    </row>
    <row r="41" spans="2:7" ht="16.5" thickBot="1" x14ac:dyDescent="0.25">
      <c r="B41" s="3" t="s">
        <v>15</v>
      </c>
      <c r="C41" s="4" t="s">
        <v>213</v>
      </c>
      <c r="D41" s="4" t="s">
        <v>214</v>
      </c>
      <c r="E41" s="15"/>
      <c r="G41" t="str">
        <f t="shared" si="0"/>
        <v>&lt;dl&gt;&lt;dt&gt;迁移宫​&lt;/dt&gt;&lt;dd&gt;出入高端场所（国际会议/贵族学校）&lt;/dd&gt;&lt;dd&gt;虚张声势（装阔/蹭高端场合）&lt;/dd&gt;&lt;/dl&gt;</v>
      </c>
    </row>
    <row r="42" spans="2:7" ht="16.5" thickBot="1" x14ac:dyDescent="0.25">
      <c r="E42" s="15"/>
      <c r="G42" t="str">
        <f t="shared" si="0"/>
        <v>&lt;dl&gt;&lt;dt&gt;&lt;/dt&gt;&lt;dd&gt;&lt;/dd&gt;&lt;dd&gt;&lt;/dd&gt;&lt;/dl&gt;</v>
      </c>
    </row>
    <row r="43" spans="2:7" ht="16.5" thickBot="1" x14ac:dyDescent="0.25">
      <c r="B43" s="14"/>
      <c r="C43" s="15"/>
      <c r="D43" s="15"/>
      <c r="E43" s="15"/>
      <c r="G43" t="str">
        <f t="shared" si="0"/>
        <v>&lt;dl&gt;&lt;dt&gt;&lt;/dt&gt;&lt;dd&gt;&lt;/dd&gt;&lt;dd&gt;&lt;/dd&gt;&lt;/dl&gt;</v>
      </c>
    </row>
    <row r="46" spans="2:7" ht="17.25" x14ac:dyDescent="0.2">
      <c r="B46" s="5"/>
    </row>
    <row r="47" spans="2:7" ht="16.5" thickBot="1" x14ac:dyDescent="0.25">
      <c r="B47" s="11"/>
    </row>
    <row r="48" spans="2:7" ht="16.5" thickBot="1" x14ac:dyDescent="0.25">
      <c r="B48" s="12"/>
      <c r="C48" s="12"/>
      <c r="D48" s="12"/>
      <c r="E48" s="12"/>
    </row>
    <row r="49" spans="2:7" ht="16.5" thickBot="1" x14ac:dyDescent="0.25">
      <c r="B49" s="14"/>
      <c r="C49" s="15"/>
      <c r="D49" s="15"/>
      <c r="E49" s="15"/>
      <c r="G49" t="str">
        <f t="shared" si="0"/>
        <v>&lt;dl&gt;&lt;dt&gt;&lt;/dt&gt;&lt;dd&gt;&lt;/dd&gt;&lt;dd&gt;&lt;/dd&gt;&lt;/dl&gt;</v>
      </c>
    </row>
    <row r="50" spans="2:7" ht="16.5" thickBot="1" x14ac:dyDescent="0.25">
      <c r="B50" s="14"/>
      <c r="C50" s="15"/>
      <c r="D50" s="15"/>
      <c r="E50" s="15"/>
      <c r="G50" t="str">
        <f t="shared" si="0"/>
        <v>&lt;dl&gt;&lt;dt&gt;&lt;/dt&gt;&lt;dd&gt;&lt;/dd&gt;&lt;dd&gt;&lt;/dd&gt;&lt;/dl&gt;</v>
      </c>
    </row>
    <row r="51" spans="2:7" ht="16.5" thickBot="1" x14ac:dyDescent="0.25">
      <c r="B51" s="14"/>
      <c r="C51" s="15"/>
      <c r="D51" s="15"/>
      <c r="E51" s="15"/>
      <c r="G51" t="str">
        <f t="shared" si="0"/>
        <v>&lt;dl&gt;&lt;dt&gt;&lt;/dt&gt;&lt;dd&gt;&lt;/dd&gt;&lt;dd&gt;&lt;/dd&gt;&lt;/dl&gt;</v>
      </c>
    </row>
    <row r="52" spans="2:7" ht="16.5" thickBot="1" x14ac:dyDescent="0.25">
      <c r="B52" s="14"/>
      <c r="C52" s="15"/>
      <c r="D52" s="15"/>
      <c r="E52" s="15"/>
      <c r="G52" t="str">
        <f t="shared" si="0"/>
        <v>&lt;dl&gt;&lt;dt&gt;&lt;/dt&gt;&lt;dd&gt;&lt;/dd&gt;&lt;dd&gt;&lt;/dd&gt;&lt;/dl&gt;</v>
      </c>
    </row>
    <row r="55" spans="2:7" ht="17.25" x14ac:dyDescent="0.2">
      <c r="B55" s="5"/>
    </row>
    <row r="56" spans="2:7" x14ac:dyDescent="0.2">
      <c r="B56" s="6"/>
    </row>
    <row r="57" spans="2:7" x14ac:dyDescent="0.2">
      <c r="B57" s="7"/>
    </row>
    <row r="58" spans="2:7" x14ac:dyDescent="0.2">
      <c r="B58" s="6"/>
    </row>
    <row r="59" spans="2:7" x14ac:dyDescent="0.2">
      <c r="B59" s="8"/>
    </row>
    <row r="60" spans="2:7" x14ac:dyDescent="0.2">
      <c r="B60" s="8"/>
    </row>
    <row r="64" spans="2:7" ht="17.25" x14ac:dyDescent="0.2">
      <c r="B64" s="5"/>
    </row>
    <row r="65" spans="2:2" x14ac:dyDescent="0.2">
      <c r="B65" s="6"/>
    </row>
    <row r="66" spans="2:2" x14ac:dyDescent="0.2">
      <c r="B66" s="7"/>
    </row>
    <row r="67" spans="2:2" x14ac:dyDescent="0.2">
      <c r="B67" s="6"/>
    </row>
    <row r="68" spans="2:2" x14ac:dyDescent="0.2">
      <c r="B68" s="9"/>
    </row>
    <row r="69" spans="2:2" x14ac:dyDescent="0.2">
      <c r="B69" s="9"/>
    </row>
    <row r="70" spans="2:2" x14ac:dyDescent="0.2">
      <c r="B70" s="7"/>
    </row>
    <row r="71" spans="2:2" x14ac:dyDescent="0.2">
      <c r="B71" s="6"/>
    </row>
    <row r="72" spans="2:2" x14ac:dyDescent="0.2">
      <c r="B72" s="9"/>
    </row>
    <row r="73" spans="2:2" x14ac:dyDescent="0.2">
      <c r="B73" s="9"/>
    </row>
    <row r="77" spans="2:2" ht="17.25" x14ac:dyDescent="0.2">
      <c r="B77" s="5"/>
    </row>
    <row r="80" spans="2:2" x14ac:dyDescent="0.2">
      <c r="B80" s="16"/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4D9AC-1DF9-4960-B778-9A598C4E8869}">
  <dimension ref="B1:G82"/>
  <sheetViews>
    <sheetView topLeftCell="A41" zoomScaleNormal="100" workbookViewId="0">
      <selection activeCell="B1" sqref="B1:D75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215</v>
      </c>
      <c r="G1" t="str">
        <f>"&lt;dl&gt;&lt;dt&gt;" &amp; B1 &amp; "&lt;/dt&gt;&lt;dd&gt;" &amp; C1 &amp; "&lt;/dd&gt;&lt;dd&gt;" &amp; D1 &amp; "&lt;/dd&gt;&lt;/dl&gt;"</f>
        <v>&lt;dl&gt;&lt;dt&gt;一、巨门定义​&lt;/dt&gt;&lt;dd&gt;&lt;/dd&gt;&lt;dd&gt;&lt;/dd&gt;&lt;/dl&gt;</v>
      </c>
    </row>
    <row r="3" spans="2:7" x14ac:dyDescent="0.2">
      <c r="B3" s="1" t="s">
        <v>216</v>
      </c>
    </row>
    <row r="4" spans="2:7" x14ac:dyDescent="0.2">
      <c r="B4" s="6"/>
    </row>
    <row r="5" spans="2:7" x14ac:dyDescent="0.2">
      <c r="B5" s="7" t="s">
        <v>217</v>
      </c>
    </row>
    <row r="6" spans="2:7" x14ac:dyDescent="0.2">
      <c r="B6" s="7" t="s">
        <v>218</v>
      </c>
    </row>
    <row r="7" spans="2:7" x14ac:dyDescent="0.2">
      <c r="B7" s="7" t="s">
        <v>219</v>
      </c>
    </row>
    <row r="8" spans="2:7" x14ac:dyDescent="0.2">
      <c r="B8" s="7" t="s">
        <v>220</v>
      </c>
    </row>
    <row r="12" spans="2:7" ht="17.25" x14ac:dyDescent="0.2">
      <c r="B12" s="5" t="s">
        <v>221</v>
      </c>
    </row>
    <row r="14" spans="2:7" x14ac:dyDescent="0.2">
      <c r="B14" s="2" t="s">
        <v>18</v>
      </c>
      <c r="C14" s="2" t="s">
        <v>222</v>
      </c>
      <c r="D14" s="2" t="s">
        <v>223</v>
      </c>
    </row>
    <row r="15" spans="2:7" ht="28.5" x14ac:dyDescent="0.2">
      <c r="B15" s="3" t="s">
        <v>201</v>
      </c>
      <c r="C15" s="4" t="s">
        <v>224</v>
      </c>
      <c r="D15" s="4" t="s">
        <v>225</v>
      </c>
    </row>
    <row r="16" spans="2:7" ht="28.5" x14ac:dyDescent="0.2">
      <c r="B16" s="3" t="s">
        <v>9</v>
      </c>
      <c r="C16" s="4" t="s">
        <v>226</v>
      </c>
      <c r="D16" s="4" t="s">
        <v>227</v>
      </c>
    </row>
    <row r="17" spans="2:7" x14ac:dyDescent="0.2">
      <c r="B17" s="3" t="s">
        <v>116</v>
      </c>
      <c r="C17" s="4" t="s">
        <v>228</v>
      </c>
      <c r="D17" s="4" t="s">
        <v>229</v>
      </c>
    </row>
    <row r="18" spans="2:7" x14ac:dyDescent="0.2">
      <c r="B18" s="3" t="s">
        <v>0</v>
      </c>
      <c r="C18" s="4" t="s">
        <v>230</v>
      </c>
      <c r="D18" s="4" t="s">
        <v>231</v>
      </c>
    </row>
    <row r="19" spans="2:7" x14ac:dyDescent="0.2">
      <c r="B19" s="3" t="s">
        <v>206</v>
      </c>
      <c r="C19" s="4" t="s">
        <v>232</v>
      </c>
      <c r="D19" s="4" t="s">
        <v>233</v>
      </c>
    </row>
    <row r="20" spans="2:7" x14ac:dyDescent="0.2">
      <c r="B20" s="3" t="s">
        <v>12</v>
      </c>
      <c r="C20" s="4" t="s">
        <v>234</v>
      </c>
      <c r="D20" s="4" t="s">
        <v>235</v>
      </c>
    </row>
    <row r="21" spans="2:7" x14ac:dyDescent="0.2">
      <c r="B21" s="3" t="s">
        <v>15</v>
      </c>
      <c r="C21" s="4" t="s">
        <v>236</v>
      </c>
      <c r="D21" s="4" t="s">
        <v>237</v>
      </c>
    </row>
    <row r="22" spans="2:7" ht="15" thickBot="1" x14ac:dyDescent="0.25">
      <c r="B22" s="3" t="s">
        <v>6</v>
      </c>
      <c r="C22" s="4" t="s">
        <v>238</v>
      </c>
      <c r="D22" s="4" t="s">
        <v>239</v>
      </c>
    </row>
    <row r="23" spans="2:7" ht="16.5" thickBot="1" x14ac:dyDescent="0.25">
      <c r="B23" s="3" t="s">
        <v>3</v>
      </c>
      <c r="C23" s="4" t="s">
        <v>240</v>
      </c>
      <c r="D23" s="4" t="s">
        <v>241</v>
      </c>
      <c r="E23" s="12"/>
    </row>
    <row r="24" spans="2:7" ht="16.5" thickBot="1" x14ac:dyDescent="0.25">
      <c r="B24" s="3" t="s">
        <v>128</v>
      </c>
      <c r="C24" s="4" t="s">
        <v>242</v>
      </c>
      <c r="D24" s="4" t="s">
        <v>243</v>
      </c>
      <c r="E24" s="15"/>
      <c r="G24" t="str">
        <f t="shared" ref="G24:G52" si="0">"&lt;dl&gt;&lt;dt&gt;" &amp; B24 &amp; "&lt;/dt&gt;&lt;dd&gt;" &amp; C24 &amp; "&lt;/dd&gt;&lt;dd&gt;" &amp; D24 &amp; "&lt;/dd&gt;&lt;/dl&gt;"</f>
        <v>&lt;dl&gt;&lt;dt&gt;子女宫​&lt;/dt&gt;&lt;dd&gt;生育通道：+天喜=顺产；+天刑=剖腹产&lt;/dd&gt;&lt;dd&gt;儿童语言障碍；青春期叛逆&lt;/dd&gt;&lt;/dl&gt;</v>
      </c>
    </row>
    <row r="25" spans="2:7" ht="16.5" thickBot="1" x14ac:dyDescent="0.25">
      <c r="B25" s="3" t="s">
        <v>125</v>
      </c>
      <c r="C25" s="4" t="s">
        <v>244</v>
      </c>
      <c r="D25" s="4" t="s">
        <v>245</v>
      </c>
      <c r="E25" s="15"/>
      <c r="G25" t="str">
        <f t="shared" si="0"/>
        <v>&lt;dl&gt;&lt;dt&gt;夫妻宫​&lt;/dt&gt;&lt;dd&gt;感情沟通：庙旺=甜言蜜语；落陷+巨门忌=冷战&lt;/dd&gt;&lt;dd&gt;离婚协议；婚外情曝光&lt;/dd&gt;&lt;/dl&gt;</v>
      </c>
    </row>
    <row r="26" spans="2:7" ht="16.5" thickBot="1" x14ac:dyDescent="0.25">
      <c r="B26" s="3" t="s">
        <v>246</v>
      </c>
      <c r="C26" s="4" t="s">
        <v>247</v>
      </c>
      <c r="D26" s="4" t="s">
        <v>248</v>
      </c>
      <c r="E26" s="15"/>
      <c r="G26" t="str">
        <f t="shared" si="0"/>
        <v>&lt;dl&gt;&lt;dt&gt;兄弟宫​&lt;/dt&gt;&lt;dd&gt;手足隔阂：+右弼=替兄弟代言；+天哭=兄弟反目&lt;/dd&gt;&lt;dd&gt;遗产争夺；合伙纠纷&lt;/dd&gt;&lt;/dl&gt;</v>
      </c>
    </row>
    <row r="27" spans="2:7" ht="16.5" thickBot="1" x14ac:dyDescent="0.25">
      <c r="E27" s="15"/>
      <c r="G27" t="str">
        <f t="shared" si="0"/>
        <v>&lt;dl&gt;&lt;dt&gt;&lt;/dt&gt;&lt;dd&gt;&lt;/dd&gt;&lt;dd&gt;&lt;/dd&gt;&lt;/dl&gt;</v>
      </c>
    </row>
    <row r="28" spans="2:7" ht="16.5" thickBot="1" x14ac:dyDescent="0.25">
      <c r="E28" s="15"/>
      <c r="G28" t="str">
        <f t="shared" si="0"/>
        <v>&lt;dl&gt;&lt;dt&gt;&lt;/dt&gt;&lt;dd&gt;&lt;/dd&gt;&lt;dd&gt;&lt;/dd&gt;&lt;/dl&gt;</v>
      </c>
    </row>
    <row r="29" spans="2:7" ht="18" thickBot="1" x14ac:dyDescent="0.25">
      <c r="B29" s="5" t="s">
        <v>249</v>
      </c>
      <c r="E29" s="15"/>
      <c r="G29" t="str">
        <f t="shared" si="0"/>
        <v>&lt;dl&gt;&lt;dt&gt;三、四化象义​&lt;/dt&gt;&lt;dd&gt;&lt;/dd&gt;&lt;dd&gt;&lt;/dd&gt;&lt;/dl&gt;</v>
      </c>
    </row>
    <row r="31" spans="2:7" x14ac:dyDescent="0.2">
      <c r="B31" s="2" t="s">
        <v>250</v>
      </c>
      <c r="C31" s="2" t="s">
        <v>251</v>
      </c>
      <c r="D31" s="2" t="s">
        <v>252</v>
      </c>
    </row>
    <row r="32" spans="2:7" x14ac:dyDescent="0.2">
      <c r="B32" s="3" t="s">
        <v>253</v>
      </c>
      <c r="C32" s="4" t="s">
        <v>254</v>
      </c>
      <c r="D32" s="4" t="s">
        <v>255</v>
      </c>
    </row>
    <row r="33" spans="2:7" ht="15" thickBot="1" x14ac:dyDescent="0.25">
      <c r="B33" s="3" t="s">
        <v>256</v>
      </c>
      <c r="C33" s="4" t="s">
        <v>257</v>
      </c>
      <c r="D33" s="4" t="s">
        <v>258</v>
      </c>
    </row>
    <row r="34" spans="2:7" ht="16.5" thickBot="1" x14ac:dyDescent="0.25">
      <c r="B34" s="3" t="s">
        <v>259</v>
      </c>
      <c r="C34" s="4" t="s">
        <v>260</v>
      </c>
      <c r="D34" s="4" t="s">
        <v>261</v>
      </c>
      <c r="E34" s="12"/>
    </row>
    <row r="35" spans="2:7" ht="16.5" thickBot="1" x14ac:dyDescent="0.25">
      <c r="B35" s="3" t="s">
        <v>262</v>
      </c>
      <c r="C35" s="4" t="s">
        <v>263</v>
      </c>
      <c r="D35" s="4" t="s">
        <v>264</v>
      </c>
      <c r="E35" s="15"/>
      <c r="G35" t="str">
        <f t="shared" si="0"/>
        <v>&lt;dl&gt;&lt;dt&gt;化忌​&lt;/dt&gt;&lt;dd&gt;言多必失（诉讼败诉、机密泄露）&lt;/dd&gt;&lt;dd&gt;沟通绝境（失语症、社交恐惧）&lt;/dd&gt;&lt;/dl&gt;</v>
      </c>
    </row>
    <row r="36" spans="2:7" ht="16.5" thickBot="1" x14ac:dyDescent="0.25">
      <c r="E36" s="15"/>
      <c r="G36" t="str">
        <f t="shared" si="0"/>
        <v>&lt;dl&gt;&lt;dt&gt;&lt;/dt&gt;&lt;dd&gt;&lt;/dd&gt;&lt;dd&gt;&lt;/dd&gt;&lt;/dl&gt;</v>
      </c>
    </row>
    <row r="37" spans="2:7" ht="16.5" thickBot="1" x14ac:dyDescent="0.25">
      <c r="E37" s="15"/>
      <c r="G37" t="str">
        <f t="shared" si="0"/>
        <v>&lt;dl&gt;&lt;dt&gt;&lt;/dt&gt;&lt;dd&gt;&lt;/dd&gt;&lt;dd&gt;&lt;/dd&gt;&lt;/dl&gt;</v>
      </c>
    </row>
    <row r="38" spans="2:7" ht="18" thickBot="1" x14ac:dyDescent="0.25">
      <c r="B38" s="5" t="s">
        <v>265</v>
      </c>
      <c r="E38" s="15"/>
      <c r="G38" t="str">
        <f t="shared" si="0"/>
        <v>&lt;dl&gt;&lt;dt&gt;四、辅星组合象义​&lt;/dt&gt;&lt;dd&gt;&lt;/dd&gt;&lt;dd&gt;&lt;/dd&gt;&lt;/dl&gt;</v>
      </c>
    </row>
    <row r="39" spans="2:7" ht="16.5" thickBot="1" x14ac:dyDescent="0.25">
      <c r="E39" s="15"/>
      <c r="G39" t="str">
        <f t="shared" si="0"/>
        <v>&lt;dl&gt;&lt;dt&gt;&lt;/dt&gt;&lt;dd&gt;&lt;/dd&gt;&lt;dd&gt;&lt;/dd&gt;&lt;/dl&gt;</v>
      </c>
    </row>
    <row r="40" spans="2:7" ht="16.5" thickBot="1" x14ac:dyDescent="0.25">
      <c r="B40" s="2" t="s">
        <v>40</v>
      </c>
      <c r="C40" s="2" t="s">
        <v>266</v>
      </c>
      <c r="D40" s="2" t="s">
        <v>73</v>
      </c>
      <c r="E40" s="15"/>
      <c r="G40" t="str">
        <f t="shared" si="0"/>
        <v>&lt;dl&gt;&lt;dt&gt;辅星​&lt;/dt&gt;&lt;dd&gt;交互象义​&lt;/dd&gt;&lt;dd&gt;典型案例​&lt;/dd&gt;&lt;/dl&gt;</v>
      </c>
    </row>
    <row r="41" spans="2:7" ht="16.5" thickBot="1" x14ac:dyDescent="0.25">
      <c r="B41" s="3" t="s">
        <v>178</v>
      </c>
      <c r="C41" s="4" t="s">
        <v>267</v>
      </c>
      <c r="D41" s="4" t="s">
        <v>268</v>
      </c>
      <c r="E41" s="15"/>
      <c r="G41" t="str">
        <f t="shared" si="0"/>
        <v>&lt;dl&gt;&lt;dt&gt;文昌​&lt;/dt&gt;&lt;dd&gt;文书门路：+巨门=合同条款；化忌=文字陷阱&lt;/dd&gt;&lt;dd&gt;法律文件漏洞；学术抄袭&lt;/dd&gt;&lt;/dl&gt;</v>
      </c>
    </row>
    <row r="42" spans="2:7" ht="16.5" thickBot="1" x14ac:dyDescent="0.25">
      <c r="B42" s="3" t="s">
        <v>181</v>
      </c>
      <c r="C42" s="4" t="s">
        <v>269</v>
      </c>
      <c r="D42" s="4" t="s">
        <v>270</v>
      </c>
      <c r="E42" s="15"/>
      <c r="G42" t="str">
        <f t="shared" si="0"/>
        <v>&lt;dl&gt;&lt;dt&gt;文曲​&lt;/dt&gt;&lt;dd&gt;艺术表达：+巨门=声乐表演；化忌=歌词争议&lt;/dd&gt;&lt;dd&gt;演唱会口误；版权纠纷&lt;/dd&gt;&lt;/dl&gt;</v>
      </c>
    </row>
    <row r="43" spans="2:7" ht="16.5" thickBot="1" x14ac:dyDescent="0.25">
      <c r="B43" s="3" t="s">
        <v>271</v>
      </c>
      <c r="C43" s="4" t="s">
        <v>272</v>
      </c>
      <c r="D43" s="4" t="s">
        <v>273</v>
      </c>
      <c r="E43" s="15"/>
      <c r="G43" t="str">
        <f t="shared" si="0"/>
        <v>&lt;dl&gt;&lt;dt&gt;铃星​&lt;/dt&gt;&lt;dd&gt;言语摩擦：+巨门=争吵不休；+天刑=法庭辩论&lt;/dd&gt;&lt;dd&gt;夫妻骂战；网络骂战&lt;/dd&gt;&lt;/dl&gt;</v>
      </c>
    </row>
    <row r="44" spans="2:7" x14ac:dyDescent="0.2">
      <c r="B44" s="3" t="s">
        <v>190</v>
      </c>
      <c r="C44" s="4" t="s">
        <v>274</v>
      </c>
      <c r="D44" s="4" t="s">
        <v>275</v>
      </c>
    </row>
    <row r="45" spans="2:7" x14ac:dyDescent="0.2">
      <c r="B45" s="3" t="s">
        <v>276</v>
      </c>
      <c r="C45" s="4" t="s">
        <v>277</v>
      </c>
      <c r="D45" s="4" t="s">
        <v>278</v>
      </c>
    </row>
    <row r="46" spans="2:7" x14ac:dyDescent="0.2">
      <c r="B46" s="3" t="s">
        <v>279</v>
      </c>
      <c r="C46" s="4" t="s">
        <v>280</v>
      </c>
      <c r="D46" s="4" t="s">
        <v>281</v>
      </c>
    </row>
    <row r="47" spans="2:7" ht="15" thickBot="1" x14ac:dyDescent="0.25">
      <c r="B47" s="3" t="s">
        <v>193</v>
      </c>
      <c r="C47" s="4" t="s">
        <v>282</v>
      </c>
      <c r="D47" s="4" t="s">
        <v>283</v>
      </c>
    </row>
    <row r="48" spans="2:7" ht="16.5" thickBot="1" x14ac:dyDescent="0.25">
      <c r="B48" s="3" t="s">
        <v>284</v>
      </c>
      <c r="C48" s="4" t="s">
        <v>285</v>
      </c>
      <c r="D48" s="4" t="s">
        <v>286</v>
      </c>
      <c r="E48" s="12"/>
    </row>
    <row r="49" spans="2:7" ht="16.5" thickBot="1" x14ac:dyDescent="0.25">
      <c r="B49" s="3" t="s">
        <v>196</v>
      </c>
      <c r="C49" s="4" t="s">
        <v>287</v>
      </c>
      <c r="D49" s="4" t="s">
        <v>288</v>
      </c>
      <c r="E49" s="15"/>
      <c r="G49" t="str">
        <f t="shared" si="0"/>
        <v>&lt;dl&gt;&lt;dt&gt;阴煞​&lt;/dt&gt;&lt;dd&gt;隐秘门道：+巨门=间谍活动；+田宅=房屋闹鬼&lt;/dd&gt;&lt;dd&gt;窃听丑闻；风水煞位&lt;/dd&gt;&lt;/dl&gt;</v>
      </c>
    </row>
    <row r="50" spans="2:7" ht="16.5" thickBot="1" x14ac:dyDescent="0.25">
      <c r="B50" s="3" t="s">
        <v>289</v>
      </c>
      <c r="C50" s="4" t="s">
        <v>290</v>
      </c>
      <c r="D50" s="4" t="s">
        <v>291</v>
      </c>
      <c r="E50" s="15"/>
      <c r="G50" t="str">
        <f t="shared" si="0"/>
        <v>&lt;dl&gt;&lt;dt&gt;天喜​&lt;/dt&gt;&lt;dd&gt;喜庆之门：+巨门=婚礼致辞；+夫妻=表白成功&lt;/dd&gt;&lt;dd&gt;求婚宣言；庆典主持&lt;/dd&gt;&lt;/dl&gt;</v>
      </c>
    </row>
    <row r="51" spans="2:7" ht="16.5" thickBot="1" x14ac:dyDescent="0.25">
      <c r="B51" s="3" t="s">
        <v>292</v>
      </c>
      <c r="C51" s="4" t="s">
        <v>293</v>
      </c>
      <c r="D51" s="4" t="s">
        <v>294</v>
      </c>
      <c r="E51" s="15"/>
      <c r="G51" t="str">
        <f t="shared" si="0"/>
        <v>&lt;dl&gt;&lt;dt&gt;天姚​&lt;/dt&gt;&lt;dd&gt;桃色口舌：+巨门=暧昧短信；化忌=性丑闻&lt;/dd&gt;&lt;dd&gt;桃色绯闻；色情直播&lt;/dd&gt;&lt;/dl&gt;</v>
      </c>
    </row>
    <row r="52" spans="2:7" ht="16.5" thickBot="1" x14ac:dyDescent="0.25">
      <c r="E52" s="15"/>
      <c r="G52" t="str">
        <f t="shared" si="0"/>
        <v>&lt;dl&gt;&lt;dt&gt;&lt;/dt&gt;&lt;dd&gt;&lt;/dd&gt;&lt;dd&gt;&lt;/dd&gt;&lt;/dl&gt;</v>
      </c>
    </row>
    <row r="54" spans="2:7" ht="17.25" x14ac:dyDescent="0.2">
      <c r="B54" s="5" t="s">
        <v>295</v>
      </c>
    </row>
    <row r="55" spans="2:7" x14ac:dyDescent="0.2">
      <c r="B55" s="6"/>
    </row>
    <row r="56" spans="2:7" x14ac:dyDescent="0.2">
      <c r="B56" s="7" t="s">
        <v>296</v>
      </c>
    </row>
    <row r="57" spans="2:7" x14ac:dyDescent="0.2">
      <c r="B57" s="6"/>
    </row>
    <row r="58" spans="2:7" x14ac:dyDescent="0.2">
      <c r="B58" s="8" t="s">
        <v>297</v>
      </c>
    </row>
    <row r="59" spans="2:7" x14ac:dyDescent="0.2">
      <c r="B59" s="8" t="s">
        <v>298</v>
      </c>
    </row>
    <row r="60" spans="2:7" x14ac:dyDescent="0.2">
      <c r="B60" s="7" t="s">
        <v>299</v>
      </c>
    </row>
    <row r="61" spans="2:7" x14ac:dyDescent="0.2">
      <c r="B61" s="6"/>
    </row>
    <row r="62" spans="2:7" x14ac:dyDescent="0.2">
      <c r="B62" s="8" t="s">
        <v>300</v>
      </c>
    </row>
    <row r="63" spans="2:7" x14ac:dyDescent="0.2">
      <c r="B63" s="8" t="s">
        <v>301</v>
      </c>
    </row>
    <row r="64" spans="2:7" x14ac:dyDescent="0.2">
      <c r="B64" s="7" t="s">
        <v>302</v>
      </c>
    </row>
    <row r="65" spans="2:2" x14ac:dyDescent="0.2">
      <c r="B65" s="6"/>
    </row>
    <row r="66" spans="2:2" x14ac:dyDescent="0.2">
      <c r="B66" s="8" t="s">
        <v>303</v>
      </c>
    </row>
    <row r="67" spans="2:2" x14ac:dyDescent="0.2">
      <c r="B67" s="8" t="s">
        <v>304</v>
      </c>
    </row>
    <row r="71" spans="2:2" ht="17.25" x14ac:dyDescent="0.2">
      <c r="B71" s="5" t="s">
        <v>305</v>
      </c>
    </row>
    <row r="72" spans="2:2" x14ac:dyDescent="0.2">
      <c r="B72" s="6"/>
    </row>
    <row r="73" spans="2:2" x14ac:dyDescent="0.2">
      <c r="B73" s="7" t="s">
        <v>306</v>
      </c>
    </row>
    <row r="74" spans="2:2" x14ac:dyDescent="0.2">
      <c r="B74" s="7" t="s">
        <v>307</v>
      </c>
    </row>
    <row r="75" spans="2:2" x14ac:dyDescent="0.2">
      <c r="B75" s="7" t="s">
        <v>308</v>
      </c>
    </row>
    <row r="77" spans="2:2" ht="17.25" x14ac:dyDescent="0.2">
      <c r="B77" s="5"/>
    </row>
    <row r="80" spans="2:2" x14ac:dyDescent="0.2">
      <c r="B80" s="16"/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AD34D-9C04-46FE-B9B6-159E05180FD0}">
  <dimension ref="B1:G82"/>
  <sheetViews>
    <sheetView topLeftCell="A48" zoomScaleNormal="100" workbookViewId="0">
      <selection activeCell="C82" sqref="C82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309</v>
      </c>
      <c r="G1" t="str">
        <f>"&lt;dl&gt;&lt;dt&gt;" &amp; B1 &amp; "&lt;/dt&gt;&lt;dd&gt;" &amp; C1 &amp; "&lt;/dd&gt;&lt;dd&gt;" &amp; D1 &amp; "&lt;/dd&gt;&lt;/dl&gt;"</f>
        <v>&lt;dl&gt;&lt;dt&gt;一、天机定义​&lt;/dt&gt;&lt;dd&gt;&lt;/dd&gt;&lt;dd&gt;&lt;/dd&gt;&lt;/dl&gt;</v>
      </c>
    </row>
    <row r="3" spans="2:7" x14ac:dyDescent="0.2">
      <c r="B3" s="1" t="s">
        <v>310</v>
      </c>
    </row>
    <row r="4" spans="2:7" x14ac:dyDescent="0.2">
      <c r="B4" s="1" t="s">
        <v>311</v>
      </c>
    </row>
    <row r="5" spans="2:7" x14ac:dyDescent="0.2">
      <c r="B5" s="1" t="s">
        <v>312</v>
      </c>
    </row>
    <row r="6" spans="2:7" x14ac:dyDescent="0.2">
      <c r="B6" s="1" t="s">
        <v>313</v>
      </c>
    </row>
    <row r="7" spans="2:7" x14ac:dyDescent="0.2">
      <c r="B7" s="6"/>
    </row>
    <row r="8" spans="2:7" x14ac:dyDescent="0.2">
      <c r="B8" s="7" t="s">
        <v>314</v>
      </c>
    </row>
    <row r="9" spans="2:7" x14ac:dyDescent="0.2">
      <c r="B9" s="7" t="s">
        <v>315</v>
      </c>
    </row>
    <row r="10" spans="2:7" x14ac:dyDescent="0.2">
      <c r="B10" s="7" t="s">
        <v>316</v>
      </c>
    </row>
    <row r="14" spans="2:7" ht="17.25" x14ac:dyDescent="0.2">
      <c r="B14" s="5" t="s">
        <v>317</v>
      </c>
    </row>
    <row r="16" spans="2:7" x14ac:dyDescent="0.2">
      <c r="B16" s="2" t="s">
        <v>18</v>
      </c>
      <c r="C16" s="2" t="s">
        <v>222</v>
      </c>
      <c r="D16" s="2" t="s">
        <v>318</v>
      </c>
    </row>
    <row r="17" spans="2:7" x14ac:dyDescent="0.2">
      <c r="B17" s="3" t="s">
        <v>201</v>
      </c>
      <c r="C17" s="4" t="s">
        <v>319</v>
      </c>
      <c r="D17" s="4" t="s">
        <v>320</v>
      </c>
    </row>
    <row r="18" spans="2:7" x14ac:dyDescent="0.2">
      <c r="B18" s="3" t="s">
        <v>9</v>
      </c>
      <c r="C18" s="4" t="s">
        <v>321</v>
      </c>
      <c r="D18" s="4" t="s">
        <v>322</v>
      </c>
    </row>
    <row r="19" spans="2:7" x14ac:dyDescent="0.2">
      <c r="B19" s="3" t="s">
        <v>6</v>
      </c>
      <c r="C19" s="4" t="s">
        <v>323</v>
      </c>
      <c r="D19" s="4" t="s">
        <v>324</v>
      </c>
    </row>
    <row r="20" spans="2:7" x14ac:dyDescent="0.2">
      <c r="B20" s="3" t="s">
        <v>15</v>
      </c>
      <c r="C20" s="4" t="s">
        <v>325</v>
      </c>
      <c r="D20" s="4" t="s">
        <v>326</v>
      </c>
    </row>
    <row r="21" spans="2:7" x14ac:dyDescent="0.2">
      <c r="B21" s="3" t="s">
        <v>3</v>
      </c>
      <c r="C21" s="4" t="s">
        <v>327</v>
      </c>
      <c r="D21" s="4" t="s">
        <v>328</v>
      </c>
    </row>
    <row r="22" spans="2:7" ht="15" thickBot="1" x14ac:dyDescent="0.25">
      <c r="B22" s="3" t="s">
        <v>0</v>
      </c>
      <c r="C22" s="4" t="s">
        <v>329</v>
      </c>
      <c r="D22" s="4" t="s">
        <v>330</v>
      </c>
    </row>
    <row r="23" spans="2:7" ht="16.5" thickBot="1" x14ac:dyDescent="0.25">
      <c r="E23" s="12"/>
    </row>
    <row r="24" spans="2:7" ht="16.5" thickBot="1" x14ac:dyDescent="0.25">
      <c r="E24" s="15"/>
      <c r="G24" t="str">
        <f t="shared" ref="G24:G52" si="0">"&lt;dl&gt;&lt;dt&gt;" &amp; B24 &amp; "&lt;/dt&gt;&lt;dd&gt;" &amp; C24 &amp; "&lt;/dd&gt;&lt;dd&gt;" &amp; D24 &amp; "&lt;/dd&gt;&lt;/dl&gt;"</f>
        <v>&lt;dl&gt;&lt;dt&gt;&lt;/dt&gt;&lt;dd&gt;&lt;/dd&gt;&lt;dd&gt;&lt;/dd&gt;&lt;/dl&gt;</v>
      </c>
    </row>
    <row r="25" spans="2:7" ht="18" thickBot="1" x14ac:dyDescent="0.25">
      <c r="B25" s="5" t="s">
        <v>331</v>
      </c>
      <c r="E25" s="15"/>
      <c r="G25" t="str">
        <f t="shared" si="0"/>
        <v>&lt;dl&gt;&lt;dt&gt;三、星曜互动与四化​&lt;/dt&gt;&lt;dd&gt;&lt;/dd&gt;&lt;dd&gt;&lt;/dd&gt;&lt;/dl&gt;</v>
      </c>
    </row>
    <row r="26" spans="2:7" ht="16.5" thickBot="1" x14ac:dyDescent="0.25">
      <c r="B26" s="6"/>
      <c r="E26" s="15"/>
      <c r="G26" t="str">
        <f t="shared" si="0"/>
        <v>&lt;dl&gt;&lt;dt&gt;&lt;/dt&gt;&lt;dd&gt;&lt;/dd&gt;&lt;dd&gt;&lt;/dd&gt;&lt;/dl&gt;</v>
      </c>
    </row>
    <row r="27" spans="2:7" ht="16.5" thickBot="1" x14ac:dyDescent="0.25">
      <c r="B27" s="7" t="s">
        <v>332</v>
      </c>
      <c r="E27" s="15"/>
      <c r="G27" t="str">
        <f t="shared" si="0"/>
        <v>&lt;dl&gt;&lt;dt&gt;1. 庙陷影响：&lt;/dt&gt;&lt;dd&gt;&lt;/dd&gt;&lt;dd&gt;&lt;/dd&gt;&lt;/dl&gt;</v>
      </c>
    </row>
    <row r="28" spans="2:7" ht="16.5" thickBot="1" x14ac:dyDescent="0.25">
      <c r="B28" s="6"/>
      <c r="E28" s="15"/>
      <c r="G28" t="str">
        <f t="shared" si="0"/>
        <v>&lt;dl&gt;&lt;dt&gt;&lt;/dt&gt;&lt;dd&gt;&lt;/dd&gt;&lt;dd&gt;&lt;/dd&gt;&lt;/dl&gt;</v>
      </c>
    </row>
    <row r="29" spans="2:7" ht="16.5" thickBot="1" x14ac:dyDescent="0.25">
      <c r="B29" s="9" t="s">
        <v>333</v>
      </c>
      <c r="E29" s="15"/>
      <c r="G29" t="str">
        <f t="shared" si="0"/>
        <v>&lt;dl&gt;&lt;dt&gt;木水位（寅、卯、亥）：庙旺（6-7级），动势强劲&lt;/dt&gt;&lt;dd&gt;&lt;/dd&gt;&lt;dd&gt;&lt;/dd&gt;&lt;/dl&gt;</v>
      </c>
    </row>
    <row r="30" spans="2:7" x14ac:dyDescent="0.2">
      <c r="B30" s="9" t="s">
        <v>334</v>
      </c>
    </row>
    <row r="31" spans="2:7" x14ac:dyDescent="0.2">
      <c r="B31" s="7" t="s">
        <v>335</v>
      </c>
    </row>
    <row r="32" spans="2:7" x14ac:dyDescent="0.2">
      <c r="B32" s="6"/>
    </row>
    <row r="33" spans="2:7" ht="15" thickBot="1" x14ac:dyDescent="0.25">
      <c r="B33" s="8" t="s">
        <v>336</v>
      </c>
    </row>
    <row r="34" spans="2:7" ht="16.5" thickBot="1" x14ac:dyDescent="0.25">
      <c r="B34" s="8" t="s">
        <v>337</v>
      </c>
      <c r="E34" s="12"/>
    </row>
    <row r="35" spans="2:7" ht="16.5" thickBot="1" x14ac:dyDescent="0.25">
      <c r="B35" s="8" t="s">
        <v>338</v>
      </c>
      <c r="E35" s="15"/>
      <c r="G35" t="str">
        <f t="shared" si="0"/>
        <v>&lt;dl&gt;&lt;dt&gt;化忌（戊干）：中断/错误动向（例：机械故障、决策失误）&lt;/dt&gt;&lt;dd&gt;&lt;/dd&gt;&lt;dd&gt;&lt;/dd&gt;&lt;/dl&gt;</v>
      </c>
    </row>
    <row r="36" spans="2:7" ht="16.5" thickBot="1" x14ac:dyDescent="0.25">
      <c r="E36" s="15"/>
      <c r="G36" t="str">
        <f t="shared" si="0"/>
        <v>&lt;dl&gt;&lt;dt&gt;&lt;/dt&gt;&lt;dd&gt;&lt;/dd&gt;&lt;dd&gt;&lt;/dd&gt;&lt;/dl&gt;</v>
      </c>
    </row>
    <row r="37" spans="2:7" ht="16.5" thickBot="1" x14ac:dyDescent="0.25">
      <c r="E37" s="15"/>
      <c r="G37" t="str">
        <f t="shared" si="0"/>
        <v>&lt;dl&gt;&lt;dt&gt;&lt;/dt&gt;&lt;dd&gt;&lt;/dd&gt;&lt;dd&gt;&lt;/dd&gt;&lt;/dl&gt;</v>
      </c>
    </row>
    <row r="38" spans="2:7" ht="16.5" thickBot="1" x14ac:dyDescent="0.25">
      <c r="E38" s="15"/>
      <c r="G38" t="str">
        <f t="shared" si="0"/>
        <v>&lt;dl&gt;&lt;dt&gt;&lt;/dt&gt;&lt;dd&gt;&lt;/dd&gt;&lt;dd&gt;&lt;/dd&gt;&lt;/dl&gt;</v>
      </c>
    </row>
    <row r="39" spans="2:7" ht="18" thickBot="1" x14ac:dyDescent="0.25">
      <c r="B39" s="5" t="s">
        <v>265</v>
      </c>
      <c r="E39" s="15"/>
      <c r="G39" t="str">
        <f t="shared" si="0"/>
        <v>&lt;dl&gt;&lt;dt&gt;四、辅星组合象义​&lt;/dt&gt;&lt;dd&gt;&lt;/dd&gt;&lt;dd&gt;&lt;/dd&gt;&lt;/dl&gt;</v>
      </c>
    </row>
    <row r="40" spans="2:7" ht="16.5" thickBot="1" x14ac:dyDescent="0.25">
      <c r="E40" s="15"/>
      <c r="G40" t="str">
        <f t="shared" si="0"/>
        <v>&lt;dl&gt;&lt;dt&gt;&lt;/dt&gt;&lt;dd&gt;&lt;/dd&gt;&lt;dd&gt;&lt;/dd&gt;&lt;/dl&gt;</v>
      </c>
    </row>
    <row r="41" spans="2:7" ht="16.5" thickBot="1" x14ac:dyDescent="0.25">
      <c r="B41" s="2" t="s">
        <v>40</v>
      </c>
      <c r="C41" s="2" t="s">
        <v>339</v>
      </c>
      <c r="D41" s="2" t="s">
        <v>340</v>
      </c>
      <c r="E41" s="15"/>
      <c r="G41" t="str">
        <f t="shared" si="0"/>
        <v>&lt;dl&gt;&lt;dt&gt;辅星​&lt;/dt&gt;&lt;dd&gt;组合象义​&lt;/dd&gt;&lt;dd&gt;案例​&lt;/dd&gt;&lt;/dl&gt;</v>
      </c>
    </row>
    <row r="42" spans="2:7" ht="16.5" thickBot="1" x14ac:dyDescent="0.25">
      <c r="B42" s="3" t="s">
        <v>341</v>
      </c>
      <c r="C42" s="4" t="s">
        <v>342</v>
      </c>
      <c r="D42" s="4" t="s">
        <v>343</v>
      </c>
      <c r="E42" s="15"/>
      <c r="G42" t="str">
        <f t="shared" si="0"/>
        <v>&lt;dl&gt;&lt;dt&gt;天机+陀罗​&lt;/dt&gt;&lt;dd&gt;反复转动&lt;/dd&gt;&lt;dd&gt;关节疾病、循环性工作&lt;/dd&gt;&lt;/dl&gt;</v>
      </c>
    </row>
    <row r="43" spans="2:7" ht="16.5" thickBot="1" x14ac:dyDescent="0.25">
      <c r="B43" s="3" t="s">
        <v>344</v>
      </c>
      <c r="C43" s="4" t="s">
        <v>345</v>
      </c>
      <c r="D43" s="4" t="s">
        <v>346</v>
      </c>
      <c r="E43" s="15"/>
      <c r="G43" t="str">
        <f t="shared" si="0"/>
        <v>&lt;dl&gt;&lt;dt&gt;天机+火星​&lt;/dt&gt;&lt;dd&gt;急速变动&lt;/dd&gt;&lt;dd&gt;突发车祸、电子设备短路&lt;/dd&gt;&lt;/dl&gt;</v>
      </c>
    </row>
    <row r="44" spans="2:7" x14ac:dyDescent="0.2">
      <c r="B44" s="3" t="s">
        <v>347</v>
      </c>
      <c r="C44" s="4" t="s">
        <v>348</v>
      </c>
      <c r="D44" s="4" t="s">
        <v>349</v>
      </c>
    </row>
    <row r="45" spans="2:7" x14ac:dyDescent="0.2">
      <c r="B45" s="3" t="s">
        <v>350</v>
      </c>
      <c r="C45" s="4" t="s">
        <v>351</v>
      </c>
      <c r="D45" s="4" t="s">
        <v>352</v>
      </c>
    </row>
    <row r="47" spans="2:7" ht="15" thickBot="1" x14ac:dyDescent="0.25"/>
    <row r="48" spans="2:7" ht="18" thickBot="1" x14ac:dyDescent="0.25">
      <c r="B48" s="5" t="s">
        <v>353</v>
      </c>
      <c r="E48" s="12"/>
    </row>
    <row r="49" spans="2:7" ht="16.5" thickBot="1" x14ac:dyDescent="0.25">
      <c r="B49" s="6"/>
      <c r="E49" s="15"/>
      <c r="G49" t="str">
        <f t="shared" si="0"/>
        <v>&lt;dl&gt;&lt;dt&gt;&lt;/dt&gt;&lt;dd&gt;&lt;/dd&gt;&lt;dd&gt;&lt;/dd&gt;&lt;/dl&gt;</v>
      </c>
    </row>
    <row r="50" spans="2:7" ht="16.5" thickBot="1" x14ac:dyDescent="0.25">
      <c r="B50" s="7" t="s">
        <v>354</v>
      </c>
      <c r="E50" s="15"/>
      <c r="G50" t="str">
        <f t="shared" si="0"/>
        <v>&lt;dl&gt;&lt;dt&gt;1. 天机+太阴（水流动）​&lt;/dt&gt;&lt;dd&gt;&lt;/dd&gt;&lt;dd&gt;&lt;/dd&gt;&lt;/dl&gt;</v>
      </c>
    </row>
    <row r="51" spans="2:7" ht="16.5" thickBot="1" x14ac:dyDescent="0.25">
      <c r="B51" s="6"/>
      <c r="E51" s="15"/>
      <c r="G51" t="str">
        <f t="shared" si="0"/>
        <v>&lt;dl&gt;&lt;dt&gt;&lt;/dt&gt;&lt;dd&gt;&lt;/dd&gt;&lt;dd&gt;&lt;/dd&gt;&lt;/dl&gt;</v>
      </c>
    </row>
    <row r="52" spans="2:7" ht="16.5" thickBot="1" x14ac:dyDescent="0.25">
      <c r="B52" s="8" t="s">
        <v>355</v>
      </c>
      <c r="E52" s="15"/>
      <c r="G52" t="str">
        <f t="shared" si="0"/>
        <v>&lt;dl&gt;&lt;dt&gt;象义：资金流动、情感传递&lt;/dt&gt;&lt;dd&gt;&lt;/dd&gt;&lt;dd&gt;&lt;/dd&gt;&lt;/dl&gt;</v>
      </c>
    </row>
    <row r="53" spans="2:7" x14ac:dyDescent="0.2">
      <c r="B53" s="8" t="s">
        <v>356</v>
      </c>
    </row>
    <row r="54" spans="2:7" x14ac:dyDescent="0.2">
      <c r="B54" s="9"/>
    </row>
    <row r="55" spans="2:7" x14ac:dyDescent="0.2">
      <c r="B55" s="10" t="s">
        <v>357</v>
      </c>
    </row>
    <row r="56" spans="2:7" x14ac:dyDescent="0.2">
      <c r="B56" s="10" t="s">
        <v>358</v>
      </c>
    </row>
    <row r="57" spans="2:7" x14ac:dyDescent="0.2">
      <c r="B57" s="7" t="s">
        <v>359</v>
      </c>
    </row>
    <row r="58" spans="2:7" x14ac:dyDescent="0.2">
      <c r="B58" s="6"/>
    </row>
    <row r="59" spans="2:7" x14ac:dyDescent="0.2">
      <c r="B59" s="8" t="s">
        <v>360</v>
      </c>
    </row>
    <row r="60" spans="2:7" x14ac:dyDescent="0.2">
      <c r="B60" s="8" t="s">
        <v>356</v>
      </c>
    </row>
    <row r="61" spans="2:7" x14ac:dyDescent="0.2">
      <c r="B61" s="9"/>
    </row>
    <row r="62" spans="2:7" x14ac:dyDescent="0.2">
      <c r="B62" s="10" t="s">
        <v>361</v>
      </c>
    </row>
    <row r="63" spans="2:7" x14ac:dyDescent="0.2">
      <c r="B63" s="10" t="s">
        <v>362</v>
      </c>
    </row>
    <row r="67" spans="2:2" ht="17.25" x14ac:dyDescent="0.2">
      <c r="B67" s="5" t="s">
        <v>363</v>
      </c>
    </row>
    <row r="68" spans="2:2" x14ac:dyDescent="0.2">
      <c r="B68" s="6"/>
    </row>
    <row r="69" spans="2:2" x14ac:dyDescent="0.2">
      <c r="B69" s="7" t="s">
        <v>364</v>
      </c>
    </row>
    <row r="70" spans="2:2" x14ac:dyDescent="0.2">
      <c r="B70" s="6"/>
    </row>
    <row r="71" spans="2:2" x14ac:dyDescent="0.2">
      <c r="B71" s="9" t="s">
        <v>365</v>
      </c>
    </row>
    <row r="72" spans="2:2" x14ac:dyDescent="0.2">
      <c r="B72" s="9" t="s">
        <v>366</v>
      </c>
    </row>
    <row r="73" spans="2:2" x14ac:dyDescent="0.2">
      <c r="B73" s="7" t="s">
        <v>367</v>
      </c>
    </row>
    <row r="74" spans="2:2" x14ac:dyDescent="0.2">
      <c r="B74" s="6"/>
    </row>
    <row r="75" spans="2:2" x14ac:dyDescent="0.2">
      <c r="B75" s="9" t="s">
        <v>368</v>
      </c>
    </row>
    <row r="76" spans="2:2" x14ac:dyDescent="0.2">
      <c r="B76" s="9" t="s">
        <v>369</v>
      </c>
    </row>
    <row r="77" spans="2:2" ht="17.25" x14ac:dyDescent="0.2">
      <c r="B77" s="5"/>
    </row>
    <row r="80" spans="2:2" x14ac:dyDescent="0.2">
      <c r="B80" s="16"/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CD793-D16C-4000-B8D6-C0C28B7C1798}">
  <dimension ref="B1:G88"/>
  <sheetViews>
    <sheetView zoomScaleNormal="100" workbookViewId="0">
      <selection activeCell="B1" sqref="B1:F88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370</v>
      </c>
      <c r="G1" t="str">
        <f>"&lt;dl&gt;&lt;dt&gt;" &amp; B1 &amp; "&lt;/dt&gt;&lt;dd&gt;" &amp; C1 &amp; "&lt;/dd&gt;&lt;dd&gt;" &amp; D1 &amp; "&lt;/dd&gt;&lt;/dl&gt;"</f>
        <v>&lt;dl&gt;&lt;dt&gt;天梁星​&lt;/dt&gt;&lt;dd&gt;&lt;/dd&gt;&lt;dd&gt;&lt;/dd&gt;&lt;/dl&gt;</v>
      </c>
    </row>
    <row r="3" spans="2:7" x14ac:dyDescent="0.2">
      <c r="B3" s="1" t="s">
        <v>371</v>
      </c>
    </row>
    <row r="4" spans="2:7" x14ac:dyDescent="0.2">
      <c r="B4" s="1" t="s">
        <v>372</v>
      </c>
    </row>
    <row r="5" spans="2:7" x14ac:dyDescent="0.2">
      <c r="B5" s="1" t="s">
        <v>373</v>
      </c>
    </row>
    <row r="6" spans="2:7" x14ac:dyDescent="0.2">
      <c r="B6" s="1" t="s">
        <v>374</v>
      </c>
    </row>
    <row r="9" spans="2:7" ht="17.25" x14ac:dyDescent="0.2">
      <c r="B9" s="5" t="s">
        <v>375</v>
      </c>
    </row>
    <row r="11" spans="2:7" x14ac:dyDescent="0.2">
      <c r="B11" s="2" t="s">
        <v>376</v>
      </c>
      <c r="C11" s="2" t="s">
        <v>377</v>
      </c>
      <c r="D11" s="2" t="s">
        <v>21</v>
      </c>
    </row>
    <row r="12" spans="2:7" ht="28.5" x14ac:dyDescent="0.2">
      <c r="B12" s="3" t="s">
        <v>378</v>
      </c>
      <c r="C12" s="4" t="s">
        <v>379</v>
      </c>
      <c r="D12" s="4"/>
    </row>
    <row r="13" spans="2:7" ht="28.5" x14ac:dyDescent="0.2">
      <c r="B13" s="3" t="s">
        <v>380</v>
      </c>
      <c r="C13" s="4" t="s">
        <v>381</v>
      </c>
      <c r="D13" s="4"/>
    </row>
    <row r="14" spans="2:7" ht="28.5" x14ac:dyDescent="0.2">
      <c r="B14" s="3" t="s">
        <v>382</v>
      </c>
      <c r="C14" s="4" t="s">
        <v>383</v>
      </c>
      <c r="D14" s="4"/>
    </row>
    <row r="15" spans="2:7" x14ac:dyDescent="0.2">
      <c r="B15" s="3" t="s">
        <v>384</v>
      </c>
      <c r="C15" s="4" t="s">
        <v>385</v>
      </c>
      <c r="D15" s="4"/>
    </row>
    <row r="16" spans="2:7" ht="28.5" x14ac:dyDescent="0.2">
      <c r="B16" s="3" t="s">
        <v>386</v>
      </c>
      <c r="C16" s="4" t="s">
        <v>387</v>
      </c>
      <c r="D16" s="4"/>
    </row>
    <row r="19" spans="2:7" ht="17.25" x14ac:dyDescent="0.2">
      <c r="B19" s="5" t="s">
        <v>388</v>
      </c>
    </row>
    <row r="21" spans="2:7" ht="15.75" x14ac:dyDescent="0.2">
      <c r="B21" s="13" t="s">
        <v>389</v>
      </c>
    </row>
    <row r="23" spans="2:7" x14ac:dyDescent="0.2">
      <c r="B23" s="2" t="s">
        <v>390</v>
      </c>
      <c r="C23" s="2" t="s">
        <v>391</v>
      </c>
      <c r="D23" s="2" t="s">
        <v>392</v>
      </c>
      <c r="E23" s="2" t="s">
        <v>21</v>
      </c>
    </row>
    <row r="24" spans="2:7" ht="28.5" x14ac:dyDescent="0.2">
      <c r="B24" s="3" t="s">
        <v>393</v>
      </c>
      <c r="C24" s="4" t="s">
        <v>394</v>
      </c>
      <c r="D24" s="4" t="s">
        <v>395</v>
      </c>
      <c r="E24" s="4"/>
      <c r="G24" t="str">
        <f t="shared" ref="G24:G52" si="0">"&lt;dl&gt;&lt;dt&gt;" &amp; B24 &amp; "&lt;/dt&gt;&lt;dd&gt;" &amp; C24 &amp; "&lt;/dd&gt;&lt;dd&gt;" &amp; D24 &amp; "&lt;/dd&gt;&lt;/dl&gt;"</f>
        <v>&lt;dl&gt;&lt;dt&gt;支撑体系​&lt;/dt&gt;&lt;dd&gt;权威支柱（政府法规/家族族长/企业高管）&lt;/dd&gt;&lt;dd&gt;支撑失效（企业倒闭/脊柱伤病/承诺落空）&lt;/dd&gt;&lt;/dl&gt;</v>
      </c>
    </row>
    <row r="25" spans="2:7" x14ac:dyDescent="0.2">
      <c r="B25" s="3" t="s">
        <v>396</v>
      </c>
      <c r="C25" s="4" t="s">
        <v>397</v>
      </c>
      <c r="D25" s="4" t="s">
        <v>398</v>
      </c>
      <c r="E25" s="4"/>
      <c r="G25" t="str">
        <f t="shared" si="0"/>
        <v>&lt;dl&gt;&lt;dt&gt;规则属性​&lt;/dt&gt;&lt;dd&gt;本层空间规则（现实法律/行业标准）&lt;/dd&gt;&lt;dd&gt;外层空间规则（玄学/灵体契约）&lt;/dd&gt;&lt;/dl&gt;</v>
      </c>
    </row>
    <row r="26" spans="2:7" x14ac:dyDescent="0.2">
      <c r="B26" s="3" t="s">
        <v>399</v>
      </c>
      <c r="C26" s="4" t="s">
        <v>400</v>
      </c>
      <c r="D26" s="4" t="s">
        <v>401</v>
      </c>
      <c r="E26" s="4"/>
      <c r="G26" t="str">
        <f t="shared" si="0"/>
        <v>&lt;dl&gt;&lt;dt&gt;公共事务​&lt;/dt&gt;&lt;dd&gt;达成共识（合同签订/政策落地）&lt;/dd&gt;&lt;dd&gt;未达成共识（谈判破裂/条款争议）&lt;/dd&gt;&lt;/dl&gt;</v>
      </c>
    </row>
    <row r="27" spans="2:7" x14ac:dyDescent="0.2">
      <c r="B27" s="3" t="s">
        <v>402</v>
      </c>
      <c r="C27" s="4" t="s">
        <v>403</v>
      </c>
      <c r="D27" s="4" t="s">
        <v>404</v>
      </c>
      <c r="E27" s="4"/>
      <c r="G27" t="str">
        <f t="shared" si="0"/>
        <v>&lt;dl&gt;&lt;dt&gt;遗传表征​&lt;/dt&gt;&lt;dd&gt;家族荫庇（祖产/优质基因）&lt;/dd&gt;&lt;dd&gt;遗传缺陷（先天疾病/家族诅咒）&lt;/dd&gt;&lt;/dl&gt;</v>
      </c>
    </row>
    <row r="28" spans="2:7" x14ac:dyDescent="0.2">
      <c r="G28" t="str">
        <f t="shared" si="0"/>
        <v>&lt;dl&gt;&lt;dt&gt;&lt;/dt&gt;&lt;dd&gt;&lt;/dd&gt;&lt;dd&gt;&lt;/dd&gt;&lt;/dl&gt;</v>
      </c>
    </row>
    <row r="29" spans="2:7" ht="15.75" x14ac:dyDescent="0.2">
      <c r="B29" s="13" t="s">
        <v>405</v>
      </c>
      <c r="G29" t="str">
        <f t="shared" si="0"/>
        <v>&lt;dl&gt;&lt;dt&gt;2. 特殊状态​&lt;/dt&gt;&lt;dd&gt;&lt;/dd&gt;&lt;dd&gt;&lt;/dd&gt;&lt;/dl&gt;</v>
      </c>
    </row>
    <row r="30" spans="2:7" x14ac:dyDescent="0.2">
      <c r="B30" s="6"/>
    </row>
    <row r="31" spans="2:7" x14ac:dyDescent="0.2">
      <c r="B31" s="7" t="s">
        <v>406</v>
      </c>
    </row>
    <row r="32" spans="2:7" x14ac:dyDescent="0.2">
      <c r="B32" s="7" t="s">
        <v>407</v>
      </c>
    </row>
    <row r="33" spans="2:7" x14ac:dyDescent="0.2">
      <c r="B33" s="6"/>
    </row>
    <row r="34" spans="2:7" x14ac:dyDescent="0.2">
      <c r="B34" s="9" t="s">
        <v>408</v>
      </c>
    </row>
    <row r="35" spans="2:7" x14ac:dyDescent="0.2">
      <c r="B35" s="9" t="s">
        <v>409</v>
      </c>
      <c r="G35" t="str">
        <f t="shared" si="0"/>
        <v>&lt;dl&gt;&lt;dt&gt;疾厄宫天梁+天刑：遗传性脊柱疾病&lt;/dt&gt;&lt;dd&gt;&lt;/dd&gt;&lt;dd&gt;&lt;/dd&gt;&lt;/dl&gt;</v>
      </c>
    </row>
    <row r="36" spans="2:7" x14ac:dyDescent="0.2">
      <c r="G36" t="str">
        <f t="shared" si="0"/>
        <v>&lt;dl&gt;&lt;dt&gt;&lt;/dt&gt;&lt;dd&gt;&lt;/dd&gt;&lt;dd&gt;&lt;/dd&gt;&lt;/dl&gt;</v>
      </c>
    </row>
    <row r="37" spans="2:7" x14ac:dyDescent="0.2">
      <c r="G37" t="str">
        <f t="shared" si="0"/>
        <v>&lt;dl&gt;&lt;dt&gt;&lt;/dt&gt;&lt;dd&gt;&lt;/dd&gt;&lt;dd&gt;&lt;/dd&gt;&lt;/dl&gt;</v>
      </c>
    </row>
    <row r="38" spans="2:7" x14ac:dyDescent="0.2">
      <c r="G38" t="str">
        <f t="shared" si="0"/>
        <v>&lt;dl&gt;&lt;dt&gt;&lt;/dt&gt;&lt;dd&gt;&lt;/dd&gt;&lt;dd&gt;&lt;/dd&gt;&lt;/dl&gt;</v>
      </c>
    </row>
    <row r="39" spans="2:7" ht="17.25" x14ac:dyDescent="0.2">
      <c r="B39" s="5" t="s">
        <v>410</v>
      </c>
      <c r="G39" t="str">
        <f t="shared" si="0"/>
        <v>&lt;dl&gt;&lt;dt&gt;三、组合象义​&lt;/dt&gt;&lt;dd&gt;&lt;/dd&gt;&lt;dd&gt;&lt;/dd&gt;&lt;/dl&gt;</v>
      </c>
    </row>
    <row r="40" spans="2:7" x14ac:dyDescent="0.2">
      <c r="G40" t="str">
        <f t="shared" si="0"/>
        <v>&lt;dl&gt;&lt;dt&gt;&lt;/dt&gt;&lt;dd&gt;&lt;/dd&gt;&lt;dd&gt;&lt;/dd&gt;&lt;/dl&gt;</v>
      </c>
    </row>
    <row r="41" spans="2:7" ht="15.75" x14ac:dyDescent="0.2">
      <c r="B41" s="13" t="s">
        <v>411</v>
      </c>
      <c r="G41" t="str">
        <f t="shared" si="0"/>
        <v>&lt;dl&gt;&lt;dt&gt;1. 主星组合​&lt;/dt&gt;&lt;dd&gt;&lt;/dd&gt;&lt;dd&gt;&lt;/dd&gt;&lt;/dl&gt;</v>
      </c>
    </row>
    <row r="42" spans="2:7" x14ac:dyDescent="0.2">
      <c r="G42" t="str">
        <f t="shared" si="0"/>
        <v>&lt;dl&gt;&lt;dt&gt;&lt;/dt&gt;&lt;dd&gt;&lt;/dd&gt;&lt;dd&gt;&lt;/dd&gt;&lt;/dl&gt;</v>
      </c>
    </row>
    <row r="43" spans="2:7" x14ac:dyDescent="0.2">
      <c r="B43" s="2" t="s">
        <v>71</v>
      </c>
      <c r="C43" s="2" t="s">
        <v>412</v>
      </c>
      <c r="D43" s="2" t="s">
        <v>413</v>
      </c>
      <c r="E43" s="2" t="s">
        <v>21</v>
      </c>
      <c r="G43" t="str">
        <f t="shared" si="0"/>
        <v>&lt;dl&gt;&lt;dt&gt;组合​&lt;/dt&gt;&lt;dd&gt;庙旺象义​&lt;/dd&gt;&lt;dd&gt;落陷象义​&lt;/dd&gt;&lt;/dl&gt;</v>
      </c>
    </row>
    <row r="44" spans="2:7" x14ac:dyDescent="0.2">
      <c r="B44" s="3" t="s">
        <v>414</v>
      </c>
      <c r="C44" s="4" t="s">
        <v>415</v>
      </c>
      <c r="D44" s="4" t="s">
        <v>416</v>
      </c>
      <c r="E44" s="4"/>
    </row>
    <row r="45" spans="2:7" x14ac:dyDescent="0.2">
      <c r="B45" s="3" t="s">
        <v>417</v>
      </c>
      <c r="C45" s="4" t="s">
        <v>418</v>
      </c>
      <c r="D45" s="4" t="s">
        <v>419</v>
      </c>
      <c r="E45" s="4"/>
    </row>
    <row r="46" spans="2:7" x14ac:dyDescent="0.2">
      <c r="B46" s="3" t="s">
        <v>420</v>
      </c>
      <c r="C46" s="4" t="s">
        <v>421</v>
      </c>
      <c r="D46" s="4" t="s">
        <v>422</v>
      </c>
      <c r="E46" s="4"/>
    </row>
    <row r="47" spans="2:7" x14ac:dyDescent="0.2">
      <c r="B47" s="3" t="s">
        <v>423</v>
      </c>
      <c r="C47" s="4" t="s">
        <v>424</v>
      </c>
      <c r="D47" s="4" t="s">
        <v>425</v>
      </c>
      <c r="E47" s="4"/>
    </row>
    <row r="49" spans="2:7" ht="15.75" x14ac:dyDescent="0.2">
      <c r="B49" s="13" t="s">
        <v>426</v>
      </c>
      <c r="G49" t="str">
        <f t="shared" si="0"/>
        <v>&lt;dl&gt;&lt;dt&gt;2. 辅星组合​&lt;/dt&gt;&lt;dd&gt;&lt;/dd&gt;&lt;dd&gt;&lt;/dd&gt;&lt;/dl&gt;</v>
      </c>
    </row>
    <row r="50" spans="2:7" x14ac:dyDescent="0.2">
      <c r="G50" t="str">
        <f t="shared" si="0"/>
        <v>&lt;dl&gt;&lt;dt&gt;&lt;/dt&gt;&lt;dd&gt;&lt;/dd&gt;&lt;dd&gt;&lt;/dd&gt;&lt;/dl&gt;</v>
      </c>
    </row>
    <row r="51" spans="2:7" x14ac:dyDescent="0.2">
      <c r="B51" s="2" t="s">
        <v>40</v>
      </c>
      <c r="C51" s="2" t="s">
        <v>427</v>
      </c>
      <c r="D51" s="2" t="s">
        <v>428</v>
      </c>
      <c r="E51" s="2" t="s">
        <v>21</v>
      </c>
      <c r="G51" t="str">
        <f t="shared" si="0"/>
        <v>&lt;dl&gt;&lt;dt&gt;辅星​&lt;/dt&gt;&lt;dd&gt;吉象（庙旺）​&lt;/dd&gt;&lt;dd&gt;凶象（落陷）​&lt;/dd&gt;&lt;/dl&gt;</v>
      </c>
    </row>
    <row r="52" spans="2:7" x14ac:dyDescent="0.2">
      <c r="B52" s="3" t="s">
        <v>429</v>
      </c>
      <c r="C52" s="4" t="s">
        <v>430</v>
      </c>
      <c r="D52" s="4" t="s">
        <v>431</v>
      </c>
      <c r="E52" s="4"/>
      <c r="G52" t="str">
        <f t="shared" si="0"/>
        <v>&lt;dl&gt;&lt;dt&gt;天梁+文昌​&lt;/dt&gt;&lt;dd&gt;文书支柱（法典编纂/学术传承）&lt;/dd&gt;&lt;dd&gt;规则歪曲（法律漏洞/学术抄袭）&lt;/dd&gt;&lt;/dl&gt;</v>
      </c>
    </row>
    <row r="53" spans="2:7" x14ac:dyDescent="0.2">
      <c r="B53" s="3" t="s">
        <v>432</v>
      </c>
      <c r="C53" s="4" t="s">
        <v>433</v>
      </c>
      <c r="D53" s="4" t="s">
        <v>434</v>
      </c>
      <c r="E53" s="4"/>
    </row>
    <row r="54" spans="2:7" x14ac:dyDescent="0.2">
      <c r="B54" s="3" t="s">
        <v>435</v>
      </c>
      <c r="C54" s="4" t="s">
        <v>436</v>
      </c>
      <c r="D54" s="4" t="s">
        <v>437</v>
      </c>
      <c r="E54" s="4"/>
    </row>
    <row r="55" spans="2:7" x14ac:dyDescent="0.2">
      <c r="B55" s="3" t="s">
        <v>438</v>
      </c>
      <c r="C55" s="4" t="s">
        <v>439</v>
      </c>
      <c r="D55" s="4" t="s">
        <v>440</v>
      </c>
      <c r="E55" s="4"/>
    </row>
    <row r="58" spans="2:7" ht="17.25" x14ac:dyDescent="0.2">
      <c r="B58" s="5" t="s">
        <v>441</v>
      </c>
    </row>
    <row r="60" spans="2:7" x14ac:dyDescent="0.2">
      <c r="B60" s="2" t="s">
        <v>18</v>
      </c>
      <c r="C60" s="2" t="s">
        <v>412</v>
      </c>
      <c r="D60" s="2" t="s">
        <v>413</v>
      </c>
      <c r="E60" s="2" t="s">
        <v>21</v>
      </c>
    </row>
    <row r="61" spans="2:7" x14ac:dyDescent="0.2">
      <c r="B61" s="3" t="s">
        <v>201</v>
      </c>
      <c r="C61" s="4" t="s">
        <v>442</v>
      </c>
      <c r="D61" s="4" t="s">
        <v>443</v>
      </c>
      <c r="E61" s="4"/>
    </row>
    <row r="62" spans="2:7" x14ac:dyDescent="0.2">
      <c r="B62" s="3" t="s">
        <v>9</v>
      </c>
      <c r="C62" s="4" t="s">
        <v>444</v>
      </c>
      <c r="D62" s="4" t="s">
        <v>445</v>
      </c>
      <c r="E62" s="4"/>
    </row>
    <row r="63" spans="2:7" x14ac:dyDescent="0.2">
      <c r="B63" s="3" t="s">
        <v>0</v>
      </c>
      <c r="C63" s="4" t="s">
        <v>446</v>
      </c>
      <c r="D63" s="4" t="s">
        <v>447</v>
      </c>
      <c r="E63" s="4"/>
    </row>
    <row r="64" spans="2:7" x14ac:dyDescent="0.2">
      <c r="B64" s="3" t="s">
        <v>6</v>
      </c>
      <c r="C64" s="4" t="s">
        <v>448</v>
      </c>
      <c r="D64" s="4" t="s">
        <v>449</v>
      </c>
      <c r="E64" s="4"/>
    </row>
    <row r="65" spans="2:6" x14ac:dyDescent="0.2">
      <c r="B65" s="3" t="s">
        <v>206</v>
      </c>
      <c r="C65" s="4" t="s">
        <v>450</v>
      </c>
      <c r="D65" s="4" t="s">
        <v>451</v>
      </c>
      <c r="E65" s="4"/>
    </row>
    <row r="68" spans="2:6" ht="17.25" x14ac:dyDescent="0.2">
      <c r="B68" s="5" t="s">
        <v>86</v>
      </c>
    </row>
    <row r="70" spans="2:6" x14ac:dyDescent="0.2">
      <c r="B70" s="2" t="s">
        <v>250</v>
      </c>
      <c r="C70" s="2" t="s">
        <v>452</v>
      </c>
      <c r="D70" s="2" t="s">
        <v>453</v>
      </c>
      <c r="E70" s="2" t="s">
        <v>454</v>
      </c>
      <c r="F70" s="2" t="s">
        <v>21</v>
      </c>
    </row>
    <row r="71" spans="2:6" ht="57" x14ac:dyDescent="0.2">
      <c r="B71" s="3" t="s">
        <v>455</v>
      </c>
      <c r="C71" s="4" t="s">
        <v>456</v>
      </c>
      <c r="D71" s="4" t="s">
        <v>457</v>
      </c>
      <c r="E71" s="4" t="s">
        <v>458</v>
      </c>
      <c r="F71" s="4"/>
    </row>
    <row r="72" spans="2:6" ht="57" x14ac:dyDescent="0.2">
      <c r="B72" s="3" t="s">
        <v>459</v>
      </c>
      <c r="C72" s="4" t="s">
        <v>460</v>
      </c>
      <c r="D72" s="4" t="s">
        <v>461</v>
      </c>
      <c r="E72" s="4" t="s">
        <v>462</v>
      </c>
      <c r="F72" s="4"/>
    </row>
    <row r="73" spans="2:6" ht="57" x14ac:dyDescent="0.2">
      <c r="B73" s="3" t="s">
        <v>463</v>
      </c>
      <c r="C73" s="4" t="s">
        <v>464</v>
      </c>
      <c r="D73" s="4" t="s">
        <v>465</v>
      </c>
      <c r="E73" s="4" t="s">
        <v>466</v>
      </c>
      <c r="F73" s="4"/>
    </row>
    <row r="74" spans="2:6" ht="57" x14ac:dyDescent="0.2">
      <c r="B74" s="3" t="s">
        <v>467</v>
      </c>
      <c r="C74" s="4" t="s">
        <v>468</v>
      </c>
      <c r="D74" s="4" t="s">
        <v>469</v>
      </c>
      <c r="E74" s="4" t="s">
        <v>470</v>
      </c>
      <c r="F74" s="4"/>
    </row>
    <row r="77" spans="2:6" ht="17.25" x14ac:dyDescent="0.2">
      <c r="B77" s="5" t="s">
        <v>90</v>
      </c>
    </row>
    <row r="78" spans="2:6" x14ac:dyDescent="0.2">
      <c r="B78" s="6"/>
    </row>
    <row r="79" spans="2:6" x14ac:dyDescent="0.2">
      <c r="B79" s="7" t="s">
        <v>471</v>
      </c>
    </row>
    <row r="80" spans="2:6" x14ac:dyDescent="0.2">
      <c r="B80" s="6"/>
    </row>
    <row r="81" spans="2:2" x14ac:dyDescent="0.2">
      <c r="B81" s="9" t="s">
        <v>472</v>
      </c>
    </row>
    <row r="82" spans="2:2" x14ac:dyDescent="0.2">
      <c r="B82" s="9" t="s">
        <v>473</v>
      </c>
    </row>
    <row r="83" spans="2:2" x14ac:dyDescent="0.2">
      <c r="B83" s="9" t="s">
        <v>474</v>
      </c>
    </row>
    <row r="84" spans="2:2" x14ac:dyDescent="0.2">
      <c r="B84" s="7" t="s">
        <v>475</v>
      </c>
    </row>
    <row r="85" spans="2:2" x14ac:dyDescent="0.2">
      <c r="B85" s="6"/>
    </row>
    <row r="86" spans="2:2" x14ac:dyDescent="0.2">
      <c r="B86" s="9" t="s">
        <v>476</v>
      </c>
    </row>
    <row r="87" spans="2:2" x14ac:dyDescent="0.2">
      <c r="B87" s="9" t="s">
        <v>477</v>
      </c>
    </row>
    <row r="88" spans="2:2" x14ac:dyDescent="0.2">
      <c r="B88" s="9" t="s">
        <v>478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59D90-00B4-4D9D-8072-CE9529E48A65}">
  <dimension ref="B1:G75"/>
  <sheetViews>
    <sheetView zoomScaleNormal="100" workbookViewId="0">
      <selection activeCell="C17" sqref="C17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9.75" customWidth="1"/>
  </cols>
  <sheetData>
    <row r="1" spans="2:7" ht="17.25" x14ac:dyDescent="0.2">
      <c r="B1" s="5" t="s">
        <v>479</v>
      </c>
      <c r="G1" t="e">
        <f>"&lt;dl&gt;&lt;dt&gt;" &amp;#REF! &amp; "&lt;/dt&gt;&lt;dd&gt;" &amp;#REF! &amp; "&lt;/dd&gt;&lt;dd&gt;" &amp;#REF! &amp; "&lt;/dd&gt;&lt;/dl&gt;"</f>
        <v>#REF!</v>
      </c>
    </row>
    <row r="3" spans="2:7" x14ac:dyDescent="0.2">
      <c r="B3" s="1" t="s">
        <v>480</v>
      </c>
    </row>
    <row r="4" spans="2:7" x14ac:dyDescent="0.2">
      <c r="B4" s="6"/>
    </row>
    <row r="5" spans="2:7" x14ac:dyDescent="0.2">
      <c r="B5" s="7" t="s">
        <v>25</v>
      </c>
    </row>
    <row r="6" spans="2:7" x14ac:dyDescent="0.2">
      <c r="B6" s="6"/>
    </row>
    <row r="7" spans="2:7" x14ac:dyDescent="0.2">
      <c r="B7" s="8" t="s">
        <v>481</v>
      </c>
    </row>
    <row r="8" spans="2:7" x14ac:dyDescent="0.2">
      <c r="B8" s="8" t="s">
        <v>482</v>
      </c>
    </row>
    <row r="9" spans="2:7" x14ac:dyDescent="0.2">
      <c r="B9" s="8" t="s">
        <v>483</v>
      </c>
    </row>
    <row r="10" spans="2:7" x14ac:dyDescent="0.2">
      <c r="B10" s="8" t="s">
        <v>484</v>
      </c>
    </row>
    <row r="14" spans="2:7" ht="17.25" x14ac:dyDescent="0.2">
      <c r="B14" s="5" t="s">
        <v>485</v>
      </c>
    </row>
    <row r="16" spans="2:7" x14ac:dyDescent="0.2">
      <c r="B16" s="2" t="s">
        <v>200</v>
      </c>
      <c r="C16" s="2" t="s">
        <v>486</v>
      </c>
      <c r="D16" s="2" t="s">
        <v>487</v>
      </c>
    </row>
    <row r="17" spans="2:7" x14ac:dyDescent="0.2">
      <c r="B17" s="3" t="s">
        <v>488</v>
      </c>
      <c r="C17" s="4" t="s">
        <v>489</v>
      </c>
      <c r="D17" s="4" t="s">
        <v>490</v>
      </c>
    </row>
    <row r="18" spans="2:7" x14ac:dyDescent="0.2">
      <c r="B18" s="3" t="s">
        <v>491</v>
      </c>
      <c r="C18" s="4" t="s">
        <v>489</v>
      </c>
      <c r="D18" s="4" t="s">
        <v>492</v>
      </c>
    </row>
    <row r="19" spans="2:7" x14ac:dyDescent="0.2">
      <c r="B19" s="3" t="s">
        <v>493</v>
      </c>
      <c r="C19" s="4" t="s">
        <v>494</v>
      </c>
      <c r="D19" s="4" t="s">
        <v>495</v>
      </c>
    </row>
    <row r="22" spans="2:7" ht="18" thickBot="1" x14ac:dyDescent="0.25">
      <c r="B22" s="5" t="s">
        <v>496</v>
      </c>
    </row>
    <row r="23" spans="2:7" ht="16.5" thickBot="1" x14ac:dyDescent="0.25">
      <c r="E23" s="12"/>
    </row>
    <row r="24" spans="2:7" ht="16.5" thickBot="1" x14ac:dyDescent="0.25">
      <c r="B24" s="2" t="s">
        <v>18</v>
      </c>
      <c r="C24" s="2" t="s">
        <v>497</v>
      </c>
      <c r="D24" s="2" t="s">
        <v>113</v>
      </c>
      <c r="E24" s="15"/>
      <c r="G24" t="e">
        <f>"&lt;dl&gt;&lt;dt&gt;" &amp;#REF! &amp; "&lt;/dt&gt;&lt;dd&gt;" &amp;#REF! &amp; "&lt;/dd&gt;&lt;dd&gt;" &amp;#REF! &amp; "&lt;/dd&gt;&lt;/dl&gt;"</f>
        <v>#REF!</v>
      </c>
    </row>
    <row r="25" spans="2:7" ht="16.5" thickBot="1" x14ac:dyDescent="0.25">
      <c r="B25" s="3" t="s">
        <v>201</v>
      </c>
      <c r="C25" s="4" t="s">
        <v>498</v>
      </c>
      <c r="D25" s="4" t="s">
        <v>499</v>
      </c>
      <c r="E25" s="15"/>
      <c r="G25" t="e">
        <f>"&lt;dl&gt;&lt;dt&gt;" &amp;#REF! &amp; "&lt;/dt&gt;&lt;dd&gt;" &amp;#REF! &amp; "&lt;/dd&gt;&lt;dd&gt;" &amp;#REF! &amp; "&lt;/dd&gt;&lt;/dl&gt;"</f>
        <v>#REF!</v>
      </c>
    </row>
    <row r="26" spans="2:7" ht="16.5" thickBot="1" x14ac:dyDescent="0.25">
      <c r="B26" s="3" t="s">
        <v>3</v>
      </c>
      <c r="C26" s="4" t="s">
        <v>500</v>
      </c>
      <c r="D26" s="4" t="s">
        <v>501</v>
      </c>
      <c r="E26" s="15"/>
      <c r="G26" t="e">
        <f>"&lt;dl&gt;&lt;dt&gt;" &amp;#REF! &amp; "&lt;/dt&gt;&lt;dd&gt;" &amp;#REF! &amp; "&lt;/dd&gt;&lt;dd&gt;" &amp;#REF! &amp; "&lt;/dd&gt;&lt;/dl&gt;"</f>
        <v>#REF!</v>
      </c>
    </row>
    <row r="27" spans="2:7" ht="16.5" thickBot="1" x14ac:dyDescent="0.25">
      <c r="B27" s="3" t="s">
        <v>6</v>
      </c>
      <c r="C27" s="4" t="s">
        <v>502</v>
      </c>
      <c r="D27" s="4" t="s">
        <v>503</v>
      </c>
      <c r="E27" s="15"/>
      <c r="G27" t="e">
        <f>"&lt;dl&gt;&lt;dt&gt;" &amp;#REF! &amp; "&lt;/dt&gt;&lt;dd&gt;" &amp;#REF! &amp; "&lt;/dd&gt;&lt;dd&gt;" &amp;#REF! &amp; "&lt;/dd&gt;&lt;/dl&gt;"</f>
        <v>#REF!</v>
      </c>
    </row>
    <row r="28" spans="2:7" ht="16.5" thickBot="1" x14ac:dyDescent="0.25">
      <c r="B28" s="3" t="s">
        <v>125</v>
      </c>
      <c r="C28" s="4" t="s">
        <v>504</v>
      </c>
      <c r="D28" s="4" t="s">
        <v>505</v>
      </c>
      <c r="E28" s="15"/>
      <c r="G28" t="e">
        <f>"&lt;dl&gt;&lt;dt&gt;" &amp;#REF! &amp; "&lt;/dt&gt;&lt;dd&gt;" &amp;#REF! &amp; "&lt;/dd&gt;&lt;dd&gt;" &amp;#REF! &amp; "&lt;/dd&gt;&lt;/dl&gt;"</f>
        <v>#REF!</v>
      </c>
    </row>
    <row r="29" spans="2:7" ht="16.5" thickBot="1" x14ac:dyDescent="0.25">
      <c r="B29" s="3" t="s">
        <v>206</v>
      </c>
      <c r="C29" s="4" t="s">
        <v>506</v>
      </c>
      <c r="D29" s="4" t="s">
        <v>507</v>
      </c>
      <c r="E29" s="15"/>
      <c r="G29" t="e">
        <f>"&lt;dl&gt;&lt;dt&gt;" &amp;#REF! &amp; "&lt;/dt&gt;&lt;dd&gt;" &amp;#REF! &amp; "&lt;/dd&gt;&lt;dd&gt;" &amp;#REF! &amp; "&lt;/dd&gt;&lt;/dl&gt;"</f>
        <v>#REF!</v>
      </c>
    </row>
    <row r="32" spans="2:7" ht="17.25" x14ac:dyDescent="0.2">
      <c r="B32" s="5" t="s">
        <v>70</v>
      </c>
    </row>
    <row r="33" spans="2:7" ht="15" thickBot="1" x14ac:dyDescent="0.25"/>
    <row r="34" spans="2:7" ht="16.5" thickBot="1" x14ac:dyDescent="0.25">
      <c r="B34" s="2" t="s">
        <v>71</v>
      </c>
      <c r="C34" s="2" t="s">
        <v>222</v>
      </c>
      <c r="D34" s="2" t="s">
        <v>508</v>
      </c>
      <c r="E34" s="12"/>
    </row>
    <row r="35" spans="2:7" ht="16.5" thickBot="1" x14ac:dyDescent="0.25">
      <c r="B35" s="3" t="s">
        <v>509</v>
      </c>
      <c r="C35" s="4" t="s">
        <v>510</v>
      </c>
      <c r="D35" s="4" t="s">
        <v>511</v>
      </c>
      <c r="E35" s="15"/>
      <c r="G35" t="e">
        <f>"&lt;dl&gt;&lt;dt&gt;" &amp;#REF! &amp; "&lt;/dt&gt;&lt;dd&gt;" &amp;#REF! &amp; "&lt;/dd&gt;&lt;dd&gt;" &amp;#REF! &amp; "&lt;/dd&gt;&lt;/dl&gt;"</f>
        <v>#REF!</v>
      </c>
    </row>
    <row r="36" spans="2:7" ht="16.5" thickBot="1" x14ac:dyDescent="0.25">
      <c r="B36" s="3" t="s">
        <v>512</v>
      </c>
      <c r="C36" s="4" t="s">
        <v>513</v>
      </c>
      <c r="D36" s="4" t="s">
        <v>514</v>
      </c>
      <c r="E36" s="15"/>
      <c r="G36" t="e">
        <f>"&lt;dl&gt;&lt;dt&gt;" &amp;#REF! &amp; "&lt;/dt&gt;&lt;dd&gt;" &amp;#REF! &amp; "&lt;/dd&gt;&lt;dd&gt;" &amp;#REF! &amp; "&lt;/dd&gt;&lt;/dl&gt;"</f>
        <v>#REF!</v>
      </c>
    </row>
    <row r="37" spans="2:7" ht="16.5" thickBot="1" x14ac:dyDescent="0.25">
      <c r="B37" s="3" t="s">
        <v>515</v>
      </c>
      <c r="C37" s="4" t="s">
        <v>516</v>
      </c>
      <c r="D37" s="4" t="s">
        <v>517</v>
      </c>
      <c r="E37" s="15"/>
      <c r="G37" t="e">
        <f>"&lt;dl&gt;&lt;dt&gt;" &amp;#REF! &amp; "&lt;/dt&gt;&lt;dd&gt;" &amp;#REF! &amp; "&lt;/dd&gt;&lt;dd&gt;" &amp;#REF! &amp; "&lt;/dd&gt;&lt;/dl&gt;"</f>
        <v>#REF!</v>
      </c>
    </row>
    <row r="38" spans="2:7" ht="16.5" thickBot="1" x14ac:dyDescent="0.25">
      <c r="B38" s="3" t="s">
        <v>518</v>
      </c>
      <c r="C38" s="4" t="s">
        <v>519</v>
      </c>
      <c r="D38" s="4" t="s">
        <v>520</v>
      </c>
      <c r="E38" s="15"/>
      <c r="G38" t="e">
        <f>"&lt;dl&gt;&lt;dt&gt;" &amp;#REF! &amp; "&lt;/dt&gt;&lt;dd&gt;" &amp;#REF! &amp; "&lt;/dd&gt;&lt;dd&gt;" &amp;#REF! &amp; "&lt;/dd&gt;&lt;/dl&gt;"</f>
        <v>#REF!</v>
      </c>
    </row>
    <row r="39" spans="2:7" ht="16.5" thickBot="1" x14ac:dyDescent="0.25">
      <c r="B39" s="3" t="s">
        <v>521</v>
      </c>
      <c r="C39" s="4" t="s">
        <v>522</v>
      </c>
      <c r="D39" s="4" t="s">
        <v>523</v>
      </c>
      <c r="E39" s="15"/>
      <c r="G39" t="e">
        <f>"&lt;dl&gt;&lt;dt&gt;" &amp;#REF! &amp; "&lt;/dt&gt;&lt;dd&gt;" &amp;#REF! &amp; "&lt;/dd&gt;&lt;dd&gt;" &amp;#REF! &amp; "&lt;/dd&gt;&lt;/dl&gt;"</f>
        <v>#REF!</v>
      </c>
    </row>
    <row r="40" spans="2:7" ht="16.5" thickBot="1" x14ac:dyDescent="0.25">
      <c r="B40" s="3" t="s">
        <v>524</v>
      </c>
      <c r="C40" s="4" t="s">
        <v>525</v>
      </c>
      <c r="D40" s="4" t="s">
        <v>526</v>
      </c>
      <c r="E40" s="15"/>
      <c r="G40" t="e">
        <f>"&lt;dl&gt;&lt;dt&gt;" &amp;#REF! &amp; "&lt;/dt&gt;&lt;dd&gt;" &amp;#REF! &amp; "&lt;/dd&gt;&lt;dd&gt;" &amp;#REF! &amp; "&lt;/dd&gt;&lt;/dl&gt;"</f>
        <v>#REF!</v>
      </c>
    </row>
    <row r="41" spans="2:7" ht="16.5" thickBot="1" x14ac:dyDescent="0.25">
      <c r="E41" s="15"/>
      <c r="G41" t="e">
        <f>"&lt;dl&gt;&lt;dt&gt;" &amp;#REF! &amp; "&lt;/dt&gt;&lt;dd&gt;" &amp;#REF! &amp; "&lt;/dd&gt;&lt;dd&gt;" &amp;#REF! &amp; "&lt;/dd&gt;&lt;/dl&gt;"</f>
        <v>#REF!</v>
      </c>
    </row>
    <row r="42" spans="2:7" ht="16.5" thickBot="1" x14ac:dyDescent="0.25">
      <c r="E42" s="15"/>
      <c r="G42" t="e">
        <f>"&lt;dl&gt;&lt;dt&gt;" &amp;#REF! &amp; "&lt;/dt&gt;&lt;dd&gt;" &amp;#REF! &amp; "&lt;/dd&gt;&lt;dd&gt;" &amp;#REF! &amp; "&lt;/dd&gt;&lt;/dl&gt;"</f>
        <v>#REF!</v>
      </c>
    </row>
    <row r="43" spans="2:7" ht="18" thickBot="1" x14ac:dyDescent="0.25">
      <c r="B43" s="5" t="s">
        <v>527</v>
      </c>
      <c r="E43" s="15"/>
      <c r="G43" t="e">
        <f>"&lt;dl&gt;&lt;dt&gt;" &amp;#REF! &amp; "&lt;/dt&gt;&lt;dd&gt;" &amp;#REF! &amp; "&lt;/dd&gt;&lt;dd&gt;" &amp;#REF! &amp; "&lt;/dd&gt;&lt;/dl&gt;"</f>
        <v>#REF!</v>
      </c>
    </row>
    <row r="44" spans="2:7" x14ac:dyDescent="0.2">
      <c r="B44" s="6"/>
    </row>
    <row r="45" spans="2:7" x14ac:dyDescent="0.2">
      <c r="B45" s="7" t="s">
        <v>528</v>
      </c>
    </row>
    <row r="46" spans="2:7" x14ac:dyDescent="0.2">
      <c r="B46" s="6"/>
    </row>
    <row r="47" spans="2:7" ht="15" thickBot="1" x14ac:dyDescent="0.25">
      <c r="B47" s="9" t="s">
        <v>529</v>
      </c>
    </row>
    <row r="48" spans="2:7" ht="16.5" thickBot="1" x14ac:dyDescent="0.25">
      <c r="B48" s="7" t="s">
        <v>530</v>
      </c>
      <c r="E48" s="12"/>
    </row>
    <row r="49" spans="2:7" ht="16.5" thickBot="1" x14ac:dyDescent="0.25">
      <c r="B49" s="6"/>
      <c r="E49" s="15"/>
      <c r="G49" t="e">
        <f>"&lt;dl&gt;&lt;dt&gt;" &amp;#REF! &amp; "&lt;/dt&gt;&lt;dd&gt;" &amp;#REF! &amp; "&lt;/dd&gt;&lt;dd&gt;" &amp;#REF! &amp; "&lt;/dd&gt;&lt;/dl&gt;"</f>
        <v>#REF!</v>
      </c>
    </row>
    <row r="50" spans="2:7" ht="16.5" thickBot="1" x14ac:dyDescent="0.25">
      <c r="B50" s="9" t="s">
        <v>531</v>
      </c>
      <c r="E50" s="15"/>
      <c r="G50" t="e">
        <f>"&lt;dl&gt;&lt;dt&gt;" &amp;#REF! &amp; "&lt;/dt&gt;&lt;dd&gt;" &amp;#REF! &amp; "&lt;/dd&gt;&lt;dd&gt;" &amp;#REF! &amp; "&lt;/dd&gt;&lt;/dl&gt;"</f>
        <v>#REF!</v>
      </c>
    </row>
    <row r="51" spans="2:7" ht="16.5" thickBot="1" x14ac:dyDescent="0.25">
      <c r="B51" s="9" t="s">
        <v>532</v>
      </c>
      <c r="E51" s="15"/>
      <c r="G51" t="e">
        <f>"&lt;dl&gt;&lt;dt&gt;" &amp;#REF! &amp; "&lt;/dt&gt;&lt;dd&gt;" &amp;#REF! &amp; "&lt;/dd&gt;&lt;dd&gt;" &amp;#REF! &amp; "&lt;/dd&gt;&lt;/dl&gt;"</f>
        <v>#REF!</v>
      </c>
    </row>
    <row r="52" spans="2:7" ht="16.5" thickBot="1" x14ac:dyDescent="0.25">
      <c r="E52" s="15"/>
      <c r="G52" t="e">
        <f>"&lt;dl&gt;&lt;dt&gt;" &amp;#REF! &amp; "&lt;/dt&gt;&lt;dd&gt;" &amp;#REF! &amp; "&lt;/dd&gt;&lt;dd&gt;" &amp;#REF! &amp; "&lt;/dd&gt;&lt;/dl&gt;"</f>
        <v>#REF!</v>
      </c>
    </row>
    <row r="55" spans="2:7" ht="17.25" x14ac:dyDescent="0.2">
      <c r="B55" s="5" t="s">
        <v>533</v>
      </c>
    </row>
    <row r="57" spans="2:7" x14ac:dyDescent="0.2">
      <c r="B57" s="2" t="s">
        <v>40</v>
      </c>
      <c r="C57" s="2" t="s">
        <v>534</v>
      </c>
      <c r="D57" s="2" t="s">
        <v>113</v>
      </c>
    </row>
    <row r="58" spans="2:7" x14ac:dyDescent="0.2">
      <c r="B58" s="3" t="s">
        <v>187</v>
      </c>
      <c r="C58" s="4" t="s">
        <v>535</v>
      </c>
      <c r="D58" s="4" t="s">
        <v>536</v>
      </c>
    </row>
    <row r="59" spans="2:7" x14ac:dyDescent="0.2">
      <c r="B59" s="3" t="s">
        <v>271</v>
      </c>
      <c r="C59" s="4" t="s">
        <v>537</v>
      </c>
      <c r="D59" s="4" t="s">
        <v>538</v>
      </c>
    </row>
    <row r="60" spans="2:7" x14ac:dyDescent="0.2">
      <c r="B60" s="3" t="s">
        <v>193</v>
      </c>
      <c r="C60" s="4" t="s">
        <v>539</v>
      </c>
      <c r="D60" s="4" t="s">
        <v>540</v>
      </c>
    </row>
    <row r="61" spans="2:7" x14ac:dyDescent="0.2">
      <c r="B61" s="3" t="s">
        <v>284</v>
      </c>
      <c r="C61" s="4" t="s">
        <v>541</v>
      </c>
      <c r="D61" s="4" t="s">
        <v>542</v>
      </c>
    </row>
    <row r="62" spans="2:7" x14ac:dyDescent="0.2">
      <c r="B62" s="3" t="s">
        <v>292</v>
      </c>
      <c r="C62" s="4" t="s">
        <v>543</v>
      </c>
      <c r="D62" s="4" t="s">
        <v>544</v>
      </c>
    </row>
    <row r="65" spans="2:2" ht="17.25" x14ac:dyDescent="0.2">
      <c r="B65" s="5" t="s">
        <v>545</v>
      </c>
    </row>
    <row r="66" spans="2:2" x14ac:dyDescent="0.2">
      <c r="B66" s="6"/>
    </row>
    <row r="67" spans="2:2" x14ac:dyDescent="0.2">
      <c r="B67" s="7" t="s">
        <v>546</v>
      </c>
    </row>
    <row r="68" spans="2:2" x14ac:dyDescent="0.2">
      <c r="B68" s="6"/>
    </row>
    <row r="69" spans="2:2" x14ac:dyDescent="0.2">
      <c r="B69" s="9" t="s">
        <v>547</v>
      </c>
    </row>
    <row r="70" spans="2:2" x14ac:dyDescent="0.2">
      <c r="B70" s="7" t="s">
        <v>548</v>
      </c>
    </row>
    <row r="71" spans="2:2" x14ac:dyDescent="0.2">
      <c r="B71" s="6"/>
    </row>
    <row r="72" spans="2:2" x14ac:dyDescent="0.2">
      <c r="B72" s="9" t="s">
        <v>549</v>
      </c>
    </row>
    <row r="73" spans="2:2" x14ac:dyDescent="0.2">
      <c r="B73" s="7" t="s">
        <v>550</v>
      </c>
    </row>
    <row r="74" spans="2:2" x14ac:dyDescent="0.2">
      <c r="B74" s="6"/>
    </row>
    <row r="75" spans="2:2" x14ac:dyDescent="0.2">
      <c r="B75" s="9" t="s">
        <v>551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F8203-6FA0-41D5-AF92-E259B5614122}">
  <dimension ref="B1:G81"/>
  <sheetViews>
    <sheetView topLeftCell="A62" zoomScaleNormal="100" workbookViewId="0">
      <selection activeCell="H25" sqref="H24:H25"/>
    </sheetView>
  </sheetViews>
  <sheetFormatPr defaultRowHeight="14.25" x14ac:dyDescent="0.2"/>
  <cols>
    <col min="1" max="1" width="2.75" customWidth="1"/>
    <col min="2" max="2" width="15.625" customWidth="1"/>
    <col min="3" max="3" width="46" customWidth="1"/>
    <col min="4" max="4" width="51.25" customWidth="1"/>
  </cols>
  <sheetData>
    <row r="1" spans="2:7" ht="17.25" x14ac:dyDescent="0.2">
      <c r="B1" s="5" t="s">
        <v>552</v>
      </c>
      <c r="G1" t="str">
        <f>"&lt;dl&gt;&lt;dt&gt;" &amp; B1 &amp; "&lt;/dt&gt;&lt;dd&gt;" &amp; C1 &amp; "&lt;/dd&gt;&lt;dd&gt;" &amp; D1 &amp; "&lt;/dd&gt;&lt;/dl&gt;"</f>
        <v>&lt;dl&gt;&lt;dt&gt;一、太阴定义​&lt;/dt&gt;&lt;dd&gt;&lt;/dd&gt;&lt;dd&gt;&lt;/dd&gt;&lt;/dl&gt;</v>
      </c>
    </row>
    <row r="3" spans="2:7" x14ac:dyDescent="0.2">
      <c r="B3" s="1" t="s">
        <v>553</v>
      </c>
    </row>
    <row r="4" spans="2:7" x14ac:dyDescent="0.2">
      <c r="B4" s="1" t="s">
        <v>554</v>
      </c>
    </row>
    <row r="5" spans="2:7" x14ac:dyDescent="0.2">
      <c r="B5" s="1" t="s">
        <v>25</v>
      </c>
    </row>
    <row r="6" spans="2:7" x14ac:dyDescent="0.2">
      <c r="B6" s="6"/>
    </row>
    <row r="7" spans="2:7" x14ac:dyDescent="0.2">
      <c r="B7" s="7" t="s">
        <v>555</v>
      </c>
    </row>
    <row r="8" spans="2:7" x14ac:dyDescent="0.2">
      <c r="B8" s="9" t="s">
        <v>556</v>
      </c>
    </row>
    <row r="9" spans="2:7" x14ac:dyDescent="0.2">
      <c r="B9" s="7" t="s">
        <v>557</v>
      </c>
    </row>
    <row r="10" spans="2:7" x14ac:dyDescent="0.2">
      <c r="B10" s="6"/>
    </row>
    <row r="11" spans="2:7" x14ac:dyDescent="0.2">
      <c r="B11" s="9" t="s">
        <v>558</v>
      </c>
    </row>
    <row r="12" spans="2:7" x14ac:dyDescent="0.2">
      <c r="B12" s="7" t="s">
        <v>559</v>
      </c>
    </row>
    <row r="13" spans="2:7" x14ac:dyDescent="0.2">
      <c r="B13" s="6"/>
    </row>
    <row r="14" spans="2:7" x14ac:dyDescent="0.2">
      <c r="B14" s="9" t="s">
        <v>560</v>
      </c>
    </row>
    <row r="15" spans="2:7" x14ac:dyDescent="0.2">
      <c r="B15" s="7" t="s">
        <v>561</v>
      </c>
    </row>
    <row r="19" spans="2:7" ht="17.25" x14ac:dyDescent="0.2">
      <c r="B19" s="5" t="s">
        <v>221</v>
      </c>
    </row>
    <row r="21" spans="2:7" ht="15" thickBot="1" x14ac:dyDescent="0.25">
      <c r="B21" s="2" t="s">
        <v>18</v>
      </c>
      <c r="C21" s="2" t="s">
        <v>222</v>
      </c>
      <c r="D21" s="2" t="s">
        <v>562</v>
      </c>
    </row>
    <row r="22" spans="2:7" ht="16.5" thickBot="1" x14ac:dyDescent="0.25">
      <c r="B22" s="3" t="s">
        <v>201</v>
      </c>
      <c r="C22" s="4" t="s">
        <v>563</v>
      </c>
      <c r="D22" s="4" t="s">
        <v>564</v>
      </c>
      <c r="E22" s="12"/>
    </row>
    <row r="23" spans="2:7" ht="16.5" thickBot="1" x14ac:dyDescent="0.25">
      <c r="B23" s="3" t="s">
        <v>9</v>
      </c>
      <c r="C23" s="4" t="s">
        <v>565</v>
      </c>
      <c r="D23" s="4" t="s">
        <v>566</v>
      </c>
      <c r="E23" s="15"/>
      <c r="G23" t="str">
        <f t="shared" ref="G23:G51" si="0">"&lt;dl&gt;&lt;dt&gt;" &amp; B23 &amp; "&lt;/dt&gt;&lt;dd&gt;" &amp; C23 &amp; "&lt;/dd&gt;&lt;dd&gt;" &amp; D23 &amp; "&lt;/dd&gt;&lt;/dl&gt;"</f>
        <v>&lt;dl&gt;&lt;dt&gt;父母宫​&lt;/dt&gt;&lt;dd&gt;母亲影响力；文书存储（证书/遗嘱）&lt;/dd&gt;&lt;dd&gt;太阴陷+阴煞：母亲健康隐疾；+天刑：遗产纠纷&lt;/dd&gt;&lt;/dl&gt;</v>
      </c>
    </row>
    <row r="24" spans="2:7" ht="16.5" thickBot="1" x14ac:dyDescent="0.25">
      <c r="B24" s="3" t="s">
        <v>3</v>
      </c>
      <c r="C24" s="4" t="s">
        <v>567</v>
      </c>
      <c r="D24" s="4" t="s">
        <v>568</v>
      </c>
      <c r="E24" s="15"/>
      <c r="G24" t="str">
        <f t="shared" si="0"/>
        <v>&lt;dl&gt;&lt;dt&gt;财帛宫​&lt;/dt&gt;&lt;dd&gt;财富流动模式&lt;/dd&gt;&lt;dd&gt;庙：稳定理财；陷+地劫：破财；+禄存：暗财（灰色收入）&lt;/dd&gt;&lt;/dl&gt;</v>
      </c>
    </row>
    <row r="25" spans="2:7" ht="16.5" thickBot="1" x14ac:dyDescent="0.25">
      <c r="B25" s="3" t="s">
        <v>6</v>
      </c>
      <c r="C25" s="4" t="s">
        <v>569</v>
      </c>
      <c r="D25" s="4" t="s">
        <v>570</v>
      </c>
      <c r="E25" s="15"/>
      <c r="G25" t="str">
        <f t="shared" si="0"/>
        <v>&lt;dl&gt;&lt;dt&gt;疾厄宫​&lt;/dt&gt;&lt;dd&gt;水相关疾病（妇科/泌尿/淋巴）&lt;/dd&gt;&lt;dd&gt;+天哭：抑郁症；+擎羊：手术留疤&lt;/dd&gt;&lt;/dl&gt;</v>
      </c>
    </row>
    <row r="26" spans="2:7" ht="16.5" thickBot="1" x14ac:dyDescent="0.25">
      <c r="B26" s="3" t="s">
        <v>128</v>
      </c>
      <c r="C26" s="4" t="s">
        <v>571</v>
      </c>
      <c r="D26" s="4" t="s">
        <v>572</v>
      </c>
      <c r="E26" s="15"/>
      <c r="G26" t="str">
        <f t="shared" si="0"/>
        <v>&lt;dl&gt;&lt;dt&gt;子女宫​&lt;/dt&gt;&lt;dd&gt;隐性子女（流产/领养）；子女性格安静&lt;/dd&gt;&lt;dd&gt;太阴忌+天虚：难孕；+红鸾：私生子&lt;/dd&gt;&lt;/dl&gt;</v>
      </c>
    </row>
    <row r="27" spans="2:7" ht="16.5" thickBot="1" x14ac:dyDescent="0.25">
      <c r="B27" s="3" t="s">
        <v>0</v>
      </c>
      <c r="C27" s="4" t="s">
        <v>573</v>
      </c>
      <c r="D27" s="4" t="s">
        <v>574</v>
      </c>
      <c r="E27" s="15"/>
      <c r="G27" t="str">
        <f t="shared" si="0"/>
        <v>&lt;dl&gt;&lt;dt&gt;田宅宫​&lt;/dt&gt;&lt;dd&gt;家宅水性（近水/泳池）；家族记忆&lt;/dd&gt;&lt;dd&gt;庙：家族底蕴深；陷+地空：房屋漏水&lt;/dd&gt;&lt;/dl&gt;</v>
      </c>
    </row>
    <row r="28" spans="2:7" ht="16.5" thickBot="1" x14ac:dyDescent="0.25">
      <c r="B28" s="3" t="s">
        <v>125</v>
      </c>
      <c r="C28" s="4" t="s">
        <v>575</v>
      </c>
      <c r="D28" s="4" t="s">
        <v>576</v>
      </c>
      <c r="E28" s="15"/>
      <c r="G28" t="str">
        <f t="shared" si="0"/>
        <v>&lt;dl&gt;&lt;dt&gt;夫妻宫​&lt;/dt&gt;&lt;dd&gt;妻子特质/感情存储&lt;/dd&gt;&lt;dd&gt;庙：配偶体贴；陷+火星：冷暴力；+文曲：情书传情&lt;/dd&gt;&lt;/dl&gt;</v>
      </c>
    </row>
    <row r="29" spans="2:7" x14ac:dyDescent="0.2">
      <c r="B29" s="3" t="s">
        <v>206</v>
      </c>
      <c r="C29" s="4" t="s">
        <v>577</v>
      </c>
      <c r="D29" s="4" t="s">
        <v>578</v>
      </c>
    </row>
    <row r="30" spans="2:7" x14ac:dyDescent="0.2">
      <c r="B30" s="3" t="s">
        <v>15</v>
      </c>
      <c r="C30" s="4" t="s">
        <v>579</v>
      </c>
      <c r="D30" s="4" t="s">
        <v>580</v>
      </c>
    </row>
    <row r="31" spans="2:7" x14ac:dyDescent="0.2">
      <c r="B31" s="3" t="s">
        <v>116</v>
      </c>
      <c r="C31" s="4" t="s">
        <v>581</v>
      </c>
      <c r="D31" s="4" t="s">
        <v>582</v>
      </c>
    </row>
    <row r="32" spans="2:7" ht="15" thickBot="1" x14ac:dyDescent="0.25"/>
    <row r="33" spans="2:7" ht="16.5" thickBot="1" x14ac:dyDescent="0.25">
      <c r="E33" s="12"/>
    </row>
    <row r="34" spans="2:7" ht="18" thickBot="1" x14ac:dyDescent="0.25">
      <c r="B34" s="5" t="s">
        <v>583</v>
      </c>
      <c r="E34" s="15"/>
      <c r="G34" t="str">
        <f t="shared" si="0"/>
        <v>&lt;dl&gt;&lt;dt&gt;三、星曜状态吉凶​&lt;/dt&gt;&lt;dd&gt;&lt;/dd&gt;&lt;dd&gt;&lt;/dd&gt;&lt;/dl&gt;</v>
      </c>
    </row>
    <row r="35" spans="2:7" ht="16.5" thickBot="1" x14ac:dyDescent="0.25">
      <c r="E35" s="15"/>
      <c r="G35" t="str">
        <f t="shared" si="0"/>
        <v>&lt;dl&gt;&lt;dt&gt;&lt;/dt&gt;&lt;dd&gt;&lt;/dd&gt;&lt;dd&gt;&lt;/dd&gt;&lt;/dl&gt;</v>
      </c>
    </row>
    <row r="36" spans="2:7" ht="16.5" thickBot="1" x14ac:dyDescent="0.25">
      <c r="B36" s="2" t="s">
        <v>584</v>
      </c>
      <c r="C36" s="2" t="s">
        <v>585</v>
      </c>
      <c r="D36" s="2" t="s">
        <v>586</v>
      </c>
      <c r="E36" s="15"/>
      <c r="G36" t="str">
        <f t="shared" si="0"/>
        <v>&lt;dl&gt;&lt;dt&gt;状态​&lt;/dt&gt;&lt;dd&gt;特质​&lt;/dd&gt;&lt;dd&gt;四化联动​&lt;/dd&gt;&lt;/dl&gt;</v>
      </c>
    </row>
    <row r="37" spans="2:7" ht="16.5" thickBot="1" x14ac:dyDescent="0.25">
      <c r="B37" s="3" t="s">
        <v>587</v>
      </c>
      <c r="C37" s="4" t="s">
        <v>588</v>
      </c>
      <c r="D37" s="4" t="s">
        <v>589</v>
      </c>
      <c r="E37" s="15"/>
      <c r="G37" t="str">
        <f t="shared" si="0"/>
        <v>&lt;dl&gt;&lt;dt&gt;庙旺​ (子、亥、酉)&lt;/dt&gt;&lt;dd&gt;存储力强、情感丰沛&lt;/dd&gt;&lt;dd&gt;化禄：存财增福；化忌：过度囤积引发抑郁&lt;/dd&gt;&lt;/dl&gt;</v>
      </c>
    </row>
    <row r="38" spans="2:7" ht="16.5" thickBot="1" x14ac:dyDescent="0.25">
      <c r="B38" s="3" t="s">
        <v>590</v>
      </c>
      <c r="C38" s="4" t="s">
        <v>591</v>
      </c>
      <c r="D38" s="4" t="s">
        <v>592</v>
      </c>
      <c r="E38" s="15"/>
      <c r="G38" t="str">
        <f t="shared" si="0"/>
        <v>&lt;dl&gt;&lt;dt&gt;落陷​ (巳、午、未)&lt;/dt&gt;&lt;dd&gt;存储空洞、情感疏离&lt;/dd&gt;&lt;dd&gt;化禄：虚情假意；化忌：彻底失去（财/情）&lt;/dd&gt;&lt;/dl&gt;</v>
      </c>
    </row>
    <row r="39" spans="2:7" ht="16.5" thickBot="1" x14ac:dyDescent="0.25">
      <c r="B39" s="3" t="s">
        <v>593</v>
      </c>
      <c r="C39" s="4" t="s">
        <v>594</v>
      </c>
      <c r="D39" s="4" t="s">
        <v>595</v>
      </c>
      <c r="E39" s="15"/>
      <c r="G39" t="str">
        <f t="shared" si="0"/>
        <v>&lt;dl&gt;&lt;dt&gt;平势​ (其他宫位)&lt;/dt&gt;&lt;dd&gt;波动性存储&lt;/dd&gt;&lt;dd&gt;化权：强制管理存储；化科：缓慢积累&lt;/dd&gt;&lt;/dl&gt;</v>
      </c>
    </row>
    <row r="40" spans="2:7" ht="16.5" thickBot="1" x14ac:dyDescent="0.25">
      <c r="E40" s="15"/>
      <c r="G40" t="str">
        <f t="shared" si="0"/>
        <v>&lt;dl&gt;&lt;dt&gt;&lt;/dt&gt;&lt;dd&gt;&lt;/dd&gt;&lt;dd&gt;&lt;/dd&gt;&lt;/dl&gt;</v>
      </c>
    </row>
    <row r="41" spans="2:7" ht="16.5" thickBot="1" x14ac:dyDescent="0.25">
      <c r="E41" s="15"/>
      <c r="G41" t="str">
        <f t="shared" si="0"/>
        <v>&lt;dl&gt;&lt;dt&gt;&lt;/dt&gt;&lt;dd&gt;&lt;/dd&gt;&lt;dd&gt;&lt;/dd&gt;&lt;/dl&gt;</v>
      </c>
    </row>
    <row r="42" spans="2:7" ht="18" thickBot="1" x14ac:dyDescent="0.25">
      <c r="B42" s="5" t="s">
        <v>596</v>
      </c>
      <c r="E42" s="15"/>
      <c r="G42" t="str">
        <f t="shared" si="0"/>
        <v>&lt;dl&gt;&lt;dt&gt;四、辅星组合关键象义​&lt;/dt&gt;&lt;dd&gt;&lt;/dd&gt;&lt;dd&gt;&lt;/dd&gt;&lt;/dl&gt;</v>
      </c>
    </row>
    <row r="44" spans="2:7" x14ac:dyDescent="0.2">
      <c r="B44" s="2" t="s">
        <v>40</v>
      </c>
      <c r="C44" s="2" t="s">
        <v>534</v>
      </c>
      <c r="D44" s="2" t="s">
        <v>113</v>
      </c>
    </row>
    <row r="45" spans="2:7" x14ac:dyDescent="0.2">
      <c r="B45" s="3" t="s">
        <v>181</v>
      </c>
      <c r="C45" s="4" t="s">
        <v>597</v>
      </c>
      <c r="D45" s="4" t="s">
        <v>598</v>
      </c>
    </row>
    <row r="46" spans="2:7" ht="15" thickBot="1" x14ac:dyDescent="0.25">
      <c r="B46" s="3" t="s">
        <v>178</v>
      </c>
      <c r="C46" s="4" t="s">
        <v>599</v>
      </c>
      <c r="D46" s="4" t="s">
        <v>600</v>
      </c>
    </row>
    <row r="47" spans="2:7" ht="16.5" thickBot="1" x14ac:dyDescent="0.25">
      <c r="B47" s="3" t="s">
        <v>193</v>
      </c>
      <c r="C47" s="4" t="s">
        <v>601</v>
      </c>
      <c r="D47" s="4" t="s">
        <v>602</v>
      </c>
      <c r="E47" s="12"/>
    </row>
    <row r="48" spans="2:7" ht="16.5" thickBot="1" x14ac:dyDescent="0.25">
      <c r="B48" s="3" t="s">
        <v>279</v>
      </c>
      <c r="C48" s="4" t="s">
        <v>603</v>
      </c>
      <c r="D48" s="4" t="s">
        <v>604</v>
      </c>
      <c r="E48" s="15"/>
      <c r="G48" t="str">
        <f t="shared" si="0"/>
        <v>&lt;dl&gt;&lt;dt&gt;地空​&lt;/dt&gt;&lt;dd&gt;存储虚胀（泡沫资产）&lt;/dd&gt;&lt;dd&gt;财帛+太阴地空：虚假投资&lt;/dd&gt;&lt;/dl&gt;</v>
      </c>
    </row>
    <row r="49" spans="2:7" ht="16.5" thickBot="1" x14ac:dyDescent="0.25">
      <c r="B49" s="3" t="s">
        <v>190</v>
      </c>
      <c r="C49" s="4" t="s">
        <v>605</v>
      </c>
      <c r="D49" s="4" t="s">
        <v>606</v>
      </c>
      <c r="E49" s="15"/>
      <c r="G49" t="str">
        <f t="shared" si="0"/>
        <v>&lt;dl&gt;&lt;dt&gt;擎羊​&lt;/dt&gt;&lt;dd&gt;切割存储&lt;/dd&gt;&lt;dd&gt;疾厄+太阴擎羊：切除子宫&lt;/dd&gt;&lt;/dl&gt;</v>
      </c>
    </row>
    <row r="50" spans="2:7" ht="16.5" thickBot="1" x14ac:dyDescent="0.25">
      <c r="B50" s="3" t="s">
        <v>271</v>
      </c>
      <c r="C50" s="4" t="s">
        <v>607</v>
      </c>
      <c r="D50" s="4" t="s">
        <v>608</v>
      </c>
      <c r="E50" s="15"/>
      <c r="G50" t="str">
        <f t="shared" si="0"/>
        <v>&lt;dl&gt;&lt;dt&gt;铃星​&lt;/dt&gt;&lt;dd&gt;存储烦恼&lt;/dd&gt;&lt;dd&gt;福德+太阴铃星：心事积压成疾&lt;/dd&gt;&lt;/dl&gt;</v>
      </c>
    </row>
    <row r="51" spans="2:7" ht="16.5" thickBot="1" x14ac:dyDescent="0.25">
      <c r="B51" s="3" t="s">
        <v>292</v>
      </c>
      <c r="C51" s="4" t="s">
        <v>609</v>
      </c>
      <c r="D51" s="4" t="s">
        <v>610</v>
      </c>
      <c r="E51" s="15"/>
      <c r="G51" t="str">
        <f t="shared" si="0"/>
        <v>&lt;dl&gt;&lt;dt&gt;天姚​&lt;/dt&gt;&lt;dd&gt;存储情欲&lt;/dd&gt;&lt;dd&gt;子女宫+太阴天姚：隐性性生活&lt;/dd&gt;&lt;/dl&gt;</v>
      </c>
    </row>
    <row r="52" spans="2:7" x14ac:dyDescent="0.2">
      <c r="B52" s="3" t="s">
        <v>196</v>
      </c>
      <c r="C52" s="4" t="s">
        <v>611</v>
      </c>
      <c r="D52" s="4" t="s">
        <v>612</v>
      </c>
    </row>
    <row r="55" spans="2:7" ht="17.25" x14ac:dyDescent="0.2">
      <c r="B55" s="5" t="s">
        <v>613</v>
      </c>
    </row>
    <row r="56" spans="2:7" x14ac:dyDescent="0.2">
      <c r="B56" s="6"/>
    </row>
    <row r="57" spans="2:7" x14ac:dyDescent="0.2">
      <c r="B57" s="7" t="s">
        <v>614</v>
      </c>
    </row>
    <row r="58" spans="2:7" x14ac:dyDescent="0.2">
      <c r="B58" s="6"/>
    </row>
    <row r="59" spans="2:7" x14ac:dyDescent="0.2">
      <c r="B59" s="9" t="s">
        <v>615</v>
      </c>
    </row>
    <row r="60" spans="2:7" x14ac:dyDescent="0.2">
      <c r="B60" s="7" t="s">
        <v>616</v>
      </c>
    </row>
    <row r="61" spans="2:7" x14ac:dyDescent="0.2">
      <c r="B61" s="6"/>
    </row>
    <row r="62" spans="2:7" x14ac:dyDescent="0.2">
      <c r="B62" s="9" t="s">
        <v>617</v>
      </c>
    </row>
    <row r="63" spans="2:7" x14ac:dyDescent="0.2">
      <c r="B63" s="7" t="s">
        <v>618</v>
      </c>
    </row>
    <row r="64" spans="2:7" x14ac:dyDescent="0.2">
      <c r="B64" s="6"/>
    </row>
    <row r="65" spans="2:2" x14ac:dyDescent="0.2">
      <c r="B65" s="9" t="s">
        <v>619</v>
      </c>
    </row>
    <row r="66" spans="2:2" x14ac:dyDescent="0.2">
      <c r="B66" s="6"/>
    </row>
    <row r="67" spans="2:2" x14ac:dyDescent="0.2">
      <c r="B67" s="9"/>
    </row>
    <row r="68" spans="2:2" x14ac:dyDescent="0.2">
      <c r="B68" s="9"/>
    </row>
    <row r="69" spans="2:2" x14ac:dyDescent="0.2">
      <c r="B69" s="7"/>
    </row>
    <row r="70" spans="2:2" x14ac:dyDescent="0.2">
      <c r="B70" s="6"/>
    </row>
    <row r="71" spans="2:2" x14ac:dyDescent="0.2">
      <c r="B71" s="9"/>
    </row>
    <row r="72" spans="2:2" x14ac:dyDescent="0.2">
      <c r="B72" s="9"/>
    </row>
    <row r="76" spans="2:2" ht="17.25" x14ac:dyDescent="0.2">
      <c r="B76" s="5"/>
    </row>
    <row r="79" spans="2:2" x14ac:dyDescent="0.2">
      <c r="B79" s="16"/>
    </row>
    <row r="80" spans="2:2" x14ac:dyDescent="0.2">
      <c r="B80" s="6"/>
    </row>
    <row r="81" spans="2:2" x14ac:dyDescent="0.2">
      <c r="B81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9050C-A50B-428E-BAF1-80F53536ACE8}">
  <dimension ref="B1:G82"/>
  <sheetViews>
    <sheetView zoomScaleNormal="100" workbookViewId="0">
      <selection activeCell="C12" sqref="C12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375</v>
      </c>
      <c r="G1" t="str">
        <f>"&lt;dl&gt;&lt;dt&gt;" &amp; B1 &amp; "&lt;/dt&gt;&lt;dd&gt;" &amp; C1 &amp; "&lt;/dd&gt;&lt;dd&gt;" &amp; D1 &amp; "&lt;/dd&gt;&lt;/dl&gt;"</f>
        <v>&lt;dl&gt;&lt;dt&gt;一、基础属性​&lt;/dt&gt;&lt;dd&gt;&lt;/dd&gt;&lt;dd&gt;&lt;/dd&gt;&lt;/dl&gt;</v>
      </c>
    </row>
    <row r="3" spans="2:7" x14ac:dyDescent="0.2">
      <c r="B3" s="2" t="s">
        <v>376</v>
      </c>
      <c r="C3" s="2" t="s">
        <v>377</v>
      </c>
      <c r="D3" s="2" t="s">
        <v>21</v>
      </c>
    </row>
    <row r="4" spans="2:7" x14ac:dyDescent="0.2">
      <c r="B4" s="3" t="s">
        <v>620</v>
      </c>
      <c r="C4" s="4" t="s">
        <v>621</v>
      </c>
      <c r="D4" s="4"/>
    </row>
    <row r="5" spans="2:7" x14ac:dyDescent="0.2">
      <c r="B5" s="3" t="s">
        <v>622</v>
      </c>
      <c r="C5" s="4" t="s">
        <v>623</v>
      </c>
      <c r="D5" s="4"/>
    </row>
    <row r="6" spans="2:7" ht="28.5" x14ac:dyDescent="0.2">
      <c r="B6" s="3" t="s">
        <v>624</v>
      </c>
      <c r="C6" s="4" t="s">
        <v>625</v>
      </c>
      <c r="D6" s="4"/>
    </row>
    <row r="7" spans="2:7" ht="28.5" x14ac:dyDescent="0.2">
      <c r="B7" s="3" t="s">
        <v>386</v>
      </c>
      <c r="C7" s="4" t="s">
        <v>626</v>
      </c>
      <c r="D7" s="4"/>
    </row>
    <row r="10" spans="2:7" ht="17.25" x14ac:dyDescent="0.2">
      <c r="B10" s="5" t="s">
        <v>388</v>
      </c>
    </row>
    <row r="12" spans="2:7" ht="15.75" x14ac:dyDescent="0.2">
      <c r="B12" s="13" t="s">
        <v>627</v>
      </c>
    </row>
    <row r="14" spans="2:7" x14ac:dyDescent="0.2">
      <c r="B14" s="2" t="s">
        <v>390</v>
      </c>
      <c r="C14" s="2" t="s">
        <v>391</v>
      </c>
      <c r="D14" s="2" t="s">
        <v>392</v>
      </c>
      <c r="E14" s="2"/>
    </row>
    <row r="15" spans="2:7" x14ac:dyDescent="0.2">
      <c r="B15" s="3" t="s">
        <v>628</v>
      </c>
      <c r="C15" s="4" t="s">
        <v>629</v>
      </c>
      <c r="D15" s="4" t="s">
        <v>630</v>
      </c>
      <c r="E15" s="4"/>
    </row>
    <row r="16" spans="2:7" x14ac:dyDescent="0.2">
      <c r="B16" s="3" t="s">
        <v>631</v>
      </c>
      <c r="C16" s="4" t="s">
        <v>632</v>
      </c>
      <c r="D16" s="4" t="s">
        <v>633</v>
      </c>
      <c r="E16" s="4"/>
    </row>
    <row r="17" spans="2:7" x14ac:dyDescent="0.2">
      <c r="B17" s="3" t="s">
        <v>634</v>
      </c>
      <c r="C17" s="4" t="s">
        <v>635</v>
      </c>
      <c r="D17" s="4" t="s">
        <v>636</v>
      </c>
      <c r="E17" s="4"/>
    </row>
    <row r="18" spans="2:7" x14ac:dyDescent="0.2">
      <c r="B18" s="3" t="s">
        <v>637</v>
      </c>
      <c r="C18" s="4" t="s">
        <v>638</v>
      </c>
      <c r="D18" s="4" t="s">
        <v>639</v>
      </c>
      <c r="E18" s="4"/>
    </row>
    <row r="20" spans="2:7" ht="15.75" x14ac:dyDescent="0.2">
      <c r="B20" s="13" t="s">
        <v>405</v>
      </c>
    </row>
    <row r="21" spans="2:7" x14ac:dyDescent="0.2">
      <c r="B21" s="6"/>
    </row>
    <row r="22" spans="2:7" x14ac:dyDescent="0.2">
      <c r="B22" s="7" t="s">
        <v>640</v>
      </c>
    </row>
    <row r="23" spans="2:7" x14ac:dyDescent="0.2">
      <c r="B23" s="7" t="s">
        <v>641</v>
      </c>
    </row>
    <row r="24" spans="2:7" x14ac:dyDescent="0.2">
      <c r="G24" t="str">
        <f t="shared" ref="G24:G52" si="0">"&lt;dl&gt;&lt;dt&gt;" &amp; B24 &amp; "&lt;/dt&gt;&lt;dd&gt;" &amp; C24 &amp; "&lt;/dd&gt;&lt;dd&gt;" &amp; D24 &amp; "&lt;/dd&gt;&lt;/dl&gt;"</f>
        <v>&lt;dl&gt;&lt;dt&gt;&lt;/dt&gt;&lt;dd&gt;&lt;/dd&gt;&lt;dd&gt;&lt;/dd&gt;&lt;/dl&gt;</v>
      </c>
    </row>
    <row r="25" spans="2:7" x14ac:dyDescent="0.2">
      <c r="G25" t="str">
        <f t="shared" si="0"/>
        <v>&lt;dl&gt;&lt;dt&gt;&lt;/dt&gt;&lt;dd&gt;&lt;/dd&gt;&lt;dd&gt;&lt;/dd&gt;&lt;/dl&gt;</v>
      </c>
    </row>
    <row r="26" spans="2:7" x14ac:dyDescent="0.2">
      <c r="G26" t="str">
        <f t="shared" si="0"/>
        <v>&lt;dl&gt;&lt;dt&gt;&lt;/dt&gt;&lt;dd&gt;&lt;/dd&gt;&lt;dd&gt;&lt;/dd&gt;&lt;/dl&gt;</v>
      </c>
    </row>
    <row r="27" spans="2:7" ht="17.25" x14ac:dyDescent="0.2">
      <c r="B27" s="5" t="s">
        <v>410</v>
      </c>
      <c r="G27" t="str">
        <f t="shared" si="0"/>
        <v>&lt;dl&gt;&lt;dt&gt;三、组合象义​&lt;/dt&gt;&lt;dd&gt;&lt;/dd&gt;&lt;dd&gt;&lt;/dd&gt;&lt;/dl&gt;</v>
      </c>
    </row>
    <row r="28" spans="2:7" x14ac:dyDescent="0.2">
      <c r="G28" t="str">
        <f t="shared" si="0"/>
        <v>&lt;dl&gt;&lt;dt&gt;&lt;/dt&gt;&lt;dd&gt;&lt;/dd&gt;&lt;dd&gt;&lt;/dd&gt;&lt;/dl&gt;</v>
      </c>
    </row>
    <row r="29" spans="2:7" ht="15.75" x14ac:dyDescent="0.2">
      <c r="B29" s="13" t="s">
        <v>411</v>
      </c>
      <c r="G29" t="str">
        <f t="shared" si="0"/>
        <v>&lt;dl&gt;&lt;dt&gt;1. 主星组合​&lt;/dt&gt;&lt;dd&gt;&lt;/dd&gt;&lt;dd&gt;&lt;/dd&gt;&lt;/dl&gt;</v>
      </c>
    </row>
    <row r="31" spans="2:7" x14ac:dyDescent="0.2">
      <c r="B31" s="2" t="s">
        <v>71</v>
      </c>
      <c r="C31" s="2" t="s">
        <v>412</v>
      </c>
      <c r="D31" s="2" t="s">
        <v>413</v>
      </c>
      <c r="E31" s="2"/>
    </row>
    <row r="32" spans="2:7" x14ac:dyDescent="0.2">
      <c r="B32" s="3" t="s">
        <v>642</v>
      </c>
      <c r="C32" s="4" t="s">
        <v>643</v>
      </c>
      <c r="D32" s="4" t="s">
        <v>644</v>
      </c>
      <c r="E32" s="4"/>
    </row>
    <row r="33" spans="2:7" x14ac:dyDescent="0.2">
      <c r="B33" s="3" t="s">
        <v>645</v>
      </c>
      <c r="C33" s="4" t="s">
        <v>646</v>
      </c>
      <c r="D33" s="4" t="s">
        <v>647</v>
      </c>
      <c r="E33" s="4"/>
    </row>
    <row r="34" spans="2:7" x14ac:dyDescent="0.2">
      <c r="B34" s="3" t="s">
        <v>648</v>
      </c>
      <c r="C34" s="4" t="s">
        <v>649</v>
      </c>
      <c r="D34" s="4" t="s">
        <v>650</v>
      </c>
      <c r="E34" s="4"/>
    </row>
    <row r="35" spans="2:7" x14ac:dyDescent="0.2">
      <c r="B35" s="3" t="s">
        <v>651</v>
      </c>
      <c r="C35" s="4" t="s">
        <v>652</v>
      </c>
      <c r="D35" s="4" t="s">
        <v>653</v>
      </c>
      <c r="E35" s="4"/>
      <c r="G35" t="str">
        <f t="shared" si="0"/>
        <v>&lt;dl&gt;&lt;dt&gt;太阳+七杀​&lt;/dt&gt;&lt;dd&gt;刚性突破（军事行动）&lt;/dd&gt;&lt;dd&gt;暴力失控（冲突升级）&lt;/dd&gt;&lt;/dl&gt;</v>
      </c>
    </row>
    <row r="36" spans="2:7" x14ac:dyDescent="0.2">
      <c r="G36" t="str">
        <f t="shared" si="0"/>
        <v>&lt;dl&gt;&lt;dt&gt;&lt;/dt&gt;&lt;dd&gt;&lt;/dd&gt;&lt;dd&gt;&lt;/dd&gt;&lt;/dl&gt;</v>
      </c>
    </row>
    <row r="37" spans="2:7" ht="15.75" x14ac:dyDescent="0.2">
      <c r="B37" s="13" t="s">
        <v>426</v>
      </c>
      <c r="G37" t="str">
        <f t="shared" si="0"/>
        <v>&lt;dl&gt;&lt;dt&gt;2. 辅星组合​&lt;/dt&gt;&lt;dd&gt;&lt;/dd&gt;&lt;dd&gt;&lt;/dd&gt;&lt;/dl&gt;</v>
      </c>
    </row>
    <row r="38" spans="2:7" x14ac:dyDescent="0.2">
      <c r="G38" t="str">
        <f t="shared" si="0"/>
        <v>&lt;dl&gt;&lt;dt&gt;&lt;/dt&gt;&lt;dd&gt;&lt;/dd&gt;&lt;dd&gt;&lt;/dd&gt;&lt;/dl&gt;</v>
      </c>
    </row>
    <row r="39" spans="2:7" x14ac:dyDescent="0.2">
      <c r="B39" s="2" t="s">
        <v>40</v>
      </c>
      <c r="C39" s="2" t="s">
        <v>427</v>
      </c>
      <c r="D39" s="2" t="s">
        <v>428</v>
      </c>
      <c r="E39" s="2"/>
      <c r="G39" t="str">
        <f t="shared" si="0"/>
        <v>&lt;dl&gt;&lt;dt&gt;辅星​&lt;/dt&gt;&lt;dd&gt;吉象（庙旺）​&lt;/dd&gt;&lt;dd&gt;凶象（落陷）​&lt;/dd&gt;&lt;/dl&gt;</v>
      </c>
    </row>
    <row r="40" spans="2:7" x14ac:dyDescent="0.2">
      <c r="B40" s="3" t="s">
        <v>654</v>
      </c>
      <c r="C40" s="4" t="s">
        <v>655</v>
      </c>
      <c r="D40" s="4" t="s">
        <v>656</v>
      </c>
      <c r="E40" s="4"/>
      <c r="G40" t="str">
        <f t="shared" si="0"/>
        <v>&lt;dl&gt;&lt;dt&gt;太阳+左辅​&lt;/dt&gt;&lt;dd&gt;多点发散（多平台宣传）&lt;/dd&gt;&lt;dd&gt;冗余干扰（信息过载）&lt;/dd&gt;&lt;/dl&gt;</v>
      </c>
    </row>
    <row r="41" spans="2:7" x14ac:dyDescent="0.2">
      <c r="B41" s="3" t="s">
        <v>657</v>
      </c>
      <c r="C41" s="4" t="s">
        <v>658</v>
      </c>
      <c r="D41" s="4" t="s">
        <v>659</v>
      </c>
      <c r="E41" s="4"/>
      <c r="G41" t="str">
        <f t="shared" si="0"/>
        <v>&lt;dl&gt;&lt;dt&gt;太阳+右弼​&lt;/dt&gt;&lt;dd&gt;灵活转向（策略调整）&lt;/dd&gt;&lt;dd&gt;路径僵化（固执己见）&lt;/dd&gt;&lt;/dl&gt;</v>
      </c>
    </row>
    <row r="42" spans="2:7" x14ac:dyDescent="0.2">
      <c r="B42" s="3" t="s">
        <v>660</v>
      </c>
      <c r="C42" s="4" t="s">
        <v>661</v>
      </c>
      <c r="D42" s="4" t="s">
        <v>662</v>
      </c>
      <c r="E42" s="4"/>
      <c r="G42" t="str">
        <f t="shared" si="0"/>
        <v>&lt;dl&gt;&lt;dt&gt;太阳+文昌​&lt;/dt&gt;&lt;dd&gt;精密传播（数据公开）&lt;/dd&gt;&lt;dd&gt;信息失真（谣言扩散）&lt;/dd&gt;&lt;/dl&gt;</v>
      </c>
    </row>
    <row r="43" spans="2:7" x14ac:dyDescent="0.2">
      <c r="B43" s="3" t="s">
        <v>663</v>
      </c>
      <c r="C43" s="4" t="s">
        <v>664</v>
      </c>
      <c r="D43" s="4" t="s">
        <v>665</v>
      </c>
      <c r="E43" s="4"/>
      <c r="G43" t="str">
        <f t="shared" si="0"/>
        <v>&lt;dl&gt;&lt;dt&gt;太阳+铃星​&lt;/dt&gt;&lt;dd&gt;突发曝光（丑闻揭露）&lt;/dd&gt;&lt;dd&gt;持续困扰（负面舆情）&lt;/dd&gt;&lt;/dl&gt;</v>
      </c>
    </row>
    <row r="46" spans="2:7" ht="17.25" x14ac:dyDescent="0.2">
      <c r="B46" s="5" t="s">
        <v>441</v>
      </c>
    </row>
    <row r="48" spans="2:7" x14ac:dyDescent="0.2">
      <c r="B48" s="2" t="s">
        <v>18</v>
      </c>
      <c r="C48" s="2" t="s">
        <v>412</v>
      </c>
      <c r="D48" s="2" t="s">
        <v>413</v>
      </c>
      <c r="E48" s="2"/>
    </row>
    <row r="49" spans="2:7" x14ac:dyDescent="0.2">
      <c r="B49" s="3" t="s">
        <v>201</v>
      </c>
      <c r="C49" s="4" t="s">
        <v>666</v>
      </c>
      <c r="D49" s="4" t="s">
        <v>667</v>
      </c>
      <c r="E49" s="4"/>
      <c r="G49" t="str">
        <f t="shared" si="0"/>
        <v>&lt;dl&gt;&lt;dt&gt;命宫​&lt;/dt&gt;&lt;dd&gt;热情开朗（领袖气质）&lt;/dd&gt;&lt;dd&gt;消极悲观（自闭倾向）&lt;/dd&gt;&lt;/dl&gt;</v>
      </c>
    </row>
    <row r="50" spans="2:7" x14ac:dyDescent="0.2">
      <c r="B50" s="3" t="s">
        <v>12</v>
      </c>
      <c r="C50" s="4" t="s">
        <v>668</v>
      </c>
      <c r="D50" s="4" t="s">
        <v>669</v>
      </c>
      <c r="E50" s="4"/>
      <c r="G50" t="str">
        <f t="shared" si="0"/>
        <v>&lt;dl&gt;&lt;dt&gt;交友宫​&lt;/dt&gt;&lt;dd&gt;贵人相助（人脉广阔）&lt;/dd&gt;&lt;dd&gt;小人环绕（人际孤立）&lt;/dd&gt;&lt;/dl&gt;</v>
      </c>
    </row>
    <row r="51" spans="2:7" x14ac:dyDescent="0.2">
      <c r="B51" s="3" t="s">
        <v>15</v>
      </c>
      <c r="C51" s="4" t="s">
        <v>670</v>
      </c>
      <c r="D51" s="4" t="s">
        <v>671</v>
      </c>
      <c r="E51" s="4"/>
      <c r="G51" t="str">
        <f t="shared" si="0"/>
        <v>&lt;dl&gt;&lt;dt&gt;迁移宫​&lt;/dt&gt;&lt;dd&gt;远行机遇（留学/移民）&lt;/dd&gt;&lt;dd&gt;外界排斥（签证受阻）&lt;/dd&gt;&lt;/dl&gt;</v>
      </c>
    </row>
    <row r="52" spans="2:7" x14ac:dyDescent="0.2">
      <c r="B52" s="3" t="s">
        <v>6</v>
      </c>
      <c r="C52" s="4" t="s">
        <v>672</v>
      </c>
      <c r="D52" s="4" t="s">
        <v>673</v>
      </c>
      <c r="E52" s="4"/>
      <c r="G52" t="str">
        <f t="shared" si="0"/>
        <v>&lt;dl&gt;&lt;dt&gt;疾厄宫​&lt;/dt&gt;&lt;dd&gt;高血压/眼疾（火性病症）&lt;/dd&gt;&lt;dd&gt;气血虚弱（慢性疲劳）&lt;/dd&gt;&lt;/dl&gt;</v>
      </c>
    </row>
    <row r="53" spans="2:7" x14ac:dyDescent="0.2">
      <c r="B53" s="3" t="s">
        <v>3</v>
      </c>
      <c r="C53" s="4" t="s">
        <v>674</v>
      </c>
      <c r="D53" s="4" t="s">
        <v>675</v>
      </c>
      <c r="E53" s="4"/>
    </row>
    <row r="56" spans="2:7" ht="17.25" x14ac:dyDescent="0.2">
      <c r="B56" s="5" t="s">
        <v>86</v>
      </c>
    </row>
    <row r="58" spans="2:7" x14ac:dyDescent="0.2">
      <c r="B58" s="2" t="s">
        <v>250</v>
      </c>
      <c r="C58" s="2" t="s">
        <v>453</v>
      </c>
      <c r="D58" s="2" t="s">
        <v>454</v>
      </c>
      <c r="E58" s="2"/>
    </row>
    <row r="59" spans="2:7" x14ac:dyDescent="0.2">
      <c r="B59" s="3" t="s">
        <v>253</v>
      </c>
      <c r="C59" s="4" t="s">
        <v>676</v>
      </c>
      <c r="D59" s="4" t="s">
        <v>677</v>
      </c>
      <c r="E59" s="4"/>
    </row>
    <row r="60" spans="2:7" x14ac:dyDescent="0.2">
      <c r="B60" s="3" t="s">
        <v>256</v>
      </c>
      <c r="C60" s="4" t="s">
        <v>678</v>
      </c>
      <c r="D60" s="4" t="s">
        <v>679</v>
      </c>
      <c r="E60" s="4"/>
    </row>
    <row r="61" spans="2:7" x14ac:dyDescent="0.2">
      <c r="B61" s="3" t="s">
        <v>259</v>
      </c>
      <c r="C61" s="4" t="s">
        <v>680</v>
      </c>
      <c r="D61" s="4" t="s">
        <v>681</v>
      </c>
      <c r="E61" s="4"/>
    </row>
    <row r="62" spans="2:7" x14ac:dyDescent="0.2">
      <c r="B62" s="3" t="s">
        <v>467</v>
      </c>
      <c r="C62" s="4" t="s">
        <v>682</v>
      </c>
      <c r="D62" s="4" t="s">
        <v>683</v>
      </c>
      <c r="E62" s="4"/>
    </row>
    <row r="65" spans="2:2" ht="17.25" x14ac:dyDescent="0.2">
      <c r="B65" s="5" t="s">
        <v>90</v>
      </c>
    </row>
    <row r="66" spans="2:2" x14ac:dyDescent="0.2">
      <c r="B66" s="6"/>
    </row>
    <row r="67" spans="2:2" x14ac:dyDescent="0.2">
      <c r="B67" s="7" t="s">
        <v>684</v>
      </c>
    </row>
    <row r="68" spans="2:2" x14ac:dyDescent="0.2">
      <c r="B68" s="6"/>
    </row>
    <row r="69" spans="2:2" x14ac:dyDescent="0.2">
      <c r="B69" s="9" t="s">
        <v>685</v>
      </c>
    </row>
    <row r="70" spans="2:2" x14ac:dyDescent="0.2">
      <c r="B70" s="9" t="s">
        <v>686</v>
      </c>
    </row>
    <row r="71" spans="2:2" x14ac:dyDescent="0.2">
      <c r="B71" s="7" t="s">
        <v>687</v>
      </c>
    </row>
    <row r="72" spans="2:2" x14ac:dyDescent="0.2">
      <c r="B72" s="6"/>
    </row>
    <row r="73" spans="2:2" x14ac:dyDescent="0.2">
      <c r="B73" s="9" t="s">
        <v>688</v>
      </c>
    </row>
    <row r="74" spans="2:2" x14ac:dyDescent="0.2">
      <c r="B74" s="9" t="s">
        <v>689</v>
      </c>
    </row>
    <row r="77" spans="2:2" ht="17.25" x14ac:dyDescent="0.2">
      <c r="B77" s="5"/>
    </row>
    <row r="80" spans="2:2" x14ac:dyDescent="0.2">
      <c r="B80" s="16"/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A0B3D-D3D0-4F4A-8156-36BC603FDB6F}">
  <dimension ref="B1:G82"/>
  <sheetViews>
    <sheetView zoomScaleNormal="100" workbookViewId="0">
      <selection activeCell="D41" sqref="D41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41.125" customWidth="1"/>
  </cols>
  <sheetData>
    <row r="1" spans="2:7" ht="17.25" x14ac:dyDescent="0.2">
      <c r="B1" s="5" t="s">
        <v>690</v>
      </c>
      <c r="G1" t="str">
        <f>"&lt;dl&gt;&lt;dt&gt;" &amp; B1 &amp; "&lt;/dt&gt;&lt;dd&gt;" &amp; C1 &amp; "&lt;/dd&gt;&lt;dd&gt;" &amp; D1 &amp; "&lt;/dd&gt;&lt;/dl&gt;"</f>
        <v>&lt;dl&gt;&lt;dt&gt;一、天相定义&lt;/dt&gt;&lt;dd&gt;&lt;/dd&gt;&lt;dd&gt;&lt;/dd&gt;&lt;/dl&gt;</v>
      </c>
    </row>
    <row r="2" spans="2:7" x14ac:dyDescent="0.2">
      <c r="B2" s="6"/>
    </row>
    <row r="3" spans="2:7" x14ac:dyDescent="0.2">
      <c r="B3" s="7" t="s">
        <v>691</v>
      </c>
    </row>
    <row r="4" spans="2:7" x14ac:dyDescent="0.2">
      <c r="B4" s="7" t="s">
        <v>692</v>
      </c>
    </row>
    <row r="5" spans="2:7" x14ac:dyDescent="0.2">
      <c r="B5" s="6"/>
    </row>
    <row r="6" spans="2:7" x14ac:dyDescent="0.2">
      <c r="B6" s="8" t="s">
        <v>693</v>
      </c>
    </row>
    <row r="7" spans="2:7" x14ac:dyDescent="0.2">
      <c r="B7" s="8" t="s">
        <v>694</v>
      </c>
    </row>
    <row r="8" spans="2:7" x14ac:dyDescent="0.2">
      <c r="B8" s="8" t="s">
        <v>695</v>
      </c>
    </row>
    <row r="9" spans="2:7" x14ac:dyDescent="0.2">
      <c r="B9" s="8" t="s">
        <v>696</v>
      </c>
    </row>
    <row r="10" spans="2:7" x14ac:dyDescent="0.2">
      <c r="B10" s="9"/>
    </row>
    <row r="11" spans="2:7" x14ac:dyDescent="0.2">
      <c r="B11" s="10" t="s">
        <v>697</v>
      </c>
    </row>
    <row r="12" spans="2:7" x14ac:dyDescent="0.2">
      <c r="B12" s="10" t="s">
        <v>698</v>
      </c>
    </row>
    <row r="16" spans="2:7" ht="17.25" x14ac:dyDescent="0.2">
      <c r="B16" s="5" t="s">
        <v>699</v>
      </c>
    </row>
    <row r="18" spans="2:7" x14ac:dyDescent="0.2">
      <c r="B18" s="2" t="s">
        <v>18</v>
      </c>
      <c r="C18" s="2" t="s">
        <v>222</v>
      </c>
      <c r="D18" s="2" t="s">
        <v>700</v>
      </c>
    </row>
    <row r="19" spans="2:7" ht="28.5" x14ac:dyDescent="0.2">
      <c r="B19" s="3" t="s">
        <v>201</v>
      </c>
      <c r="C19" s="4" t="s">
        <v>701</v>
      </c>
      <c r="D19" s="4" t="s">
        <v>702</v>
      </c>
    </row>
    <row r="20" spans="2:7" ht="28.5" x14ac:dyDescent="0.2">
      <c r="B20" s="3" t="s">
        <v>9</v>
      </c>
      <c r="C20" s="4" t="s">
        <v>703</v>
      </c>
      <c r="D20" s="4" t="s">
        <v>704</v>
      </c>
    </row>
    <row r="21" spans="2:7" ht="28.5" x14ac:dyDescent="0.2">
      <c r="B21" s="3" t="s">
        <v>116</v>
      </c>
      <c r="C21" s="4" t="s">
        <v>705</v>
      </c>
      <c r="D21" s="4" t="s">
        <v>706</v>
      </c>
    </row>
    <row r="22" spans="2:7" ht="28.5" x14ac:dyDescent="0.2">
      <c r="B22" s="3" t="s">
        <v>0</v>
      </c>
      <c r="C22" s="4" t="s">
        <v>707</v>
      </c>
      <c r="D22" s="4" t="s">
        <v>708</v>
      </c>
    </row>
    <row r="23" spans="2:7" ht="28.5" x14ac:dyDescent="0.2">
      <c r="B23" s="3" t="s">
        <v>206</v>
      </c>
      <c r="C23" s="4" t="s">
        <v>709</v>
      </c>
      <c r="D23" s="4" t="s">
        <v>710</v>
      </c>
    </row>
    <row r="24" spans="2:7" ht="28.5" x14ac:dyDescent="0.2">
      <c r="B24" s="3" t="s">
        <v>6</v>
      </c>
      <c r="C24" s="4" t="s">
        <v>711</v>
      </c>
      <c r="D24" s="4" t="s">
        <v>712</v>
      </c>
      <c r="G24" t="str">
        <f t="shared" ref="G24:G52" si="0">"&lt;dl&gt;&lt;dt&gt;" &amp; B24 &amp; "&lt;/dt&gt;&lt;dd&gt;" &amp; C24 &amp; "&lt;/dd&gt;&lt;dd&gt;" &amp; D24 &amp; "&lt;/dd&gt;&lt;/dl&gt;"</f>
        <v>&lt;dl&gt;&lt;dt&gt;疾厄宫​&lt;/dt&gt;&lt;dd&gt;身体系统&lt;/dd&gt;&lt;dd&gt;皮肤、消化系统（天相+火星：胃灼热）；免疫系统（+天梁：慢性病需长期呵护）。&lt;/dd&gt;&lt;/dl&gt;</v>
      </c>
    </row>
    <row r="25" spans="2:7" ht="28.5" x14ac:dyDescent="0.2">
      <c r="B25" s="3" t="s">
        <v>3</v>
      </c>
      <c r="C25" s="4" t="s">
        <v>713</v>
      </c>
      <c r="D25" s="4" t="s">
        <v>714</v>
      </c>
      <c r="G25" t="str">
        <f t="shared" si="0"/>
        <v>&lt;dl&gt;&lt;dt&gt;财帛宫​&lt;/dt&gt;&lt;dd&gt;生计来源&lt;/dd&gt;&lt;dd&gt;稳定收入（工资）；消费观（庙旺：注重品质；落陷：浪费）。&lt;/dd&gt;&lt;/dl&gt;</v>
      </c>
    </row>
    <row r="26" spans="2:7" ht="28.5" x14ac:dyDescent="0.2">
      <c r="B26" s="3" t="s">
        <v>128</v>
      </c>
      <c r="C26" s="4" t="s">
        <v>715</v>
      </c>
      <c r="D26" s="4" t="s">
        <v>716</v>
      </c>
      <c r="G26" t="str">
        <f t="shared" si="0"/>
        <v>&lt;dl&gt;&lt;dt&gt;子女宫​&lt;/dt&gt;&lt;dd&gt;亲子关系/性生活&lt;/dd&gt;&lt;dd&gt;对孩子过度保护；性生活卫生（+阴煞：避孕措施）。&lt;/dd&gt;&lt;/dl&gt;</v>
      </c>
    </row>
    <row r="27" spans="2:7" x14ac:dyDescent="0.2">
      <c r="G27" t="str">
        <f t="shared" si="0"/>
        <v>&lt;dl&gt;&lt;dt&gt;&lt;/dt&gt;&lt;dd&gt;&lt;/dd&gt;&lt;dd&gt;&lt;/dd&gt;&lt;/dl&gt;</v>
      </c>
    </row>
    <row r="28" spans="2:7" x14ac:dyDescent="0.2">
      <c r="G28" t="str">
        <f t="shared" si="0"/>
        <v>&lt;dl&gt;&lt;dt&gt;&lt;/dt&gt;&lt;dd&gt;&lt;/dd&gt;&lt;dd&gt;&lt;/dd&gt;&lt;/dl&gt;</v>
      </c>
    </row>
    <row r="29" spans="2:7" ht="17.25" x14ac:dyDescent="0.2">
      <c r="B29" s="5" t="s">
        <v>717</v>
      </c>
      <c r="G29" t="str">
        <f t="shared" si="0"/>
        <v>&lt;dl&gt;&lt;dt&gt;三、星曜位置与庙陷&lt;/dt&gt;&lt;dd&gt;&lt;/dd&gt;&lt;dd&gt;&lt;/dd&gt;&lt;/dl&gt;</v>
      </c>
    </row>
    <row r="31" spans="2:7" x14ac:dyDescent="0.2">
      <c r="B31" s="2" t="s">
        <v>718</v>
      </c>
      <c r="C31" s="2" t="s">
        <v>719</v>
      </c>
      <c r="D31" s="2" t="s">
        <v>720</v>
      </c>
    </row>
    <row r="32" spans="2:7" x14ac:dyDescent="0.2">
      <c r="B32" s="4" t="s">
        <v>721</v>
      </c>
      <c r="C32" s="4" t="s">
        <v>722</v>
      </c>
      <c r="D32" s="4" t="s">
        <v>723</v>
      </c>
    </row>
    <row r="33" spans="2:7" x14ac:dyDescent="0.2">
      <c r="B33" s="4" t="s">
        <v>724</v>
      </c>
      <c r="C33" s="4" t="s">
        <v>725</v>
      </c>
      <c r="D33" s="4" t="s">
        <v>726</v>
      </c>
    </row>
    <row r="34" spans="2:7" x14ac:dyDescent="0.2">
      <c r="B34" s="4" t="s">
        <v>727</v>
      </c>
      <c r="C34" s="4" t="s">
        <v>728</v>
      </c>
      <c r="D34" s="4" t="s">
        <v>729</v>
      </c>
    </row>
    <row r="35" spans="2:7" ht="28.5" x14ac:dyDescent="0.2">
      <c r="B35" s="4" t="s">
        <v>730</v>
      </c>
      <c r="C35" s="4" t="s">
        <v>731</v>
      </c>
      <c r="D35" s="4" t="s">
        <v>732</v>
      </c>
    </row>
    <row r="36" spans="2:7" x14ac:dyDescent="0.2">
      <c r="B36" s="6"/>
      <c r="G36" t="str">
        <f t="shared" si="0"/>
        <v>&lt;dl&gt;&lt;dt&gt;&lt;/dt&gt;&lt;dd&gt;&lt;/dd&gt;&lt;dd&gt;&lt;/dd&gt;&lt;/dl&gt;</v>
      </c>
    </row>
    <row r="37" spans="2:7" x14ac:dyDescent="0.2">
      <c r="B37" s="7" t="s">
        <v>733</v>
      </c>
      <c r="G37" t="str">
        <f t="shared" si="0"/>
        <v>&lt;dl&gt;&lt;dt&gt;注：水位（亥子丑）庙旺时天相力量最强，火位（巳午未）落陷时最弱。&lt;/dt&gt;&lt;dd&gt;&lt;/dd&gt;&lt;dd&gt;&lt;/dd&gt;&lt;/dl&gt;</v>
      </c>
    </row>
    <row r="38" spans="2:7" x14ac:dyDescent="0.2">
      <c r="G38" t="str">
        <f t="shared" si="0"/>
        <v>&lt;dl&gt;&lt;dt&gt;&lt;/dt&gt;&lt;dd&gt;&lt;/dd&gt;&lt;dd&gt;&lt;/dd&gt;&lt;/dl&gt;</v>
      </c>
    </row>
    <row r="39" spans="2:7" x14ac:dyDescent="0.2">
      <c r="G39" t="str">
        <f t="shared" si="0"/>
        <v>&lt;dl&gt;&lt;dt&gt;&lt;/dt&gt;&lt;dd&gt;&lt;/dd&gt;&lt;dd&gt;&lt;/dd&gt;&lt;/dl&gt;</v>
      </c>
    </row>
    <row r="40" spans="2:7" x14ac:dyDescent="0.2">
      <c r="G40" t="str">
        <f t="shared" si="0"/>
        <v>&lt;dl&gt;&lt;dt&gt;&lt;/dt&gt;&lt;dd&gt;&lt;/dd&gt;&lt;dd&gt;&lt;/dd&gt;&lt;/dl&gt;</v>
      </c>
    </row>
    <row r="41" spans="2:7" ht="17.25" x14ac:dyDescent="0.2">
      <c r="B41" s="5" t="s">
        <v>734</v>
      </c>
      <c r="G41" t="str">
        <f t="shared" si="0"/>
        <v>&lt;dl&gt;&lt;dt&gt;四、主星组合象义&lt;/dt&gt;&lt;dd&gt;&lt;/dd&gt;&lt;dd&gt;&lt;/dd&gt;&lt;/dl&gt;</v>
      </c>
    </row>
    <row r="42" spans="2:7" x14ac:dyDescent="0.2">
      <c r="G42" t="str">
        <f t="shared" si="0"/>
        <v>&lt;dl&gt;&lt;dt&gt;&lt;/dt&gt;&lt;dd&gt;&lt;/dd&gt;&lt;dd&gt;&lt;/dd&gt;&lt;/dl&gt;</v>
      </c>
    </row>
    <row r="43" spans="2:7" x14ac:dyDescent="0.2">
      <c r="B43" s="2" t="s">
        <v>71</v>
      </c>
      <c r="C43" s="2" t="s">
        <v>222</v>
      </c>
      <c r="D43" s="2" t="s">
        <v>700</v>
      </c>
      <c r="G43" t="str">
        <f t="shared" si="0"/>
        <v>&lt;dl&gt;&lt;dt&gt;组合​&lt;/dt&gt;&lt;dd&gt;核心象义​&lt;/dd&gt;&lt;dd&gt;具体表现​&lt;/dd&gt;&lt;/dl&gt;</v>
      </c>
    </row>
    <row r="44" spans="2:7" ht="28.5" x14ac:dyDescent="0.2">
      <c r="B44" s="3" t="s">
        <v>167</v>
      </c>
      <c r="C44" s="4" t="s">
        <v>735</v>
      </c>
      <c r="D44" s="4" t="s">
        <v>736</v>
      </c>
    </row>
    <row r="45" spans="2:7" ht="28.5" x14ac:dyDescent="0.2">
      <c r="B45" s="3" t="s">
        <v>737</v>
      </c>
      <c r="C45" s="4" t="s">
        <v>738</v>
      </c>
      <c r="D45" s="4" t="s">
        <v>739</v>
      </c>
    </row>
    <row r="46" spans="2:7" ht="28.5" x14ac:dyDescent="0.2">
      <c r="B46" s="3" t="s">
        <v>740</v>
      </c>
      <c r="C46" s="4" t="s">
        <v>741</v>
      </c>
      <c r="D46" s="4" t="s">
        <v>742</v>
      </c>
    </row>
    <row r="47" spans="2:7" ht="28.5" x14ac:dyDescent="0.2">
      <c r="B47" s="3" t="s">
        <v>743</v>
      </c>
      <c r="C47" s="4" t="s">
        <v>744</v>
      </c>
      <c r="D47" s="4" t="s">
        <v>745</v>
      </c>
    </row>
    <row r="49" spans="2:7" x14ac:dyDescent="0.2">
      <c r="G49" t="str">
        <f t="shared" si="0"/>
        <v>&lt;dl&gt;&lt;dt&gt;&lt;/dt&gt;&lt;dd&gt;&lt;/dd&gt;&lt;dd&gt;&lt;/dd&gt;&lt;/dl&gt;</v>
      </c>
    </row>
    <row r="50" spans="2:7" ht="17.25" x14ac:dyDescent="0.2">
      <c r="B50" s="5" t="s">
        <v>746</v>
      </c>
      <c r="G50" t="str">
        <f t="shared" si="0"/>
        <v>&lt;dl&gt;&lt;dt&gt;五、辅星组合象义&lt;/dt&gt;&lt;dd&gt;&lt;/dd&gt;&lt;dd&gt;&lt;/dd&gt;&lt;/dl&gt;</v>
      </c>
    </row>
    <row r="51" spans="2:7" x14ac:dyDescent="0.2">
      <c r="G51" t="str">
        <f t="shared" si="0"/>
        <v>&lt;dl&gt;&lt;dt&gt;&lt;/dt&gt;&lt;dd&gt;&lt;/dd&gt;&lt;dd&gt;&lt;/dd&gt;&lt;/dl&gt;</v>
      </c>
    </row>
    <row r="52" spans="2:7" x14ac:dyDescent="0.2">
      <c r="B52" s="2" t="s">
        <v>40</v>
      </c>
      <c r="C52" s="2" t="s">
        <v>534</v>
      </c>
      <c r="D52" s="2" t="s">
        <v>73</v>
      </c>
      <c r="G52" t="str">
        <f t="shared" si="0"/>
        <v>&lt;dl&gt;&lt;dt&gt;辅星​&lt;/dt&gt;&lt;dd&gt;叠加象义​&lt;/dd&gt;&lt;dd&gt;典型案例​&lt;/dd&gt;&lt;/dl&gt;</v>
      </c>
    </row>
    <row r="53" spans="2:7" ht="28.5" x14ac:dyDescent="0.2">
      <c r="B53" s="3" t="s">
        <v>178</v>
      </c>
      <c r="C53" s="4" t="s">
        <v>747</v>
      </c>
      <c r="D53" s="4" t="s">
        <v>748</v>
      </c>
    </row>
    <row r="54" spans="2:7" ht="28.5" x14ac:dyDescent="0.2">
      <c r="B54" s="3" t="s">
        <v>181</v>
      </c>
      <c r="C54" s="4" t="s">
        <v>749</v>
      </c>
      <c r="D54" s="4" t="s">
        <v>750</v>
      </c>
    </row>
    <row r="55" spans="2:7" x14ac:dyDescent="0.2">
      <c r="B55" s="3" t="s">
        <v>271</v>
      </c>
      <c r="C55" s="4" t="s">
        <v>751</v>
      </c>
      <c r="D55" s="4" t="s">
        <v>752</v>
      </c>
    </row>
    <row r="56" spans="2:7" x14ac:dyDescent="0.2">
      <c r="B56" s="3" t="s">
        <v>187</v>
      </c>
      <c r="C56" s="4" t="s">
        <v>753</v>
      </c>
      <c r="D56" s="4" t="s">
        <v>754</v>
      </c>
    </row>
    <row r="57" spans="2:7" x14ac:dyDescent="0.2">
      <c r="B57" s="3" t="s">
        <v>190</v>
      </c>
      <c r="C57" s="4" t="s">
        <v>755</v>
      </c>
      <c r="D57" s="4" t="s">
        <v>756</v>
      </c>
    </row>
    <row r="58" spans="2:7" ht="28.5" x14ac:dyDescent="0.2">
      <c r="B58" s="3" t="s">
        <v>279</v>
      </c>
      <c r="C58" s="4" t="s">
        <v>757</v>
      </c>
      <c r="D58" s="4" t="s">
        <v>758</v>
      </c>
    </row>
    <row r="59" spans="2:7" ht="28.5" x14ac:dyDescent="0.2">
      <c r="B59" s="3" t="s">
        <v>196</v>
      </c>
      <c r="C59" s="4" t="s">
        <v>759</v>
      </c>
      <c r="D59" s="4" t="s">
        <v>760</v>
      </c>
    </row>
    <row r="62" spans="2:7" ht="17.25" x14ac:dyDescent="0.2">
      <c r="B62" s="5" t="s">
        <v>761</v>
      </c>
    </row>
    <row r="63" spans="2:7" x14ac:dyDescent="0.2">
      <c r="B63" s="6"/>
    </row>
    <row r="64" spans="2:7" x14ac:dyDescent="0.2">
      <c r="B64" s="7" t="s">
        <v>762</v>
      </c>
    </row>
    <row r="65" spans="2:2" x14ac:dyDescent="0.2">
      <c r="B65" s="7" t="s">
        <v>763</v>
      </c>
    </row>
    <row r="66" spans="2:2" x14ac:dyDescent="0.2">
      <c r="B66" s="6"/>
    </row>
    <row r="67" spans="2:2" x14ac:dyDescent="0.2">
      <c r="B67" s="9" t="s">
        <v>764</v>
      </c>
    </row>
    <row r="68" spans="2:2" x14ac:dyDescent="0.2">
      <c r="B68" s="9" t="s">
        <v>765</v>
      </c>
    </row>
    <row r="69" spans="2:2" x14ac:dyDescent="0.2">
      <c r="B69" s="7" t="s">
        <v>766</v>
      </c>
    </row>
    <row r="70" spans="2:2" x14ac:dyDescent="0.2">
      <c r="B70" s="6"/>
    </row>
    <row r="71" spans="2:2" x14ac:dyDescent="0.2">
      <c r="B71" s="8" t="s">
        <v>767</v>
      </c>
    </row>
    <row r="72" spans="2:2" x14ac:dyDescent="0.2">
      <c r="B72" s="8" t="s">
        <v>768</v>
      </c>
    </row>
    <row r="73" spans="2:2" x14ac:dyDescent="0.2">
      <c r="B73" s="9"/>
    </row>
    <row r="77" spans="2:2" ht="17.25" x14ac:dyDescent="0.2">
      <c r="B77" s="5"/>
    </row>
    <row r="80" spans="2:2" x14ac:dyDescent="0.2">
      <c r="B80" s="16"/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79872-F4F3-4BE4-B38A-60B04BE60843}">
  <dimension ref="B1:G82"/>
  <sheetViews>
    <sheetView topLeftCell="A41" zoomScaleNormal="100" workbookViewId="0">
      <selection activeCell="B1" sqref="B1:D65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769</v>
      </c>
      <c r="G1" t="str">
        <f>"&lt;dl&gt;&lt;dt&gt;" &amp; B1 &amp; "&lt;/dt&gt;&lt;dd&gt;" &amp; C1 &amp; "&lt;/dd&gt;&lt;dd&gt;" &amp; D1 &amp; "&lt;/dd&gt;&lt;/dl&gt;"</f>
        <v>&lt;dl&gt;&lt;dt&gt;一、武曲定义​&lt;/dt&gt;&lt;dd&gt;&lt;/dd&gt;&lt;dd&gt;&lt;/dd&gt;&lt;/dl&gt;</v>
      </c>
    </row>
    <row r="3" spans="2:7" x14ac:dyDescent="0.2">
      <c r="B3" s="1" t="s">
        <v>770</v>
      </c>
    </row>
    <row r="4" spans="2:7" x14ac:dyDescent="0.2">
      <c r="B4" s="6"/>
    </row>
    <row r="5" spans="2:7" x14ac:dyDescent="0.2">
      <c r="B5" s="7" t="s">
        <v>313</v>
      </c>
    </row>
    <row r="6" spans="2:7" x14ac:dyDescent="0.2">
      <c r="B6" s="6"/>
    </row>
    <row r="7" spans="2:7" x14ac:dyDescent="0.2">
      <c r="B7" s="8" t="s">
        <v>771</v>
      </c>
    </row>
    <row r="8" spans="2:7" x14ac:dyDescent="0.2">
      <c r="B8" s="8" t="s">
        <v>772</v>
      </c>
    </row>
    <row r="9" spans="2:7" x14ac:dyDescent="0.2">
      <c r="B9" s="8" t="s">
        <v>773</v>
      </c>
    </row>
    <row r="10" spans="2:7" x14ac:dyDescent="0.2">
      <c r="B10" s="8" t="s">
        <v>774</v>
      </c>
    </row>
    <row r="11" spans="2:7" x14ac:dyDescent="0.2">
      <c r="B11" s="8" t="s">
        <v>775</v>
      </c>
    </row>
    <row r="15" spans="2:7" ht="17.25" x14ac:dyDescent="0.2">
      <c r="B15" s="5" t="s">
        <v>776</v>
      </c>
    </row>
    <row r="17" spans="2:7" x14ac:dyDescent="0.2">
      <c r="B17" s="2" t="s">
        <v>18</v>
      </c>
      <c r="C17" s="2" t="s">
        <v>497</v>
      </c>
    </row>
    <row r="18" spans="2:7" x14ac:dyDescent="0.2">
      <c r="B18" s="3" t="s">
        <v>201</v>
      </c>
      <c r="C18" s="4" t="s">
        <v>777</v>
      </c>
    </row>
    <row r="19" spans="2:7" ht="28.5" x14ac:dyDescent="0.2">
      <c r="B19" s="3" t="s">
        <v>3</v>
      </c>
      <c r="C19" s="4" t="s">
        <v>778</v>
      </c>
    </row>
    <row r="20" spans="2:7" ht="28.5" x14ac:dyDescent="0.2">
      <c r="B20" s="3" t="s">
        <v>206</v>
      </c>
      <c r="C20" s="4" t="s">
        <v>779</v>
      </c>
    </row>
    <row r="21" spans="2:7" x14ac:dyDescent="0.2">
      <c r="B21" s="3" t="s">
        <v>125</v>
      </c>
      <c r="C21" s="4" t="s">
        <v>780</v>
      </c>
    </row>
    <row r="22" spans="2:7" ht="15" thickBot="1" x14ac:dyDescent="0.25">
      <c r="B22" s="3" t="s">
        <v>6</v>
      </c>
      <c r="C22" s="4" t="s">
        <v>781</v>
      </c>
    </row>
    <row r="23" spans="2:7" ht="16.5" thickBot="1" x14ac:dyDescent="0.25">
      <c r="B23" s="3" t="s">
        <v>15</v>
      </c>
      <c r="C23" s="4" t="s">
        <v>782</v>
      </c>
      <c r="E23" s="12"/>
    </row>
    <row r="24" spans="2:7" ht="29.25" thickBot="1" x14ac:dyDescent="0.25">
      <c r="B24" s="3" t="s">
        <v>0</v>
      </c>
      <c r="C24" s="4" t="s">
        <v>783</v>
      </c>
      <c r="E24" s="15"/>
      <c r="G24" t="str">
        <f t="shared" ref="G24:G52" si="0">"&lt;dl&gt;&lt;dt&gt;" &amp; B24 &amp; "&lt;/dt&gt;&lt;dd&gt;" &amp; C24 &amp; "&lt;/dd&gt;&lt;dd&gt;" &amp; D24 &amp; "&lt;/dd&gt;&lt;/dl&gt;"</f>
        <v>&lt;dl&gt;&lt;dt&gt;田宅宫​&lt;/dt&gt;&lt;dd&gt;家中多金属物品（保险柜、刀具），住宅近银行、军营。&lt;/dd&gt;&lt;dd&gt;&lt;/dd&gt;&lt;/dl&gt;</v>
      </c>
    </row>
    <row r="25" spans="2:7" ht="16.5" thickBot="1" x14ac:dyDescent="0.25">
      <c r="E25" s="15"/>
      <c r="G25" t="str">
        <f t="shared" si="0"/>
        <v>&lt;dl&gt;&lt;dt&gt;&lt;/dt&gt;&lt;dd&gt;&lt;/dd&gt;&lt;dd&gt;&lt;/dd&gt;&lt;/dl&gt;</v>
      </c>
    </row>
    <row r="26" spans="2:7" ht="16.5" thickBot="1" x14ac:dyDescent="0.25">
      <c r="E26" s="15"/>
      <c r="G26" t="str">
        <f t="shared" si="0"/>
        <v>&lt;dl&gt;&lt;dt&gt;&lt;/dt&gt;&lt;dd&gt;&lt;/dd&gt;&lt;dd&gt;&lt;/dd&gt;&lt;/dl&gt;</v>
      </c>
    </row>
    <row r="27" spans="2:7" ht="18" thickBot="1" x14ac:dyDescent="0.25">
      <c r="B27" s="5" t="s">
        <v>784</v>
      </c>
      <c r="E27" s="15"/>
      <c r="G27" t="str">
        <f t="shared" si="0"/>
        <v>&lt;dl&gt;&lt;dt&gt;三、星曜亮度与吉凶​&lt;/dt&gt;&lt;dd&gt;&lt;/dd&gt;&lt;dd&gt;&lt;/dd&gt;&lt;/dl&gt;</v>
      </c>
    </row>
    <row r="28" spans="2:7" ht="16.5" thickBot="1" x14ac:dyDescent="0.25">
      <c r="E28" s="15"/>
      <c r="G28" t="str">
        <f t="shared" si="0"/>
        <v>&lt;dl&gt;&lt;dt&gt;&lt;/dt&gt;&lt;dd&gt;&lt;/dd&gt;&lt;dd&gt;&lt;/dd&gt;&lt;/dl&gt;</v>
      </c>
    </row>
    <row r="29" spans="2:7" ht="16.5" thickBot="1" x14ac:dyDescent="0.25">
      <c r="B29" s="2" t="s">
        <v>718</v>
      </c>
      <c r="C29" s="2" t="s">
        <v>785</v>
      </c>
      <c r="D29" s="2" t="s">
        <v>786</v>
      </c>
      <c r="E29" s="15"/>
      <c r="G29" t="str">
        <f t="shared" si="0"/>
        <v>&lt;dl&gt;&lt;dt&gt;地支​&lt;/dt&gt;&lt;dd&gt;亮度​&lt;/dd&gt;&lt;dd&gt;象义强度​&lt;/dd&gt;&lt;/dl&gt;</v>
      </c>
    </row>
    <row r="30" spans="2:7" x14ac:dyDescent="0.2">
      <c r="B30" s="3" t="s">
        <v>787</v>
      </c>
      <c r="C30" s="4" t="s">
        <v>788</v>
      </c>
      <c r="D30" s="4" t="s">
        <v>789</v>
      </c>
    </row>
    <row r="31" spans="2:7" x14ac:dyDescent="0.2">
      <c r="B31" s="3" t="s">
        <v>790</v>
      </c>
      <c r="C31" s="4" t="s">
        <v>791</v>
      </c>
      <c r="D31" s="4" t="s">
        <v>792</v>
      </c>
    </row>
    <row r="32" spans="2:7" x14ac:dyDescent="0.2">
      <c r="B32" s="3" t="s">
        <v>793</v>
      </c>
      <c r="C32" s="4" t="s">
        <v>794</v>
      </c>
      <c r="D32" s="4" t="s">
        <v>795</v>
      </c>
    </row>
    <row r="33" spans="2:7" ht="15" thickBot="1" x14ac:dyDescent="0.25">
      <c r="B33" s="3" t="s">
        <v>796</v>
      </c>
      <c r="C33" s="4" t="s">
        <v>797</v>
      </c>
      <c r="D33" s="4" t="s">
        <v>798</v>
      </c>
    </row>
    <row r="34" spans="2:7" ht="16.5" thickBot="1" x14ac:dyDescent="0.25">
      <c r="B34" s="3" t="s">
        <v>799</v>
      </c>
      <c r="C34" s="4" t="s">
        <v>800</v>
      </c>
      <c r="D34" s="4" t="s">
        <v>801</v>
      </c>
      <c r="E34" s="12"/>
    </row>
    <row r="35" spans="2:7" ht="16.5" thickBot="1" x14ac:dyDescent="0.25">
      <c r="E35" s="15"/>
      <c r="G35" t="str">
        <f t="shared" si="0"/>
        <v>&lt;dl&gt;&lt;dt&gt;&lt;/dt&gt;&lt;dd&gt;&lt;/dd&gt;&lt;dd&gt;&lt;/dd&gt;&lt;/dl&gt;</v>
      </c>
    </row>
    <row r="36" spans="2:7" ht="16.5" thickBot="1" x14ac:dyDescent="0.25">
      <c r="E36" s="15"/>
      <c r="G36" t="str">
        <f t="shared" si="0"/>
        <v>&lt;dl&gt;&lt;dt&gt;&lt;/dt&gt;&lt;dd&gt;&lt;/dd&gt;&lt;dd&gt;&lt;/dd&gt;&lt;/dl&gt;</v>
      </c>
    </row>
    <row r="37" spans="2:7" ht="18" thickBot="1" x14ac:dyDescent="0.25">
      <c r="B37" s="5" t="s">
        <v>802</v>
      </c>
      <c r="E37" s="15"/>
      <c r="G37" t="str">
        <f t="shared" si="0"/>
        <v>&lt;dl&gt;&lt;dt&gt;四、四化影响​&lt;/dt&gt;&lt;dd&gt;&lt;/dd&gt;&lt;dd&gt;&lt;/dd&gt;&lt;/dl&gt;</v>
      </c>
    </row>
    <row r="38" spans="2:7" ht="16.5" thickBot="1" x14ac:dyDescent="0.25">
      <c r="E38" s="15"/>
      <c r="G38" t="str">
        <f t="shared" si="0"/>
        <v>&lt;dl&gt;&lt;dt&gt;&lt;/dt&gt;&lt;dd&gt;&lt;/dd&gt;&lt;dd&gt;&lt;/dd&gt;&lt;/dl&gt;</v>
      </c>
    </row>
    <row r="39" spans="2:7" ht="16.5" thickBot="1" x14ac:dyDescent="0.25">
      <c r="B39" s="2" t="s">
        <v>250</v>
      </c>
      <c r="C39" s="2" t="s">
        <v>803</v>
      </c>
      <c r="D39" s="2" t="s">
        <v>497</v>
      </c>
      <c r="E39" s="15"/>
      <c r="G39" t="str">
        <f t="shared" si="0"/>
        <v>&lt;dl&gt;&lt;dt&gt;四化​&lt;/dt&gt;&lt;dd&gt;触发宫干​&lt;/dd&gt;&lt;dd&gt;象义​&lt;/dd&gt;&lt;/dl&gt;</v>
      </c>
    </row>
    <row r="40" spans="2:7" ht="29.25" thickBot="1" x14ac:dyDescent="0.25">
      <c r="B40" s="3" t="s">
        <v>253</v>
      </c>
      <c r="C40" s="4" t="s">
        <v>804</v>
      </c>
      <c r="D40" s="4" t="s">
        <v>805</v>
      </c>
      <c r="E40" s="15"/>
      <c r="G40" t="str">
        <f t="shared" si="0"/>
        <v>&lt;dl&gt;&lt;dt&gt;化禄​&lt;/dt&gt;&lt;dd&gt;己干&lt;/dd&gt;&lt;dd&gt;财运爆发（实业、金属交易），但易因固执失机。&lt;/dd&gt;&lt;/dl&gt;</v>
      </c>
    </row>
    <row r="41" spans="2:7" ht="29.25" thickBot="1" x14ac:dyDescent="0.25">
      <c r="B41" s="3" t="s">
        <v>256</v>
      </c>
      <c r="C41" s="4" t="s">
        <v>806</v>
      </c>
      <c r="D41" s="4" t="s">
        <v>807</v>
      </c>
      <c r="E41" s="15"/>
      <c r="G41" t="str">
        <f t="shared" si="0"/>
        <v>&lt;dl&gt;&lt;dt&gt;化权​&lt;/dt&gt;&lt;dd&gt;庚干&lt;/dd&gt;&lt;dd&gt;职权提升（管理、军职），行动力强，但冲突增多。&lt;/dd&gt;&lt;/dl&gt;</v>
      </c>
    </row>
    <row r="42" spans="2:7" ht="29.25" thickBot="1" x14ac:dyDescent="0.25">
      <c r="B42" s="3" t="s">
        <v>259</v>
      </c>
      <c r="C42" s="4" t="s">
        <v>808</v>
      </c>
      <c r="D42" s="4" t="s">
        <v>809</v>
      </c>
      <c r="E42" s="15"/>
      <c r="G42" t="str">
        <f t="shared" si="0"/>
        <v>&lt;dl&gt;&lt;dt&gt;化科​&lt;/dt&gt;&lt;dd&gt;甲干&lt;/dd&gt;&lt;dd&gt;专业名声（金融、技术），化解财务纠纷。&lt;/dd&gt;&lt;/dl&gt;</v>
      </c>
    </row>
    <row r="43" spans="2:7" ht="29.25" thickBot="1" x14ac:dyDescent="0.25">
      <c r="B43" s="3" t="s">
        <v>262</v>
      </c>
      <c r="C43" s="4" t="s">
        <v>810</v>
      </c>
      <c r="D43" s="4" t="s">
        <v>811</v>
      </c>
      <c r="E43" s="15"/>
      <c r="G43" t="str">
        <f t="shared" si="0"/>
        <v>&lt;dl&gt;&lt;dt&gt;化忌​&lt;/dt&gt;&lt;dd&gt;壬干&lt;/dd&gt;&lt;dd&gt;破财、资金冻结，骨骼伤病，人际孤立。&lt;/dd&gt;&lt;/dl&gt;</v>
      </c>
    </row>
    <row r="46" spans="2:7" ht="17.25" x14ac:dyDescent="0.2">
      <c r="B46" s="5" t="s">
        <v>812</v>
      </c>
    </row>
    <row r="47" spans="2:7" ht="15" thickBot="1" x14ac:dyDescent="0.25"/>
    <row r="48" spans="2:7" ht="16.5" thickBot="1" x14ac:dyDescent="0.25">
      <c r="B48" s="2" t="s">
        <v>40</v>
      </c>
      <c r="C48" s="2" t="s">
        <v>339</v>
      </c>
      <c r="D48" s="2" t="s">
        <v>813</v>
      </c>
      <c r="E48" s="12"/>
    </row>
    <row r="49" spans="2:7" ht="29.25" thickBot="1" x14ac:dyDescent="0.25">
      <c r="B49" s="3" t="s">
        <v>187</v>
      </c>
      <c r="C49" s="4" t="s">
        <v>814</v>
      </c>
      <c r="D49" s="4" t="s">
        <v>815</v>
      </c>
      <c r="E49" s="15"/>
      <c r="G49" t="str">
        <f t="shared" si="0"/>
        <v>&lt;dl&gt;&lt;dt&gt;火星​&lt;/dt&gt;&lt;dd&gt;武曲+火星&lt;/dd&gt;&lt;dd&gt;快速破财（股票暴亏）、急性骨伤（扭伤）。&lt;/dd&gt;&lt;/dl&gt;</v>
      </c>
    </row>
    <row r="50" spans="2:7" ht="29.25" thickBot="1" x14ac:dyDescent="0.25">
      <c r="B50" s="3" t="s">
        <v>190</v>
      </c>
      <c r="C50" s="4" t="s">
        <v>816</v>
      </c>
      <c r="D50" s="4" t="s">
        <v>817</v>
      </c>
      <c r="E50" s="15"/>
      <c r="G50" t="str">
        <f t="shared" si="0"/>
        <v>&lt;dl&gt;&lt;dt&gt;擎羊​&lt;/dt&gt;&lt;dd&gt;武曲+擎羊&lt;/dd&gt;&lt;dd&gt;武力冲突（打架）、骨折手术、强制裁员。&lt;/dd&gt;&lt;/dl&gt;</v>
      </c>
    </row>
    <row r="51" spans="2:7" ht="29.25" thickBot="1" x14ac:dyDescent="0.25">
      <c r="B51" s="3" t="s">
        <v>178</v>
      </c>
      <c r="C51" s="4" t="s">
        <v>818</v>
      </c>
      <c r="D51" s="4" t="s">
        <v>819</v>
      </c>
      <c r="E51" s="15"/>
      <c r="G51" t="str">
        <f t="shared" si="0"/>
        <v>&lt;dl&gt;&lt;dt&gt;文昌​&lt;/dt&gt;&lt;dd&gt;武曲+文昌&lt;/dd&gt;&lt;dd&gt;金融文书（贷款合同）、财务审计纠纷。&lt;/dd&gt;&lt;/dl&gt;</v>
      </c>
    </row>
    <row r="52" spans="2:7" ht="29.25" thickBot="1" x14ac:dyDescent="0.25">
      <c r="B52" s="3" t="s">
        <v>279</v>
      </c>
      <c r="C52" s="4" t="s">
        <v>820</v>
      </c>
      <c r="D52" s="4" t="s">
        <v>821</v>
      </c>
      <c r="E52" s="15"/>
      <c r="G52" t="str">
        <f t="shared" si="0"/>
        <v>&lt;dl&gt;&lt;dt&gt;地空​&lt;/dt&gt;&lt;dd&gt;武曲+地空&lt;/dd&gt;&lt;dd&gt;虚财（期货泡沫）、骨质空洞（骨质疏松）。&lt;/dd&gt;&lt;/dl&gt;</v>
      </c>
    </row>
    <row r="53" spans="2:7" ht="28.5" x14ac:dyDescent="0.2">
      <c r="B53" s="3" t="s">
        <v>284</v>
      </c>
      <c r="C53" s="4" t="s">
        <v>822</v>
      </c>
      <c r="D53" s="4" t="s">
        <v>823</v>
      </c>
    </row>
    <row r="54" spans="2:7" ht="28.5" x14ac:dyDescent="0.2">
      <c r="B54" s="3" t="s">
        <v>824</v>
      </c>
      <c r="C54" s="4" t="s">
        <v>825</v>
      </c>
      <c r="D54" s="4" t="s">
        <v>826</v>
      </c>
    </row>
    <row r="55" spans="2:7" ht="28.5" x14ac:dyDescent="0.2">
      <c r="B55" s="3" t="s">
        <v>827</v>
      </c>
      <c r="C55" s="4" t="s">
        <v>828</v>
      </c>
      <c r="D55" s="4" t="s">
        <v>829</v>
      </c>
    </row>
    <row r="58" spans="2:7" ht="17.25" x14ac:dyDescent="0.2">
      <c r="B58" s="5" t="s">
        <v>830</v>
      </c>
    </row>
    <row r="59" spans="2:7" x14ac:dyDescent="0.2">
      <c r="B59" s="6"/>
    </row>
    <row r="60" spans="2:7" x14ac:dyDescent="0.2">
      <c r="B60" s="7" t="s">
        <v>831</v>
      </c>
    </row>
    <row r="61" spans="2:7" x14ac:dyDescent="0.2">
      <c r="B61" s="6"/>
    </row>
    <row r="62" spans="2:7" x14ac:dyDescent="0.2">
      <c r="B62" s="9" t="s">
        <v>832</v>
      </c>
    </row>
    <row r="63" spans="2:7" x14ac:dyDescent="0.2">
      <c r="B63" s="7" t="s">
        <v>833</v>
      </c>
    </row>
    <row r="64" spans="2:7" x14ac:dyDescent="0.2">
      <c r="B64" s="6"/>
    </row>
    <row r="65" spans="2:2" x14ac:dyDescent="0.2">
      <c r="B65" s="9" t="s">
        <v>834</v>
      </c>
    </row>
    <row r="66" spans="2:2" x14ac:dyDescent="0.2">
      <c r="B66" s="7"/>
    </row>
    <row r="67" spans="2:2" x14ac:dyDescent="0.2">
      <c r="B67" s="6"/>
    </row>
    <row r="68" spans="2:2" x14ac:dyDescent="0.2">
      <c r="B68" s="9"/>
    </row>
    <row r="69" spans="2:2" x14ac:dyDescent="0.2">
      <c r="B69" s="9"/>
    </row>
    <row r="70" spans="2:2" x14ac:dyDescent="0.2">
      <c r="B70" s="7"/>
    </row>
    <row r="71" spans="2:2" x14ac:dyDescent="0.2">
      <c r="B71" s="6"/>
    </row>
    <row r="72" spans="2:2" x14ac:dyDescent="0.2">
      <c r="B72" s="9"/>
    </row>
    <row r="73" spans="2:2" x14ac:dyDescent="0.2">
      <c r="B73" s="9"/>
    </row>
    <row r="77" spans="2:2" ht="17.25" x14ac:dyDescent="0.2">
      <c r="B77" s="5"/>
    </row>
    <row r="80" spans="2:2" x14ac:dyDescent="0.2">
      <c r="B80" s="16"/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EC976-4A4E-4FD4-9663-94D7CCFEFF18}">
  <dimension ref="B1:G82"/>
  <sheetViews>
    <sheetView topLeftCell="A40" zoomScaleNormal="100" workbookViewId="0">
      <selection activeCell="D16" sqref="D16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835</v>
      </c>
      <c r="G1" t="str">
        <f>"&lt;dl&gt;&lt;dt&gt;" &amp; B1 &amp; "&lt;/dt&gt;&lt;dd&gt;" &amp; C1 &amp; "&lt;/dd&gt;&lt;dd&gt;" &amp; D1 &amp; "&lt;/dd&gt;&lt;/dl&gt;"</f>
        <v>&lt;dl&gt;&lt;dt&gt;一、贪狼定义​&lt;/dt&gt;&lt;dd&gt;&lt;/dd&gt;&lt;dd&gt;&lt;/dd&gt;&lt;/dl&gt;</v>
      </c>
    </row>
    <row r="3" spans="2:7" x14ac:dyDescent="0.2">
      <c r="B3" s="1" t="s">
        <v>836</v>
      </c>
    </row>
    <row r="4" spans="2:7" x14ac:dyDescent="0.2">
      <c r="B4" s="1" t="s">
        <v>837</v>
      </c>
    </row>
    <row r="5" spans="2:7" x14ac:dyDescent="0.2">
      <c r="B5" s="1" t="s">
        <v>838</v>
      </c>
    </row>
    <row r="6" spans="2:7" x14ac:dyDescent="0.2">
      <c r="B6" s="1" t="s">
        <v>313</v>
      </c>
    </row>
    <row r="7" spans="2:7" x14ac:dyDescent="0.2">
      <c r="B7" s="6"/>
    </row>
    <row r="8" spans="2:7" x14ac:dyDescent="0.2">
      <c r="B8" s="7" t="s">
        <v>839</v>
      </c>
    </row>
    <row r="9" spans="2:7" x14ac:dyDescent="0.2">
      <c r="B9" s="7" t="s">
        <v>840</v>
      </c>
    </row>
    <row r="10" spans="2:7" x14ac:dyDescent="0.2">
      <c r="B10" s="7" t="s">
        <v>841</v>
      </c>
    </row>
    <row r="11" spans="2:7" x14ac:dyDescent="0.2">
      <c r="B11" s="7" t="s">
        <v>842</v>
      </c>
    </row>
    <row r="12" spans="2:7" x14ac:dyDescent="0.2">
      <c r="B12" s="7" t="s">
        <v>843</v>
      </c>
    </row>
    <row r="13" spans="2:7" x14ac:dyDescent="0.2">
      <c r="B13" s="6"/>
    </row>
    <row r="14" spans="2:7" x14ac:dyDescent="0.2">
      <c r="B14" s="9" t="s">
        <v>844</v>
      </c>
    </row>
    <row r="15" spans="2:7" x14ac:dyDescent="0.2">
      <c r="B15" s="9" t="s">
        <v>845</v>
      </c>
    </row>
    <row r="19" spans="2:7" ht="17.25" x14ac:dyDescent="0.2">
      <c r="B19" s="5" t="s">
        <v>846</v>
      </c>
    </row>
    <row r="21" spans="2:7" x14ac:dyDescent="0.2">
      <c r="B21" s="2" t="s">
        <v>18</v>
      </c>
      <c r="C21" s="2" t="s">
        <v>497</v>
      </c>
      <c r="D21" s="2" t="s">
        <v>847</v>
      </c>
    </row>
    <row r="22" spans="2:7" ht="28.5" x14ac:dyDescent="0.2">
      <c r="B22" s="3" t="s">
        <v>201</v>
      </c>
      <c r="C22" s="4" t="s">
        <v>848</v>
      </c>
      <c r="D22" s="4" t="s">
        <v>849</v>
      </c>
    </row>
    <row r="23" spans="2:7" ht="28.5" x14ac:dyDescent="0.2">
      <c r="B23" s="3" t="s">
        <v>3</v>
      </c>
      <c r="C23" s="4" t="s">
        <v>850</v>
      </c>
      <c r="D23" s="4" t="s">
        <v>851</v>
      </c>
    </row>
    <row r="24" spans="2:7" ht="28.5" x14ac:dyDescent="0.2">
      <c r="B24" s="3" t="s">
        <v>128</v>
      </c>
      <c r="C24" s="4" t="s">
        <v>852</v>
      </c>
      <c r="D24" s="4" t="s">
        <v>853</v>
      </c>
      <c r="G24" t="str">
        <f t="shared" ref="G24:G52" si="0">"&lt;dl&gt;&lt;dt&gt;" &amp; B24 &amp; "&lt;/dt&gt;&lt;dd&gt;" &amp; C24 &amp; "&lt;/dd&gt;&lt;dd&gt;" &amp; D24 &amp; "&lt;/dd&gt;&lt;/dl&gt;"</f>
        <v>&lt;dl&gt;&lt;dt&gt;子女宫​&lt;/dt&gt;&lt;dd&gt;肉体关系&lt;/dd&gt;&lt;dd&gt;性生活频率；+天喜：多子女；+铃星：性冷淡。&lt;/dd&gt;&lt;/dl&gt;</v>
      </c>
    </row>
    <row r="25" spans="2:7" ht="28.5" x14ac:dyDescent="0.2">
      <c r="B25" s="3" t="s">
        <v>6</v>
      </c>
      <c r="C25" s="4" t="s">
        <v>854</v>
      </c>
      <c r="D25" s="4" t="s">
        <v>855</v>
      </c>
      <c r="G25" t="str">
        <f t="shared" si="0"/>
        <v>&lt;dl&gt;&lt;dt&gt;疾厄宫​&lt;/dt&gt;&lt;dd&gt;病灶体积&lt;/dd&gt;&lt;dd&gt;+廉贞：肿瘤大小；+文昌：骨骼畸形。&lt;/dd&gt;&lt;/dl&gt;</v>
      </c>
    </row>
    <row r="26" spans="2:7" ht="28.5" x14ac:dyDescent="0.2">
      <c r="B26" s="3" t="s">
        <v>15</v>
      </c>
      <c r="C26" s="4" t="s">
        <v>856</v>
      </c>
      <c r="D26" s="4" t="s">
        <v>857</v>
      </c>
      <c r="G26" t="str">
        <f t="shared" si="0"/>
        <v>&lt;dl&gt;&lt;dt&gt;迁移宫​&lt;/dt&gt;&lt;dd&gt;空间移动&lt;/dd&gt;&lt;dd&gt;远行规模（庙旺：跨国；落陷：短途）。&lt;/dd&gt;&lt;/dl&gt;</v>
      </c>
    </row>
    <row r="27" spans="2:7" x14ac:dyDescent="0.2">
      <c r="B27" s="3" t="s">
        <v>206</v>
      </c>
      <c r="C27" s="4" t="s">
        <v>858</v>
      </c>
      <c r="D27" s="4" t="s">
        <v>859</v>
      </c>
      <c r="G27" t="str">
        <f t="shared" si="0"/>
        <v>&lt;dl&gt;&lt;dt&gt;官禄宫​&lt;/dt&gt;&lt;dd&gt;事业规模&lt;/dd&gt;&lt;dd&gt;创业野心；+地空：盲目扩张。&lt;/dd&gt;&lt;/dl&gt;</v>
      </c>
    </row>
    <row r="28" spans="2:7" x14ac:dyDescent="0.2">
      <c r="G28" t="str">
        <f t="shared" si="0"/>
        <v>&lt;dl&gt;&lt;dt&gt;&lt;/dt&gt;&lt;dd&gt;&lt;/dd&gt;&lt;dd&gt;&lt;/dd&gt;&lt;/dl&gt;</v>
      </c>
    </row>
    <row r="29" spans="2:7" x14ac:dyDescent="0.2">
      <c r="G29" t="str">
        <f t="shared" si="0"/>
        <v>&lt;dl&gt;&lt;dt&gt;&lt;/dt&gt;&lt;dd&gt;&lt;/dd&gt;&lt;dd&gt;&lt;/dd&gt;&lt;/dl&gt;</v>
      </c>
    </row>
    <row r="30" spans="2:7" ht="17.25" x14ac:dyDescent="0.2">
      <c r="B30" s="5" t="s">
        <v>860</v>
      </c>
    </row>
    <row r="32" spans="2:7" x14ac:dyDescent="0.2">
      <c r="B32" s="2" t="s">
        <v>18</v>
      </c>
      <c r="C32" s="2" t="s">
        <v>584</v>
      </c>
      <c r="D32" s="2" t="s">
        <v>861</v>
      </c>
    </row>
    <row r="33" spans="2:7" x14ac:dyDescent="0.2">
      <c r="B33" s="3" t="s">
        <v>862</v>
      </c>
      <c r="C33" s="4" t="s">
        <v>900</v>
      </c>
      <c r="D33" s="4" t="s">
        <v>864</v>
      </c>
    </row>
    <row r="34" spans="2:7" x14ac:dyDescent="0.2">
      <c r="B34" s="3" t="s">
        <v>865</v>
      </c>
      <c r="C34" s="4" t="s">
        <v>901</v>
      </c>
      <c r="D34" s="4" t="s">
        <v>866</v>
      </c>
    </row>
    <row r="35" spans="2:7" x14ac:dyDescent="0.2">
      <c r="B35" s="3" t="s">
        <v>867</v>
      </c>
      <c r="C35" s="4" t="s">
        <v>902</v>
      </c>
      <c r="D35" s="4" t="s">
        <v>868</v>
      </c>
    </row>
    <row r="36" spans="2:7" x14ac:dyDescent="0.2">
      <c r="B36" s="3" t="s">
        <v>869</v>
      </c>
      <c r="C36" s="4" t="s">
        <v>903</v>
      </c>
      <c r="D36" s="4" t="s">
        <v>870</v>
      </c>
    </row>
    <row r="37" spans="2:7" x14ac:dyDescent="0.2">
      <c r="G37" t="str">
        <f t="shared" si="0"/>
        <v>&lt;dl&gt;&lt;dt&gt;&lt;/dt&gt;&lt;dd&gt;&lt;/dd&gt;&lt;dd&gt;&lt;/dd&gt;&lt;/dl&gt;</v>
      </c>
    </row>
    <row r="38" spans="2:7" x14ac:dyDescent="0.2">
      <c r="G38" t="str">
        <f t="shared" si="0"/>
        <v>&lt;dl&gt;&lt;dt&gt;&lt;/dt&gt;&lt;dd&gt;&lt;/dd&gt;&lt;dd&gt;&lt;/dd&gt;&lt;/dl&gt;</v>
      </c>
    </row>
    <row r="39" spans="2:7" ht="17.25" x14ac:dyDescent="0.2">
      <c r="B39" s="5" t="s">
        <v>871</v>
      </c>
      <c r="G39" t="str">
        <f t="shared" si="0"/>
        <v>&lt;dl&gt;&lt;dt&gt;四、贪狼组合象义​&lt;/dt&gt;&lt;dd&gt;&lt;/dd&gt;&lt;dd&gt;&lt;/dd&gt;&lt;/dl&gt;</v>
      </c>
    </row>
    <row r="40" spans="2:7" x14ac:dyDescent="0.2">
      <c r="G40" t="str">
        <f t="shared" si="0"/>
        <v>&lt;dl&gt;&lt;dt&gt;&lt;/dt&gt;&lt;dd&gt;&lt;/dd&gt;&lt;dd&gt;&lt;/dd&gt;&lt;/dl&gt;</v>
      </c>
    </row>
    <row r="41" spans="2:7" ht="15.75" x14ac:dyDescent="0.2">
      <c r="B41" s="13" t="s">
        <v>411</v>
      </c>
      <c r="G41" t="str">
        <f t="shared" si="0"/>
        <v>&lt;dl&gt;&lt;dt&gt;1. 主星组合​&lt;/dt&gt;&lt;dd&gt;&lt;/dd&gt;&lt;dd&gt;&lt;/dd&gt;&lt;/dl&gt;</v>
      </c>
    </row>
    <row r="42" spans="2:7" x14ac:dyDescent="0.2">
      <c r="G42" t="str">
        <f t="shared" si="0"/>
        <v>&lt;dl&gt;&lt;dt&gt;&lt;/dt&gt;&lt;dd&gt;&lt;/dd&gt;&lt;dd&gt;&lt;/dd&gt;&lt;/dl&gt;</v>
      </c>
    </row>
    <row r="43" spans="2:7" x14ac:dyDescent="0.2">
      <c r="B43" s="2" t="s">
        <v>71</v>
      </c>
      <c r="C43" s="2" t="s">
        <v>497</v>
      </c>
      <c r="D43" s="2" t="s">
        <v>340</v>
      </c>
      <c r="G43" t="str">
        <f t="shared" si="0"/>
        <v>&lt;dl&gt;&lt;dt&gt;组合​&lt;/dt&gt;&lt;dd&gt;象义​&lt;/dd&gt;&lt;dd&gt;案例​&lt;/dd&gt;&lt;/dl&gt;</v>
      </c>
    </row>
    <row r="44" spans="2:7" ht="28.5" x14ac:dyDescent="0.2">
      <c r="B44" s="3" t="s">
        <v>872</v>
      </c>
      <c r="C44" s="4" t="s">
        <v>873</v>
      </c>
      <c r="D44" s="4" t="s">
        <v>874</v>
      </c>
    </row>
    <row r="45" spans="2:7" ht="28.5" x14ac:dyDescent="0.2">
      <c r="B45" s="3" t="s">
        <v>875</v>
      </c>
      <c r="C45" s="4" t="s">
        <v>876</v>
      </c>
      <c r="D45" s="4" t="s">
        <v>877</v>
      </c>
    </row>
    <row r="46" spans="2:7" ht="28.5" x14ac:dyDescent="0.2">
      <c r="B46" s="3" t="s">
        <v>878</v>
      </c>
      <c r="C46" s="4" t="s">
        <v>879</v>
      </c>
      <c r="D46" s="4" t="s">
        <v>880</v>
      </c>
    </row>
    <row r="48" spans="2:7" ht="15.75" x14ac:dyDescent="0.2">
      <c r="B48" s="13" t="s">
        <v>426</v>
      </c>
    </row>
    <row r="49" spans="2:7" x14ac:dyDescent="0.2">
      <c r="G49" t="str">
        <f t="shared" si="0"/>
        <v>&lt;dl&gt;&lt;dt&gt;&lt;/dt&gt;&lt;dd&gt;&lt;/dd&gt;&lt;dd&gt;&lt;/dd&gt;&lt;/dl&gt;</v>
      </c>
    </row>
    <row r="50" spans="2:7" x14ac:dyDescent="0.2">
      <c r="B50" s="2" t="s">
        <v>40</v>
      </c>
      <c r="C50" s="2" t="s">
        <v>497</v>
      </c>
      <c r="D50" s="2" t="s">
        <v>452</v>
      </c>
      <c r="G50" t="str">
        <f t="shared" si="0"/>
        <v>&lt;dl&gt;&lt;dt&gt;辅星​&lt;/dt&gt;&lt;dd&gt;象义​&lt;/dd&gt;&lt;dd&gt;触发条件​&lt;/dd&gt;&lt;/dl&gt;</v>
      </c>
    </row>
    <row r="51" spans="2:7" ht="28.5" x14ac:dyDescent="0.2">
      <c r="B51" s="3" t="s">
        <v>881</v>
      </c>
      <c r="C51" s="4" t="s">
        <v>882</v>
      </c>
      <c r="D51" s="4" t="s">
        <v>883</v>
      </c>
      <c r="G51" t="str">
        <f t="shared" si="0"/>
        <v>&lt;dl&gt;&lt;dt&gt;贪狼 + 火星​&lt;/dt&gt;&lt;dd&gt;欲望爆发&lt;/dd&gt;&lt;dd&gt;投资冲动（火星急）+ 体积扩大（贪狼）→ 盲目加仓。&lt;/dd&gt;&lt;/dl&gt;</v>
      </c>
    </row>
    <row r="52" spans="2:7" ht="28.5" x14ac:dyDescent="0.2">
      <c r="B52" s="3" t="s">
        <v>884</v>
      </c>
      <c r="C52" s="4" t="s">
        <v>885</v>
      </c>
      <c r="D52" s="4" t="s">
        <v>886</v>
      </c>
      <c r="G52" t="str">
        <f t="shared" si="0"/>
        <v>&lt;dl&gt;&lt;dt&gt;贪狼 + 地空​&lt;/dt&gt;&lt;dd&gt;虚妄膨胀&lt;/dd&gt;&lt;dd&gt;地空（过分） + 贪狼庙（欲望大）→ 融资骗局。&lt;/dd&gt;&lt;/dl&gt;</v>
      </c>
    </row>
    <row r="53" spans="2:7" ht="28.5" x14ac:dyDescent="0.2">
      <c r="B53" s="3" t="s">
        <v>887</v>
      </c>
      <c r="C53" s="4" t="s">
        <v>888</v>
      </c>
      <c r="D53" s="4" t="s">
        <v>889</v>
      </c>
    </row>
    <row r="54" spans="2:7" ht="28.5" x14ac:dyDescent="0.2">
      <c r="B54" s="3" t="s">
        <v>890</v>
      </c>
      <c r="C54" s="4" t="s">
        <v>891</v>
      </c>
      <c r="D54" s="4" t="s">
        <v>892</v>
      </c>
    </row>
    <row r="57" spans="2:7" ht="17.25" x14ac:dyDescent="0.2">
      <c r="B57" s="5" t="s">
        <v>893</v>
      </c>
    </row>
    <row r="58" spans="2:7" x14ac:dyDescent="0.2">
      <c r="B58" s="6"/>
    </row>
    <row r="59" spans="2:7" x14ac:dyDescent="0.2">
      <c r="B59" s="7" t="s">
        <v>894</v>
      </c>
    </row>
    <row r="60" spans="2:7" x14ac:dyDescent="0.2">
      <c r="B60" s="6"/>
    </row>
    <row r="61" spans="2:7" x14ac:dyDescent="0.2">
      <c r="B61" s="9" t="s">
        <v>895</v>
      </c>
    </row>
    <row r="62" spans="2:7" x14ac:dyDescent="0.2">
      <c r="B62" s="9" t="s">
        <v>896</v>
      </c>
    </row>
    <row r="63" spans="2:7" x14ac:dyDescent="0.2">
      <c r="B63" s="7" t="s">
        <v>897</v>
      </c>
    </row>
    <row r="64" spans="2:7" x14ac:dyDescent="0.2">
      <c r="B64" s="6"/>
    </row>
    <row r="65" spans="2:2" x14ac:dyDescent="0.2">
      <c r="B65" s="9" t="s">
        <v>898</v>
      </c>
    </row>
    <row r="66" spans="2:2" x14ac:dyDescent="0.2">
      <c r="B66" s="9" t="s">
        <v>899</v>
      </c>
    </row>
    <row r="67" spans="2:2" x14ac:dyDescent="0.2">
      <c r="B67" s="6"/>
    </row>
    <row r="68" spans="2:2" x14ac:dyDescent="0.2">
      <c r="B68" s="9"/>
    </row>
    <row r="69" spans="2:2" x14ac:dyDescent="0.2">
      <c r="B69" s="9"/>
    </row>
    <row r="70" spans="2:2" x14ac:dyDescent="0.2">
      <c r="B70" s="7"/>
    </row>
    <row r="71" spans="2:2" x14ac:dyDescent="0.2">
      <c r="B71" s="6"/>
    </row>
    <row r="72" spans="2:2" x14ac:dyDescent="0.2">
      <c r="B72" s="9"/>
    </row>
    <row r="73" spans="2:2" x14ac:dyDescent="0.2">
      <c r="B73" s="9"/>
    </row>
    <row r="77" spans="2:2" ht="17.25" x14ac:dyDescent="0.2">
      <c r="B77" s="5"/>
    </row>
    <row r="80" spans="2:2" x14ac:dyDescent="0.2">
      <c r="B80" s="16"/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E98B-40CE-4855-BF08-9462AA25F41B}">
  <dimension ref="B1:G97"/>
  <sheetViews>
    <sheetView topLeftCell="A51" zoomScaleNormal="100" workbookViewId="0">
      <selection activeCell="F37" sqref="F37:F43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904</v>
      </c>
      <c r="G1" t="str">
        <f>"&lt;dl&gt;&lt;dt&gt;" &amp; B1 &amp; "&lt;/dt&gt;&lt;dd&gt;" &amp; C1 &amp; "&lt;/dd&gt;&lt;dd&gt;" &amp; D1 &amp; "&lt;/dd&gt;&lt;/dl&gt;"</f>
        <v>&lt;dl&gt;&lt;dt&gt;一、天同定义​&lt;/dt&gt;&lt;dd&gt;&lt;/dd&gt;&lt;dd&gt;&lt;/dd&gt;&lt;/dl&gt;</v>
      </c>
    </row>
    <row r="3" spans="2:7" x14ac:dyDescent="0.2">
      <c r="B3" s="1" t="s">
        <v>905</v>
      </c>
    </row>
    <row r="4" spans="2:7" x14ac:dyDescent="0.2">
      <c r="B4" s="6"/>
    </row>
    <row r="5" spans="2:7" x14ac:dyDescent="0.2">
      <c r="B5" s="7" t="s">
        <v>906</v>
      </c>
    </row>
    <row r="6" spans="2:7" x14ac:dyDescent="0.2">
      <c r="B6" s="6"/>
    </row>
    <row r="7" spans="2:7" x14ac:dyDescent="0.2">
      <c r="B7" s="9" t="s">
        <v>907</v>
      </c>
    </row>
    <row r="8" spans="2:7" x14ac:dyDescent="0.2">
      <c r="B8" s="9" t="s">
        <v>908</v>
      </c>
    </row>
    <row r="9" spans="2:7" x14ac:dyDescent="0.2">
      <c r="B9" s="7" t="s">
        <v>909</v>
      </c>
    </row>
    <row r="10" spans="2:7" x14ac:dyDescent="0.2">
      <c r="B10" s="6"/>
    </row>
    <row r="11" spans="2:7" x14ac:dyDescent="0.2">
      <c r="B11" s="9" t="s">
        <v>910</v>
      </c>
    </row>
    <row r="12" spans="2:7" x14ac:dyDescent="0.2">
      <c r="B12" s="9" t="s">
        <v>911</v>
      </c>
    </row>
    <row r="13" spans="2:7" x14ac:dyDescent="0.2">
      <c r="B13" s="7" t="s">
        <v>912</v>
      </c>
    </row>
    <row r="14" spans="2:7" x14ac:dyDescent="0.2">
      <c r="B14" s="6"/>
    </row>
    <row r="15" spans="2:7" x14ac:dyDescent="0.2">
      <c r="B15" s="9" t="s">
        <v>913</v>
      </c>
    </row>
    <row r="16" spans="2:7" x14ac:dyDescent="0.2">
      <c r="B16" s="9" t="s">
        <v>914</v>
      </c>
    </row>
    <row r="17" spans="2:7" x14ac:dyDescent="0.2">
      <c r="B17" s="7" t="s">
        <v>915</v>
      </c>
    </row>
    <row r="18" spans="2:7" x14ac:dyDescent="0.2">
      <c r="B18" s="6"/>
    </row>
    <row r="19" spans="2:7" x14ac:dyDescent="0.2">
      <c r="B19" s="9" t="s">
        <v>916</v>
      </c>
    </row>
    <row r="20" spans="2:7" x14ac:dyDescent="0.2">
      <c r="B20" s="9" t="s">
        <v>917</v>
      </c>
    </row>
    <row r="24" spans="2:7" ht="17.25" x14ac:dyDescent="0.2">
      <c r="B24" s="5" t="s">
        <v>918</v>
      </c>
      <c r="G24" t="str">
        <f t="shared" ref="G24:G52" si="0">"&lt;dl&gt;&lt;dt&gt;" &amp; B24 &amp; "&lt;/dt&gt;&lt;dd&gt;" &amp; C24 &amp; "&lt;/dd&gt;&lt;dd&gt;" &amp; D24 &amp; "&lt;/dd&gt;&lt;/dl&gt;"</f>
        <v>&lt;dl&gt;&lt;dt&gt;二、天同宫位含义​&lt;/dt&gt;&lt;dd&gt;&lt;/dd&gt;&lt;dd&gt;&lt;/dd&gt;&lt;/dl&gt;</v>
      </c>
    </row>
    <row r="25" spans="2:7" x14ac:dyDescent="0.2">
      <c r="G25" t="str">
        <f t="shared" si="0"/>
        <v>&lt;dl&gt;&lt;dt&gt;&lt;/dt&gt;&lt;dd&gt;&lt;/dd&gt;&lt;dd&gt;&lt;/dd&gt;&lt;/dl&gt;</v>
      </c>
    </row>
    <row r="26" spans="2:7" x14ac:dyDescent="0.2">
      <c r="B26" s="2" t="s">
        <v>18</v>
      </c>
      <c r="C26" s="2" t="s">
        <v>222</v>
      </c>
      <c r="D26" s="2" t="s">
        <v>562</v>
      </c>
      <c r="G26" t="str">
        <f t="shared" si="0"/>
        <v>&lt;dl&gt;&lt;dt&gt;宫位​&lt;/dt&gt;&lt;dd&gt;核心象义​&lt;/dd&gt;&lt;dd&gt;典型应用​&lt;/dd&gt;&lt;/dl&gt;</v>
      </c>
    </row>
    <row r="27" spans="2:7" x14ac:dyDescent="0.2">
      <c r="B27" s="3" t="s">
        <v>201</v>
      </c>
      <c r="C27" s="4" t="s">
        <v>919</v>
      </c>
      <c r="D27" s="4" t="s">
        <v>920</v>
      </c>
      <c r="G27" t="str">
        <f t="shared" si="0"/>
        <v>&lt;dl&gt;&lt;dt&gt;命宫​&lt;/dt&gt;&lt;dd&gt;本性天真，抗压能力弱&lt;/dd&gt;&lt;dd&gt;+煞星：玻璃心；+文昌：文艺天赋&lt;/dd&gt;&lt;/dl&gt;</v>
      </c>
    </row>
    <row r="28" spans="2:7" x14ac:dyDescent="0.2">
      <c r="B28" s="3" t="s">
        <v>3</v>
      </c>
      <c r="C28" s="4" t="s">
        <v>921</v>
      </c>
      <c r="D28" s="4" t="s">
        <v>922</v>
      </c>
      <c r="G28" t="str">
        <f t="shared" si="0"/>
        <v>&lt;dl&gt;&lt;dt&gt;财帛宫​&lt;/dt&gt;&lt;dd&gt;消费观享乐主义&lt;/dd&gt;&lt;dd&gt;化忌：为快乐挥霍；化禄：意外之财&lt;/dd&gt;&lt;/dl&gt;</v>
      </c>
    </row>
    <row r="29" spans="2:7" x14ac:dyDescent="0.2">
      <c r="B29" s="3" t="s">
        <v>206</v>
      </c>
      <c r="C29" s="4" t="s">
        <v>923</v>
      </c>
      <c r="D29" s="4" t="s">
        <v>924</v>
      </c>
      <c r="G29" t="str">
        <f t="shared" si="0"/>
        <v>&lt;dl&gt;&lt;dt&gt;官禄宫​&lt;/dt&gt;&lt;dd&gt;工作追求轻松&lt;/dd&gt;&lt;dd&gt;落陷+天梁：被迫承担重任&lt;/dd&gt;&lt;/dl&gt;</v>
      </c>
    </row>
    <row r="30" spans="2:7" x14ac:dyDescent="0.2">
      <c r="B30" s="3" t="s">
        <v>128</v>
      </c>
      <c r="C30" s="4" t="s">
        <v>925</v>
      </c>
      <c r="D30" s="4" t="s">
        <v>926</v>
      </c>
    </row>
    <row r="31" spans="2:7" x14ac:dyDescent="0.2">
      <c r="B31" s="3" t="s">
        <v>6</v>
      </c>
      <c r="C31" s="4" t="s">
        <v>927</v>
      </c>
      <c r="D31" s="4" t="s">
        <v>928</v>
      </c>
    </row>
    <row r="32" spans="2:7" x14ac:dyDescent="0.2">
      <c r="B32" s="3" t="s">
        <v>15</v>
      </c>
      <c r="C32" s="4" t="s">
        <v>929</v>
      </c>
      <c r="D32" s="4" t="s">
        <v>930</v>
      </c>
    </row>
    <row r="35" spans="2:7" ht="17.25" x14ac:dyDescent="0.2">
      <c r="B35" s="5" t="s">
        <v>931</v>
      </c>
      <c r="G35" t="str">
        <f t="shared" si="0"/>
        <v>&lt;dl&gt;&lt;dt&gt;三、天同星曜状态​&lt;/dt&gt;&lt;dd&gt;&lt;/dd&gt;&lt;dd&gt;&lt;/dd&gt;&lt;/dl&gt;</v>
      </c>
    </row>
    <row r="36" spans="2:7" x14ac:dyDescent="0.2">
      <c r="G36" t="str">
        <f t="shared" si="0"/>
        <v>&lt;dl&gt;&lt;dt&gt;&lt;/dt&gt;&lt;dd&gt;&lt;/dd&gt;&lt;dd&gt;&lt;/dd&gt;&lt;/dl&gt;</v>
      </c>
    </row>
    <row r="37" spans="2:7" x14ac:dyDescent="0.2">
      <c r="B37" s="2" t="s">
        <v>718</v>
      </c>
      <c r="C37" s="2" t="s">
        <v>932</v>
      </c>
      <c r="D37" s="2" t="s">
        <v>933</v>
      </c>
    </row>
    <row r="38" spans="2:7" x14ac:dyDescent="0.2">
      <c r="B38" s="3" t="s">
        <v>934</v>
      </c>
      <c r="C38" s="4" t="s">
        <v>935</v>
      </c>
      <c r="D38" s="4" t="s">
        <v>936</v>
      </c>
    </row>
    <row r="39" spans="2:7" x14ac:dyDescent="0.2">
      <c r="B39" s="3" t="s">
        <v>867</v>
      </c>
      <c r="C39" s="4" t="s">
        <v>935</v>
      </c>
      <c r="D39" s="4" t="s">
        <v>937</v>
      </c>
    </row>
    <row r="40" spans="2:7" x14ac:dyDescent="0.2">
      <c r="B40" s="3" t="s">
        <v>938</v>
      </c>
      <c r="C40" s="4" t="s">
        <v>939</v>
      </c>
      <c r="D40" s="4" t="s">
        <v>940</v>
      </c>
    </row>
    <row r="41" spans="2:7" x14ac:dyDescent="0.2">
      <c r="B41" s="3" t="s">
        <v>941</v>
      </c>
      <c r="C41" s="4" t="s">
        <v>939</v>
      </c>
      <c r="D41" s="4" t="s">
        <v>942</v>
      </c>
    </row>
    <row r="42" spans="2:7" x14ac:dyDescent="0.2">
      <c r="B42" s="3" t="s">
        <v>943</v>
      </c>
      <c r="C42" s="4" t="s">
        <v>944</v>
      </c>
      <c r="D42" s="4" t="s">
        <v>945</v>
      </c>
    </row>
    <row r="43" spans="2:7" x14ac:dyDescent="0.2">
      <c r="B43" s="3" t="s">
        <v>946</v>
      </c>
      <c r="C43" s="4" t="s">
        <v>944</v>
      </c>
      <c r="D43" s="4" t="s">
        <v>947</v>
      </c>
    </row>
    <row r="46" spans="2:7" ht="17.25" x14ac:dyDescent="0.2">
      <c r="B46" s="5" t="s">
        <v>948</v>
      </c>
    </row>
    <row r="48" spans="2:7" ht="15.75" x14ac:dyDescent="0.2">
      <c r="B48" s="13" t="s">
        <v>949</v>
      </c>
    </row>
    <row r="49" spans="2:7" x14ac:dyDescent="0.2">
      <c r="B49" s="6"/>
      <c r="G49" t="str">
        <f t="shared" si="0"/>
        <v>&lt;dl&gt;&lt;dt&gt;&lt;/dt&gt;&lt;dd&gt;&lt;/dd&gt;&lt;dd&gt;&lt;/dd&gt;&lt;/dl&gt;</v>
      </c>
    </row>
    <row r="50" spans="2:7" x14ac:dyDescent="0.2">
      <c r="B50" s="7" t="s">
        <v>950</v>
      </c>
      <c r="G50" t="str">
        <f t="shared" si="0"/>
        <v>&lt;dl&gt;&lt;dt&gt;核心：内心感受与存储机制的交互&lt;/dt&gt;&lt;dd&gt;&lt;/dd&gt;&lt;dd&gt;&lt;/dd&gt;&lt;/dl&gt;</v>
      </c>
    </row>
    <row r="51" spans="2:7" x14ac:dyDescent="0.2">
      <c r="B51" s="7" t="s">
        <v>951</v>
      </c>
      <c r="G51" t="str">
        <f t="shared" si="0"/>
        <v>&lt;dl&gt;&lt;dt&gt;庙旺（子亥）：&lt;/dt&gt;&lt;dd&gt;&lt;/dd&gt;&lt;dd&gt;&lt;/dd&gt;&lt;/dl&gt;</v>
      </c>
    </row>
    <row r="52" spans="2:7" x14ac:dyDescent="0.2">
      <c r="B52" s="6"/>
      <c r="G52" t="str">
        <f t="shared" si="0"/>
        <v>&lt;dl&gt;&lt;dt&gt;&lt;/dt&gt;&lt;dd&gt;&lt;/dd&gt;&lt;dd&gt;&lt;/dd&gt;&lt;/dl&gt;</v>
      </c>
    </row>
    <row r="53" spans="2:7" x14ac:dyDescent="0.2">
      <c r="B53" s="9" t="s">
        <v>952</v>
      </c>
    </row>
    <row r="54" spans="2:7" x14ac:dyDescent="0.2">
      <c r="B54" s="9" t="s">
        <v>953</v>
      </c>
    </row>
    <row r="55" spans="2:7" x14ac:dyDescent="0.2">
      <c r="B55" s="7" t="s">
        <v>954</v>
      </c>
    </row>
    <row r="56" spans="2:7" x14ac:dyDescent="0.2">
      <c r="B56" s="6"/>
    </row>
    <row r="57" spans="2:7" x14ac:dyDescent="0.2">
      <c r="B57" s="9" t="s">
        <v>955</v>
      </c>
    </row>
    <row r="58" spans="2:7" x14ac:dyDescent="0.2">
      <c r="B58" s="9" t="s">
        <v>956</v>
      </c>
    </row>
    <row r="60" spans="2:7" ht="15.75" x14ac:dyDescent="0.2">
      <c r="B60" s="13" t="s">
        <v>957</v>
      </c>
    </row>
    <row r="61" spans="2:7" x14ac:dyDescent="0.2">
      <c r="B61" s="6"/>
    </row>
    <row r="62" spans="2:7" x14ac:dyDescent="0.2">
      <c r="B62" s="7" t="s">
        <v>958</v>
      </c>
    </row>
    <row r="63" spans="2:7" x14ac:dyDescent="0.2">
      <c r="B63" s="7" t="s">
        <v>959</v>
      </c>
    </row>
    <row r="64" spans="2:7" x14ac:dyDescent="0.2">
      <c r="B64" s="6"/>
    </row>
    <row r="65" spans="2:2" x14ac:dyDescent="0.2">
      <c r="B65" s="9" t="s">
        <v>960</v>
      </c>
    </row>
    <row r="66" spans="2:2" x14ac:dyDescent="0.2">
      <c r="B66" s="9" t="s">
        <v>961</v>
      </c>
    </row>
    <row r="67" spans="2:2" x14ac:dyDescent="0.2">
      <c r="B67" s="7" t="s">
        <v>962</v>
      </c>
    </row>
    <row r="68" spans="2:2" x14ac:dyDescent="0.2">
      <c r="B68" s="6"/>
    </row>
    <row r="69" spans="2:2" x14ac:dyDescent="0.2">
      <c r="B69" s="9" t="s">
        <v>963</v>
      </c>
    </row>
    <row r="71" spans="2:2" ht="15.75" x14ac:dyDescent="0.2">
      <c r="B71" s="13" t="s">
        <v>964</v>
      </c>
    </row>
    <row r="72" spans="2:2" x14ac:dyDescent="0.2">
      <c r="B72" s="6"/>
    </row>
    <row r="73" spans="2:2" x14ac:dyDescent="0.2">
      <c r="B73" s="7" t="s">
        <v>965</v>
      </c>
    </row>
    <row r="74" spans="2:2" x14ac:dyDescent="0.2">
      <c r="B74" s="7" t="s">
        <v>966</v>
      </c>
    </row>
    <row r="75" spans="2:2" x14ac:dyDescent="0.2">
      <c r="B75" s="6"/>
    </row>
    <row r="76" spans="2:2" x14ac:dyDescent="0.2">
      <c r="B76" s="9" t="s">
        <v>967</v>
      </c>
    </row>
    <row r="77" spans="2:2" x14ac:dyDescent="0.2">
      <c r="B77" s="9" t="s">
        <v>968</v>
      </c>
    </row>
    <row r="79" spans="2:2" ht="15.75" x14ac:dyDescent="0.2">
      <c r="B79" s="13" t="s">
        <v>969</v>
      </c>
    </row>
    <row r="80" spans="2:2" x14ac:dyDescent="0.2">
      <c r="B80" s="6"/>
    </row>
    <row r="81" spans="2:2" x14ac:dyDescent="0.2">
      <c r="B81" s="7" t="s">
        <v>970</v>
      </c>
    </row>
    <row r="82" spans="2:2" x14ac:dyDescent="0.2">
      <c r="B82" s="6" t="s">
        <v>971</v>
      </c>
    </row>
    <row r="83" spans="2:2" x14ac:dyDescent="0.2">
      <c r="B83" s="7" t="s">
        <v>972</v>
      </c>
    </row>
    <row r="84" spans="2:2" x14ac:dyDescent="0.2">
      <c r="B84" s="6" t="s">
        <v>973</v>
      </c>
    </row>
    <row r="88" spans="2:2" ht="17.25" x14ac:dyDescent="0.2">
      <c r="B88" s="5" t="s">
        <v>974</v>
      </c>
    </row>
    <row r="89" spans="2:2" x14ac:dyDescent="0.2">
      <c r="B89" s="6"/>
    </row>
    <row r="90" spans="2:2" x14ac:dyDescent="0.2">
      <c r="B90" s="7" t="s">
        <v>975</v>
      </c>
    </row>
    <row r="91" spans="2:2" x14ac:dyDescent="0.2">
      <c r="B91" s="6"/>
    </row>
    <row r="92" spans="2:2" x14ac:dyDescent="0.2">
      <c r="B92" s="9" t="s">
        <v>976</v>
      </c>
    </row>
    <row r="93" spans="2:2" x14ac:dyDescent="0.2">
      <c r="B93" s="9" t="s">
        <v>977</v>
      </c>
    </row>
    <row r="94" spans="2:2" x14ac:dyDescent="0.2">
      <c r="B94" s="7" t="s">
        <v>978</v>
      </c>
    </row>
    <row r="95" spans="2:2" x14ac:dyDescent="0.2">
      <c r="B95" s="6"/>
    </row>
    <row r="96" spans="2:2" x14ac:dyDescent="0.2">
      <c r="B96" s="9" t="s">
        <v>979</v>
      </c>
    </row>
    <row r="97" spans="2:2" x14ac:dyDescent="0.2">
      <c r="B97" s="9" t="s">
        <v>980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E3B96-17E7-43F1-90D4-3BB89431AFDC}">
  <dimension ref="B1:E80"/>
  <sheetViews>
    <sheetView topLeftCell="A6" zoomScaleNormal="100" workbookViewId="0">
      <selection activeCell="C28" sqref="C28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5" ht="17.25" x14ac:dyDescent="0.2">
      <c r="B1" s="5" t="s">
        <v>375</v>
      </c>
    </row>
    <row r="3" spans="2:5" x14ac:dyDescent="0.2">
      <c r="B3" s="2" t="s">
        <v>376</v>
      </c>
      <c r="C3" s="2" t="s">
        <v>377</v>
      </c>
      <c r="D3" s="2" t="s">
        <v>21</v>
      </c>
    </row>
    <row r="4" spans="2:5" x14ac:dyDescent="0.2">
      <c r="B4" s="3" t="s">
        <v>620</v>
      </c>
      <c r="C4" s="4" t="s">
        <v>981</v>
      </c>
      <c r="D4" s="4"/>
    </row>
    <row r="5" spans="2:5" x14ac:dyDescent="0.2">
      <c r="B5" s="3" t="s">
        <v>622</v>
      </c>
      <c r="C5" s="4" t="s">
        <v>982</v>
      </c>
      <c r="D5" s="4"/>
    </row>
    <row r="6" spans="2:5" ht="28.5" x14ac:dyDescent="0.2">
      <c r="B6" s="3" t="s">
        <v>624</v>
      </c>
      <c r="C6" s="4" t="s">
        <v>983</v>
      </c>
      <c r="D6" s="4"/>
    </row>
    <row r="7" spans="2:5" x14ac:dyDescent="0.2">
      <c r="B7" s="3" t="s">
        <v>984</v>
      </c>
      <c r="C7" s="4" t="s">
        <v>985</v>
      </c>
      <c r="D7" s="4"/>
    </row>
    <row r="10" spans="2:5" ht="17.25" x14ac:dyDescent="0.2">
      <c r="B10" s="5" t="s">
        <v>388</v>
      </c>
    </row>
    <row r="12" spans="2:5" ht="15.75" x14ac:dyDescent="0.2">
      <c r="B12" s="13" t="s">
        <v>627</v>
      </c>
    </row>
    <row r="14" spans="2:5" x14ac:dyDescent="0.2">
      <c r="B14" s="2" t="s">
        <v>390</v>
      </c>
      <c r="C14" s="2" t="s">
        <v>986</v>
      </c>
      <c r="D14" s="2" t="s">
        <v>392</v>
      </c>
      <c r="E14" s="2"/>
    </row>
    <row r="15" spans="2:5" x14ac:dyDescent="0.2">
      <c r="B15" s="3" t="s">
        <v>987</v>
      </c>
      <c r="C15" s="4" t="s">
        <v>988</v>
      </c>
      <c r="D15" s="4" t="s">
        <v>989</v>
      </c>
      <c r="E15" s="4"/>
    </row>
    <row r="16" spans="2:5" x14ac:dyDescent="0.2">
      <c r="B16" s="3" t="s">
        <v>990</v>
      </c>
      <c r="C16" s="4" t="s">
        <v>991</v>
      </c>
      <c r="D16" s="4" t="s">
        <v>992</v>
      </c>
      <c r="E16" s="4"/>
    </row>
    <row r="17" spans="2:5" x14ac:dyDescent="0.2">
      <c r="B17" s="3" t="s">
        <v>993</v>
      </c>
      <c r="C17" s="4" t="s">
        <v>994</v>
      </c>
      <c r="D17" s="4" t="s">
        <v>995</v>
      </c>
      <c r="E17" s="4"/>
    </row>
    <row r="19" spans="2:5" ht="15.75" x14ac:dyDescent="0.2">
      <c r="B19" s="13" t="s">
        <v>996</v>
      </c>
    </row>
    <row r="21" spans="2:5" x14ac:dyDescent="0.2">
      <c r="B21" s="2" t="s">
        <v>18</v>
      </c>
      <c r="C21" s="2" t="s">
        <v>497</v>
      </c>
      <c r="D21" s="2" t="s">
        <v>113</v>
      </c>
    </row>
    <row r="22" spans="2:5" x14ac:dyDescent="0.2">
      <c r="B22" s="3" t="s">
        <v>6</v>
      </c>
      <c r="C22" s="4" t="s">
        <v>997</v>
      </c>
      <c r="D22" s="4" t="s">
        <v>998</v>
      </c>
    </row>
    <row r="23" spans="2:5" x14ac:dyDescent="0.2">
      <c r="B23" s="3" t="s">
        <v>3</v>
      </c>
      <c r="C23" s="4" t="s">
        <v>999</v>
      </c>
      <c r="D23" s="4" t="s">
        <v>1000</v>
      </c>
    </row>
    <row r="24" spans="2:5" x14ac:dyDescent="0.2">
      <c r="B24" s="3" t="s">
        <v>15</v>
      </c>
      <c r="C24" s="4" t="s">
        <v>1001</v>
      </c>
      <c r="D24" s="4" t="s">
        <v>1002</v>
      </c>
    </row>
    <row r="25" spans="2:5" x14ac:dyDescent="0.2">
      <c r="B25" s="3" t="s">
        <v>128</v>
      </c>
      <c r="C25" s="4" t="s">
        <v>1003</v>
      </c>
      <c r="D25" s="4" t="s">
        <v>1004</v>
      </c>
    </row>
    <row r="26" spans="2:5" x14ac:dyDescent="0.2">
      <c r="B26" s="3" t="s">
        <v>125</v>
      </c>
      <c r="C26" s="4" t="s">
        <v>1005</v>
      </c>
      <c r="D26" s="4" t="s">
        <v>1006</v>
      </c>
    </row>
    <row r="28" spans="2:5" ht="17.25" x14ac:dyDescent="0.2">
      <c r="B28" s="5" t="s">
        <v>410</v>
      </c>
    </row>
    <row r="30" spans="2:5" ht="15.75" x14ac:dyDescent="0.2">
      <c r="B30" s="13" t="s">
        <v>1007</v>
      </c>
    </row>
    <row r="32" spans="2:5" x14ac:dyDescent="0.2">
      <c r="B32" s="2" t="s">
        <v>40</v>
      </c>
      <c r="C32" s="2" t="s">
        <v>427</v>
      </c>
      <c r="D32" s="2" t="s">
        <v>428</v>
      </c>
      <c r="E32" s="2"/>
    </row>
    <row r="33" spans="2:5" x14ac:dyDescent="0.2">
      <c r="B33" s="3" t="s">
        <v>1008</v>
      </c>
      <c r="C33" s="4" t="s">
        <v>1009</v>
      </c>
      <c r="D33" s="4" t="s">
        <v>1010</v>
      </c>
      <c r="E33" s="4"/>
    </row>
    <row r="34" spans="2:5" x14ac:dyDescent="0.2">
      <c r="B34" s="3" t="s">
        <v>1011</v>
      </c>
      <c r="C34" s="4" t="s">
        <v>1012</v>
      </c>
      <c r="D34" s="4" t="s">
        <v>1013</v>
      </c>
      <c r="E34" s="4"/>
    </row>
    <row r="35" spans="2:5" x14ac:dyDescent="0.2">
      <c r="B35" s="3" t="s">
        <v>1014</v>
      </c>
      <c r="C35" s="4" t="s">
        <v>1015</v>
      </c>
      <c r="D35" s="4" t="s">
        <v>1016</v>
      </c>
      <c r="E35" s="4"/>
    </row>
    <row r="36" spans="2:5" x14ac:dyDescent="0.2">
      <c r="B36" s="3" t="s">
        <v>1017</v>
      </c>
      <c r="C36" s="4" t="s">
        <v>1018</v>
      </c>
      <c r="D36" s="4" t="s">
        <v>1019</v>
      </c>
      <c r="E36" s="4"/>
    </row>
    <row r="37" spans="2:5" x14ac:dyDescent="0.2">
      <c r="B37" s="3" t="s">
        <v>1020</v>
      </c>
      <c r="C37" s="4" t="s">
        <v>1021</v>
      </c>
      <c r="D37" s="4" t="s">
        <v>1022</v>
      </c>
      <c r="E37" s="4"/>
    </row>
    <row r="38" spans="2:5" x14ac:dyDescent="0.2">
      <c r="B38" s="3" t="s">
        <v>1023</v>
      </c>
      <c r="C38" s="4" t="s">
        <v>1024</v>
      </c>
      <c r="D38" s="4" t="s">
        <v>1025</v>
      </c>
      <c r="E38" s="4"/>
    </row>
    <row r="40" spans="2:5" ht="15.75" x14ac:dyDescent="0.2">
      <c r="B40" s="13" t="s">
        <v>1026</v>
      </c>
    </row>
    <row r="42" spans="2:5" x14ac:dyDescent="0.2">
      <c r="B42" s="2" t="s">
        <v>71</v>
      </c>
      <c r="C42" s="2" t="s">
        <v>72</v>
      </c>
      <c r="D42" s="2" t="s">
        <v>73</v>
      </c>
      <c r="E42" s="2"/>
    </row>
    <row r="43" spans="2:5" x14ac:dyDescent="0.2">
      <c r="B43" s="3" t="s">
        <v>1027</v>
      </c>
      <c r="C43" s="4" t="s">
        <v>1028</v>
      </c>
      <c r="D43" s="4" t="s">
        <v>1029</v>
      </c>
      <c r="E43" s="4"/>
    </row>
    <row r="44" spans="2:5" x14ac:dyDescent="0.2">
      <c r="B44" s="3" t="s">
        <v>1030</v>
      </c>
      <c r="C44" s="4" t="s">
        <v>1031</v>
      </c>
      <c r="D44" s="4" t="s">
        <v>1032</v>
      </c>
      <c r="E44" s="4"/>
    </row>
    <row r="45" spans="2:5" x14ac:dyDescent="0.2">
      <c r="B45" s="3" t="s">
        <v>1033</v>
      </c>
      <c r="C45" s="4" t="s">
        <v>1034</v>
      </c>
      <c r="D45" s="4" t="s">
        <v>1035</v>
      </c>
      <c r="E45" s="4"/>
    </row>
    <row r="46" spans="2:5" x14ac:dyDescent="0.2">
      <c r="B46" s="3" t="s">
        <v>1036</v>
      </c>
      <c r="C46" s="4" t="s">
        <v>1037</v>
      </c>
      <c r="D46" s="4" t="s">
        <v>1038</v>
      </c>
      <c r="E46" s="4"/>
    </row>
    <row r="49" spans="2:2" ht="17.25" x14ac:dyDescent="0.2">
      <c r="B49" s="5" t="s">
        <v>1039</v>
      </c>
    </row>
    <row r="50" spans="2:2" x14ac:dyDescent="0.2">
      <c r="B50" s="6"/>
    </row>
    <row r="51" spans="2:2" x14ac:dyDescent="0.2">
      <c r="B51" s="7" t="s">
        <v>1040</v>
      </c>
    </row>
    <row r="52" spans="2:2" x14ac:dyDescent="0.2">
      <c r="B52" s="6"/>
    </row>
    <row r="53" spans="2:2" x14ac:dyDescent="0.2">
      <c r="B53" s="9" t="s">
        <v>1041</v>
      </c>
    </row>
    <row r="54" spans="2:2" x14ac:dyDescent="0.2">
      <c r="B54" s="7" t="s">
        <v>1042</v>
      </c>
    </row>
    <row r="55" spans="2:2" x14ac:dyDescent="0.2">
      <c r="B55" s="6"/>
    </row>
    <row r="56" spans="2:2" x14ac:dyDescent="0.2">
      <c r="B56" s="9" t="s">
        <v>1043</v>
      </c>
    </row>
    <row r="57" spans="2:2" x14ac:dyDescent="0.2">
      <c r="B57" s="7" t="s">
        <v>1044</v>
      </c>
    </row>
    <row r="58" spans="2:2" x14ac:dyDescent="0.2">
      <c r="B58" s="6"/>
    </row>
    <row r="59" spans="2:2" x14ac:dyDescent="0.2">
      <c r="B59" s="9" t="s">
        <v>1045</v>
      </c>
    </row>
    <row r="63" spans="2:2" ht="17.25" x14ac:dyDescent="0.2">
      <c r="B63" s="5" t="s">
        <v>86</v>
      </c>
    </row>
    <row r="65" spans="2:5" x14ac:dyDescent="0.2">
      <c r="B65" s="2" t="s">
        <v>250</v>
      </c>
      <c r="C65" s="2" t="s">
        <v>1046</v>
      </c>
      <c r="D65" s="2" t="s">
        <v>1047</v>
      </c>
      <c r="E65" s="2"/>
    </row>
    <row r="66" spans="2:5" x14ac:dyDescent="0.2">
      <c r="B66" s="3" t="s">
        <v>253</v>
      </c>
      <c r="C66" s="4" t="s">
        <v>1048</v>
      </c>
      <c r="D66" s="4" t="s">
        <v>1049</v>
      </c>
      <c r="E66" s="4"/>
    </row>
    <row r="67" spans="2:5" x14ac:dyDescent="0.2">
      <c r="B67" s="3" t="s">
        <v>262</v>
      </c>
      <c r="C67" s="4" t="s">
        <v>1050</v>
      </c>
      <c r="D67" s="4" t="s">
        <v>1051</v>
      </c>
      <c r="E67" s="4"/>
    </row>
    <row r="68" spans="2:5" x14ac:dyDescent="0.2">
      <c r="B68" s="3" t="s">
        <v>256</v>
      </c>
      <c r="C68" s="4" t="s">
        <v>1052</v>
      </c>
      <c r="D68" s="4" t="s">
        <v>1053</v>
      </c>
      <c r="E68" s="4"/>
    </row>
    <row r="71" spans="2:5" ht="17.25" x14ac:dyDescent="0.2">
      <c r="B71" s="5" t="s">
        <v>90</v>
      </c>
    </row>
    <row r="72" spans="2:5" x14ac:dyDescent="0.2">
      <c r="B72" s="6"/>
    </row>
    <row r="73" spans="2:5" x14ac:dyDescent="0.2">
      <c r="B73" s="7" t="s">
        <v>1054</v>
      </c>
    </row>
    <row r="74" spans="2:5" x14ac:dyDescent="0.2">
      <c r="B74" s="6"/>
    </row>
    <row r="75" spans="2:5" x14ac:dyDescent="0.2">
      <c r="B75" s="9" t="s">
        <v>1055</v>
      </c>
    </row>
    <row r="76" spans="2:5" x14ac:dyDescent="0.2">
      <c r="B76" s="9" t="s">
        <v>1056</v>
      </c>
    </row>
    <row r="77" spans="2:5" x14ac:dyDescent="0.2">
      <c r="B77" s="7" t="s">
        <v>1057</v>
      </c>
    </row>
    <row r="78" spans="2:5" x14ac:dyDescent="0.2">
      <c r="B78" s="6"/>
    </row>
    <row r="79" spans="2:5" x14ac:dyDescent="0.2">
      <c r="B79" s="9" t="s">
        <v>1058</v>
      </c>
    </row>
    <row r="80" spans="2:5" x14ac:dyDescent="0.2">
      <c r="B80" s="9" t="s">
        <v>1059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4B7D4-B62A-42A8-9883-707CC4B15152}">
  <dimension ref="B1:G82"/>
  <sheetViews>
    <sheetView tabSelected="1" topLeftCell="A14" zoomScaleNormal="100" workbookViewId="0">
      <selection activeCell="F25" sqref="F25:F28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1060</v>
      </c>
      <c r="G1" t="str">
        <f>"&lt;dl&gt;&lt;dt&gt;" &amp; B1 &amp; "&lt;/dt&gt;&lt;dd&gt;" &amp; C1 &amp; "&lt;/dd&gt;&lt;dd&gt;" &amp; D1 &amp; "&lt;/dd&gt;&lt;/dl&gt;"</f>
        <v>&lt;dl&gt;&lt;dt&gt;一、破军定义​&lt;/dt&gt;&lt;dd&gt;&lt;/dd&gt;&lt;dd&gt;&lt;/dd&gt;&lt;/dl&gt;</v>
      </c>
    </row>
    <row r="3" spans="2:7" x14ac:dyDescent="0.2">
      <c r="B3" s="1" t="s">
        <v>553</v>
      </c>
    </row>
    <row r="4" spans="2:7" x14ac:dyDescent="0.2">
      <c r="B4" s="1" t="s">
        <v>313</v>
      </c>
    </row>
    <row r="5" spans="2:7" x14ac:dyDescent="0.2">
      <c r="B5" s="6"/>
    </row>
    <row r="6" spans="2:7" x14ac:dyDescent="0.2">
      <c r="B6" s="7" t="s">
        <v>1061</v>
      </c>
    </row>
    <row r="7" spans="2:7" x14ac:dyDescent="0.2">
      <c r="B7" s="7" t="s">
        <v>1062</v>
      </c>
    </row>
    <row r="8" spans="2:7" x14ac:dyDescent="0.2">
      <c r="B8" s="7" t="s">
        <v>1063</v>
      </c>
    </row>
    <row r="9" spans="2:7" x14ac:dyDescent="0.2">
      <c r="B9" s="7" t="s">
        <v>1064</v>
      </c>
    </row>
    <row r="13" spans="2:7" ht="17.25" x14ac:dyDescent="0.2">
      <c r="B13" s="5" t="s">
        <v>221</v>
      </c>
    </row>
    <row r="15" spans="2:7" x14ac:dyDescent="0.2">
      <c r="B15" s="2" t="s">
        <v>18</v>
      </c>
      <c r="C15" s="2" t="s">
        <v>1065</v>
      </c>
      <c r="D15" s="2" t="s">
        <v>1066</v>
      </c>
      <c r="E15" s="2"/>
    </row>
    <row r="16" spans="2:7" x14ac:dyDescent="0.2">
      <c r="B16" s="3" t="s">
        <v>201</v>
      </c>
      <c r="C16" s="4" t="s">
        <v>1067</v>
      </c>
      <c r="D16" s="4" t="s">
        <v>1068</v>
      </c>
      <c r="E16" s="4"/>
    </row>
    <row r="17" spans="2:7" x14ac:dyDescent="0.2">
      <c r="B17" s="3" t="s">
        <v>3</v>
      </c>
      <c r="C17" s="4" t="s">
        <v>1069</v>
      </c>
      <c r="D17" s="4" t="s">
        <v>1070</v>
      </c>
      <c r="E17" s="4"/>
    </row>
    <row r="18" spans="2:7" x14ac:dyDescent="0.2">
      <c r="B18" s="3" t="s">
        <v>6</v>
      </c>
      <c r="C18" s="4" t="s">
        <v>1071</v>
      </c>
      <c r="D18" s="4" t="s">
        <v>1072</v>
      </c>
      <c r="E18" s="4"/>
    </row>
    <row r="19" spans="2:7" x14ac:dyDescent="0.2">
      <c r="B19" s="3" t="s">
        <v>15</v>
      </c>
      <c r="C19" s="4" t="s">
        <v>1073</v>
      </c>
      <c r="D19" s="4" t="s">
        <v>1074</v>
      </c>
      <c r="E19" s="4"/>
    </row>
    <row r="20" spans="2:7" x14ac:dyDescent="0.2">
      <c r="B20" s="3" t="s">
        <v>125</v>
      </c>
      <c r="C20" s="4" t="s">
        <v>1075</v>
      </c>
      <c r="D20" s="4" t="s">
        <v>1076</v>
      </c>
      <c r="E20" s="4"/>
    </row>
    <row r="23" spans="2:7" ht="17.25" x14ac:dyDescent="0.2">
      <c r="B23" s="5" t="s">
        <v>1077</v>
      </c>
    </row>
    <row r="24" spans="2:7" x14ac:dyDescent="0.2">
      <c r="G24" t="str">
        <f t="shared" ref="G24:G52" si="0">"&lt;dl&gt;&lt;dt&gt;" &amp; B24 &amp; "&lt;/dt&gt;&lt;dd&gt;" &amp; C24 &amp; "&lt;/dd&gt;&lt;dd&gt;" &amp; D24 &amp; "&lt;/dd&gt;&lt;/dl&gt;"</f>
        <v>&lt;dl&gt;&lt;dt&gt;&lt;/dt&gt;&lt;dd&gt;&lt;/dd&gt;&lt;dd&gt;&lt;/dd&gt;&lt;/dl&gt;</v>
      </c>
    </row>
    <row r="25" spans="2:7" x14ac:dyDescent="0.2">
      <c r="B25" s="2" t="s">
        <v>718</v>
      </c>
      <c r="C25" s="2" t="s">
        <v>584</v>
      </c>
      <c r="D25" s="2" t="s">
        <v>1078</v>
      </c>
      <c r="E25" s="2"/>
    </row>
    <row r="26" spans="2:7" x14ac:dyDescent="0.2">
      <c r="B26" s="3" t="s">
        <v>1080</v>
      </c>
      <c r="C26" s="4" t="s">
        <v>788</v>
      </c>
      <c r="D26" s="4" t="s">
        <v>1081</v>
      </c>
      <c r="E26" s="4"/>
    </row>
    <row r="27" spans="2:7" x14ac:dyDescent="0.2">
      <c r="B27" s="3" t="s">
        <v>1082</v>
      </c>
      <c r="C27" s="4" t="s">
        <v>863</v>
      </c>
      <c r="D27" s="4" t="s">
        <v>1083</v>
      </c>
      <c r="E27" s="4"/>
    </row>
    <row r="28" spans="2:7" x14ac:dyDescent="0.2">
      <c r="B28" s="3" t="s">
        <v>1084</v>
      </c>
      <c r="C28" s="4" t="s">
        <v>791</v>
      </c>
      <c r="D28" s="4" t="s">
        <v>1085</v>
      </c>
      <c r="E28" s="4"/>
    </row>
    <row r="29" spans="2:7" x14ac:dyDescent="0.2">
      <c r="G29" t="str">
        <f t="shared" si="0"/>
        <v>&lt;dl&gt;&lt;dt&gt;&lt;/dt&gt;&lt;dd&gt;&lt;/dd&gt;&lt;dd&gt;&lt;/dd&gt;&lt;/dl&gt;</v>
      </c>
    </row>
    <row r="31" spans="2:7" ht="17.25" x14ac:dyDescent="0.2">
      <c r="B31" s="5" t="s">
        <v>265</v>
      </c>
    </row>
    <row r="33" spans="2:7" ht="15.75" x14ac:dyDescent="0.2">
      <c r="B33" s="13" t="s">
        <v>1086</v>
      </c>
    </row>
    <row r="35" spans="2:7" x14ac:dyDescent="0.2">
      <c r="B35" s="2" t="s">
        <v>40</v>
      </c>
      <c r="C35" s="2" t="s">
        <v>427</v>
      </c>
      <c r="D35" s="2" t="s">
        <v>428</v>
      </c>
      <c r="E35" s="2"/>
      <c r="G35" t="str">
        <f t="shared" si="0"/>
        <v>&lt;dl&gt;&lt;dt&gt;辅星​&lt;/dt&gt;&lt;dd&gt;吉象（庙旺）​&lt;/dd&gt;&lt;dd&gt;凶象（落陷）​&lt;/dd&gt;&lt;/dl&gt;</v>
      </c>
    </row>
    <row r="36" spans="2:7" x14ac:dyDescent="0.2">
      <c r="B36" s="3" t="s">
        <v>1087</v>
      </c>
      <c r="C36" s="4" t="s">
        <v>1088</v>
      </c>
      <c r="D36" s="4" t="s">
        <v>1089</v>
      </c>
      <c r="E36" s="4"/>
      <c r="G36" t="str">
        <f t="shared" si="0"/>
        <v>&lt;dl&gt;&lt;dt&gt;破军+擎羊​&lt;/dt&gt;&lt;dd&gt;精准切割（外科手术）&lt;/dd&gt;&lt;dd&gt;暴力伤害（械斗/家暴）&lt;/dd&gt;&lt;/dl&gt;</v>
      </c>
    </row>
    <row r="37" spans="2:7" x14ac:dyDescent="0.2">
      <c r="B37" s="3" t="s">
        <v>1090</v>
      </c>
      <c r="C37" s="4" t="s">
        <v>1091</v>
      </c>
      <c r="D37" s="4" t="s">
        <v>1092</v>
      </c>
      <c r="E37" s="4"/>
      <c r="G37" t="str">
        <f t="shared" si="0"/>
        <v>&lt;dl&gt;&lt;dt&gt;破军+地劫​&lt;/dt&gt;&lt;dd&gt;创新性破局（技术革命）&lt;/dd&gt;&lt;dd&gt;资源掏空（投资泡沫/破产）&lt;/dd&gt;&lt;/dl&gt;</v>
      </c>
    </row>
    <row r="38" spans="2:7" x14ac:dyDescent="0.2">
      <c r="B38" s="3" t="s">
        <v>1093</v>
      </c>
      <c r="C38" s="4" t="s">
        <v>1094</v>
      </c>
      <c r="D38" s="4" t="s">
        <v>1095</v>
      </c>
      <c r="E38" s="4"/>
      <c r="G38" t="str">
        <f t="shared" si="0"/>
        <v>&lt;dl&gt;&lt;dt&gt;破军+火星​&lt;/dt&gt;&lt;dd&gt;突发性突破（专利发明）&lt;/dd&gt;&lt;dd&gt;灾难性破坏（爆炸/火灾）&lt;/dd&gt;&lt;/dl&gt;</v>
      </c>
    </row>
    <row r="39" spans="2:7" x14ac:dyDescent="0.2">
      <c r="G39" t="str">
        <f t="shared" si="0"/>
        <v>&lt;dl&gt;&lt;dt&gt;&lt;/dt&gt;&lt;dd&gt;&lt;/dd&gt;&lt;dd&gt;&lt;/dd&gt;&lt;/dl&gt;</v>
      </c>
    </row>
    <row r="40" spans="2:7" ht="15.75" x14ac:dyDescent="0.2">
      <c r="B40" s="13" t="s">
        <v>1096</v>
      </c>
      <c r="G40" t="str">
        <f t="shared" si="0"/>
        <v>&lt;dl&gt;&lt;dt&gt;2. 吉星组合​&lt;/dt&gt;&lt;dd&gt;&lt;/dd&gt;&lt;dd&gt;&lt;/dd&gt;&lt;/dl&gt;</v>
      </c>
    </row>
    <row r="41" spans="2:7" x14ac:dyDescent="0.2">
      <c r="G41" t="str">
        <f t="shared" si="0"/>
        <v>&lt;dl&gt;&lt;dt&gt;&lt;/dt&gt;&lt;dd&gt;&lt;/dd&gt;&lt;dd&gt;&lt;/dd&gt;&lt;/dl&gt;</v>
      </c>
    </row>
    <row r="42" spans="2:7" x14ac:dyDescent="0.2">
      <c r="B42" s="2" t="s">
        <v>40</v>
      </c>
      <c r="C42" s="2" t="s">
        <v>1097</v>
      </c>
      <c r="D42" s="2" t="s">
        <v>73</v>
      </c>
      <c r="G42" t="str">
        <f t="shared" si="0"/>
        <v>&lt;dl&gt;&lt;dt&gt;辅星​&lt;/dt&gt;&lt;dd&gt;叠加效应​&lt;/dd&gt;&lt;dd&gt;典型案例​&lt;/dd&gt;&lt;/dl&gt;</v>
      </c>
    </row>
    <row r="43" spans="2:7" x14ac:dyDescent="0.2">
      <c r="B43" s="3" t="s">
        <v>1098</v>
      </c>
      <c r="C43" s="4" t="s">
        <v>1099</v>
      </c>
      <c r="D43" s="4" t="s">
        <v>1100</v>
      </c>
      <c r="G43" t="str">
        <f t="shared" si="0"/>
        <v>&lt;dl&gt;&lt;dt&gt;破军+左辅​&lt;/dt&gt;&lt;dd&gt;多次突破（连续创业）&lt;/dd&gt;&lt;dd&gt;+财帛宫：融资多轮&lt;/dd&gt;&lt;/dl&gt;</v>
      </c>
    </row>
    <row r="44" spans="2:7" x14ac:dyDescent="0.2">
      <c r="B44" s="3" t="s">
        <v>1101</v>
      </c>
      <c r="C44" s="4" t="s">
        <v>1102</v>
      </c>
      <c r="D44" s="4" t="s">
        <v>1103</v>
      </c>
    </row>
    <row r="45" spans="2:7" x14ac:dyDescent="0.2">
      <c r="B45" s="3" t="s">
        <v>1104</v>
      </c>
      <c r="C45" s="4" t="s">
        <v>1105</v>
      </c>
      <c r="D45" s="4" t="s">
        <v>1106</v>
      </c>
    </row>
    <row r="48" spans="2:7" ht="17.25" x14ac:dyDescent="0.2">
      <c r="B48" s="5" t="s">
        <v>1107</v>
      </c>
    </row>
    <row r="49" spans="2:7" x14ac:dyDescent="0.2">
      <c r="B49" s="6"/>
      <c r="G49" t="str">
        <f t="shared" si="0"/>
        <v>&lt;dl&gt;&lt;dt&gt;&lt;/dt&gt;&lt;dd&gt;&lt;/dd&gt;&lt;dd&gt;&lt;/dd&gt;&lt;/dl&gt;</v>
      </c>
    </row>
    <row r="50" spans="2:7" x14ac:dyDescent="0.2">
      <c r="B50" s="7" t="s">
        <v>1108</v>
      </c>
      <c r="G50" t="str">
        <f t="shared" si="0"/>
        <v>&lt;dl&gt;&lt;dt&gt;1. 化禄（借武曲）：&lt;/dt&gt;&lt;dd&gt;&lt;/dd&gt;&lt;dd&gt;&lt;/dd&gt;&lt;/dl&gt;</v>
      </c>
    </row>
    <row r="51" spans="2:7" x14ac:dyDescent="0.2">
      <c r="B51" s="6"/>
      <c r="G51" t="str">
        <f t="shared" si="0"/>
        <v>&lt;dl&gt;&lt;dt&gt;&lt;/dt&gt;&lt;dd&gt;&lt;/dd&gt;&lt;dd&gt;&lt;/dd&gt;&lt;/dl&gt;</v>
      </c>
    </row>
    <row r="52" spans="2:7" x14ac:dyDescent="0.2">
      <c r="B52" s="9" t="s">
        <v>1109</v>
      </c>
      <c r="G52" t="str">
        <f t="shared" si="0"/>
        <v>&lt;dl&gt;&lt;dt&gt;增强突破力（庙旺：变革成功；落陷：盲目扩张）。&lt;/dt&gt;&lt;dd&gt;&lt;/dd&gt;&lt;dd&gt;&lt;/dd&gt;&lt;/dl&gt;</v>
      </c>
    </row>
    <row r="53" spans="2:7" x14ac:dyDescent="0.2">
      <c r="B53" s="7" t="s">
        <v>1110</v>
      </c>
    </row>
    <row r="54" spans="2:7" x14ac:dyDescent="0.2">
      <c r="B54" s="6"/>
    </row>
    <row r="55" spans="2:7" x14ac:dyDescent="0.2">
      <c r="B55" s="9" t="s">
        <v>1111</v>
      </c>
    </row>
    <row r="56" spans="2:7" x14ac:dyDescent="0.2">
      <c r="B56" s="7" t="s">
        <v>1112</v>
      </c>
    </row>
    <row r="57" spans="2:7" x14ac:dyDescent="0.2">
      <c r="B57" s="6"/>
    </row>
    <row r="58" spans="2:7" x14ac:dyDescent="0.2">
      <c r="B58" s="9" t="s">
        <v>1113</v>
      </c>
    </row>
    <row r="62" spans="2:7" ht="17.25" x14ac:dyDescent="0.2">
      <c r="B62" s="5" t="s">
        <v>305</v>
      </c>
    </row>
    <row r="63" spans="2:7" x14ac:dyDescent="0.2">
      <c r="B63" s="6"/>
    </row>
    <row r="64" spans="2:7" x14ac:dyDescent="0.2">
      <c r="B64" s="7" t="s">
        <v>1114</v>
      </c>
    </row>
    <row r="65" spans="2:2" x14ac:dyDescent="0.2">
      <c r="B65" s="6"/>
    </row>
    <row r="66" spans="2:2" x14ac:dyDescent="0.2">
      <c r="B66" s="9" t="s">
        <v>1115</v>
      </c>
    </row>
    <row r="67" spans="2:2" x14ac:dyDescent="0.2">
      <c r="B67" s="7" t="s">
        <v>1116</v>
      </c>
    </row>
    <row r="68" spans="2:2" x14ac:dyDescent="0.2">
      <c r="B68" s="6"/>
    </row>
    <row r="69" spans="2:2" x14ac:dyDescent="0.2">
      <c r="B69" s="9" t="s">
        <v>1117</v>
      </c>
    </row>
    <row r="70" spans="2:2" x14ac:dyDescent="0.2">
      <c r="B70" s="7" t="s">
        <v>1118</v>
      </c>
    </row>
    <row r="71" spans="2:2" x14ac:dyDescent="0.2">
      <c r="B71" s="6"/>
    </row>
    <row r="72" spans="2:2" x14ac:dyDescent="0.2">
      <c r="B72" s="9" t="s">
        <v>1119</v>
      </c>
    </row>
    <row r="73" spans="2:2" x14ac:dyDescent="0.2">
      <c r="B73" s="9"/>
    </row>
    <row r="77" spans="2:2" ht="17.25" x14ac:dyDescent="0.2">
      <c r="B77" s="5"/>
    </row>
    <row r="80" spans="2:2" x14ac:dyDescent="0.2">
      <c r="B80" s="16"/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8B64D-189A-4703-AFDF-C3956BED5613}">
  <dimension ref="B1:E72"/>
  <sheetViews>
    <sheetView zoomScaleNormal="100" workbookViewId="0">
      <selection activeCell="C16" sqref="C16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2" ht="17.25" x14ac:dyDescent="0.2">
      <c r="B1" s="5" t="s">
        <v>1120</v>
      </c>
    </row>
    <row r="3" spans="2:2" x14ac:dyDescent="0.2">
      <c r="B3" s="1" t="s">
        <v>1121</v>
      </c>
    </row>
    <row r="4" spans="2:2" x14ac:dyDescent="0.2">
      <c r="B4" s="1" t="s">
        <v>313</v>
      </c>
    </row>
    <row r="5" spans="2:2" x14ac:dyDescent="0.2">
      <c r="B5" s="6"/>
    </row>
    <row r="6" spans="2:2" x14ac:dyDescent="0.2">
      <c r="B6" s="7" t="s">
        <v>1122</v>
      </c>
    </row>
    <row r="7" spans="2:2" x14ac:dyDescent="0.2">
      <c r="B7" s="7" t="s">
        <v>1123</v>
      </c>
    </row>
    <row r="8" spans="2:2" x14ac:dyDescent="0.2">
      <c r="B8" s="6"/>
    </row>
    <row r="9" spans="2:2" x14ac:dyDescent="0.2">
      <c r="B9" s="8" t="s">
        <v>1124</v>
      </c>
    </row>
    <row r="10" spans="2:2" x14ac:dyDescent="0.2">
      <c r="B10" s="8" t="s">
        <v>1125</v>
      </c>
    </row>
    <row r="11" spans="2:2" x14ac:dyDescent="0.2">
      <c r="B11" s="7" t="s">
        <v>1126</v>
      </c>
    </row>
    <row r="12" spans="2:2" x14ac:dyDescent="0.2">
      <c r="B12" s="6"/>
    </row>
    <row r="13" spans="2:2" x14ac:dyDescent="0.2">
      <c r="B13" s="9" t="s">
        <v>1127</v>
      </c>
    </row>
    <row r="16" spans="2:2" ht="17.25" x14ac:dyDescent="0.2">
      <c r="B16" s="5" t="s">
        <v>496</v>
      </c>
    </row>
    <row r="18" spans="2:5" x14ac:dyDescent="0.2">
      <c r="B18" s="2" t="s">
        <v>18</v>
      </c>
      <c r="C18" s="2" t="s">
        <v>412</v>
      </c>
      <c r="D18" s="2" t="s">
        <v>413</v>
      </c>
      <c r="E18" s="2"/>
    </row>
    <row r="19" spans="2:5" x14ac:dyDescent="0.2">
      <c r="B19" s="3" t="s">
        <v>201</v>
      </c>
      <c r="C19" s="4" t="s">
        <v>1128</v>
      </c>
      <c r="D19" s="4" t="s">
        <v>1129</v>
      </c>
      <c r="E19" s="4"/>
    </row>
    <row r="20" spans="2:5" x14ac:dyDescent="0.2">
      <c r="B20" s="3" t="s">
        <v>9</v>
      </c>
      <c r="C20" s="4" t="s">
        <v>1130</v>
      </c>
      <c r="D20" s="4" t="s">
        <v>1131</v>
      </c>
      <c r="E20" s="4"/>
    </row>
    <row r="21" spans="2:5" x14ac:dyDescent="0.2">
      <c r="B21" s="3" t="s">
        <v>3</v>
      </c>
      <c r="C21" s="4" t="s">
        <v>1132</v>
      </c>
      <c r="D21" s="4" t="s">
        <v>1133</v>
      </c>
      <c r="E21" s="4"/>
    </row>
    <row r="22" spans="2:5" x14ac:dyDescent="0.2">
      <c r="B22" s="3" t="s">
        <v>125</v>
      </c>
      <c r="C22" s="4" t="s">
        <v>1134</v>
      </c>
      <c r="D22" s="4" t="s">
        <v>1135</v>
      </c>
      <c r="E22" s="4"/>
    </row>
    <row r="23" spans="2:5" x14ac:dyDescent="0.2">
      <c r="B23" s="3" t="s">
        <v>128</v>
      </c>
      <c r="C23" s="4" t="s">
        <v>1136</v>
      </c>
      <c r="D23" s="4" t="s">
        <v>1137</v>
      </c>
      <c r="E23" s="4"/>
    </row>
    <row r="24" spans="2:5" x14ac:dyDescent="0.2">
      <c r="B24" s="3" t="s">
        <v>6</v>
      </c>
      <c r="C24" s="4" t="s">
        <v>1138</v>
      </c>
      <c r="D24" s="4" t="s">
        <v>1139</v>
      </c>
      <c r="E24" s="4"/>
    </row>
    <row r="25" spans="2:5" x14ac:dyDescent="0.2">
      <c r="B25" s="3" t="s">
        <v>15</v>
      </c>
      <c r="C25" s="4" t="s">
        <v>1140</v>
      </c>
      <c r="D25" s="4" t="s">
        <v>1141</v>
      </c>
      <c r="E25" s="4"/>
    </row>
    <row r="28" spans="2:5" ht="17.25" x14ac:dyDescent="0.2">
      <c r="B28" s="5" t="s">
        <v>70</v>
      </c>
    </row>
    <row r="30" spans="2:5" x14ac:dyDescent="0.2">
      <c r="B30" s="2" t="s">
        <v>71</v>
      </c>
      <c r="C30" s="2" t="s">
        <v>453</v>
      </c>
      <c r="D30" s="2" t="s">
        <v>454</v>
      </c>
      <c r="E30" s="2"/>
    </row>
    <row r="31" spans="2:5" x14ac:dyDescent="0.2">
      <c r="B31" s="3" t="s">
        <v>1142</v>
      </c>
      <c r="C31" s="4" t="s">
        <v>1143</v>
      </c>
      <c r="D31" s="4" t="s">
        <v>1144</v>
      </c>
      <c r="E31" s="4"/>
    </row>
    <row r="32" spans="2:5" x14ac:dyDescent="0.2">
      <c r="B32" s="3" t="s">
        <v>1145</v>
      </c>
      <c r="C32" s="4" t="s">
        <v>1146</v>
      </c>
      <c r="D32" s="4" t="s">
        <v>1147</v>
      </c>
      <c r="E32" s="4"/>
    </row>
    <row r="33" spans="2:5" x14ac:dyDescent="0.2">
      <c r="B33" s="3" t="s">
        <v>1148</v>
      </c>
      <c r="C33" s="4" t="s">
        <v>1149</v>
      </c>
      <c r="D33" s="4" t="s">
        <v>1150</v>
      </c>
      <c r="E33" s="4"/>
    </row>
    <row r="34" spans="2:5" x14ac:dyDescent="0.2">
      <c r="B34" s="3" t="s">
        <v>1151</v>
      </c>
      <c r="C34" s="4" t="s">
        <v>1152</v>
      </c>
      <c r="D34" s="4" t="s">
        <v>1153</v>
      </c>
      <c r="E34" s="4"/>
    </row>
    <row r="35" spans="2:5" x14ac:dyDescent="0.2">
      <c r="B35" s="3" t="s">
        <v>1154</v>
      </c>
      <c r="C35" s="4" t="s">
        <v>1155</v>
      </c>
      <c r="D35" s="4" t="s">
        <v>1156</v>
      </c>
      <c r="E35" s="4"/>
    </row>
    <row r="38" spans="2:5" ht="17.25" x14ac:dyDescent="0.2">
      <c r="B38" s="5" t="s">
        <v>1157</v>
      </c>
    </row>
    <row r="40" spans="2:5" x14ac:dyDescent="0.2">
      <c r="B40" s="2" t="s">
        <v>40</v>
      </c>
      <c r="C40" s="2" t="s">
        <v>427</v>
      </c>
      <c r="D40" s="2" t="s">
        <v>428</v>
      </c>
      <c r="E40" s="2"/>
    </row>
    <row r="41" spans="2:5" x14ac:dyDescent="0.2">
      <c r="B41" s="3" t="s">
        <v>1158</v>
      </c>
      <c r="C41" s="4" t="s">
        <v>1159</v>
      </c>
      <c r="D41" s="4" t="s">
        <v>1160</v>
      </c>
      <c r="E41" s="4"/>
    </row>
    <row r="42" spans="2:5" x14ac:dyDescent="0.2">
      <c r="B42" s="3" t="s">
        <v>1161</v>
      </c>
      <c r="C42" s="4" t="s">
        <v>1162</v>
      </c>
      <c r="D42" s="4" t="s">
        <v>1163</v>
      </c>
      <c r="E42" s="4"/>
    </row>
    <row r="43" spans="2:5" x14ac:dyDescent="0.2">
      <c r="B43" s="3" t="s">
        <v>1164</v>
      </c>
      <c r="C43" s="4" t="s">
        <v>1165</v>
      </c>
      <c r="D43" s="4" t="s">
        <v>1166</v>
      </c>
      <c r="E43" s="4"/>
    </row>
    <row r="44" spans="2:5" x14ac:dyDescent="0.2">
      <c r="B44" s="3" t="s">
        <v>1167</v>
      </c>
      <c r="C44" s="4" t="s">
        <v>1088</v>
      </c>
      <c r="D44" s="4" t="s">
        <v>1168</v>
      </c>
      <c r="E44" s="4"/>
    </row>
    <row r="45" spans="2:5" x14ac:dyDescent="0.2">
      <c r="B45" s="3" t="s">
        <v>1169</v>
      </c>
      <c r="C45" s="4" t="s">
        <v>1170</v>
      </c>
      <c r="D45" s="4" t="s">
        <v>1171</v>
      </c>
      <c r="E45" s="4"/>
    </row>
    <row r="48" spans="2:5" ht="17.25" x14ac:dyDescent="0.2">
      <c r="B48" s="5" t="s">
        <v>1172</v>
      </c>
    </row>
    <row r="50" spans="2:5" x14ac:dyDescent="0.2">
      <c r="B50" s="2" t="s">
        <v>250</v>
      </c>
      <c r="C50" s="2" t="s">
        <v>453</v>
      </c>
      <c r="D50" s="2" t="s">
        <v>454</v>
      </c>
      <c r="E50" s="2"/>
    </row>
    <row r="51" spans="2:5" x14ac:dyDescent="0.2">
      <c r="B51" s="3" t="s">
        <v>1173</v>
      </c>
      <c r="C51" s="4" t="s">
        <v>1174</v>
      </c>
      <c r="D51" s="4" t="s">
        <v>1175</v>
      </c>
      <c r="E51" s="4"/>
    </row>
    <row r="52" spans="2:5" x14ac:dyDescent="0.2">
      <c r="B52" s="3" t="s">
        <v>1176</v>
      </c>
      <c r="C52" s="4" t="s">
        <v>1177</v>
      </c>
      <c r="D52" s="4" t="s">
        <v>1178</v>
      </c>
      <c r="E52" s="4"/>
    </row>
    <row r="53" spans="2:5" x14ac:dyDescent="0.2">
      <c r="B53" s="3" t="s">
        <v>1179</v>
      </c>
      <c r="C53" s="4" t="s">
        <v>1180</v>
      </c>
      <c r="D53" s="4" t="s">
        <v>1181</v>
      </c>
      <c r="E53" s="4"/>
    </row>
    <row r="54" spans="2:5" x14ac:dyDescent="0.2">
      <c r="B54" s="3" t="s">
        <v>1182</v>
      </c>
      <c r="C54" s="4" t="s">
        <v>1183</v>
      </c>
      <c r="D54" s="4" t="s">
        <v>1184</v>
      </c>
      <c r="E54" s="4"/>
    </row>
    <row r="57" spans="2:5" ht="17.25" x14ac:dyDescent="0.2">
      <c r="B57" s="5" t="s">
        <v>1185</v>
      </c>
    </row>
    <row r="58" spans="2:5" x14ac:dyDescent="0.2">
      <c r="B58" s="6"/>
    </row>
    <row r="59" spans="2:5" x14ac:dyDescent="0.2">
      <c r="B59" s="7" t="s">
        <v>1186</v>
      </c>
    </row>
    <row r="60" spans="2:5" x14ac:dyDescent="0.2">
      <c r="B60" s="6"/>
    </row>
    <row r="61" spans="2:5" x14ac:dyDescent="0.2">
      <c r="B61" s="9" t="s">
        <v>1187</v>
      </c>
    </row>
    <row r="62" spans="2:5" x14ac:dyDescent="0.2">
      <c r="B62" s="9" t="s">
        <v>1188</v>
      </c>
    </row>
    <row r="63" spans="2:5" x14ac:dyDescent="0.2">
      <c r="B63" s="7" t="s">
        <v>1189</v>
      </c>
    </row>
    <row r="64" spans="2:5" x14ac:dyDescent="0.2">
      <c r="B64" s="6"/>
    </row>
    <row r="65" spans="2:2" x14ac:dyDescent="0.2">
      <c r="B65" s="9" t="s">
        <v>1190</v>
      </c>
    </row>
    <row r="66" spans="2:2" x14ac:dyDescent="0.2">
      <c r="B66" s="9" t="s">
        <v>1191</v>
      </c>
    </row>
    <row r="67" spans="2:2" ht="17.25" x14ac:dyDescent="0.2">
      <c r="B67" s="5"/>
    </row>
    <row r="70" spans="2:2" x14ac:dyDescent="0.2">
      <c r="B70" s="16"/>
    </row>
    <row r="71" spans="2:2" x14ac:dyDescent="0.2">
      <c r="B71" s="6"/>
    </row>
    <row r="72" spans="2:2" x14ac:dyDescent="0.2">
      <c r="B72" s="6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90752-9CEA-4773-B35D-5C43994A95E7}">
  <dimension ref="B1:G82"/>
  <sheetViews>
    <sheetView topLeftCell="A33" zoomScaleNormal="100" workbookViewId="0">
      <selection activeCell="D11" sqref="D11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1192</v>
      </c>
      <c r="G1" t="str">
        <f>"&lt;dl&gt;&lt;dt&gt;" &amp; B1 &amp; "&lt;/dt&gt;&lt;dd&gt;" &amp; C1 &amp; "&lt;/dd&gt;&lt;dd&gt;" &amp; D1 &amp; "&lt;/dd&gt;&lt;/dl&gt;"</f>
        <v>&lt;dl&gt;&lt;dt&gt;一、左辅定义&lt;/dt&gt;&lt;dd&gt;&lt;/dd&gt;&lt;dd&gt;&lt;/dd&gt;&lt;/dl&gt;</v>
      </c>
    </row>
    <row r="3" spans="2:7" x14ac:dyDescent="0.2">
      <c r="B3" s="2" t="s">
        <v>376</v>
      </c>
      <c r="C3" s="2" t="s">
        <v>222</v>
      </c>
      <c r="D3" s="2" t="s">
        <v>1193</v>
      </c>
    </row>
    <row r="4" spans="2:7" x14ac:dyDescent="0.2">
      <c r="B4" s="4" t="s">
        <v>175</v>
      </c>
      <c r="C4" s="3" t="s">
        <v>1194</v>
      </c>
      <c r="D4" s="4" t="s">
        <v>1195</v>
      </c>
    </row>
    <row r="5" spans="2:7" x14ac:dyDescent="0.2">
      <c r="B5" s="3" t="s">
        <v>1196</v>
      </c>
      <c r="C5" s="4" t="s">
        <v>1197</v>
      </c>
      <c r="D5" s="4" t="s">
        <v>1198</v>
      </c>
    </row>
    <row r="6" spans="2:7" x14ac:dyDescent="0.2">
      <c r="B6" s="3" t="s">
        <v>1199</v>
      </c>
      <c r="C6" s="4" t="s">
        <v>1200</v>
      </c>
      <c r="D6" s="4" t="s">
        <v>1201</v>
      </c>
    </row>
    <row r="9" spans="2:7" ht="17.25" x14ac:dyDescent="0.2">
      <c r="B9" s="5" t="s">
        <v>699</v>
      </c>
    </row>
    <row r="11" spans="2:7" x14ac:dyDescent="0.2">
      <c r="B11" s="2" t="s">
        <v>18</v>
      </c>
      <c r="C11" s="2" t="s">
        <v>497</v>
      </c>
      <c r="D11" s="2" t="s">
        <v>73</v>
      </c>
    </row>
    <row r="12" spans="2:7" x14ac:dyDescent="0.2">
      <c r="B12" s="3" t="s">
        <v>201</v>
      </c>
      <c r="C12" s="4" t="s">
        <v>1202</v>
      </c>
      <c r="D12" s="4" t="s">
        <v>1203</v>
      </c>
    </row>
    <row r="13" spans="2:7" x14ac:dyDescent="0.2">
      <c r="B13" s="3" t="s">
        <v>9</v>
      </c>
      <c r="C13" s="4" t="s">
        <v>1204</v>
      </c>
      <c r="D13" s="4" t="s">
        <v>1205</v>
      </c>
    </row>
    <row r="14" spans="2:7" x14ac:dyDescent="0.2">
      <c r="B14" s="3" t="s">
        <v>0</v>
      </c>
      <c r="C14" s="4" t="s">
        <v>1206</v>
      </c>
      <c r="D14" s="4" t="s">
        <v>1207</v>
      </c>
    </row>
    <row r="15" spans="2:7" x14ac:dyDescent="0.2">
      <c r="B15" s="3" t="s">
        <v>206</v>
      </c>
      <c r="C15" s="4" t="s">
        <v>1208</v>
      </c>
      <c r="D15" s="4" t="s">
        <v>1209</v>
      </c>
    </row>
    <row r="16" spans="2:7" x14ac:dyDescent="0.2">
      <c r="B16" s="3" t="s">
        <v>12</v>
      </c>
      <c r="C16" s="4" t="s">
        <v>1210</v>
      </c>
      <c r="D16" s="4" t="s">
        <v>1211</v>
      </c>
    </row>
    <row r="17" spans="2:7" x14ac:dyDescent="0.2">
      <c r="B17" s="3" t="s">
        <v>6</v>
      </c>
      <c r="C17" s="4" t="s">
        <v>1212</v>
      </c>
      <c r="D17" s="4" t="s">
        <v>1213</v>
      </c>
    </row>
    <row r="20" spans="2:7" ht="17.25" x14ac:dyDescent="0.2">
      <c r="B20" s="5" t="s">
        <v>1214</v>
      </c>
    </row>
    <row r="22" spans="2:7" x14ac:dyDescent="0.2">
      <c r="B22" s="2" t="s">
        <v>1215</v>
      </c>
      <c r="C22" s="2" t="s">
        <v>339</v>
      </c>
      <c r="D22" s="2" t="s">
        <v>113</v>
      </c>
    </row>
    <row r="23" spans="2:7" x14ac:dyDescent="0.2">
      <c r="B23" s="3" t="s">
        <v>1216</v>
      </c>
      <c r="C23" s="4" t="s">
        <v>1217</v>
      </c>
      <c r="D23" s="4" t="s">
        <v>1218</v>
      </c>
    </row>
    <row r="24" spans="2:7" x14ac:dyDescent="0.2">
      <c r="B24" s="3" t="s">
        <v>1219</v>
      </c>
      <c r="C24" s="4" t="s">
        <v>1220</v>
      </c>
      <c r="D24" s="4" t="s">
        <v>1221</v>
      </c>
      <c r="G24" t="str">
        <f t="shared" ref="G24:G52" si="0">"&lt;dl&gt;&lt;dt&gt;" &amp; B24 &amp; "&lt;/dt&gt;&lt;dd&gt;" &amp; C24 &amp; "&lt;/dd&gt;&lt;dd&gt;" &amp; D24 &amp; "&lt;/dd&gt;&lt;/dl&gt;"</f>
        <v>&lt;dl&gt;&lt;dt&gt;天机+左辅​&lt;/dt&gt;&lt;dd&gt;多次计算/多线程运作&lt;/dd&gt;&lt;dd&gt;多方案策划、CPU多核处理&lt;/dd&gt;&lt;/dl&gt;</v>
      </c>
    </row>
    <row r="25" spans="2:7" x14ac:dyDescent="0.2">
      <c r="B25" s="3" t="s">
        <v>654</v>
      </c>
      <c r="C25" s="4" t="s">
        <v>1222</v>
      </c>
      <c r="D25" s="4" t="s">
        <v>1223</v>
      </c>
      <c r="G25" t="str">
        <f t="shared" si="0"/>
        <v>&lt;dl&gt;&lt;dt&gt;太阳+左辅​&lt;/dt&gt;&lt;dd&gt;多重发散/多途径传播&lt;/dd&gt;&lt;dd&gt;多渠道广告投放、多光源照明&lt;/dd&gt;&lt;/dl&gt;</v>
      </c>
    </row>
    <row r="26" spans="2:7" x14ac:dyDescent="0.2">
      <c r="B26" s="3" t="s">
        <v>1224</v>
      </c>
      <c r="C26" s="4" t="s">
        <v>1225</v>
      </c>
      <c r="D26" s="4" t="s">
        <v>1226</v>
      </c>
      <c r="G26" t="str">
        <f t="shared" si="0"/>
        <v>&lt;dl&gt;&lt;dt&gt;武曲+左辅​&lt;/dt&gt;&lt;dd&gt;多笔钱财/多次交易&lt;/dd&gt;&lt;dd&gt;分期付款、多账户资金&lt;/dd&gt;&lt;/dl&gt;</v>
      </c>
    </row>
    <row r="27" spans="2:7" x14ac:dyDescent="0.2">
      <c r="B27" s="3" t="s">
        <v>1227</v>
      </c>
      <c r="C27" s="4" t="s">
        <v>1228</v>
      </c>
      <c r="D27" s="4" t="s">
        <v>1229</v>
      </c>
      <c r="G27" t="str">
        <f t="shared" si="0"/>
        <v>&lt;dl&gt;&lt;dt&gt;天同+左辅​&lt;/dt&gt;&lt;dd&gt;多想法/多子女&lt;/dd&gt;&lt;dd&gt;多个创业点子、多胎生育&lt;/dd&gt;&lt;/dl&gt;</v>
      </c>
    </row>
    <row r="28" spans="2:7" x14ac:dyDescent="0.2">
      <c r="B28" s="3" t="s">
        <v>1230</v>
      </c>
      <c r="C28" s="4" t="s">
        <v>1231</v>
      </c>
      <c r="D28" s="4" t="s">
        <v>1232</v>
      </c>
      <c r="G28" t="str">
        <f t="shared" si="0"/>
        <v>&lt;dl&gt;&lt;dt&gt;廉贞+左辅​&lt;/dt&gt;&lt;dd&gt;多处抓取/多电子设备&lt;/dd&gt;&lt;dd&gt;多监控探头、多线程数据处理&lt;/dd&gt;&lt;/dl&gt;</v>
      </c>
    </row>
    <row r="29" spans="2:7" x14ac:dyDescent="0.2">
      <c r="B29" s="3" t="s">
        <v>1233</v>
      </c>
      <c r="C29" s="4" t="s">
        <v>1234</v>
      </c>
      <c r="D29" s="4" t="s">
        <v>1235</v>
      </c>
      <c r="G29" t="str">
        <f t="shared" si="0"/>
        <v>&lt;dl&gt;&lt;dt&gt;天府+左辅​&lt;/dt&gt;&lt;dd&gt;多空间/多仓库&lt;/dd&gt;&lt;dd&gt;连锁仓库、多房间户型&lt;/dd&gt;&lt;/dl&gt;</v>
      </c>
    </row>
    <row r="30" spans="2:7" x14ac:dyDescent="0.2">
      <c r="B30" s="3" t="s">
        <v>1236</v>
      </c>
      <c r="C30" s="4" t="s">
        <v>1237</v>
      </c>
      <c r="D30" s="4" t="s">
        <v>1238</v>
      </c>
    </row>
    <row r="31" spans="2:7" x14ac:dyDescent="0.2">
      <c r="B31" s="3" t="s">
        <v>1239</v>
      </c>
      <c r="C31" s="4" t="s">
        <v>1240</v>
      </c>
      <c r="D31" s="4" t="s">
        <v>1241</v>
      </c>
    </row>
    <row r="32" spans="2:7" x14ac:dyDescent="0.2">
      <c r="B32" s="3" t="s">
        <v>1242</v>
      </c>
      <c r="C32" s="4" t="s">
        <v>1243</v>
      </c>
      <c r="D32" s="4" t="s">
        <v>1244</v>
      </c>
    </row>
    <row r="33" spans="2:7" x14ac:dyDescent="0.2">
      <c r="B33" s="3" t="s">
        <v>1245</v>
      </c>
      <c r="C33" s="4" t="s">
        <v>1246</v>
      </c>
      <c r="D33" s="4" t="s">
        <v>1247</v>
      </c>
    </row>
    <row r="34" spans="2:7" x14ac:dyDescent="0.2">
      <c r="B34" s="3" t="s">
        <v>1248</v>
      </c>
      <c r="C34" s="4" t="s">
        <v>1249</v>
      </c>
      <c r="D34" s="4" t="s">
        <v>1250</v>
      </c>
    </row>
    <row r="35" spans="2:7" x14ac:dyDescent="0.2">
      <c r="B35" s="3" t="s">
        <v>1251</v>
      </c>
      <c r="C35" s="4" t="s">
        <v>1252</v>
      </c>
      <c r="D35" s="4" t="s">
        <v>1253</v>
      </c>
      <c r="G35" t="str">
        <f t="shared" si="0"/>
        <v>&lt;dl&gt;&lt;dt&gt;七杀+左辅​&lt;/dt&gt;&lt;dd&gt;多线路/多平面&lt;/dd&gt;&lt;dd&gt;多电路布线、多屏幕显示&lt;/dd&gt;&lt;/dl&gt;</v>
      </c>
    </row>
    <row r="36" spans="2:7" x14ac:dyDescent="0.2">
      <c r="B36" s="3" t="s">
        <v>1098</v>
      </c>
      <c r="C36" s="4" t="s">
        <v>1254</v>
      </c>
      <c r="D36" s="4" t="s">
        <v>1255</v>
      </c>
      <c r="G36" t="str">
        <f t="shared" si="0"/>
        <v>&lt;dl&gt;&lt;dt&gt;破军+左辅​&lt;/dt&gt;&lt;dd&gt;多次突破/多打击&lt;/dd&gt;&lt;dd&gt;连续创业尝试、多次手术&lt;/dd&gt;&lt;/dl&gt;</v>
      </c>
    </row>
    <row r="37" spans="2:7" x14ac:dyDescent="0.2">
      <c r="G37" t="str">
        <f t="shared" si="0"/>
        <v>&lt;dl&gt;&lt;dt&gt;&lt;/dt&gt;&lt;dd&gt;&lt;/dd&gt;&lt;dd&gt;&lt;/dd&gt;&lt;/dl&gt;</v>
      </c>
    </row>
    <row r="38" spans="2:7" x14ac:dyDescent="0.2">
      <c r="G38" t="str">
        <f t="shared" si="0"/>
        <v>&lt;dl&gt;&lt;dt&gt;&lt;/dt&gt;&lt;dd&gt;&lt;/dd&gt;&lt;dd&gt;&lt;/dd&gt;&lt;/dl&gt;</v>
      </c>
    </row>
    <row r="39" spans="2:7" ht="17.25" x14ac:dyDescent="0.2">
      <c r="B39" s="5" t="s">
        <v>1256</v>
      </c>
      <c r="G39" t="str">
        <f t="shared" si="0"/>
        <v>&lt;dl&gt;&lt;dt&gt;四、辅星组合象义&lt;/dt&gt;&lt;dd&gt;&lt;/dd&gt;&lt;dd&gt;&lt;/dd&gt;&lt;/dl&gt;</v>
      </c>
    </row>
    <row r="40" spans="2:7" x14ac:dyDescent="0.2">
      <c r="G40" t="str">
        <f t="shared" si="0"/>
        <v>&lt;dl&gt;&lt;dt&gt;&lt;/dt&gt;&lt;dd&gt;&lt;/dd&gt;&lt;dd&gt;&lt;/dd&gt;&lt;/dl&gt;</v>
      </c>
    </row>
    <row r="41" spans="2:7" x14ac:dyDescent="0.2">
      <c r="B41" s="2" t="s">
        <v>40</v>
      </c>
      <c r="C41" s="2" t="s">
        <v>339</v>
      </c>
      <c r="D41" s="2" t="s">
        <v>73</v>
      </c>
      <c r="G41" t="str">
        <f t="shared" si="0"/>
        <v>&lt;dl&gt;&lt;dt&gt;辅星​&lt;/dt&gt;&lt;dd&gt;组合象义​&lt;/dd&gt;&lt;dd&gt;典型案例​&lt;/dd&gt;&lt;/dl&gt;</v>
      </c>
    </row>
    <row r="42" spans="2:7" x14ac:dyDescent="0.2">
      <c r="B42" s="3" t="s">
        <v>1257</v>
      </c>
      <c r="C42" s="4" t="s">
        <v>1258</v>
      </c>
      <c r="D42" s="4" t="s">
        <v>1259</v>
      </c>
      <c r="G42" t="str">
        <f t="shared" si="0"/>
        <v>&lt;dl&gt;&lt;dt&gt;火星+左辅​&lt;/dt&gt;&lt;dd&gt;多处火情/多次急躁&lt;/dd&gt;&lt;dd&gt;多地点火灾、频繁发脾气&lt;/dd&gt;&lt;/dl&gt;</v>
      </c>
    </row>
    <row r="43" spans="2:7" x14ac:dyDescent="0.2">
      <c r="B43" s="3" t="s">
        <v>1260</v>
      </c>
      <c r="C43" s="4" t="s">
        <v>1261</v>
      </c>
      <c r="D43" s="4" t="s">
        <v>1262</v>
      </c>
      <c r="G43" t="str">
        <f t="shared" si="0"/>
        <v>&lt;dl&gt;&lt;dt&gt;铃星+左辅​&lt;/dt&gt;&lt;dd&gt;多重烦恼&lt;/dd&gt;&lt;dd&gt;多线程工作压力、家庭多方矛盾&lt;/dd&gt;&lt;/dl&gt;</v>
      </c>
    </row>
    <row r="44" spans="2:7" x14ac:dyDescent="0.2">
      <c r="B44" s="3" t="s">
        <v>1263</v>
      </c>
      <c r="C44" s="4" t="s">
        <v>1264</v>
      </c>
      <c r="D44" s="4" t="s">
        <v>1265</v>
      </c>
    </row>
    <row r="45" spans="2:7" x14ac:dyDescent="0.2">
      <c r="B45" s="3" t="s">
        <v>1266</v>
      </c>
      <c r="C45" s="4" t="s">
        <v>1267</v>
      </c>
      <c r="D45" s="4" t="s">
        <v>1268</v>
      </c>
    </row>
    <row r="46" spans="2:7" x14ac:dyDescent="0.2">
      <c r="B46" s="3" t="s">
        <v>1269</v>
      </c>
      <c r="C46" s="4" t="s">
        <v>1270</v>
      </c>
      <c r="D46" s="4" t="s">
        <v>1271</v>
      </c>
    </row>
    <row r="47" spans="2:7" x14ac:dyDescent="0.2">
      <c r="B47" s="3" t="s">
        <v>1272</v>
      </c>
      <c r="C47" s="4" t="s">
        <v>1273</v>
      </c>
      <c r="D47" s="4" t="s">
        <v>1274</v>
      </c>
    </row>
    <row r="48" spans="2:7" x14ac:dyDescent="0.2">
      <c r="B48" s="3" t="s">
        <v>1275</v>
      </c>
      <c r="C48" s="4" t="s">
        <v>1276</v>
      </c>
      <c r="D48" s="4" t="s">
        <v>1277</v>
      </c>
    </row>
    <row r="49" spans="2:7" x14ac:dyDescent="0.2">
      <c r="B49" s="3" t="s">
        <v>1278</v>
      </c>
      <c r="C49" s="4" t="s">
        <v>1279</v>
      </c>
      <c r="D49" s="4" t="s">
        <v>1280</v>
      </c>
      <c r="G49" t="str">
        <f t="shared" si="0"/>
        <v>&lt;dl&gt;&lt;dt&gt;陀罗+左辅​&lt;/dt&gt;&lt;dd&gt;多次拖延循环&lt;/dd&gt;&lt;dd&gt;项目反复延期、感情纠缠&lt;/dd&gt;&lt;/dl&gt;</v>
      </c>
    </row>
    <row r="50" spans="2:7" x14ac:dyDescent="0.2">
      <c r="B50" s="3" t="s">
        <v>1281</v>
      </c>
      <c r="C50" s="4" t="s">
        <v>1282</v>
      </c>
      <c r="D50" s="4" t="s">
        <v>1283</v>
      </c>
      <c r="G50" t="str">
        <f t="shared" si="0"/>
        <v>&lt;dl&gt;&lt;dt&gt;天哭+左辅​&lt;/dt&gt;&lt;dd&gt;多次悲伤&lt;/dd&gt;&lt;dd&gt;连续噩耗、反复抑郁发作&lt;/dd&gt;&lt;/dl&gt;</v>
      </c>
    </row>
    <row r="51" spans="2:7" x14ac:dyDescent="0.2">
      <c r="B51" s="3" t="s">
        <v>1284</v>
      </c>
      <c r="C51" s="4" t="s">
        <v>1285</v>
      </c>
      <c r="D51" s="4" t="s">
        <v>1286</v>
      </c>
      <c r="G51" t="str">
        <f t="shared" si="0"/>
        <v>&lt;dl&gt;&lt;dt&gt;天喜+左辅​&lt;/dt&gt;&lt;dd&gt;多重喜悦&lt;/dd&gt;&lt;dd&gt;多喜临门（结婚+升职+生子）&lt;/dd&gt;&lt;/dl&gt;</v>
      </c>
    </row>
    <row r="52" spans="2:7" ht="28.5" x14ac:dyDescent="0.2">
      <c r="B52" s="3" t="s">
        <v>1287</v>
      </c>
      <c r="C52" s="4" t="s">
        <v>1288</v>
      </c>
      <c r="D52" s="4" t="s">
        <v>1289</v>
      </c>
      <c r="G52" t="str">
        <f t="shared" si="0"/>
        <v>&lt;dl&gt;&lt;dt&gt;阴煞+左辅​&lt;/dt&gt;&lt;dd&gt;多个隐藏事物&lt;/dd&gt;&lt;dd&gt;多重间谍身份、多灵体干扰（手册P159）&lt;/dd&gt;&lt;/dl&gt;</v>
      </c>
    </row>
    <row r="55" spans="2:7" ht="17.25" x14ac:dyDescent="0.2">
      <c r="B55" s="5"/>
    </row>
    <row r="56" spans="2:7" x14ac:dyDescent="0.2">
      <c r="B56" s="6"/>
    </row>
    <row r="57" spans="2:7" x14ac:dyDescent="0.2">
      <c r="B57" s="7"/>
    </row>
    <row r="58" spans="2:7" x14ac:dyDescent="0.2">
      <c r="B58" s="6"/>
    </row>
    <row r="59" spans="2:7" x14ac:dyDescent="0.2">
      <c r="B59" s="8"/>
    </row>
    <row r="60" spans="2:7" x14ac:dyDescent="0.2">
      <c r="B60" s="8"/>
    </row>
    <row r="64" spans="2:7" ht="17.25" x14ac:dyDescent="0.2">
      <c r="B64" s="5"/>
    </row>
    <row r="65" spans="2:2" x14ac:dyDescent="0.2">
      <c r="B65" s="6"/>
    </row>
    <row r="66" spans="2:2" x14ac:dyDescent="0.2">
      <c r="B66" s="7"/>
    </row>
    <row r="67" spans="2:2" x14ac:dyDescent="0.2">
      <c r="B67" s="6"/>
    </row>
    <row r="68" spans="2:2" x14ac:dyDescent="0.2">
      <c r="B68" s="9"/>
    </row>
    <row r="69" spans="2:2" x14ac:dyDescent="0.2">
      <c r="B69" s="9"/>
    </row>
    <row r="70" spans="2:2" x14ac:dyDescent="0.2">
      <c r="B70" s="7"/>
    </row>
    <row r="71" spans="2:2" x14ac:dyDescent="0.2">
      <c r="B71" s="6"/>
    </row>
    <row r="72" spans="2:2" x14ac:dyDescent="0.2">
      <c r="B72" s="9"/>
    </row>
    <row r="73" spans="2:2" x14ac:dyDescent="0.2">
      <c r="B73" s="9"/>
    </row>
    <row r="77" spans="2:2" ht="17.25" x14ac:dyDescent="0.2">
      <c r="B77" s="5"/>
    </row>
    <row r="80" spans="2:2" x14ac:dyDescent="0.2">
      <c r="B80" s="16"/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8AAB3-AA74-45F1-AFC6-B8CC8E04E41C}">
  <dimension ref="B1:G82"/>
  <sheetViews>
    <sheetView topLeftCell="A45" zoomScaleNormal="100" workbookViewId="0">
      <selection activeCell="B1" sqref="B1:D72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1290</v>
      </c>
      <c r="G1" t="str">
        <f>"&lt;dl&gt;&lt;dt&gt;" &amp; B1 &amp; "&lt;/dt&gt;&lt;dd&gt;" &amp; C1 &amp; "&lt;/dd&gt;&lt;dd&gt;" &amp; D1 &amp; "&lt;/dd&gt;&lt;/dl&gt;"</f>
        <v>&lt;dl&gt;&lt;dt&gt;（五）右弼&lt;/dt&gt;&lt;dd&gt;&lt;/dd&gt;&lt;dd&gt;&lt;/dd&gt;&lt;/dl&gt;</v>
      </c>
    </row>
    <row r="3" spans="2:7" ht="15.75" x14ac:dyDescent="0.2">
      <c r="B3" s="13" t="s">
        <v>1291</v>
      </c>
    </row>
    <row r="4" spans="2:7" x14ac:dyDescent="0.2">
      <c r="B4" s="6"/>
    </row>
    <row r="5" spans="2:7" x14ac:dyDescent="0.2">
      <c r="B5" s="7" t="s">
        <v>1292</v>
      </c>
    </row>
    <row r="6" spans="2:7" x14ac:dyDescent="0.2">
      <c r="B6" s="6" t="s">
        <v>1293</v>
      </c>
    </row>
    <row r="7" spans="2:7" x14ac:dyDescent="0.2">
      <c r="B7" s="6" t="s">
        <v>1294</v>
      </c>
    </row>
    <row r="9" spans="2:7" ht="15.75" x14ac:dyDescent="0.2">
      <c r="B9" s="13" t="s">
        <v>1295</v>
      </c>
    </row>
    <row r="11" spans="2:7" x14ac:dyDescent="0.2">
      <c r="B11" s="2" t="s">
        <v>200</v>
      </c>
      <c r="C11" s="2" t="s">
        <v>1296</v>
      </c>
      <c r="D11" s="2" t="s">
        <v>1297</v>
      </c>
    </row>
    <row r="12" spans="2:7" ht="28.5" x14ac:dyDescent="0.2">
      <c r="B12" s="3" t="s">
        <v>1298</v>
      </c>
      <c r="C12" s="4" t="s">
        <v>788</v>
      </c>
      <c r="D12" s="4" t="s">
        <v>1299</v>
      </c>
    </row>
    <row r="13" spans="2:7" ht="28.5" x14ac:dyDescent="0.2">
      <c r="B13" s="3" t="s">
        <v>1300</v>
      </c>
      <c r="C13" s="4" t="s">
        <v>791</v>
      </c>
      <c r="D13" s="4" t="s">
        <v>1301</v>
      </c>
    </row>
    <row r="14" spans="2:7" ht="28.5" x14ac:dyDescent="0.2">
      <c r="B14" s="3" t="s">
        <v>1302</v>
      </c>
      <c r="C14" s="4" t="s">
        <v>1303</v>
      </c>
      <c r="D14" s="4" t="s">
        <v>1304</v>
      </c>
    </row>
    <row r="15" spans="2:7" x14ac:dyDescent="0.2">
      <c r="B15" s="6"/>
    </row>
    <row r="16" spans="2:7" x14ac:dyDescent="0.2">
      <c r="B16" s="7" t="s">
        <v>1305</v>
      </c>
    </row>
    <row r="18" spans="2:7" ht="15.75" x14ac:dyDescent="0.2">
      <c r="B18" s="13" t="s">
        <v>1306</v>
      </c>
    </row>
    <row r="20" spans="2:7" x14ac:dyDescent="0.2">
      <c r="B20" s="2" t="s">
        <v>200</v>
      </c>
      <c r="C20" s="2" t="s">
        <v>1307</v>
      </c>
      <c r="D20" s="2" t="s">
        <v>1308</v>
      </c>
    </row>
    <row r="21" spans="2:7" ht="28.5" x14ac:dyDescent="0.2">
      <c r="B21" s="3" t="s">
        <v>9</v>
      </c>
      <c r="C21" s="4" t="s">
        <v>1309</v>
      </c>
      <c r="D21" s="4" t="s">
        <v>1310</v>
      </c>
    </row>
    <row r="22" spans="2:7" ht="15" thickBot="1" x14ac:dyDescent="0.25">
      <c r="B22" s="3" t="s">
        <v>116</v>
      </c>
      <c r="C22" s="4" t="s">
        <v>1311</v>
      </c>
      <c r="D22" s="4" t="s">
        <v>1312</v>
      </c>
    </row>
    <row r="23" spans="2:7" ht="16.5" thickBot="1" x14ac:dyDescent="0.25">
      <c r="B23" s="3" t="s">
        <v>0</v>
      </c>
      <c r="C23" s="4" t="s">
        <v>1313</v>
      </c>
      <c r="D23" s="4" t="s">
        <v>1314</v>
      </c>
      <c r="E23" s="12"/>
    </row>
    <row r="24" spans="2:7" ht="16.5" thickBot="1" x14ac:dyDescent="0.25">
      <c r="B24" s="3" t="s">
        <v>15</v>
      </c>
      <c r="C24" s="4" t="s">
        <v>1315</v>
      </c>
      <c r="D24" s="4" t="s">
        <v>1316</v>
      </c>
      <c r="E24" s="15"/>
      <c r="G24" t="str">
        <f t="shared" ref="G24:G52" si="0">"&lt;dl&gt;&lt;dt&gt;" &amp; B24 &amp; "&lt;/dt&gt;&lt;dd&gt;" &amp; C24 &amp; "&lt;/dd&gt;&lt;dd&gt;" &amp; D24 &amp; "&lt;/dd&gt;&lt;/dl&gt;"</f>
        <v>&lt;dl&gt;&lt;dt&gt;迁移宫​&lt;/dt&gt;&lt;dd&gt;外界环境变动&lt;/dd&gt;&lt;dd&gt;变天、掉头回家、生存环境突变&lt;/dd&gt;&lt;/dl&gt;</v>
      </c>
    </row>
    <row r="25" spans="2:7" ht="16.5" thickBot="1" x14ac:dyDescent="0.25">
      <c r="B25" s="3" t="s">
        <v>6</v>
      </c>
      <c r="C25" s="4" t="s">
        <v>1317</v>
      </c>
      <c r="D25" s="4" t="s">
        <v>1318</v>
      </c>
      <c r="E25" s="15"/>
      <c r="G25" t="str">
        <f t="shared" si="0"/>
        <v>&lt;dl&gt;&lt;dt&gt;疾厄宫​&lt;/dt&gt;&lt;dd&gt;身体状态扭转&lt;/dd&gt;&lt;dd&gt;病情逆转、指标好转、瑜伽扭脖&lt;/dd&gt;&lt;/dl&gt;</v>
      </c>
    </row>
    <row r="26" spans="2:7" ht="16.5" thickBot="1" x14ac:dyDescent="0.25">
      <c r="B26" s="3" t="s">
        <v>3</v>
      </c>
      <c r="C26" s="4" t="s">
        <v>1319</v>
      </c>
      <c r="D26" s="4" t="s">
        <v>1320</v>
      </c>
      <c r="E26" s="15"/>
      <c r="G26" t="str">
        <f t="shared" si="0"/>
        <v>&lt;dl&gt;&lt;dt&gt;财帛宫​&lt;/dt&gt;&lt;dd&gt;财产流转&lt;/dd&gt;&lt;dd&gt;转账、汇款、财产转移&lt;/dd&gt;&lt;/dl&gt;</v>
      </c>
    </row>
    <row r="27" spans="2:7" ht="29.25" thickBot="1" x14ac:dyDescent="0.25">
      <c r="B27" s="3" t="s">
        <v>128</v>
      </c>
      <c r="C27" s="4" t="s">
        <v>1321</v>
      </c>
      <c r="D27" s="4" t="s">
        <v>1322</v>
      </c>
      <c r="E27" s="15"/>
      <c r="G27" t="str">
        <f t="shared" si="0"/>
        <v>&lt;dl&gt;&lt;dt&gt;子女宫​&lt;/dt&gt;&lt;dd&gt;后代/客户的转向&lt;/dd&gt;&lt;dd&gt;孩子性取向变、客户转移、DNA检测非亲生&lt;/dd&gt;&lt;/dl&gt;</v>
      </c>
    </row>
    <row r="28" spans="2:7" ht="16.5" thickBot="1" x14ac:dyDescent="0.25">
      <c r="B28" s="3" t="s">
        <v>125</v>
      </c>
      <c r="C28" s="4" t="s">
        <v>1323</v>
      </c>
      <c r="D28" s="4" t="s">
        <v>1324</v>
      </c>
      <c r="E28" s="15"/>
      <c r="G28" t="str">
        <f t="shared" si="0"/>
        <v>&lt;dl&gt;&lt;dt&gt;夫妻宫​&lt;/dt&gt;&lt;dd&gt;感情类型转变&lt;/dd&gt;&lt;dd&gt;喜欢的类型改变、未离婚但情感转向&lt;/dd&gt;&lt;/dl&gt;</v>
      </c>
    </row>
    <row r="29" spans="2:7" ht="16.5" thickBot="1" x14ac:dyDescent="0.25">
      <c r="B29" s="3" t="s">
        <v>246</v>
      </c>
      <c r="C29" s="4" t="s">
        <v>1325</v>
      </c>
      <c r="D29" s="4" t="s">
        <v>1326</v>
      </c>
      <c r="E29" s="15"/>
      <c r="G29" t="str">
        <f t="shared" si="0"/>
        <v>&lt;dl&gt;&lt;dt&gt;兄弟宫​&lt;/dt&gt;&lt;dd&gt;人际关系转向&lt;/dd&gt;&lt;dd&gt;换朋友、同行转变、好友反目&lt;/dd&gt;&lt;/dl&gt;</v>
      </c>
    </row>
    <row r="31" spans="2:7" ht="15.75" x14ac:dyDescent="0.2">
      <c r="B31" s="13" t="s">
        <v>1327</v>
      </c>
    </row>
    <row r="33" spans="2:7" ht="15" thickBot="1" x14ac:dyDescent="0.25">
      <c r="B33" s="2" t="s">
        <v>1328</v>
      </c>
      <c r="C33" s="2" t="s">
        <v>1329</v>
      </c>
      <c r="D33" s="2" t="s">
        <v>1330</v>
      </c>
    </row>
    <row r="34" spans="2:7" ht="16.5" thickBot="1" x14ac:dyDescent="0.25">
      <c r="B34" s="3" t="s">
        <v>1331</v>
      </c>
      <c r="C34" s="4" t="s">
        <v>1332</v>
      </c>
      <c r="D34" s="4" t="s">
        <v>1333</v>
      </c>
      <c r="E34" s="12"/>
    </row>
    <row r="35" spans="2:7" ht="29.25" thickBot="1" x14ac:dyDescent="0.25">
      <c r="B35" s="3" t="s">
        <v>1334</v>
      </c>
      <c r="C35" s="4" t="s">
        <v>1335</v>
      </c>
      <c r="D35" s="4" t="s">
        <v>1336</v>
      </c>
      <c r="E35" s="15"/>
      <c r="G35" t="str">
        <f t="shared" si="0"/>
        <v>&lt;dl&gt;&lt;dt&gt;太阳 + 右弼​&lt;/dt&gt;&lt;dd&gt;传播/关注点转移&lt;/dd&gt;&lt;dd&gt;广告方向调整、视线转移、新旧交替（古董翻新）&lt;/dd&gt;&lt;/dl&gt;</v>
      </c>
    </row>
    <row r="36" spans="2:7" ht="16.5" thickBot="1" x14ac:dyDescent="0.25">
      <c r="B36" s="3" t="s">
        <v>1337</v>
      </c>
      <c r="C36" s="4" t="s">
        <v>1338</v>
      </c>
      <c r="D36" s="4" t="s">
        <v>1339</v>
      </c>
      <c r="E36" s="15"/>
      <c r="G36" t="str">
        <f t="shared" si="0"/>
        <v>&lt;dl&gt;&lt;dt&gt;武曲 + 右弼​&lt;/dt&gt;&lt;dd&gt;钱/硬物的流转&lt;/dd&gt;&lt;dd&gt;换牙、骨折复位、资金流向变更&lt;/dd&gt;&lt;/dl&gt;</v>
      </c>
    </row>
    <row r="37" spans="2:7" ht="29.25" thickBot="1" x14ac:dyDescent="0.25">
      <c r="B37" s="3" t="s">
        <v>1340</v>
      </c>
      <c r="C37" s="4" t="s">
        <v>1341</v>
      </c>
      <c r="D37" s="4" t="s">
        <v>1342</v>
      </c>
      <c r="E37" s="15"/>
      <c r="G37" t="str">
        <f t="shared" si="0"/>
        <v>&lt;dl&gt;&lt;dt&gt;天同 + 右弼​&lt;/dt&gt;&lt;dd&gt;感受/认同转变&lt;/dd&gt;&lt;dd&gt;想法多变、玩的地点更换、感悟方向调整&lt;/dd&gt;&lt;/dl&gt;</v>
      </c>
    </row>
    <row r="38" spans="2:7" ht="29.25" thickBot="1" x14ac:dyDescent="0.25">
      <c r="B38" s="3" t="s">
        <v>1343</v>
      </c>
      <c r="C38" s="4" t="s">
        <v>1344</v>
      </c>
      <c r="D38" s="4" t="s">
        <v>1345</v>
      </c>
      <c r="E38" s="15"/>
      <c r="G38" t="str">
        <f t="shared" si="0"/>
        <v>&lt;dl&gt;&lt;dt&gt;廉贞 + 右弼​&lt;/dt&gt;&lt;dd&gt;抓取/电子转向&lt;/dd&gt;&lt;dd&gt;电子器材更换、突破方向调整（如修行）&lt;/dd&gt;&lt;/dl&gt;</v>
      </c>
    </row>
    <row r="39" spans="2:7" ht="16.5" thickBot="1" x14ac:dyDescent="0.25">
      <c r="B39" s="3" t="s">
        <v>1346</v>
      </c>
      <c r="C39" s="4" t="s">
        <v>1347</v>
      </c>
      <c r="D39" s="4" t="s">
        <v>1348</v>
      </c>
      <c r="E39" s="15"/>
      <c r="G39" t="str">
        <f t="shared" si="0"/>
        <v>&lt;dl&gt;&lt;dt&gt;天府 + 右弼​&lt;/dt&gt;&lt;dd&gt;空间/房产更换&lt;/dd&gt;&lt;dd&gt;换房子、换公司、换群组&lt;/dd&gt;&lt;/dl&gt;</v>
      </c>
    </row>
    <row r="40" spans="2:7" ht="29.25" thickBot="1" x14ac:dyDescent="0.25">
      <c r="B40" s="3" t="s">
        <v>1349</v>
      </c>
      <c r="C40" s="4" t="s">
        <v>1350</v>
      </c>
      <c r="D40" s="4" t="s">
        <v>1351</v>
      </c>
      <c r="E40" s="15"/>
      <c r="G40" t="str">
        <f t="shared" si="0"/>
        <v>&lt;dl&gt;&lt;dt&gt;太阴 + 右弼​&lt;/dt&gt;&lt;dd&gt;存储/女人/水的转向&lt;/dd&gt;&lt;dd&gt;女人类型变、液体流向变（油箱没油）、投资方向调整&lt;/dd&gt;&lt;/dl&gt;</v>
      </c>
    </row>
    <row r="41" spans="2:7" ht="16.5" thickBot="1" x14ac:dyDescent="0.25">
      <c r="B41" s="3" t="s">
        <v>1352</v>
      </c>
      <c r="C41" s="4" t="s">
        <v>1353</v>
      </c>
      <c r="D41" s="4" t="s">
        <v>1354</v>
      </c>
      <c r="E41" s="15"/>
      <c r="G41" t="str">
        <f t="shared" si="0"/>
        <v>&lt;dl&gt;&lt;dt&gt;贪狼 + 右弼​&lt;/dt&gt;&lt;dd&gt;欲望/体积转向&lt;/dd&gt;&lt;dd&gt;爱好改变、肌肉转肥肉、投资方向调整&lt;/dd&gt;&lt;/dl&gt;</v>
      </c>
    </row>
    <row r="42" spans="2:7" ht="16.5" thickBot="1" x14ac:dyDescent="0.25">
      <c r="B42" s="3" t="s">
        <v>1355</v>
      </c>
      <c r="C42" s="4" t="s">
        <v>1356</v>
      </c>
      <c r="D42" s="4" t="s">
        <v>1357</v>
      </c>
      <c r="E42" s="15"/>
      <c r="G42" t="str">
        <f t="shared" si="0"/>
        <v>&lt;dl&gt;&lt;dt&gt;巨门 + 右弼​&lt;/dt&gt;&lt;dd&gt;说话/承诺转向&lt;/dd&gt;&lt;dd&gt;改口、毁约、学科转换、国籍变更&lt;/dd&gt;&lt;/dl&gt;</v>
      </c>
    </row>
    <row r="43" spans="2:7" ht="16.5" thickBot="1" x14ac:dyDescent="0.25">
      <c r="B43" s="3" t="s">
        <v>1358</v>
      </c>
      <c r="C43" s="4" t="s">
        <v>1359</v>
      </c>
      <c r="D43" s="4" t="s">
        <v>1360</v>
      </c>
      <c r="E43" s="15"/>
      <c r="G43" t="str">
        <f t="shared" si="0"/>
        <v>&lt;dl&gt;&lt;dt&gt;天相 + 右弼​&lt;/dt&gt;&lt;dd&gt;呵护/生活习惯转向&lt;/dd&gt;&lt;dd&gt;换护工、换口味、穿衣风格变&lt;/dd&gt;&lt;/dl&gt;</v>
      </c>
    </row>
    <row r="44" spans="2:7" ht="28.5" x14ac:dyDescent="0.2">
      <c r="B44" s="3" t="s">
        <v>1361</v>
      </c>
      <c r="C44" s="4" t="s">
        <v>1362</v>
      </c>
      <c r="D44" s="4" t="s">
        <v>1363</v>
      </c>
    </row>
    <row r="45" spans="2:7" x14ac:dyDescent="0.2">
      <c r="B45" s="3" t="s">
        <v>1364</v>
      </c>
      <c r="C45" s="4" t="s">
        <v>1365</v>
      </c>
      <c r="D45" s="4" t="s">
        <v>1366</v>
      </c>
    </row>
    <row r="46" spans="2:7" ht="28.5" x14ac:dyDescent="0.2">
      <c r="B46" s="3" t="s">
        <v>1367</v>
      </c>
      <c r="C46" s="4" t="s">
        <v>1368</v>
      </c>
      <c r="D46" s="4" t="s">
        <v>1369</v>
      </c>
    </row>
    <row r="47" spans="2:7" ht="15" thickBot="1" x14ac:dyDescent="0.25"/>
    <row r="48" spans="2:7" ht="16.5" thickBot="1" x14ac:dyDescent="0.25">
      <c r="B48" s="13" t="s">
        <v>1370</v>
      </c>
      <c r="E48" s="12"/>
    </row>
    <row r="49" spans="2:7" ht="16.5" thickBot="1" x14ac:dyDescent="0.25">
      <c r="E49" s="15"/>
      <c r="G49" t="str">
        <f t="shared" si="0"/>
        <v>&lt;dl&gt;&lt;dt&gt;&lt;/dt&gt;&lt;dd&gt;&lt;/dd&gt;&lt;dd&gt;&lt;/dd&gt;&lt;/dl&gt;</v>
      </c>
    </row>
    <row r="50" spans="2:7" ht="16.5" thickBot="1" x14ac:dyDescent="0.25">
      <c r="B50" s="2" t="s">
        <v>1371</v>
      </c>
      <c r="C50" s="2" t="s">
        <v>1372</v>
      </c>
      <c r="E50" s="15"/>
      <c r="G50" t="str">
        <f t="shared" si="0"/>
        <v>&lt;dl&gt;&lt;dt&gt;辅星 + 右弼&lt;/dt&gt;&lt;dd&gt;联动效果&lt;/dd&gt;&lt;dd&gt;&lt;/dd&gt;&lt;/dl&gt;</v>
      </c>
    </row>
    <row r="51" spans="2:7" ht="16.5" thickBot="1" x14ac:dyDescent="0.25">
      <c r="B51" s="3" t="s">
        <v>1373</v>
      </c>
      <c r="C51" s="4" t="s">
        <v>1374</v>
      </c>
      <c r="E51" s="15"/>
      <c r="G51" t="str">
        <f t="shared" si="0"/>
        <v>&lt;dl&gt;&lt;dt&gt;文昌 + 右弼​&lt;/dt&gt;&lt;dd&gt;内容传递方向歪斜&lt;/dd&gt;&lt;dd&gt;&lt;/dd&gt;&lt;/dl&gt;</v>
      </c>
    </row>
    <row r="52" spans="2:7" ht="16.5" thickBot="1" x14ac:dyDescent="0.25">
      <c r="B52" s="3" t="s">
        <v>1375</v>
      </c>
      <c r="C52" s="4" t="s">
        <v>1376</v>
      </c>
      <c r="E52" s="15"/>
      <c r="G52" t="str">
        <f t="shared" si="0"/>
        <v>&lt;dl&gt;&lt;dt&gt;文曲 + 右弼​&lt;/dt&gt;&lt;dd&gt;文字/合同含义被扭转&lt;/dd&gt;&lt;dd&gt;&lt;/dd&gt;&lt;/dl&gt;</v>
      </c>
    </row>
    <row r="53" spans="2:7" x14ac:dyDescent="0.2">
      <c r="B53" s="3" t="s">
        <v>1377</v>
      </c>
      <c r="C53" s="4" t="s">
        <v>1378</v>
      </c>
    </row>
    <row r="54" spans="2:7" x14ac:dyDescent="0.2">
      <c r="B54" s="3" t="s">
        <v>1379</v>
      </c>
      <c r="C54" s="4" t="s">
        <v>1380</v>
      </c>
    </row>
    <row r="55" spans="2:7" x14ac:dyDescent="0.2">
      <c r="B55" s="3" t="s">
        <v>1381</v>
      </c>
      <c r="C55" s="4" t="s">
        <v>1382</v>
      </c>
    </row>
    <row r="56" spans="2:7" x14ac:dyDescent="0.2">
      <c r="B56" s="3" t="s">
        <v>1383</v>
      </c>
      <c r="C56" s="4" t="s">
        <v>1384</v>
      </c>
    </row>
    <row r="57" spans="2:7" x14ac:dyDescent="0.2">
      <c r="B57" s="3" t="s">
        <v>1385</v>
      </c>
      <c r="C57" s="4" t="s">
        <v>1386</v>
      </c>
    </row>
    <row r="58" spans="2:7" x14ac:dyDescent="0.2">
      <c r="B58" s="3" t="s">
        <v>1387</v>
      </c>
      <c r="C58" s="4" t="s">
        <v>1388</v>
      </c>
    </row>
    <row r="59" spans="2:7" x14ac:dyDescent="0.2">
      <c r="B59" s="3" t="s">
        <v>1389</v>
      </c>
      <c r="C59" s="4" t="s">
        <v>1390</v>
      </c>
    </row>
    <row r="62" spans="2:7" ht="17.25" x14ac:dyDescent="0.2">
      <c r="B62" s="5" t="s">
        <v>1391</v>
      </c>
    </row>
    <row r="63" spans="2:7" x14ac:dyDescent="0.2">
      <c r="B63" s="6"/>
    </row>
    <row r="64" spans="2:7" x14ac:dyDescent="0.2">
      <c r="B64" s="7" t="s">
        <v>1392</v>
      </c>
    </row>
    <row r="65" spans="2:2" x14ac:dyDescent="0.2">
      <c r="B65" s="6"/>
    </row>
    <row r="66" spans="2:2" x14ac:dyDescent="0.2">
      <c r="B66" s="9" t="s">
        <v>1393</v>
      </c>
    </row>
    <row r="67" spans="2:2" x14ac:dyDescent="0.2">
      <c r="B67" s="9" t="s">
        <v>1394</v>
      </c>
    </row>
    <row r="68" spans="2:2" x14ac:dyDescent="0.2">
      <c r="B68" s="18" t="s">
        <v>1395</v>
      </c>
    </row>
    <row r="69" spans="2:2" x14ac:dyDescent="0.2">
      <c r="B69" s="7" t="s">
        <v>1396</v>
      </c>
    </row>
    <row r="70" spans="2:2" x14ac:dyDescent="0.2">
      <c r="B70" s="6"/>
    </row>
    <row r="71" spans="2:2" x14ac:dyDescent="0.2">
      <c r="B71" s="9" t="s">
        <v>1397</v>
      </c>
    </row>
    <row r="72" spans="2:2" x14ac:dyDescent="0.2">
      <c r="B72" s="18" t="s">
        <v>1398</v>
      </c>
    </row>
    <row r="73" spans="2:2" x14ac:dyDescent="0.2">
      <c r="B73" s="9"/>
    </row>
    <row r="77" spans="2:2" ht="17.25" x14ac:dyDescent="0.2">
      <c r="B77" s="5"/>
    </row>
    <row r="80" spans="2:2" x14ac:dyDescent="0.2">
      <c r="B80" s="16"/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1CC14-1454-4DD9-BBFA-F9F36EC4D903}">
  <dimension ref="B1:G82"/>
  <sheetViews>
    <sheetView topLeftCell="A30" zoomScaleNormal="100" workbookViewId="0">
      <selection activeCell="B1" sqref="B1:D49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1399</v>
      </c>
      <c r="G1" t="str">
        <f>"&lt;dl&gt;&lt;dt&gt;" &amp; B1 &amp; "&lt;/dt&gt;&lt;dd&gt;" &amp; C1 &amp; "&lt;/dd&gt;&lt;dd&gt;" &amp; D1 &amp; "&lt;/dd&gt;&lt;/dl&gt;"</f>
        <v>&lt;dl&gt;&lt;dt&gt;天魁星​&lt;/dt&gt;&lt;dd&gt;&lt;/dd&gt;&lt;dd&gt;&lt;/dd&gt;&lt;/dl&gt;</v>
      </c>
    </row>
    <row r="3" spans="2:7" x14ac:dyDescent="0.2">
      <c r="B3" s="1" t="s">
        <v>1400</v>
      </c>
    </row>
    <row r="4" spans="2:7" x14ac:dyDescent="0.2">
      <c r="B4" s="6"/>
    </row>
    <row r="5" spans="2:7" x14ac:dyDescent="0.2">
      <c r="B5" s="7" t="s">
        <v>1401</v>
      </c>
    </row>
    <row r="6" spans="2:7" x14ac:dyDescent="0.2">
      <c r="B6" s="7" t="s">
        <v>1402</v>
      </c>
    </row>
    <row r="10" spans="2:7" ht="17.25" x14ac:dyDescent="0.2">
      <c r="B10" s="5" t="s">
        <v>1403</v>
      </c>
    </row>
    <row r="12" spans="2:7" x14ac:dyDescent="0.2">
      <c r="B12" s="2" t="s">
        <v>584</v>
      </c>
      <c r="C12" s="2" t="s">
        <v>497</v>
      </c>
      <c r="D12" s="2" t="s">
        <v>223</v>
      </c>
    </row>
    <row r="13" spans="2:7" x14ac:dyDescent="0.2">
      <c r="B13" s="3" t="s">
        <v>1404</v>
      </c>
      <c r="C13" s="4" t="s">
        <v>1405</v>
      </c>
      <c r="D13" s="4" t="s">
        <v>1406</v>
      </c>
    </row>
    <row r="14" spans="2:7" x14ac:dyDescent="0.2">
      <c r="B14" s="3" t="s">
        <v>1407</v>
      </c>
      <c r="C14" s="4" t="s">
        <v>1408</v>
      </c>
      <c r="D14" s="4" t="s">
        <v>1409</v>
      </c>
    </row>
    <row r="15" spans="2:7" x14ac:dyDescent="0.2">
      <c r="B15" s="3" t="s">
        <v>1410</v>
      </c>
      <c r="C15" s="4" t="s">
        <v>1411</v>
      </c>
      <c r="D15" s="4" t="s">
        <v>1412</v>
      </c>
    </row>
    <row r="18" spans="2:7" ht="17.25" x14ac:dyDescent="0.2">
      <c r="B18" s="5" t="s">
        <v>339</v>
      </c>
    </row>
    <row r="20" spans="2:7" x14ac:dyDescent="0.2">
      <c r="B20" s="2" t="s">
        <v>1413</v>
      </c>
      <c r="C20" s="2" t="s">
        <v>1414</v>
      </c>
      <c r="D20" s="2" t="s">
        <v>73</v>
      </c>
    </row>
    <row r="21" spans="2:7" x14ac:dyDescent="0.2">
      <c r="B21" s="3" t="s">
        <v>1415</v>
      </c>
      <c r="C21" s="4" t="s">
        <v>1416</v>
      </c>
      <c r="D21" s="4" t="s">
        <v>1417</v>
      </c>
    </row>
    <row r="22" spans="2:7" ht="29.25" thickBot="1" x14ac:dyDescent="0.25">
      <c r="B22" s="3" t="s">
        <v>1418</v>
      </c>
      <c r="C22" s="4" t="s">
        <v>1419</v>
      </c>
      <c r="D22" s="4" t="s">
        <v>1420</v>
      </c>
    </row>
    <row r="23" spans="2:7" ht="29.25" thickBot="1" x14ac:dyDescent="0.25">
      <c r="B23" s="3" t="s">
        <v>1421</v>
      </c>
      <c r="C23" s="4" t="s">
        <v>1422</v>
      </c>
      <c r="D23" s="4" t="s">
        <v>1423</v>
      </c>
      <c r="E23" s="12"/>
    </row>
    <row r="24" spans="2:7" ht="16.5" thickBot="1" x14ac:dyDescent="0.25">
      <c r="E24" s="15"/>
      <c r="G24" t="str">
        <f t="shared" ref="G24:G52" si="0">"&lt;dl&gt;&lt;dt&gt;" &amp; B24 &amp; "&lt;/dt&gt;&lt;dd&gt;" &amp; C24 &amp; "&lt;/dd&gt;&lt;dd&gt;" &amp; D24 &amp; "&lt;/dd&gt;&lt;/dl&gt;"</f>
        <v>&lt;dl&gt;&lt;dt&gt;&lt;/dt&gt;&lt;dd&gt;&lt;/dd&gt;&lt;dd&gt;&lt;/dd&gt;&lt;/dl&gt;</v>
      </c>
    </row>
    <row r="25" spans="2:7" ht="16.5" thickBot="1" x14ac:dyDescent="0.25">
      <c r="E25" s="15"/>
      <c r="G25" t="str">
        <f t="shared" si="0"/>
        <v>&lt;dl&gt;&lt;dt&gt;&lt;/dt&gt;&lt;dd&gt;&lt;/dd&gt;&lt;dd&gt;&lt;/dd&gt;&lt;/dl&gt;</v>
      </c>
    </row>
    <row r="26" spans="2:7" ht="18" thickBot="1" x14ac:dyDescent="0.25">
      <c r="B26" s="5" t="s">
        <v>1424</v>
      </c>
      <c r="E26" s="15"/>
      <c r="G26" t="str">
        <f t="shared" si="0"/>
        <v>&lt;dl&gt;&lt;dt&gt;宫位叠加​&lt;/dt&gt;&lt;dd&gt;&lt;/dd&gt;&lt;dd&gt;&lt;/dd&gt;&lt;/dl&gt;</v>
      </c>
    </row>
    <row r="27" spans="2:7" ht="16.5" thickBot="1" x14ac:dyDescent="0.25">
      <c r="E27" s="15"/>
      <c r="G27" t="str">
        <f t="shared" si="0"/>
        <v>&lt;dl&gt;&lt;dt&gt;&lt;/dt&gt;&lt;dd&gt;&lt;/dd&gt;&lt;dd&gt;&lt;/dd&gt;&lt;/dl&gt;</v>
      </c>
    </row>
    <row r="28" spans="2:7" ht="16.5" thickBot="1" x14ac:dyDescent="0.25">
      <c r="B28" s="2" t="s">
        <v>18</v>
      </c>
      <c r="C28" s="2" t="s">
        <v>497</v>
      </c>
      <c r="D28" s="2" t="s">
        <v>700</v>
      </c>
      <c r="E28" s="15"/>
      <c r="G28" t="str">
        <f t="shared" si="0"/>
        <v>&lt;dl&gt;&lt;dt&gt;宫位​&lt;/dt&gt;&lt;dd&gt;象义​&lt;/dd&gt;&lt;dd&gt;具体表现​&lt;/dd&gt;&lt;/dl&gt;</v>
      </c>
    </row>
    <row r="29" spans="2:7" ht="16.5" thickBot="1" x14ac:dyDescent="0.25">
      <c r="B29" s="3" t="s">
        <v>6</v>
      </c>
      <c r="C29" s="4" t="s">
        <v>1425</v>
      </c>
      <c r="D29" s="4" t="s">
        <v>1426</v>
      </c>
      <c r="E29" s="15"/>
      <c r="G29" t="str">
        <f t="shared" si="0"/>
        <v>&lt;dl&gt;&lt;dt&gt;疾厄宫​&lt;/dt&gt;&lt;dd&gt;健康需长期护理&lt;/dd&gt;&lt;dd&gt;预示住院、残疾康复或慢性病管理&lt;/dd&gt;&lt;/dl&gt;</v>
      </c>
    </row>
    <row r="30" spans="2:7" x14ac:dyDescent="0.2">
      <c r="B30" s="3" t="s">
        <v>201</v>
      </c>
      <c r="C30" s="4" t="s">
        <v>1427</v>
      </c>
      <c r="D30" s="4" t="s">
        <v>1428</v>
      </c>
    </row>
    <row r="31" spans="2:7" x14ac:dyDescent="0.2">
      <c r="B31" s="3" t="s">
        <v>206</v>
      </c>
      <c r="C31" s="4" t="s">
        <v>1429</v>
      </c>
      <c r="D31" s="4" t="s">
        <v>1430</v>
      </c>
    </row>
    <row r="32" spans="2:7" x14ac:dyDescent="0.2">
      <c r="B32" s="3" t="s">
        <v>3</v>
      </c>
      <c r="C32" s="4" t="s">
        <v>1431</v>
      </c>
      <c r="D32" s="4" t="s">
        <v>1432</v>
      </c>
    </row>
    <row r="33" spans="2:7" ht="15" thickBot="1" x14ac:dyDescent="0.25"/>
    <row r="34" spans="2:7" ht="16.5" thickBot="1" x14ac:dyDescent="0.25">
      <c r="E34" s="12"/>
    </row>
    <row r="35" spans="2:7" ht="18" thickBot="1" x14ac:dyDescent="0.25">
      <c r="B35" s="5" t="s">
        <v>1433</v>
      </c>
      <c r="E35" s="15"/>
      <c r="G35" t="str">
        <f t="shared" si="0"/>
        <v>&lt;dl&gt;&lt;dt&gt;负面应验​&lt;/dt&gt;&lt;dd&gt;&lt;/dd&gt;&lt;dd&gt;&lt;/dd&gt;&lt;/dl&gt;</v>
      </c>
    </row>
    <row r="36" spans="2:7" ht="16.5" thickBot="1" x14ac:dyDescent="0.25">
      <c r="B36" s="6"/>
      <c r="E36" s="15"/>
      <c r="G36" t="str">
        <f t="shared" si="0"/>
        <v>&lt;dl&gt;&lt;dt&gt;&lt;/dt&gt;&lt;dd&gt;&lt;/dd&gt;&lt;dd&gt;&lt;/dd&gt;&lt;/dl&gt;</v>
      </c>
    </row>
    <row r="37" spans="2:7" ht="16.5" thickBot="1" x14ac:dyDescent="0.25">
      <c r="B37" s="7" t="s">
        <v>1434</v>
      </c>
      <c r="E37" s="15"/>
      <c r="G37" t="str">
        <f t="shared" si="0"/>
        <v>&lt;dl&gt;&lt;dt&gt;过度帮扶：导致依赖或能力退化（如富二代溺爱致无能）。&lt;/dt&gt;&lt;dd&gt;&lt;/dd&gt;&lt;dd&gt;&lt;/dd&gt;&lt;/dl&gt;</v>
      </c>
    </row>
    <row r="38" spans="2:7" ht="16.5" thickBot="1" x14ac:dyDescent="0.25">
      <c r="B38" s="7" t="s">
        <v>1435</v>
      </c>
      <c r="E38" s="15"/>
      <c r="G38" t="str">
        <f t="shared" si="0"/>
        <v>&lt;dl&gt;&lt;dt&gt;健康预警：在疾厄宫时，预示需长期医疗护理（如住院或康复治疗）。&lt;/dt&gt;&lt;dd&gt;&lt;/dd&gt;&lt;dd&gt;&lt;/dd&gt;&lt;/dl&gt;</v>
      </c>
    </row>
    <row r="39" spans="2:7" ht="16.5" thickBot="1" x14ac:dyDescent="0.25">
      <c r="E39" s="15"/>
      <c r="G39" t="str">
        <f t="shared" si="0"/>
        <v>&lt;dl&gt;&lt;dt&gt;&lt;/dt&gt;&lt;dd&gt;&lt;/dd&gt;&lt;dd&gt;&lt;/dd&gt;&lt;/dl&gt;</v>
      </c>
    </row>
    <row r="40" spans="2:7" ht="16.5" thickBot="1" x14ac:dyDescent="0.25">
      <c r="E40" s="15"/>
      <c r="G40" t="str">
        <f t="shared" si="0"/>
        <v>&lt;dl&gt;&lt;dt&gt;&lt;/dt&gt;&lt;dd&gt;&lt;/dd&gt;&lt;dd&gt;&lt;/dd&gt;&lt;/dl&gt;</v>
      </c>
    </row>
    <row r="41" spans="2:7" ht="16.5" thickBot="1" x14ac:dyDescent="0.25">
      <c r="E41" s="15"/>
      <c r="G41" t="str">
        <f t="shared" si="0"/>
        <v>&lt;dl&gt;&lt;dt&gt;&lt;/dt&gt;&lt;dd&gt;&lt;/dd&gt;&lt;dd&gt;&lt;/dd&gt;&lt;/dl&gt;</v>
      </c>
    </row>
    <row r="42" spans="2:7" ht="18" thickBot="1" x14ac:dyDescent="0.25">
      <c r="B42" s="5" t="s">
        <v>1436</v>
      </c>
      <c r="E42" s="15"/>
      <c r="G42" t="str">
        <f t="shared" si="0"/>
        <v>&lt;dl&gt;&lt;dt&gt;关键逻辑​&lt;/dt&gt;&lt;dd&gt;&lt;/dd&gt;&lt;dd&gt;&lt;/dd&gt;&lt;/dl&gt;</v>
      </c>
    </row>
    <row r="43" spans="2:7" ht="16.5" thickBot="1" x14ac:dyDescent="0.25">
      <c r="B43" s="6"/>
      <c r="E43" s="15"/>
      <c r="G43" t="str">
        <f t="shared" si="0"/>
        <v>&lt;dl&gt;&lt;dt&gt;&lt;/dt&gt;&lt;dd&gt;&lt;/dd&gt;&lt;dd&gt;&lt;/dd&gt;&lt;/dl&gt;</v>
      </c>
    </row>
    <row r="44" spans="2:7" x14ac:dyDescent="0.2">
      <c r="B44" s="7" t="s">
        <v>1437</v>
      </c>
    </row>
    <row r="45" spans="2:7" x14ac:dyDescent="0.2">
      <c r="B45" s="7" t="s">
        <v>1438</v>
      </c>
    </row>
    <row r="46" spans="2:7" x14ac:dyDescent="0.2">
      <c r="B46" s="6"/>
    </row>
    <row r="47" spans="2:7" ht="15" thickBot="1" x14ac:dyDescent="0.25">
      <c r="B47" s="9" t="s">
        <v>1439</v>
      </c>
    </row>
    <row r="48" spans="2:7" ht="16.5" thickBot="1" x14ac:dyDescent="0.25">
      <c r="B48" s="9" t="s">
        <v>1440</v>
      </c>
      <c r="E48" s="12"/>
    </row>
    <row r="49" spans="2:7" ht="16.5" thickBot="1" x14ac:dyDescent="0.25">
      <c r="B49" s="7" t="s">
        <v>1441</v>
      </c>
      <c r="E49" s="15"/>
      <c r="G49" t="str">
        <f t="shared" si="0"/>
        <v>&lt;dl&gt;&lt;dt&gt;3. 行业关联：强关联“痛而后效”领域（如物理治疗），痛感本身是转化成长的媒介。&lt;/dt&gt;&lt;dd&gt;&lt;/dd&gt;&lt;dd&gt;&lt;/dd&gt;&lt;/dl&gt;</v>
      </c>
    </row>
    <row r="50" spans="2:7" ht="16.5" thickBot="1" x14ac:dyDescent="0.25">
      <c r="B50" s="14"/>
      <c r="C50" s="15"/>
      <c r="D50" s="15"/>
      <c r="E50" s="15"/>
      <c r="G50" t="str">
        <f t="shared" si="0"/>
        <v>&lt;dl&gt;&lt;dt&gt;&lt;/dt&gt;&lt;dd&gt;&lt;/dd&gt;&lt;dd&gt;&lt;/dd&gt;&lt;/dl&gt;</v>
      </c>
    </row>
    <row r="51" spans="2:7" ht="16.5" thickBot="1" x14ac:dyDescent="0.25">
      <c r="B51" s="14"/>
      <c r="C51" s="15"/>
      <c r="D51" s="15"/>
      <c r="E51" s="15"/>
      <c r="G51" t="str">
        <f t="shared" si="0"/>
        <v>&lt;dl&gt;&lt;dt&gt;&lt;/dt&gt;&lt;dd&gt;&lt;/dd&gt;&lt;dd&gt;&lt;/dd&gt;&lt;/dl&gt;</v>
      </c>
    </row>
    <row r="52" spans="2:7" ht="16.5" thickBot="1" x14ac:dyDescent="0.25">
      <c r="B52" s="14"/>
      <c r="C52" s="15"/>
      <c r="D52" s="15"/>
      <c r="E52" s="15"/>
      <c r="G52" t="str">
        <f t="shared" si="0"/>
        <v>&lt;dl&gt;&lt;dt&gt;&lt;/dt&gt;&lt;dd&gt;&lt;/dd&gt;&lt;dd&gt;&lt;/dd&gt;&lt;/dl&gt;</v>
      </c>
    </row>
    <row r="55" spans="2:7" ht="17.25" x14ac:dyDescent="0.2">
      <c r="B55" s="5"/>
    </row>
    <row r="56" spans="2:7" x14ac:dyDescent="0.2">
      <c r="B56" s="6"/>
    </row>
    <row r="57" spans="2:7" x14ac:dyDescent="0.2">
      <c r="B57" s="7"/>
    </row>
    <row r="58" spans="2:7" x14ac:dyDescent="0.2">
      <c r="B58" s="6"/>
    </row>
    <row r="59" spans="2:7" x14ac:dyDescent="0.2">
      <c r="B59" s="8"/>
    </row>
    <row r="60" spans="2:7" x14ac:dyDescent="0.2">
      <c r="B60" s="8"/>
    </row>
    <row r="64" spans="2:7" ht="17.25" x14ac:dyDescent="0.2">
      <c r="B64" s="5"/>
    </row>
    <row r="65" spans="2:2" x14ac:dyDescent="0.2">
      <c r="B65" s="6"/>
    </row>
    <row r="66" spans="2:2" x14ac:dyDescent="0.2">
      <c r="B66" s="7"/>
    </row>
    <row r="67" spans="2:2" x14ac:dyDescent="0.2">
      <c r="B67" s="6"/>
    </row>
    <row r="68" spans="2:2" x14ac:dyDescent="0.2">
      <c r="B68" s="9"/>
    </row>
    <row r="69" spans="2:2" x14ac:dyDescent="0.2">
      <c r="B69" s="9"/>
    </row>
    <row r="70" spans="2:2" x14ac:dyDescent="0.2">
      <c r="B70" s="7"/>
    </row>
    <row r="71" spans="2:2" x14ac:dyDescent="0.2">
      <c r="B71" s="6"/>
    </row>
    <row r="72" spans="2:2" x14ac:dyDescent="0.2">
      <c r="B72" s="9"/>
    </row>
    <row r="73" spans="2:2" x14ac:dyDescent="0.2">
      <c r="B73" s="9"/>
    </row>
    <row r="77" spans="2:2" ht="17.25" x14ac:dyDescent="0.2">
      <c r="B77" s="5"/>
    </row>
    <row r="80" spans="2:2" x14ac:dyDescent="0.2">
      <c r="B80" s="16"/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DA691-FCB3-4ABF-B3D4-290797A62703}">
  <dimension ref="B1:G82"/>
  <sheetViews>
    <sheetView zoomScaleNormal="100" workbookViewId="0">
      <selection activeCell="D58" sqref="D58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1442</v>
      </c>
      <c r="G1" t="str">
        <f>"&lt;dl&gt;&lt;dt&gt;" &amp; B1 &amp; "&lt;/dt&gt;&lt;dd&gt;" &amp; C1 &amp; "&lt;/dd&gt;&lt;dd&gt;" &amp; D1 &amp; "&lt;/dd&gt;&lt;/dl&gt;"</f>
        <v>&lt;dl&gt;&lt;dt&gt;一、天钺定义​&lt;/dt&gt;&lt;dd&gt;&lt;/dd&gt;&lt;dd&gt;&lt;/dd&gt;&lt;/dl&gt;</v>
      </c>
    </row>
    <row r="3" spans="2:7" x14ac:dyDescent="0.2">
      <c r="B3" s="2" t="s">
        <v>376</v>
      </c>
      <c r="C3" s="2" t="s">
        <v>377</v>
      </c>
      <c r="D3" s="2" t="s">
        <v>21</v>
      </c>
    </row>
    <row r="4" spans="2:7" x14ac:dyDescent="0.2">
      <c r="B4" s="3" t="s">
        <v>620</v>
      </c>
      <c r="C4" s="4" t="s">
        <v>1443</v>
      </c>
      <c r="D4" s="4"/>
    </row>
    <row r="5" spans="2:7" x14ac:dyDescent="0.2">
      <c r="B5" s="3" t="s">
        <v>622</v>
      </c>
      <c r="C5" s="4" t="s">
        <v>1444</v>
      </c>
      <c r="D5" s="4"/>
    </row>
    <row r="6" spans="2:7" x14ac:dyDescent="0.2">
      <c r="B6" s="3" t="s">
        <v>1445</v>
      </c>
      <c r="C6" s="4" t="s">
        <v>1446</v>
      </c>
      <c r="D6" s="4"/>
    </row>
    <row r="7" spans="2:7" x14ac:dyDescent="0.2">
      <c r="B7" s="3" t="s">
        <v>624</v>
      </c>
      <c r="C7" s="4" t="s">
        <v>1447</v>
      </c>
      <c r="D7" s="4"/>
    </row>
    <row r="8" spans="2:7" ht="28.5" x14ac:dyDescent="0.2">
      <c r="B8" s="3" t="s">
        <v>1448</v>
      </c>
      <c r="C8" s="4" t="s">
        <v>1449</v>
      </c>
      <c r="D8" s="4"/>
    </row>
    <row r="11" spans="2:7" ht="17.25" x14ac:dyDescent="0.2">
      <c r="B11" s="5" t="s">
        <v>388</v>
      </c>
    </row>
    <row r="13" spans="2:7" x14ac:dyDescent="0.2">
      <c r="B13" s="2" t="s">
        <v>584</v>
      </c>
      <c r="C13" s="2" t="s">
        <v>1065</v>
      </c>
      <c r="D13" s="2" t="s">
        <v>1066</v>
      </c>
      <c r="E13" s="2" t="s">
        <v>21</v>
      </c>
    </row>
    <row r="14" spans="2:7" x14ac:dyDescent="0.2">
      <c r="B14" s="3" t="s">
        <v>1450</v>
      </c>
      <c r="C14" s="4" t="s">
        <v>1451</v>
      </c>
      <c r="D14" s="4" t="s">
        <v>1452</v>
      </c>
      <c r="E14" s="4"/>
    </row>
    <row r="15" spans="2:7" x14ac:dyDescent="0.2">
      <c r="B15" s="3" t="s">
        <v>1453</v>
      </c>
      <c r="C15" s="4" t="s">
        <v>1454</v>
      </c>
      <c r="D15" s="4" t="s">
        <v>1455</v>
      </c>
      <c r="E15" s="4"/>
    </row>
    <row r="16" spans="2:7" x14ac:dyDescent="0.2">
      <c r="B16" s="3" t="s">
        <v>1456</v>
      </c>
      <c r="C16" s="4" t="s">
        <v>1457</v>
      </c>
      <c r="D16" s="4" t="s">
        <v>1458</v>
      </c>
      <c r="E16" s="4"/>
    </row>
    <row r="19" spans="2:7" ht="17.25" x14ac:dyDescent="0.2">
      <c r="B19" s="5" t="s">
        <v>410</v>
      </c>
    </row>
    <row r="21" spans="2:7" ht="15.75" x14ac:dyDescent="0.2">
      <c r="B21" s="13" t="s">
        <v>411</v>
      </c>
    </row>
    <row r="23" spans="2:7" x14ac:dyDescent="0.2">
      <c r="B23" s="2" t="s">
        <v>71</v>
      </c>
      <c r="C23" s="2" t="s">
        <v>453</v>
      </c>
      <c r="D23" s="2" t="s">
        <v>454</v>
      </c>
      <c r="E23" s="2" t="s">
        <v>21</v>
      </c>
    </row>
    <row r="24" spans="2:7" x14ac:dyDescent="0.2">
      <c r="B24" s="3" t="s">
        <v>1459</v>
      </c>
      <c r="C24" s="4" t="s">
        <v>1460</v>
      </c>
      <c r="D24" s="4" t="s">
        <v>1461</v>
      </c>
      <c r="E24" s="4"/>
      <c r="G24" t="str">
        <f t="shared" ref="G24:G50" si="0">"&lt;dl&gt;&lt;dt&gt;" &amp; B24 &amp; "&lt;/dt&gt;&lt;dd&gt;" &amp; C24 &amp; "&lt;/dd&gt;&lt;dd&gt;" &amp; D24 &amp; "&lt;/dd&gt;&lt;/dl&gt;"</f>
        <v>&lt;dl&gt;&lt;dt&gt;天钺+紫微​&lt;/dt&gt;&lt;dd&gt;幕后权威（如董事会匿名支持）&lt;/dd&gt;&lt;dd&gt;傀儡操控（被隐性势力控制）&lt;/dd&gt;&lt;/dl&gt;</v>
      </c>
    </row>
    <row r="25" spans="2:7" x14ac:dyDescent="0.2">
      <c r="B25" s="3" t="s">
        <v>1462</v>
      </c>
      <c r="C25" s="4" t="s">
        <v>1463</v>
      </c>
      <c r="D25" s="4" t="s">
        <v>1464</v>
      </c>
      <c r="E25" s="4"/>
      <c r="G25" t="str">
        <f t="shared" si="0"/>
        <v>&lt;dl&gt;&lt;dt&gt;天钺+天同​&lt;/dt&gt;&lt;dd&gt;情感庇护（干妈关照、心理疏导）&lt;/dd&gt;&lt;dd&gt;溺爱纵容（过度保护致能力退化）&lt;/dd&gt;&lt;/dl&gt;</v>
      </c>
    </row>
    <row r="26" spans="2:7" x14ac:dyDescent="0.2">
      <c r="B26" s="3" t="s">
        <v>1465</v>
      </c>
      <c r="C26" s="4" t="s">
        <v>1466</v>
      </c>
      <c r="D26" s="4" t="s">
        <v>1467</v>
      </c>
      <c r="E26" s="4"/>
      <c r="G26" t="str">
        <f t="shared" si="0"/>
        <v>&lt;dl&gt;&lt;dt&gt;天钺+太阴​&lt;/dt&gt;&lt;dd&gt;女性资源（遗产继承、闺蜜相助）&lt;/dd&gt;&lt;dd&gt;虚情假意（女性关系利用）&lt;/dd&gt;&lt;/dl&gt;</v>
      </c>
    </row>
    <row r="27" spans="2:7" x14ac:dyDescent="0.2">
      <c r="G27" t="str">
        <f t="shared" si="0"/>
        <v>&lt;dl&gt;&lt;dt&gt;&lt;/dt&gt;&lt;dd&gt;&lt;/dd&gt;&lt;dd&gt;&lt;/dd&gt;&lt;/dl&gt;</v>
      </c>
    </row>
    <row r="28" spans="2:7" ht="15.75" x14ac:dyDescent="0.2">
      <c r="B28" s="13" t="s">
        <v>426</v>
      </c>
      <c r="G28" t="str">
        <f t="shared" si="0"/>
        <v>&lt;dl&gt;&lt;dt&gt;2. 辅星组合​&lt;/dt&gt;&lt;dd&gt;&lt;/dd&gt;&lt;dd&gt;&lt;/dd&gt;&lt;/dl&gt;</v>
      </c>
    </row>
    <row r="29" spans="2:7" x14ac:dyDescent="0.2">
      <c r="G29" t="str">
        <f t="shared" si="0"/>
        <v>&lt;dl&gt;&lt;dt&gt;&lt;/dt&gt;&lt;dd&gt;&lt;/dd&gt;&lt;dd&gt;&lt;/dd&gt;&lt;/dl&gt;</v>
      </c>
    </row>
    <row r="30" spans="2:7" x14ac:dyDescent="0.2">
      <c r="B30" s="2" t="s">
        <v>40</v>
      </c>
      <c r="C30" s="2" t="s">
        <v>427</v>
      </c>
      <c r="D30" s="2" t="s">
        <v>428</v>
      </c>
      <c r="E30" s="2" t="s">
        <v>21</v>
      </c>
    </row>
    <row r="31" spans="2:7" x14ac:dyDescent="0.2">
      <c r="B31" s="3" t="s">
        <v>1468</v>
      </c>
      <c r="C31" s="4" t="s">
        <v>1469</v>
      </c>
      <c r="D31" s="4" t="s">
        <v>1470</v>
      </c>
      <c r="E31" s="4"/>
    </row>
    <row r="32" spans="2:7" x14ac:dyDescent="0.2">
      <c r="B32" s="3" t="s">
        <v>1471</v>
      </c>
      <c r="C32" s="4" t="s">
        <v>1472</v>
      </c>
      <c r="D32" s="4" t="s">
        <v>1473</v>
      </c>
      <c r="E32" s="4"/>
    </row>
    <row r="33" spans="2:7" x14ac:dyDescent="0.2">
      <c r="B33" s="3" t="s">
        <v>1474</v>
      </c>
      <c r="C33" s="4" t="s">
        <v>1475</v>
      </c>
      <c r="D33" s="4" t="s">
        <v>1476</v>
      </c>
      <c r="E33" s="4"/>
    </row>
    <row r="34" spans="2:7" x14ac:dyDescent="0.2">
      <c r="B34" s="3" t="s">
        <v>1477</v>
      </c>
      <c r="C34" s="4" t="s">
        <v>1478</v>
      </c>
      <c r="D34" s="4" t="s">
        <v>1479</v>
      </c>
      <c r="E34" s="4"/>
    </row>
    <row r="35" spans="2:7" x14ac:dyDescent="0.2">
      <c r="B35" s="3" t="s">
        <v>1480</v>
      </c>
      <c r="C35" s="4" t="s">
        <v>1481</v>
      </c>
      <c r="D35" s="4" t="s">
        <v>1482</v>
      </c>
      <c r="E35" s="4"/>
      <c r="G35" t="str">
        <f t="shared" si="0"/>
        <v>&lt;dl&gt;&lt;dt&gt;天钺+地劫​&lt;/dt&gt;&lt;dd&gt;漏洞填补（资金链断裂时注资）&lt;/dd&gt;&lt;dd&gt;援助落空（承诺贷款被拒）&lt;/dd&gt;&lt;/dl&gt;</v>
      </c>
    </row>
    <row r="36" spans="2:7" x14ac:dyDescent="0.2">
      <c r="G36" t="str">
        <f t="shared" si="0"/>
        <v>&lt;dl&gt;&lt;dt&gt;&lt;/dt&gt;&lt;dd&gt;&lt;/dd&gt;&lt;dd&gt;&lt;/dd&gt;&lt;/dl&gt;</v>
      </c>
    </row>
    <row r="37" spans="2:7" x14ac:dyDescent="0.2">
      <c r="G37" t="str">
        <f t="shared" si="0"/>
        <v>&lt;dl&gt;&lt;dt&gt;&lt;/dt&gt;&lt;dd&gt;&lt;/dd&gt;&lt;dd&gt;&lt;/dd&gt;&lt;/dl&gt;</v>
      </c>
    </row>
    <row r="38" spans="2:7" ht="17.25" x14ac:dyDescent="0.2">
      <c r="B38" s="5" t="s">
        <v>1483</v>
      </c>
      <c r="G38" t="str">
        <f t="shared" si="0"/>
        <v>&lt;dl&gt;&lt;dt&gt;四、宫位叠加象义​&lt;/dt&gt;&lt;dd&gt;&lt;/dd&gt;&lt;dd&gt;&lt;/dd&gt;&lt;/dl&gt;</v>
      </c>
    </row>
    <row r="39" spans="2:7" x14ac:dyDescent="0.2">
      <c r="G39" t="str">
        <f t="shared" si="0"/>
        <v>&lt;dl&gt;&lt;dt&gt;&lt;/dt&gt;&lt;dd&gt;&lt;/dd&gt;&lt;dd&gt;&lt;/dd&gt;&lt;/dl&gt;</v>
      </c>
    </row>
    <row r="40" spans="2:7" x14ac:dyDescent="0.2">
      <c r="B40" s="2" t="s">
        <v>18</v>
      </c>
      <c r="C40" s="2" t="s">
        <v>412</v>
      </c>
      <c r="D40" s="2" t="s">
        <v>413</v>
      </c>
      <c r="E40" s="2" t="s">
        <v>21</v>
      </c>
      <c r="G40" t="str">
        <f t="shared" si="0"/>
        <v>&lt;dl&gt;&lt;dt&gt;宫位​&lt;/dt&gt;&lt;dd&gt;庙旺象义​&lt;/dd&gt;&lt;dd&gt;落陷象义​&lt;/dd&gt;&lt;/dl&gt;</v>
      </c>
    </row>
    <row r="41" spans="2:7" x14ac:dyDescent="0.2">
      <c r="B41" s="3" t="s">
        <v>201</v>
      </c>
      <c r="C41" s="4" t="s">
        <v>1484</v>
      </c>
      <c r="D41" s="4" t="s">
        <v>1485</v>
      </c>
      <c r="E41" s="4"/>
      <c r="G41" t="str">
        <f t="shared" si="0"/>
        <v>&lt;dl&gt;&lt;dt&gt;命宫​&lt;/dt&gt;&lt;dd&gt;天生贵人缘（常遇隐形伯乐）&lt;/dd&gt;&lt;dd&gt;依赖成性（总期待他人解救）&lt;/dd&gt;&lt;/dl&gt;</v>
      </c>
    </row>
    <row r="42" spans="2:7" x14ac:dyDescent="0.2">
      <c r="B42" s="3" t="s">
        <v>9</v>
      </c>
      <c r="C42" s="4" t="s">
        <v>1486</v>
      </c>
      <c r="D42" s="4" t="s">
        <v>1487</v>
      </c>
      <c r="E42" s="4"/>
      <c r="G42" t="str">
        <f t="shared" si="0"/>
        <v>&lt;dl&gt;&lt;dt&gt;父母宫​&lt;/dt&gt;&lt;dd&gt;继母/养母扶持&lt;/dd&gt;&lt;dd&gt;长辈虚情（表面关怀实为监视）&lt;/dd&gt;&lt;/dl&gt;</v>
      </c>
    </row>
    <row r="43" spans="2:7" x14ac:dyDescent="0.2">
      <c r="B43" s="3" t="s">
        <v>6</v>
      </c>
      <c r="C43" s="4" t="s">
        <v>1488</v>
      </c>
      <c r="D43" s="4" t="s">
        <v>1489</v>
      </c>
      <c r="E43" s="4"/>
      <c r="G43" t="str">
        <f t="shared" si="0"/>
        <v>&lt;dl&gt;&lt;dt&gt;疾厄宫​&lt;/dt&gt;&lt;dd&gt;高端护理（VIP病房特护）&lt;/dd&gt;&lt;dd&gt;医疗欺诈（假专家误诊）&lt;/dd&gt;&lt;/dl&gt;</v>
      </c>
    </row>
    <row r="44" spans="2:7" x14ac:dyDescent="0.2">
      <c r="B44" s="3" t="s">
        <v>3</v>
      </c>
      <c r="C44" s="4" t="s">
        <v>1490</v>
      </c>
      <c r="D44" s="4" t="s">
        <v>1491</v>
      </c>
      <c r="E44" s="4"/>
    </row>
    <row r="45" spans="2:7" x14ac:dyDescent="0.2">
      <c r="B45" s="3" t="s">
        <v>15</v>
      </c>
      <c r="C45" s="4" t="s">
        <v>1492</v>
      </c>
      <c r="D45" s="4" t="s">
        <v>1493</v>
      </c>
      <c r="E45" s="4"/>
    </row>
    <row r="46" spans="2:7" x14ac:dyDescent="0.2">
      <c r="B46" s="3" t="s">
        <v>206</v>
      </c>
      <c r="C46" s="4" t="s">
        <v>1494</v>
      </c>
      <c r="D46" s="4" t="s">
        <v>1495</v>
      </c>
      <c r="E46" s="4"/>
    </row>
    <row r="49" spans="2:7" ht="17.25" x14ac:dyDescent="0.2">
      <c r="B49" s="5" t="s">
        <v>86</v>
      </c>
      <c r="G49" t="str">
        <f t="shared" si="0"/>
        <v>&lt;dl&gt;&lt;dt&gt;五、四化联动​&lt;/dt&gt;&lt;dd&gt;&lt;/dd&gt;&lt;dd&gt;&lt;/dd&gt;&lt;/dl&gt;</v>
      </c>
    </row>
    <row r="50" spans="2:7" x14ac:dyDescent="0.2">
      <c r="G50" t="str">
        <f t="shared" si="0"/>
        <v>&lt;dl&gt;&lt;dt&gt;&lt;/dt&gt;&lt;dd&gt;&lt;/dd&gt;&lt;dd&gt;&lt;/dd&gt;&lt;/dl&gt;</v>
      </c>
    </row>
    <row r="51" spans="2:7" x14ac:dyDescent="0.2">
      <c r="B51" s="2" t="s">
        <v>250</v>
      </c>
      <c r="C51" s="2" t="s">
        <v>453</v>
      </c>
      <c r="D51" s="2" t="s">
        <v>454</v>
      </c>
      <c r="E51" s="2" t="s">
        <v>21</v>
      </c>
    </row>
    <row r="52" spans="2:7" x14ac:dyDescent="0.2">
      <c r="B52" s="3" t="s">
        <v>1496</v>
      </c>
      <c r="C52" s="4" t="s">
        <v>1498</v>
      </c>
      <c r="D52" s="4" t="s">
        <v>1499</v>
      </c>
      <c r="E52" s="4"/>
    </row>
    <row r="53" spans="2:7" x14ac:dyDescent="0.2">
      <c r="B53" s="3" t="s">
        <v>1500</v>
      </c>
      <c r="C53" s="4" t="s">
        <v>1502</v>
      </c>
      <c r="D53" s="4" t="s">
        <v>1503</v>
      </c>
      <c r="E53" s="4"/>
    </row>
    <row r="56" spans="2:7" ht="17.25" x14ac:dyDescent="0.2">
      <c r="B56" s="5" t="s">
        <v>90</v>
      </c>
    </row>
    <row r="57" spans="2:7" x14ac:dyDescent="0.2">
      <c r="B57" s="6"/>
    </row>
    <row r="58" spans="2:7" x14ac:dyDescent="0.2">
      <c r="B58" s="7" t="s">
        <v>1504</v>
      </c>
    </row>
    <row r="59" spans="2:7" x14ac:dyDescent="0.2">
      <c r="B59" s="6"/>
    </row>
    <row r="60" spans="2:7" x14ac:dyDescent="0.2">
      <c r="B60" s="9" t="s">
        <v>1505</v>
      </c>
    </row>
    <row r="61" spans="2:7" x14ac:dyDescent="0.2">
      <c r="B61" s="9" t="s">
        <v>1506</v>
      </c>
    </row>
    <row r="62" spans="2:7" x14ac:dyDescent="0.2">
      <c r="B62" s="7" t="s">
        <v>1507</v>
      </c>
    </row>
    <row r="63" spans="2:7" x14ac:dyDescent="0.2">
      <c r="B63" s="6"/>
    </row>
    <row r="64" spans="2:7" x14ac:dyDescent="0.2">
      <c r="B64" s="9" t="s">
        <v>1508</v>
      </c>
    </row>
    <row r="65" spans="2:2" x14ac:dyDescent="0.2">
      <c r="B65" s="9" t="s">
        <v>1509</v>
      </c>
    </row>
    <row r="69" spans="2:2" ht="17.25" x14ac:dyDescent="0.2">
      <c r="B69" s="5" t="s">
        <v>1436</v>
      </c>
    </row>
    <row r="70" spans="2:2" x14ac:dyDescent="0.2">
      <c r="B70" s="6"/>
    </row>
    <row r="71" spans="2:2" x14ac:dyDescent="0.2">
      <c r="B71" s="7" t="s">
        <v>1510</v>
      </c>
    </row>
    <row r="72" spans="2:2" x14ac:dyDescent="0.2">
      <c r="B72" s="7" t="s">
        <v>1511</v>
      </c>
    </row>
    <row r="73" spans="2:2" x14ac:dyDescent="0.2">
      <c r="B73" s="9"/>
    </row>
    <row r="77" spans="2:2" ht="17.25" x14ac:dyDescent="0.2">
      <c r="B77" s="5"/>
    </row>
    <row r="80" spans="2:2" x14ac:dyDescent="0.2">
      <c r="B80" s="16"/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CFE66-730F-4E79-A364-E461B6C0609D}">
  <dimension ref="B1:G82"/>
  <sheetViews>
    <sheetView topLeftCell="A50" zoomScaleNormal="100" workbookViewId="0">
      <selection activeCell="C68" sqref="C68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375</v>
      </c>
      <c r="G1" t="str">
        <f>"&lt;dl&gt;&lt;dt&gt;" &amp; B1 &amp; "&lt;/dt&gt;&lt;dd&gt;" &amp; C1 &amp; "&lt;/dd&gt;&lt;dd&gt;" &amp; D1 &amp; "&lt;/dd&gt;&lt;/dl&gt;"</f>
        <v>&lt;dl&gt;&lt;dt&gt;一、基础属性​&lt;/dt&gt;&lt;dd&gt;&lt;/dd&gt;&lt;dd&gt;&lt;/dd&gt;&lt;/dl&gt;</v>
      </c>
    </row>
    <row r="3" spans="2:7" x14ac:dyDescent="0.2">
      <c r="B3" s="2" t="s">
        <v>376</v>
      </c>
      <c r="C3" s="2" t="s">
        <v>377</v>
      </c>
      <c r="D3" s="2" t="s">
        <v>21</v>
      </c>
    </row>
    <row r="4" spans="2:7" x14ac:dyDescent="0.2">
      <c r="B4" s="3" t="s">
        <v>620</v>
      </c>
      <c r="C4" s="4" t="s">
        <v>1512</v>
      </c>
      <c r="D4" s="4"/>
    </row>
    <row r="5" spans="2:7" x14ac:dyDescent="0.2">
      <c r="B5" s="3" t="s">
        <v>1513</v>
      </c>
      <c r="C5" s="4" t="s">
        <v>1514</v>
      </c>
      <c r="D5" s="4"/>
    </row>
    <row r="6" spans="2:7" x14ac:dyDescent="0.2">
      <c r="B6" s="3" t="s">
        <v>624</v>
      </c>
      <c r="C6" s="4" t="s">
        <v>1515</v>
      </c>
      <c r="D6" s="4"/>
    </row>
    <row r="7" spans="2:7" x14ac:dyDescent="0.2">
      <c r="B7" s="3" t="s">
        <v>984</v>
      </c>
      <c r="C7" s="4" t="s">
        <v>985</v>
      </c>
      <c r="D7" s="4"/>
    </row>
    <row r="10" spans="2:7" ht="17.25" x14ac:dyDescent="0.2">
      <c r="B10" s="5" t="s">
        <v>388</v>
      </c>
    </row>
    <row r="12" spans="2:7" ht="15.75" x14ac:dyDescent="0.2">
      <c r="B12" s="13" t="s">
        <v>627</v>
      </c>
    </row>
    <row r="14" spans="2:7" x14ac:dyDescent="0.2">
      <c r="B14" s="2" t="s">
        <v>390</v>
      </c>
      <c r="C14" s="2" t="s">
        <v>1065</v>
      </c>
      <c r="D14" s="2" t="s">
        <v>1066</v>
      </c>
      <c r="E14" s="2" t="s">
        <v>21</v>
      </c>
    </row>
    <row r="15" spans="2:7" x14ac:dyDescent="0.2">
      <c r="B15" s="3" t="s">
        <v>1516</v>
      </c>
      <c r="C15" s="4" t="s">
        <v>1517</v>
      </c>
      <c r="D15" s="4" t="s">
        <v>1518</v>
      </c>
      <c r="E15" s="4"/>
    </row>
    <row r="16" spans="2:7" x14ac:dyDescent="0.2">
      <c r="B16" s="3" t="s">
        <v>1519</v>
      </c>
      <c r="C16" s="4" t="s">
        <v>1520</v>
      </c>
      <c r="D16" s="4" t="s">
        <v>1521</v>
      </c>
      <c r="E16" s="4"/>
    </row>
    <row r="17" spans="2:7" x14ac:dyDescent="0.2">
      <c r="B17" s="3" t="s">
        <v>1522</v>
      </c>
      <c r="C17" s="4" t="s">
        <v>1523</v>
      </c>
      <c r="D17" s="4" t="s">
        <v>1524</v>
      </c>
      <c r="E17" s="4"/>
    </row>
    <row r="19" spans="2:7" ht="15.75" x14ac:dyDescent="0.2">
      <c r="B19" s="13" t="s">
        <v>1525</v>
      </c>
    </row>
    <row r="21" spans="2:7" x14ac:dyDescent="0.2">
      <c r="B21" s="2" t="s">
        <v>1526</v>
      </c>
      <c r="C21" s="2" t="s">
        <v>1527</v>
      </c>
      <c r="D21" s="2" t="s">
        <v>1528</v>
      </c>
    </row>
    <row r="22" spans="2:7" x14ac:dyDescent="0.2">
      <c r="B22" s="3" t="s">
        <v>1529</v>
      </c>
      <c r="C22" s="4" t="s">
        <v>1530</v>
      </c>
      <c r="D22" s="4" t="s">
        <v>1531</v>
      </c>
    </row>
    <row r="23" spans="2:7" x14ac:dyDescent="0.2">
      <c r="B23" s="3" t="s">
        <v>1532</v>
      </c>
      <c r="C23" s="4" t="s">
        <v>1533</v>
      </c>
      <c r="D23" s="4" t="s">
        <v>1534</v>
      </c>
    </row>
    <row r="24" spans="2:7" x14ac:dyDescent="0.2">
      <c r="B24" s="3" t="s">
        <v>1535</v>
      </c>
      <c r="C24" s="4" t="s">
        <v>1536</v>
      </c>
      <c r="D24" s="4" t="s">
        <v>1537</v>
      </c>
      <c r="G24" t="str">
        <f t="shared" ref="G24:G52" si="0">"&lt;dl&gt;&lt;dt&gt;" &amp; B24 &amp; "&lt;/dt&gt;&lt;dd&gt;" &amp; C24 &amp; "&lt;/dd&gt;&lt;dd&gt;" &amp; D24 &amp; "&lt;/dd&gt;&lt;/dl&gt;"</f>
        <v>&lt;dl&gt;&lt;dt&gt;胸部（辰/酉）​&lt;/dt&gt;&lt;dd&gt;乳腺结节/肺癌肿块&lt;/dd&gt;&lt;dd&gt;廉贞+禄存/陀罗+禄存&lt;/dd&gt;&lt;/dl&gt;</v>
      </c>
    </row>
    <row r="25" spans="2:7" x14ac:dyDescent="0.2">
      <c r="B25" s="3" t="s">
        <v>1538</v>
      </c>
      <c r="C25" s="4" t="s">
        <v>1539</v>
      </c>
      <c r="D25" s="4" t="s">
        <v>1540</v>
      </c>
      <c r="G25" t="str">
        <f t="shared" si="0"/>
        <v>&lt;dl&gt;&lt;dt&gt;腹部（卯/戌）​&lt;/dt&gt;&lt;dd&gt;腹腔硬块/肾结石&lt;/dd&gt;&lt;dd&gt;武曲+禄存+铃星&lt;/dd&gt;&lt;/dl&gt;</v>
      </c>
    </row>
    <row r="26" spans="2:7" x14ac:dyDescent="0.2">
      <c r="B26" s="3" t="s">
        <v>1541</v>
      </c>
      <c r="C26" s="4" t="s">
        <v>1542</v>
      </c>
      <c r="D26" s="4" t="s">
        <v>1543</v>
      </c>
      <c r="G26" t="str">
        <f t="shared" si="0"/>
        <v>&lt;dl&gt;&lt;dt&gt;下阴（子/丑）​&lt;/dt&gt;&lt;dd&gt;尿路结石/囊肿&lt;/dd&gt;&lt;dd&gt;禄存独坐+煞星&lt;/dd&gt;&lt;/dl&gt;</v>
      </c>
    </row>
    <row r="27" spans="2:7" x14ac:dyDescent="0.2">
      <c r="G27" t="str">
        <f t="shared" si="0"/>
        <v>&lt;dl&gt;&lt;dt&gt;&lt;/dt&gt;&lt;dd&gt;&lt;/dd&gt;&lt;dd&gt;&lt;/dd&gt;&lt;/dl&gt;</v>
      </c>
    </row>
    <row r="28" spans="2:7" x14ac:dyDescent="0.2">
      <c r="G28" t="str">
        <f t="shared" si="0"/>
        <v>&lt;dl&gt;&lt;dt&gt;&lt;/dt&gt;&lt;dd&gt;&lt;/dd&gt;&lt;dd&gt;&lt;/dd&gt;&lt;/dl&gt;</v>
      </c>
    </row>
    <row r="29" spans="2:7" ht="17.25" x14ac:dyDescent="0.2">
      <c r="B29" s="5" t="s">
        <v>410</v>
      </c>
      <c r="G29" t="str">
        <f t="shared" si="0"/>
        <v>&lt;dl&gt;&lt;dt&gt;三、组合象义​&lt;/dt&gt;&lt;dd&gt;&lt;/dd&gt;&lt;dd&gt;&lt;/dd&gt;&lt;/dl&gt;</v>
      </c>
    </row>
    <row r="31" spans="2:7" ht="15.75" x14ac:dyDescent="0.2">
      <c r="B31" s="13" t="s">
        <v>411</v>
      </c>
    </row>
    <row r="33" spans="2:7" x14ac:dyDescent="0.2">
      <c r="B33" s="2" t="s">
        <v>71</v>
      </c>
      <c r="C33" s="2" t="s">
        <v>453</v>
      </c>
      <c r="D33" s="2" t="s">
        <v>454</v>
      </c>
      <c r="E33" s="2" t="s">
        <v>21</v>
      </c>
    </row>
    <row r="34" spans="2:7" x14ac:dyDescent="0.2">
      <c r="B34" s="3" t="s">
        <v>1544</v>
      </c>
      <c r="C34" s="4" t="s">
        <v>1545</v>
      </c>
      <c r="D34" s="4" t="s">
        <v>1546</v>
      </c>
      <c r="E34" s="4"/>
    </row>
    <row r="35" spans="2:7" x14ac:dyDescent="0.2">
      <c r="B35" s="3" t="s">
        <v>1547</v>
      </c>
      <c r="C35" s="4" t="s">
        <v>1548</v>
      </c>
      <c r="D35" s="4" t="s">
        <v>1549</v>
      </c>
      <c r="E35" s="4"/>
      <c r="G35" t="str">
        <f t="shared" si="0"/>
        <v>&lt;dl&gt;&lt;dt&gt;禄存+天府​&lt;/dt&gt;&lt;dd&gt;资源稳固（祖产丰厚）&lt;/dd&gt;&lt;dd&gt;资源虚耗（家道中落）&lt;/dd&gt;&lt;/dl&gt;</v>
      </c>
    </row>
    <row r="36" spans="2:7" x14ac:dyDescent="0.2">
      <c r="B36" s="3" t="s">
        <v>1550</v>
      </c>
      <c r="C36" s="4" t="s">
        <v>1551</v>
      </c>
      <c r="D36" s="4" t="s">
        <v>1552</v>
      </c>
      <c r="E36" s="4"/>
      <c r="G36" t="str">
        <f t="shared" si="0"/>
        <v>&lt;dl&gt;&lt;dt&gt;禄存+天梁​&lt;/dt&gt;&lt;dd&gt;规则性财富（法律遗产）&lt;/dd&gt;&lt;dd&gt;规则崩塌（遗产纠纷）&lt;/dd&gt;&lt;/dl&gt;</v>
      </c>
    </row>
    <row r="37" spans="2:7" x14ac:dyDescent="0.2">
      <c r="B37" s="3" t="s">
        <v>1553</v>
      </c>
      <c r="C37" s="4" t="s">
        <v>1554</v>
      </c>
      <c r="D37" s="4" t="s">
        <v>1555</v>
      </c>
      <c r="E37" s="4"/>
      <c r="G37" t="str">
        <f t="shared" si="0"/>
        <v>&lt;dl&gt;&lt;dt&gt;禄存+七杀​&lt;/dt&gt;&lt;dd&gt;线性财富链（稳定收入）&lt;/dd&gt;&lt;dd&gt;资金链断裂（破产）&lt;/dd&gt;&lt;/dl&gt;</v>
      </c>
    </row>
    <row r="38" spans="2:7" x14ac:dyDescent="0.2">
      <c r="G38" t="str">
        <f t="shared" si="0"/>
        <v>&lt;dl&gt;&lt;dt&gt;&lt;/dt&gt;&lt;dd&gt;&lt;/dd&gt;&lt;dd&gt;&lt;/dd&gt;&lt;/dl&gt;</v>
      </c>
    </row>
    <row r="39" spans="2:7" ht="15.75" x14ac:dyDescent="0.2">
      <c r="B39" s="13" t="s">
        <v>426</v>
      </c>
      <c r="G39" t="str">
        <f t="shared" si="0"/>
        <v>&lt;dl&gt;&lt;dt&gt;2. 辅星组合​&lt;/dt&gt;&lt;dd&gt;&lt;/dd&gt;&lt;dd&gt;&lt;/dd&gt;&lt;/dl&gt;</v>
      </c>
    </row>
    <row r="40" spans="2:7" x14ac:dyDescent="0.2">
      <c r="G40" t="str">
        <f t="shared" si="0"/>
        <v>&lt;dl&gt;&lt;dt&gt;&lt;/dt&gt;&lt;dd&gt;&lt;/dd&gt;&lt;dd&gt;&lt;/dd&gt;&lt;/dl&gt;</v>
      </c>
    </row>
    <row r="41" spans="2:7" x14ac:dyDescent="0.2">
      <c r="B41" s="2" t="s">
        <v>40</v>
      </c>
      <c r="C41" s="2" t="s">
        <v>427</v>
      </c>
      <c r="D41" s="2" t="s">
        <v>428</v>
      </c>
      <c r="E41" s="2" t="s">
        <v>21</v>
      </c>
      <c r="G41" t="str">
        <f t="shared" si="0"/>
        <v>&lt;dl&gt;&lt;dt&gt;辅星​&lt;/dt&gt;&lt;dd&gt;吉象（庙旺）​&lt;/dd&gt;&lt;dd&gt;凶象（落陷）​&lt;/dd&gt;&lt;/dl&gt;</v>
      </c>
    </row>
    <row r="42" spans="2:7" x14ac:dyDescent="0.2">
      <c r="B42" s="3" t="s">
        <v>1556</v>
      </c>
      <c r="C42" s="4" t="s">
        <v>1557</v>
      </c>
      <c r="D42" s="4" t="s">
        <v>1470</v>
      </c>
      <c r="E42" s="4"/>
      <c r="G42" t="str">
        <f t="shared" si="0"/>
        <v>&lt;dl&gt;&lt;dt&gt;禄存+文昌​&lt;/dt&gt;&lt;dd&gt;证书加持（学历变现）&lt;/dd&gt;&lt;dd&gt;学历造假（虚假背书）&lt;/dd&gt;&lt;/dl&gt;</v>
      </c>
    </row>
    <row r="43" spans="2:7" x14ac:dyDescent="0.2">
      <c r="B43" s="3" t="s">
        <v>1558</v>
      </c>
      <c r="C43" s="4" t="s">
        <v>1559</v>
      </c>
      <c r="D43" s="4" t="s">
        <v>1560</v>
      </c>
      <c r="E43" s="4"/>
      <c r="G43" t="str">
        <f t="shared" si="0"/>
        <v>&lt;dl&gt;&lt;dt&gt;禄存+擎羊​&lt;/dt&gt;&lt;dd&gt;强制积累（高利贷）&lt;/dd&gt;&lt;dd&gt;财富切割（抢劫/诈骗）&lt;/dd&gt;&lt;/dl&gt;</v>
      </c>
    </row>
    <row r="44" spans="2:7" x14ac:dyDescent="0.2">
      <c r="B44" s="3" t="s">
        <v>1561</v>
      </c>
      <c r="C44" s="4" t="s">
        <v>1562</v>
      </c>
      <c r="D44" s="4" t="s">
        <v>1563</v>
      </c>
      <c r="E44" s="4"/>
    </row>
    <row r="45" spans="2:7" x14ac:dyDescent="0.2">
      <c r="B45" s="3" t="s">
        <v>1564</v>
      </c>
      <c r="C45" s="4" t="s">
        <v>1565</v>
      </c>
      <c r="D45" s="4" t="s">
        <v>1566</v>
      </c>
      <c r="E45" s="4"/>
    </row>
    <row r="48" spans="2:7" ht="17.25" x14ac:dyDescent="0.2">
      <c r="B48" s="5" t="s">
        <v>441</v>
      </c>
    </row>
    <row r="49" spans="2:7" x14ac:dyDescent="0.2">
      <c r="G49" t="str">
        <f t="shared" si="0"/>
        <v>&lt;dl&gt;&lt;dt&gt;&lt;/dt&gt;&lt;dd&gt;&lt;/dd&gt;&lt;dd&gt;&lt;/dd&gt;&lt;/dl&gt;</v>
      </c>
    </row>
    <row r="50" spans="2:7" x14ac:dyDescent="0.2">
      <c r="B50" s="2" t="s">
        <v>18</v>
      </c>
      <c r="C50" s="2" t="s">
        <v>412</v>
      </c>
      <c r="D50" s="2" t="s">
        <v>413</v>
      </c>
      <c r="E50" s="2" t="s">
        <v>21</v>
      </c>
      <c r="G50" t="str">
        <f t="shared" si="0"/>
        <v>&lt;dl&gt;&lt;dt&gt;宫位​&lt;/dt&gt;&lt;dd&gt;庙旺象义​&lt;/dd&gt;&lt;dd&gt;落陷象义​&lt;/dd&gt;&lt;/dl&gt;</v>
      </c>
    </row>
    <row r="51" spans="2:7" x14ac:dyDescent="0.2">
      <c r="B51" s="3" t="s">
        <v>201</v>
      </c>
      <c r="C51" s="4" t="s">
        <v>1567</v>
      </c>
      <c r="D51" s="4" t="s">
        <v>1568</v>
      </c>
      <c r="E51" s="4"/>
      <c r="G51" t="str">
        <f t="shared" si="0"/>
        <v>&lt;dl&gt;&lt;dt&gt;命宫​&lt;/dt&gt;&lt;dd&gt;节俭守财（实业家）&lt;/dd&gt;&lt;dd&gt;吝啬孤克（守财奴）&lt;/dd&gt;&lt;/dl&gt;</v>
      </c>
    </row>
    <row r="52" spans="2:7" x14ac:dyDescent="0.2">
      <c r="B52" s="3" t="s">
        <v>3</v>
      </c>
      <c r="C52" s="4" t="s">
        <v>1569</v>
      </c>
      <c r="D52" s="4" t="s">
        <v>1570</v>
      </c>
      <c r="E52" s="4"/>
      <c r="G52" t="str">
        <f t="shared" si="0"/>
        <v>&lt;dl&gt;&lt;dt&gt;财帛宫​&lt;/dt&gt;&lt;dd&gt;资金固积（定期存款）&lt;/dd&gt;&lt;dd&gt;账目混乱（洗钱漏洞）&lt;/dd&gt;&lt;/dl&gt;</v>
      </c>
    </row>
    <row r="53" spans="2:7" x14ac:dyDescent="0.2">
      <c r="B53" s="3" t="s">
        <v>0</v>
      </c>
      <c r="C53" s="4" t="s">
        <v>1571</v>
      </c>
      <c r="D53" s="4" t="s">
        <v>1572</v>
      </c>
      <c r="E53" s="4"/>
    </row>
    <row r="54" spans="2:7" x14ac:dyDescent="0.2">
      <c r="B54" s="3" t="s">
        <v>6</v>
      </c>
      <c r="C54" s="4" t="s">
        <v>1573</v>
      </c>
      <c r="D54" s="4" t="s">
        <v>1574</v>
      </c>
      <c r="E54" s="4"/>
    </row>
    <row r="55" spans="2:7" x14ac:dyDescent="0.2">
      <c r="B55" s="3" t="s">
        <v>128</v>
      </c>
      <c r="C55" s="4" t="s">
        <v>1575</v>
      </c>
      <c r="D55" s="4" t="s">
        <v>1576</v>
      </c>
      <c r="E55" s="4"/>
    </row>
    <row r="58" spans="2:7" ht="17.25" x14ac:dyDescent="0.2">
      <c r="B58" s="5" t="s">
        <v>86</v>
      </c>
    </row>
    <row r="60" spans="2:7" x14ac:dyDescent="0.2">
      <c r="B60" s="2" t="s">
        <v>1577</v>
      </c>
      <c r="C60" s="2" t="s">
        <v>1047</v>
      </c>
      <c r="D60" s="2" t="s">
        <v>1079</v>
      </c>
      <c r="E60" s="2" t="s">
        <v>21</v>
      </c>
    </row>
    <row r="61" spans="2:7" x14ac:dyDescent="0.2">
      <c r="B61" s="3" t="s">
        <v>1578</v>
      </c>
      <c r="C61" s="4" t="s">
        <v>1579</v>
      </c>
      <c r="D61" s="4" t="s">
        <v>1580</v>
      </c>
      <c r="E61" s="4"/>
    </row>
    <row r="62" spans="2:7" x14ac:dyDescent="0.2">
      <c r="B62" s="3" t="s">
        <v>1581</v>
      </c>
      <c r="C62" s="4" t="s">
        <v>1582</v>
      </c>
      <c r="D62" s="4" t="s">
        <v>1583</v>
      </c>
      <c r="E62" s="4"/>
    </row>
    <row r="63" spans="2:7" ht="28.5" x14ac:dyDescent="0.2">
      <c r="B63" s="3" t="s">
        <v>1584</v>
      </c>
      <c r="C63" s="4" t="s">
        <v>1585</v>
      </c>
      <c r="D63" s="4" t="s">
        <v>1586</v>
      </c>
      <c r="E63" s="4"/>
    </row>
    <row r="66" spans="2:2" ht="17.25" x14ac:dyDescent="0.2">
      <c r="B66" s="5" t="s">
        <v>1587</v>
      </c>
    </row>
    <row r="67" spans="2:2" x14ac:dyDescent="0.2">
      <c r="B67" s="6"/>
    </row>
    <row r="68" spans="2:2" x14ac:dyDescent="0.2">
      <c r="B68" s="7" t="s">
        <v>91</v>
      </c>
    </row>
    <row r="69" spans="2:2" x14ac:dyDescent="0.2">
      <c r="B69" s="6"/>
    </row>
    <row r="70" spans="2:2" x14ac:dyDescent="0.2">
      <c r="B70" s="9" t="s">
        <v>1588</v>
      </c>
    </row>
    <row r="71" spans="2:2" x14ac:dyDescent="0.2">
      <c r="B71" s="7" t="s">
        <v>1589</v>
      </c>
    </row>
    <row r="72" spans="2:2" x14ac:dyDescent="0.2">
      <c r="B72" s="6"/>
    </row>
    <row r="73" spans="2:2" x14ac:dyDescent="0.2">
      <c r="B73" s="9" t="s">
        <v>1590</v>
      </c>
    </row>
    <row r="77" spans="2:2" ht="17.25" x14ac:dyDescent="0.2">
      <c r="B77" s="5"/>
    </row>
    <row r="80" spans="2:2" x14ac:dyDescent="0.2">
      <c r="B80" s="16"/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FCD61-863B-4EEC-8214-98ECDEEDCCE1}">
  <dimension ref="B1:G85"/>
  <sheetViews>
    <sheetView topLeftCell="A65" zoomScaleNormal="100" workbookViewId="0">
      <selection activeCell="B1" sqref="B1:E85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375</v>
      </c>
      <c r="G1" t="str">
        <f>"&lt;dl&gt;&lt;dt&gt;" &amp; B1 &amp; "&lt;/dt&gt;&lt;dd&gt;" &amp; C1 &amp; "&lt;/dd&gt;&lt;dd&gt;" &amp; D1 &amp; "&lt;/dd&gt;&lt;/dl&gt;"</f>
        <v>&lt;dl&gt;&lt;dt&gt;一、基础属性​&lt;/dt&gt;&lt;dd&gt;&lt;/dd&gt;&lt;dd&gt;&lt;/dd&gt;&lt;/dl&gt;</v>
      </c>
    </row>
    <row r="3" spans="2:7" x14ac:dyDescent="0.2">
      <c r="B3" s="2" t="s">
        <v>376</v>
      </c>
      <c r="C3" s="2" t="s">
        <v>377</v>
      </c>
      <c r="D3" s="2" t="s">
        <v>21</v>
      </c>
    </row>
    <row r="4" spans="2:7" x14ac:dyDescent="0.2">
      <c r="B4" s="3" t="s">
        <v>620</v>
      </c>
      <c r="C4" s="4" t="s">
        <v>1591</v>
      </c>
      <c r="D4" s="4"/>
    </row>
    <row r="5" spans="2:7" x14ac:dyDescent="0.2">
      <c r="B5" s="3" t="s">
        <v>624</v>
      </c>
      <c r="C5" s="4" t="s">
        <v>1592</v>
      </c>
      <c r="D5" s="4"/>
    </row>
    <row r="6" spans="2:7" x14ac:dyDescent="0.2">
      <c r="B6" s="3" t="s">
        <v>378</v>
      </c>
      <c r="C6" s="4" t="s">
        <v>1593</v>
      </c>
      <c r="D6" s="4"/>
    </row>
    <row r="7" spans="2:7" x14ac:dyDescent="0.2">
      <c r="B7" s="3" t="s">
        <v>1594</v>
      </c>
      <c r="C7" s="4" t="s">
        <v>1595</v>
      </c>
      <c r="D7" s="4"/>
    </row>
    <row r="10" spans="2:7" ht="17.25" x14ac:dyDescent="0.2">
      <c r="B10" s="5" t="s">
        <v>388</v>
      </c>
    </row>
    <row r="12" spans="2:7" ht="15.75" x14ac:dyDescent="0.2">
      <c r="B12" s="13" t="s">
        <v>627</v>
      </c>
    </row>
    <row r="14" spans="2:7" x14ac:dyDescent="0.2">
      <c r="B14" s="2" t="s">
        <v>390</v>
      </c>
      <c r="C14" s="2" t="s">
        <v>1065</v>
      </c>
      <c r="D14" s="2" t="s">
        <v>1066</v>
      </c>
      <c r="E14" s="2" t="s">
        <v>21</v>
      </c>
    </row>
    <row r="15" spans="2:7" x14ac:dyDescent="0.2">
      <c r="B15" s="3" t="s">
        <v>1596</v>
      </c>
      <c r="C15" s="4" t="s">
        <v>1597</v>
      </c>
      <c r="D15" s="4" t="s">
        <v>1598</v>
      </c>
      <c r="E15" s="4"/>
    </row>
    <row r="16" spans="2:7" x14ac:dyDescent="0.2">
      <c r="B16" s="3" t="s">
        <v>1599</v>
      </c>
      <c r="C16" s="4" t="s">
        <v>1600</v>
      </c>
      <c r="D16" s="4" t="s">
        <v>1601</v>
      </c>
      <c r="E16" s="4"/>
    </row>
    <row r="17" spans="2:7" x14ac:dyDescent="0.2">
      <c r="B17" s="3" t="s">
        <v>1602</v>
      </c>
      <c r="C17" s="4" t="s">
        <v>1603</v>
      </c>
      <c r="D17" s="4" t="s">
        <v>1604</v>
      </c>
      <c r="E17" s="4"/>
    </row>
    <row r="19" spans="2:7" ht="15.75" x14ac:dyDescent="0.2">
      <c r="B19" s="13" t="s">
        <v>405</v>
      </c>
    </row>
    <row r="20" spans="2:7" x14ac:dyDescent="0.2">
      <c r="B20" s="6"/>
    </row>
    <row r="21" spans="2:7" x14ac:dyDescent="0.2">
      <c r="B21" s="7" t="s">
        <v>1605</v>
      </c>
    </row>
    <row r="22" spans="2:7" x14ac:dyDescent="0.2">
      <c r="B22" s="7" t="s">
        <v>1606</v>
      </c>
    </row>
    <row r="24" spans="2:7" x14ac:dyDescent="0.2">
      <c r="G24" t="str">
        <f t="shared" ref="G24:G52" si="0">"&lt;dl&gt;&lt;dt&gt;" &amp; B24 &amp; "&lt;/dt&gt;&lt;dd&gt;" &amp; C24 &amp; "&lt;/dd&gt;&lt;dd&gt;" &amp; D24 &amp; "&lt;/dd&gt;&lt;/dl&gt;"</f>
        <v>&lt;dl&gt;&lt;dt&gt;&lt;/dt&gt;&lt;dd&gt;&lt;/dd&gt;&lt;dd&gt;&lt;/dd&gt;&lt;/dl&gt;</v>
      </c>
    </row>
    <row r="25" spans="2:7" x14ac:dyDescent="0.2">
      <c r="G25" t="str">
        <f t="shared" si="0"/>
        <v>&lt;dl&gt;&lt;dt&gt;&lt;/dt&gt;&lt;dd&gt;&lt;/dd&gt;&lt;dd&gt;&lt;/dd&gt;&lt;/dl&gt;</v>
      </c>
    </row>
    <row r="26" spans="2:7" ht="17.25" x14ac:dyDescent="0.2">
      <c r="B26" s="5" t="s">
        <v>410</v>
      </c>
      <c r="G26" t="str">
        <f t="shared" si="0"/>
        <v>&lt;dl&gt;&lt;dt&gt;三、组合象义​&lt;/dt&gt;&lt;dd&gt;&lt;/dd&gt;&lt;dd&gt;&lt;/dd&gt;&lt;/dl&gt;</v>
      </c>
    </row>
    <row r="27" spans="2:7" x14ac:dyDescent="0.2">
      <c r="G27" t="str">
        <f t="shared" si="0"/>
        <v>&lt;dl&gt;&lt;dt&gt;&lt;/dt&gt;&lt;dd&gt;&lt;/dd&gt;&lt;dd&gt;&lt;/dd&gt;&lt;/dl&gt;</v>
      </c>
    </row>
    <row r="28" spans="2:7" ht="15.75" x14ac:dyDescent="0.2">
      <c r="B28" s="13" t="s">
        <v>1607</v>
      </c>
      <c r="G28" t="str">
        <f t="shared" si="0"/>
        <v>&lt;dl&gt;&lt;dt&gt;1. 吉星组合​&lt;/dt&gt;&lt;dd&gt;&lt;/dd&gt;&lt;dd&gt;&lt;/dd&gt;&lt;/dl&gt;</v>
      </c>
    </row>
    <row r="29" spans="2:7" x14ac:dyDescent="0.2">
      <c r="G29" t="str">
        <f t="shared" si="0"/>
        <v>&lt;dl&gt;&lt;dt&gt;&lt;/dt&gt;&lt;dd&gt;&lt;/dd&gt;&lt;dd&gt;&lt;/dd&gt;&lt;/dl&gt;</v>
      </c>
    </row>
    <row r="30" spans="2:7" x14ac:dyDescent="0.2">
      <c r="B30" s="2" t="s">
        <v>71</v>
      </c>
      <c r="C30" s="2" t="s">
        <v>453</v>
      </c>
      <c r="D30" s="2" t="s">
        <v>454</v>
      </c>
      <c r="E30" s="2" t="s">
        <v>21</v>
      </c>
    </row>
    <row r="31" spans="2:7" x14ac:dyDescent="0.2">
      <c r="B31" s="3" t="s">
        <v>1608</v>
      </c>
      <c r="C31" s="4" t="s">
        <v>1609</v>
      </c>
      <c r="D31" s="4" t="s">
        <v>1610</v>
      </c>
      <c r="E31" s="4"/>
    </row>
    <row r="32" spans="2:7" x14ac:dyDescent="0.2">
      <c r="B32" s="3" t="s">
        <v>1611</v>
      </c>
      <c r="C32" s="4" t="s">
        <v>1612</v>
      </c>
      <c r="D32" s="4" t="s">
        <v>1613</v>
      </c>
      <c r="E32" s="4"/>
    </row>
    <row r="33" spans="2:7" x14ac:dyDescent="0.2">
      <c r="B33" s="3" t="s">
        <v>1614</v>
      </c>
      <c r="C33" s="4" t="s">
        <v>1615</v>
      </c>
      <c r="D33" s="4" t="s">
        <v>1616</v>
      </c>
      <c r="E33" s="4"/>
    </row>
    <row r="35" spans="2:7" ht="15.75" x14ac:dyDescent="0.2">
      <c r="B35" s="13" t="s">
        <v>1617</v>
      </c>
      <c r="G35" t="str">
        <f t="shared" si="0"/>
        <v>&lt;dl&gt;&lt;dt&gt;2. 煞星组合​&lt;/dt&gt;&lt;dd&gt;&lt;/dd&gt;&lt;dd&gt;&lt;/dd&gt;&lt;/dl&gt;</v>
      </c>
    </row>
    <row r="36" spans="2:7" x14ac:dyDescent="0.2">
      <c r="G36" t="str">
        <f t="shared" si="0"/>
        <v>&lt;dl&gt;&lt;dt&gt;&lt;/dt&gt;&lt;dd&gt;&lt;/dd&gt;&lt;dd&gt;&lt;/dd&gt;&lt;/dl&gt;</v>
      </c>
    </row>
    <row r="37" spans="2:7" x14ac:dyDescent="0.2">
      <c r="B37" s="2" t="s">
        <v>71</v>
      </c>
      <c r="C37" s="2" t="s">
        <v>1047</v>
      </c>
      <c r="D37" s="2" t="s">
        <v>73</v>
      </c>
      <c r="E37" s="2" t="s">
        <v>21</v>
      </c>
      <c r="G37" t="str">
        <f t="shared" si="0"/>
        <v>&lt;dl&gt;&lt;dt&gt;组合​&lt;/dt&gt;&lt;dd&gt;效应​&lt;/dd&gt;&lt;dd&gt;典型案例​&lt;/dd&gt;&lt;/dl&gt;</v>
      </c>
    </row>
    <row r="38" spans="2:7" x14ac:dyDescent="0.2">
      <c r="B38" s="3" t="s">
        <v>1618</v>
      </c>
      <c r="C38" s="4" t="s">
        <v>1619</v>
      </c>
      <c r="D38" s="4" t="s">
        <v>1620</v>
      </c>
      <c r="E38" s="4"/>
      <c r="G38" t="str">
        <f t="shared" si="0"/>
        <v>&lt;dl&gt;&lt;dt&gt;天马+火星​&lt;/dt&gt;&lt;dd&gt;战马（突发变动：意外出差/投资暴雷）&lt;/dd&gt;&lt;dd&gt;车祸、紧急任务派遣&lt;/dd&gt;&lt;/dl&gt;</v>
      </c>
    </row>
    <row r="39" spans="2:7" x14ac:dyDescent="0.2">
      <c r="B39" s="3" t="s">
        <v>1621</v>
      </c>
      <c r="C39" s="4" t="s">
        <v>1622</v>
      </c>
      <c r="D39" s="4" t="s">
        <v>1623</v>
      </c>
      <c r="E39" s="4"/>
      <c r="G39" t="str">
        <f t="shared" si="0"/>
        <v>&lt;dl&gt;&lt;dt&gt;天马+擎羊​&lt;/dt&gt;&lt;dd&gt;负尸马（波动损失：车祸/合作破裂）&lt;/dd&gt;&lt;dd&gt;交通事故赔偿纠纷&lt;/dd&gt;&lt;/dl&gt;</v>
      </c>
    </row>
    <row r="40" spans="2:7" x14ac:dyDescent="0.2">
      <c r="B40" s="3" t="s">
        <v>1624</v>
      </c>
      <c r="C40" s="4" t="s">
        <v>1625</v>
      </c>
      <c r="D40" s="4" t="s">
        <v>1626</v>
      </c>
      <c r="E40" s="4"/>
      <c r="G40" t="str">
        <f t="shared" si="0"/>
        <v>&lt;dl&gt;&lt;dt&gt;天马+陀罗​&lt;/dt&gt;&lt;dd&gt;折足马（拖延阻滞：签证延期/款项拖欠）&lt;/dd&gt;&lt;dd&gt;项目烂尾、慢性病迁延&lt;/dd&gt;&lt;/dl&gt;</v>
      </c>
    </row>
    <row r="41" spans="2:7" x14ac:dyDescent="0.2">
      <c r="B41" s="3" t="s">
        <v>1627</v>
      </c>
      <c r="C41" s="4" t="s">
        <v>1628</v>
      </c>
      <c r="D41" s="4" t="s">
        <v>1629</v>
      </c>
      <c r="E41" s="4"/>
      <c r="G41" t="str">
        <f t="shared" si="0"/>
        <v>&lt;dl&gt;&lt;dt&gt;天马+空劫忌​&lt;/dt&gt;&lt;dd&gt;死马（终身奔走无功：资金链断裂）&lt;/dd&gt;&lt;dd&gt;创业屡败、劳碌无果&lt;/dd&gt;&lt;/dl&gt;</v>
      </c>
    </row>
    <row r="42" spans="2:7" x14ac:dyDescent="0.2">
      <c r="G42" t="str">
        <f t="shared" si="0"/>
        <v>&lt;dl&gt;&lt;dt&gt;&lt;/dt&gt;&lt;dd&gt;&lt;/dd&gt;&lt;dd&gt;&lt;/dd&gt;&lt;/dl&gt;</v>
      </c>
    </row>
    <row r="43" spans="2:7" x14ac:dyDescent="0.2">
      <c r="G43" t="str">
        <f t="shared" si="0"/>
        <v>&lt;dl&gt;&lt;dt&gt;&lt;/dt&gt;&lt;dd&gt;&lt;/dd&gt;&lt;dd&gt;&lt;/dd&gt;&lt;/dl&gt;</v>
      </c>
    </row>
    <row r="44" spans="2:7" ht="17.25" x14ac:dyDescent="0.2">
      <c r="B44" s="5" t="s">
        <v>1483</v>
      </c>
    </row>
    <row r="46" spans="2:7" x14ac:dyDescent="0.2">
      <c r="B46" s="2" t="s">
        <v>18</v>
      </c>
      <c r="C46" s="2" t="s">
        <v>412</v>
      </c>
      <c r="D46" s="2" t="s">
        <v>413</v>
      </c>
      <c r="E46" s="2" t="s">
        <v>21</v>
      </c>
    </row>
    <row r="47" spans="2:7" x14ac:dyDescent="0.2">
      <c r="B47" s="3" t="s">
        <v>201</v>
      </c>
      <c r="C47" s="4" t="s">
        <v>1630</v>
      </c>
      <c r="D47" s="4" t="s">
        <v>1631</v>
      </c>
      <c r="E47" s="4"/>
    </row>
    <row r="48" spans="2:7" x14ac:dyDescent="0.2">
      <c r="B48" s="3" t="s">
        <v>15</v>
      </c>
      <c r="C48" s="4" t="s">
        <v>1632</v>
      </c>
      <c r="D48" s="4" t="s">
        <v>1633</v>
      </c>
      <c r="E48" s="4"/>
    </row>
    <row r="49" spans="2:7" x14ac:dyDescent="0.2">
      <c r="B49" s="3" t="s">
        <v>3</v>
      </c>
      <c r="C49" s="4" t="s">
        <v>1634</v>
      </c>
      <c r="D49" s="4" t="s">
        <v>1635</v>
      </c>
      <c r="E49" s="4"/>
      <c r="G49" t="str">
        <f t="shared" si="0"/>
        <v>&lt;dl&gt;&lt;dt&gt;财帛宫​&lt;/dt&gt;&lt;dd&gt;资金流动频繁（短期理财、外汇）&lt;/dd&gt;&lt;dd&gt;虚耗破财（投机亏损）&lt;/dd&gt;&lt;/dl&gt;</v>
      </c>
    </row>
    <row r="50" spans="2:7" x14ac:dyDescent="0.2">
      <c r="B50" s="3" t="s">
        <v>125</v>
      </c>
      <c r="C50" s="4" t="s">
        <v>1636</v>
      </c>
      <c r="D50" s="4" t="s">
        <v>1637</v>
      </c>
      <c r="E50" s="4"/>
      <c r="G50" t="str">
        <f t="shared" si="0"/>
        <v>&lt;dl&gt;&lt;dt&gt;夫妻宫​&lt;/dt&gt;&lt;dd&gt;配偶来自远方/异地姻缘&lt;/dd&gt;&lt;dd&gt;感情疏离（长期分居）&lt;/dd&gt;&lt;/dl&gt;</v>
      </c>
    </row>
    <row r="51" spans="2:7" x14ac:dyDescent="0.2">
      <c r="B51" s="3" t="s">
        <v>206</v>
      </c>
      <c r="C51" s="4" t="s">
        <v>1638</v>
      </c>
      <c r="D51" s="4" t="s">
        <v>1639</v>
      </c>
      <c r="E51" s="4"/>
      <c r="G51" t="str">
        <f t="shared" si="0"/>
        <v>&lt;dl&gt;&lt;dt&gt;官禄宫​&lt;/dt&gt;&lt;dd&gt;动态职业（记者、航空业）&lt;/dd&gt;&lt;dd&gt;工作不稳（频繁失业）&lt;/dd&gt;&lt;/dl&gt;</v>
      </c>
    </row>
    <row r="52" spans="2:7" x14ac:dyDescent="0.2">
      <c r="B52" s="3" t="s">
        <v>0</v>
      </c>
      <c r="C52" s="4" t="s">
        <v>1640</v>
      </c>
      <c r="D52" s="4" t="s">
        <v>1641</v>
      </c>
      <c r="E52" s="4"/>
      <c r="G52" t="str">
        <f t="shared" si="0"/>
        <v>&lt;dl&gt;&lt;dt&gt;田宅宫​&lt;/dt&gt;&lt;dd&gt;频繁搬家/跨国置业&lt;/dd&gt;&lt;dd&gt;家宅不宁（抵押房产）&lt;/dd&gt;&lt;/dl&gt;</v>
      </c>
    </row>
    <row r="55" spans="2:7" ht="17.25" x14ac:dyDescent="0.2">
      <c r="B55" s="5" t="s">
        <v>86</v>
      </c>
    </row>
    <row r="57" spans="2:7" x14ac:dyDescent="0.2">
      <c r="B57" s="2" t="s">
        <v>250</v>
      </c>
      <c r="C57" s="2" t="s">
        <v>452</v>
      </c>
      <c r="D57" s="2" t="s">
        <v>1047</v>
      </c>
      <c r="E57" s="2" t="s">
        <v>21</v>
      </c>
    </row>
    <row r="58" spans="2:7" x14ac:dyDescent="0.2">
      <c r="B58" s="3" t="s">
        <v>1642</v>
      </c>
      <c r="C58" s="4" t="s">
        <v>1643</v>
      </c>
      <c r="D58" s="4" t="s">
        <v>1644</v>
      </c>
      <c r="E58" s="4"/>
    </row>
    <row r="59" spans="2:7" x14ac:dyDescent="0.2">
      <c r="B59" s="3" t="s">
        <v>1645</v>
      </c>
      <c r="C59" s="4" t="s">
        <v>1646</v>
      </c>
      <c r="D59" s="4" t="s">
        <v>1647</v>
      </c>
      <c r="E59" s="4"/>
    </row>
    <row r="60" spans="2:7" x14ac:dyDescent="0.2">
      <c r="B60" s="3" t="s">
        <v>1648</v>
      </c>
      <c r="C60" s="4" t="s">
        <v>1649</v>
      </c>
      <c r="D60" s="4" t="s">
        <v>1650</v>
      </c>
      <c r="E60" s="4"/>
    </row>
    <row r="63" spans="2:7" ht="17.25" x14ac:dyDescent="0.2">
      <c r="B63" s="5" t="s">
        <v>1436</v>
      </c>
    </row>
    <row r="64" spans="2:7" x14ac:dyDescent="0.2">
      <c r="B64" s="6"/>
    </row>
    <row r="65" spans="2:2" x14ac:dyDescent="0.2">
      <c r="B65" s="7" t="s">
        <v>1651</v>
      </c>
    </row>
    <row r="66" spans="2:2" x14ac:dyDescent="0.2">
      <c r="B66" s="6"/>
    </row>
    <row r="67" spans="2:2" x14ac:dyDescent="0.2">
      <c r="B67" s="9" t="s">
        <v>1652</v>
      </c>
    </row>
    <row r="68" spans="2:2" x14ac:dyDescent="0.2">
      <c r="B68" s="9" t="s">
        <v>1653</v>
      </c>
    </row>
    <row r="69" spans="2:2" x14ac:dyDescent="0.2">
      <c r="B69" s="7" t="s">
        <v>1654</v>
      </c>
    </row>
    <row r="70" spans="2:2" x14ac:dyDescent="0.2">
      <c r="B70" s="6"/>
    </row>
    <row r="71" spans="2:2" x14ac:dyDescent="0.2">
      <c r="B71" s="9" t="s">
        <v>1655</v>
      </c>
    </row>
    <row r="72" spans="2:2" x14ac:dyDescent="0.2">
      <c r="B72" s="9" t="s">
        <v>1656</v>
      </c>
    </row>
    <row r="76" spans="2:2" ht="17.25" x14ac:dyDescent="0.2">
      <c r="B76" s="5" t="s">
        <v>1079</v>
      </c>
    </row>
    <row r="77" spans="2:2" x14ac:dyDescent="0.2">
      <c r="B77" s="6"/>
    </row>
    <row r="78" spans="2:2" x14ac:dyDescent="0.2">
      <c r="B78" s="7" t="s">
        <v>1657</v>
      </c>
    </row>
    <row r="79" spans="2:2" x14ac:dyDescent="0.2">
      <c r="B79" s="6"/>
    </row>
    <row r="80" spans="2:2" x14ac:dyDescent="0.2">
      <c r="B80" s="9" t="s">
        <v>1658</v>
      </c>
    </row>
    <row r="81" spans="2:2" x14ac:dyDescent="0.2">
      <c r="B81" s="9" t="s">
        <v>1659</v>
      </c>
    </row>
    <row r="82" spans="2:2" x14ac:dyDescent="0.2">
      <c r="B82" s="7" t="s">
        <v>1660</v>
      </c>
    </row>
    <row r="83" spans="2:2" x14ac:dyDescent="0.2">
      <c r="B83" s="6"/>
    </row>
    <row r="84" spans="2:2" x14ac:dyDescent="0.2">
      <c r="B84" s="9" t="s">
        <v>1661</v>
      </c>
    </row>
    <row r="85" spans="2:2" x14ac:dyDescent="0.2">
      <c r="B85" s="9" t="s">
        <v>1662</v>
      </c>
    </row>
  </sheetData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451DB-FBAE-4FCD-888C-652EF2E724AF}">
  <dimension ref="B1:G82"/>
  <sheetViews>
    <sheetView zoomScaleNormal="100" workbookViewId="0">
      <selection activeCell="C6" sqref="C6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375</v>
      </c>
      <c r="G1" t="str">
        <f>"&lt;dl&gt;&lt;dt&gt;" &amp; B1 &amp; "&lt;/dt&gt;&lt;dd&gt;" &amp; C1 &amp; "&lt;/dd&gt;&lt;dd&gt;" &amp; D1 &amp; "&lt;/dd&gt;&lt;/dl&gt;"</f>
        <v>&lt;dl&gt;&lt;dt&gt;一、基础属性​&lt;/dt&gt;&lt;dd&gt;&lt;/dd&gt;&lt;dd&gt;&lt;/dd&gt;&lt;/dl&gt;</v>
      </c>
    </row>
    <row r="3" spans="2:7" x14ac:dyDescent="0.2">
      <c r="B3" s="2" t="s">
        <v>376</v>
      </c>
      <c r="C3" s="2" t="s">
        <v>377</v>
      </c>
      <c r="D3" s="2" t="s">
        <v>21</v>
      </c>
    </row>
    <row r="4" spans="2:7" x14ac:dyDescent="0.2">
      <c r="B4" s="3" t="s">
        <v>620</v>
      </c>
      <c r="C4" s="4" t="s">
        <v>1663</v>
      </c>
      <c r="D4" s="4"/>
    </row>
    <row r="5" spans="2:7" x14ac:dyDescent="0.2">
      <c r="B5" s="3" t="s">
        <v>624</v>
      </c>
      <c r="C5" s="4" t="s">
        <v>1736</v>
      </c>
      <c r="D5" s="4"/>
    </row>
    <row r="6" spans="2:7" x14ac:dyDescent="0.2">
      <c r="B6" s="3" t="s">
        <v>1664</v>
      </c>
      <c r="C6" s="4" t="s">
        <v>1665</v>
      </c>
      <c r="D6" s="4"/>
    </row>
    <row r="7" spans="2:7" ht="28.5" x14ac:dyDescent="0.2">
      <c r="B7" s="3" t="s">
        <v>1666</v>
      </c>
      <c r="C7" s="4" t="s">
        <v>1667</v>
      </c>
      <c r="D7" s="4"/>
    </row>
    <row r="10" spans="2:7" ht="17.25" x14ac:dyDescent="0.2">
      <c r="B10" s="5" t="s">
        <v>388</v>
      </c>
    </row>
    <row r="12" spans="2:7" ht="15.75" x14ac:dyDescent="0.2">
      <c r="B12" s="13" t="s">
        <v>627</v>
      </c>
    </row>
    <row r="14" spans="2:7" x14ac:dyDescent="0.2">
      <c r="B14" s="2" t="s">
        <v>584</v>
      </c>
      <c r="C14" s="2" t="s">
        <v>1065</v>
      </c>
      <c r="D14" s="2" t="s">
        <v>1066</v>
      </c>
      <c r="E14" s="2" t="s">
        <v>21</v>
      </c>
    </row>
    <row r="15" spans="2:7" x14ac:dyDescent="0.2">
      <c r="B15" s="3" t="s">
        <v>990</v>
      </c>
      <c r="C15" s="4" t="s">
        <v>1668</v>
      </c>
      <c r="D15" s="4" t="s">
        <v>992</v>
      </c>
      <c r="E15" s="4"/>
    </row>
    <row r="16" spans="2:7" x14ac:dyDescent="0.2">
      <c r="B16" s="3" t="s">
        <v>1669</v>
      </c>
      <c r="C16" s="4" t="s">
        <v>1670</v>
      </c>
      <c r="D16" s="4" t="s">
        <v>1671</v>
      </c>
      <c r="E16" s="4"/>
    </row>
    <row r="17" spans="2:7" x14ac:dyDescent="0.2">
      <c r="B17" s="3" t="s">
        <v>1672</v>
      </c>
      <c r="C17" s="4" t="s">
        <v>1673</v>
      </c>
      <c r="D17" s="4" t="s">
        <v>1083</v>
      </c>
      <c r="E17" s="4"/>
    </row>
    <row r="19" spans="2:7" ht="15.75" x14ac:dyDescent="0.2">
      <c r="B19" s="13" t="s">
        <v>1674</v>
      </c>
    </row>
    <row r="20" spans="2:7" x14ac:dyDescent="0.2">
      <c r="B20" s="6"/>
    </row>
    <row r="21" spans="2:7" x14ac:dyDescent="0.2">
      <c r="B21" s="7" t="s">
        <v>1675</v>
      </c>
    </row>
    <row r="22" spans="2:7" x14ac:dyDescent="0.2">
      <c r="B22" s="6"/>
    </row>
    <row r="23" spans="2:7" x14ac:dyDescent="0.2">
      <c r="B23" s="9" t="s">
        <v>1676</v>
      </c>
    </row>
    <row r="24" spans="2:7" x14ac:dyDescent="0.2">
      <c r="B24" s="9" t="s">
        <v>1677</v>
      </c>
      <c r="G24" t="str">
        <f t="shared" ref="G24:G52" si="0">"&lt;dl&gt;&lt;dt&gt;" &amp; B24 &amp; "&lt;/dt&gt;&lt;dd&gt;" &amp; C24 &amp; "&lt;/dd&gt;&lt;dd&gt;" &amp; D24 &amp; "&lt;/dd&gt;&lt;/dl&gt;"</f>
        <v>&lt;dl&gt;&lt;dt&gt;文档30：未宫庙（7级）&lt;/dt&gt;&lt;dd&gt;&lt;/dd&gt;&lt;dd&gt;&lt;/dd&gt;&lt;/dl&gt;</v>
      </c>
    </row>
    <row r="25" spans="2:7" x14ac:dyDescent="0.2">
      <c r="B25" s="9" t="s">
        <v>1678</v>
      </c>
      <c r="G25" t="str">
        <f t="shared" si="0"/>
        <v>&lt;dl&gt;&lt;dt&gt;→ 并存矛盾，需结合主星判断。&lt;/dt&gt;&lt;dd&gt;&lt;/dd&gt;&lt;dd&gt;&lt;/dd&gt;&lt;/dl&gt;</v>
      </c>
    </row>
    <row r="26" spans="2:7" x14ac:dyDescent="0.2">
      <c r="G26" t="str">
        <f t="shared" si="0"/>
        <v>&lt;dl&gt;&lt;dt&gt;&lt;/dt&gt;&lt;dd&gt;&lt;/dd&gt;&lt;dd&gt;&lt;/dd&gt;&lt;/dl&gt;</v>
      </c>
    </row>
    <row r="27" spans="2:7" x14ac:dyDescent="0.2">
      <c r="G27" t="str">
        <f t="shared" si="0"/>
        <v>&lt;dl&gt;&lt;dt&gt;&lt;/dt&gt;&lt;dd&gt;&lt;/dd&gt;&lt;dd&gt;&lt;/dd&gt;&lt;/dl&gt;</v>
      </c>
    </row>
    <row r="28" spans="2:7" x14ac:dyDescent="0.2">
      <c r="G28" t="str">
        <f t="shared" si="0"/>
        <v>&lt;dl&gt;&lt;dt&gt;&lt;/dt&gt;&lt;dd&gt;&lt;/dd&gt;&lt;dd&gt;&lt;/dd&gt;&lt;/dl&gt;</v>
      </c>
    </row>
    <row r="29" spans="2:7" ht="17.25" x14ac:dyDescent="0.2">
      <c r="B29" s="5" t="s">
        <v>410</v>
      </c>
      <c r="G29" t="str">
        <f t="shared" si="0"/>
        <v>&lt;dl&gt;&lt;dt&gt;三、组合象义​&lt;/dt&gt;&lt;dd&gt;&lt;/dd&gt;&lt;dd&gt;&lt;/dd&gt;&lt;/dl&gt;</v>
      </c>
    </row>
    <row r="31" spans="2:7" ht="15.75" x14ac:dyDescent="0.2">
      <c r="B31" s="13" t="s">
        <v>411</v>
      </c>
    </row>
    <row r="33" spans="2:7" x14ac:dyDescent="0.2">
      <c r="B33" s="2" t="s">
        <v>71</v>
      </c>
      <c r="C33" s="2" t="s">
        <v>453</v>
      </c>
      <c r="D33" s="2" t="s">
        <v>454</v>
      </c>
      <c r="E33" s="2" t="s">
        <v>21</v>
      </c>
    </row>
    <row r="34" spans="2:7" x14ac:dyDescent="0.2">
      <c r="B34" s="3" t="s">
        <v>1679</v>
      </c>
      <c r="C34" s="4" t="s">
        <v>1680</v>
      </c>
      <c r="D34" s="4" t="s">
        <v>1681</v>
      </c>
      <c r="E34" s="4"/>
    </row>
    <row r="35" spans="2:7" x14ac:dyDescent="0.2">
      <c r="B35" s="3" t="s">
        <v>1682</v>
      </c>
      <c r="C35" s="4" t="s">
        <v>1683</v>
      </c>
      <c r="D35" s="4" t="s">
        <v>1684</v>
      </c>
      <c r="E35" s="4"/>
      <c r="G35" t="str">
        <f t="shared" si="0"/>
        <v>&lt;dl&gt;&lt;dt&gt;太阳+擎羊​&lt;/dt&gt;&lt;dd&gt;曝光伤害（丑闻揭露） / 激光手术&lt;/dd&gt;&lt;dd&gt;暗伤隐匿（秘密掩盖） / 沟通暴力&lt;/dd&gt;&lt;/dl&gt;</v>
      </c>
    </row>
    <row r="36" spans="2:7" x14ac:dyDescent="0.2">
      <c r="B36" s="3" t="s">
        <v>1685</v>
      </c>
      <c r="C36" s="4" t="s">
        <v>1686</v>
      </c>
      <c r="D36" s="4" t="s">
        <v>1687</v>
      </c>
      <c r="E36" s="4"/>
      <c r="G36" t="str">
        <f t="shared" si="0"/>
        <v>&lt;dl&gt;&lt;dt&gt;天同+擎羊​&lt;/dt&gt;&lt;dd&gt;轮回业伤（前世创伤延续）&lt;/dd&gt;&lt;dd&gt;现实剧痛（疾病折磨）&lt;/dd&gt;&lt;/dl&gt;</v>
      </c>
    </row>
    <row r="37" spans="2:7" x14ac:dyDescent="0.2">
      <c r="B37" s="3" t="s">
        <v>1688</v>
      </c>
      <c r="C37" s="4" t="s">
        <v>1689</v>
      </c>
      <c r="D37" s="4" t="s">
        <v>1690</v>
      </c>
      <c r="E37" s="4"/>
      <c r="G37" t="str">
        <f t="shared" si="0"/>
        <v>&lt;dl&gt;&lt;dt&gt;贪狼+擎羊​&lt;/dt&gt;&lt;dd&gt;欲望戒断（戒毒） / 肿瘤切除&lt;/dd&gt;&lt;dd&gt;投资血本无归 / 肉体溃烂&lt;/dd&gt;&lt;/dl&gt;</v>
      </c>
    </row>
    <row r="38" spans="2:7" x14ac:dyDescent="0.2">
      <c r="B38" s="3" t="s">
        <v>1691</v>
      </c>
      <c r="C38" s="4" t="s">
        <v>1692</v>
      </c>
      <c r="D38" s="4" t="s">
        <v>1693</v>
      </c>
      <c r="E38" s="4"/>
      <c r="G38" t="str">
        <f t="shared" si="0"/>
        <v>&lt;dl&gt;&lt;dt&gt;天相+擎羊​&lt;/dt&gt;&lt;dd&gt;皮肤破损（手术切口） / 食材切割（生鱼片）&lt;/dd&gt;&lt;dd&gt;家暴 / 生活艰辛&lt;/dd&gt;&lt;/dl&gt;</v>
      </c>
    </row>
    <row r="39" spans="2:7" x14ac:dyDescent="0.2">
      <c r="B39" s="3" t="s">
        <v>1087</v>
      </c>
      <c r="C39" s="4" t="s">
        <v>1694</v>
      </c>
      <c r="D39" s="4" t="s">
        <v>1695</v>
      </c>
      <c r="E39" s="4"/>
      <c r="G39" t="str">
        <f t="shared" si="0"/>
        <v>&lt;dl&gt;&lt;dt&gt;破军+擎羊​&lt;/dt&gt;&lt;dd&gt;战略打击（军事行动） / 领域突破&lt;/dd&gt;&lt;dd&gt;器官切除 / 合作破裂&lt;/dd&gt;&lt;/dl&gt;</v>
      </c>
    </row>
    <row r="40" spans="2:7" x14ac:dyDescent="0.2">
      <c r="G40" t="str">
        <f t="shared" si="0"/>
        <v>&lt;dl&gt;&lt;dt&gt;&lt;/dt&gt;&lt;dd&gt;&lt;/dd&gt;&lt;dd&gt;&lt;/dd&gt;&lt;/dl&gt;</v>
      </c>
    </row>
    <row r="41" spans="2:7" ht="15.75" x14ac:dyDescent="0.2">
      <c r="B41" s="13" t="s">
        <v>426</v>
      </c>
      <c r="G41" t="str">
        <f t="shared" si="0"/>
        <v>&lt;dl&gt;&lt;dt&gt;2. 辅星组合​&lt;/dt&gt;&lt;dd&gt;&lt;/dd&gt;&lt;dd&gt;&lt;/dd&gt;&lt;/dl&gt;</v>
      </c>
    </row>
    <row r="42" spans="2:7" x14ac:dyDescent="0.2">
      <c r="G42" t="str">
        <f t="shared" si="0"/>
        <v>&lt;dl&gt;&lt;dt&gt;&lt;/dt&gt;&lt;dd&gt;&lt;/dd&gt;&lt;dd&gt;&lt;/dd&gt;&lt;/dl&gt;</v>
      </c>
    </row>
    <row r="43" spans="2:7" x14ac:dyDescent="0.2">
      <c r="B43" s="2" t="s">
        <v>40</v>
      </c>
      <c r="C43" s="2" t="s">
        <v>427</v>
      </c>
      <c r="D43" s="2" t="s">
        <v>428</v>
      </c>
      <c r="E43" s="2" t="s">
        <v>21</v>
      </c>
      <c r="G43" t="str">
        <f t="shared" si="0"/>
        <v>&lt;dl&gt;&lt;dt&gt;辅星​&lt;/dt&gt;&lt;dd&gt;吉象（庙旺）​&lt;/dd&gt;&lt;dd&gt;凶象（落陷）​&lt;/dd&gt;&lt;/dl&gt;</v>
      </c>
    </row>
    <row r="44" spans="2:7" x14ac:dyDescent="0.2">
      <c r="B44" s="3" t="s">
        <v>1696</v>
      </c>
      <c r="C44" s="4" t="s">
        <v>1697</v>
      </c>
      <c r="D44" s="4" t="s">
        <v>1698</v>
      </c>
      <c r="E44" s="4"/>
    </row>
    <row r="45" spans="2:7" x14ac:dyDescent="0.2">
      <c r="B45" s="3" t="s">
        <v>1167</v>
      </c>
      <c r="C45" s="4" t="s">
        <v>1699</v>
      </c>
      <c r="D45" s="4" t="s">
        <v>1700</v>
      </c>
      <c r="E45" s="4"/>
    </row>
    <row r="46" spans="2:7" x14ac:dyDescent="0.2">
      <c r="B46" s="3" t="s">
        <v>1701</v>
      </c>
      <c r="C46" s="4" t="s">
        <v>1702</v>
      </c>
      <c r="D46" s="4" t="s">
        <v>1703</v>
      </c>
      <c r="E46" s="4"/>
    </row>
    <row r="47" spans="2:7" x14ac:dyDescent="0.2">
      <c r="B47" s="3" t="s">
        <v>1704</v>
      </c>
      <c r="C47" s="4" t="s">
        <v>1705</v>
      </c>
      <c r="D47" s="4" t="s">
        <v>1706</v>
      </c>
      <c r="E47" s="4"/>
    </row>
    <row r="48" spans="2:7" x14ac:dyDescent="0.2">
      <c r="B48" s="3" t="s">
        <v>1707</v>
      </c>
      <c r="C48" s="4" t="s">
        <v>1708</v>
      </c>
      <c r="D48" s="4" t="s">
        <v>1709</v>
      </c>
      <c r="E48" s="4"/>
    </row>
    <row r="49" spans="2:7" x14ac:dyDescent="0.2">
      <c r="G49" t="str">
        <f t="shared" si="0"/>
        <v>&lt;dl&gt;&lt;dt&gt;&lt;/dt&gt;&lt;dd&gt;&lt;/dd&gt;&lt;dd&gt;&lt;/dd&gt;&lt;/dl&gt;</v>
      </c>
    </row>
    <row r="50" spans="2:7" x14ac:dyDescent="0.2">
      <c r="G50" t="str">
        <f t="shared" si="0"/>
        <v>&lt;dl&gt;&lt;dt&gt;&lt;/dt&gt;&lt;dd&gt;&lt;/dd&gt;&lt;dd&gt;&lt;/dd&gt;&lt;/dl&gt;</v>
      </c>
    </row>
    <row r="51" spans="2:7" ht="17.25" x14ac:dyDescent="0.2">
      <c r="B51" s="5" t="s">
        <v>441</v>
      </c>
      <c r="G51" t="str">
        <f t="shared" si="0"/>
        <v>&lt;dl&gt;&lt;dt&gt;四、宫位叠加​&lt;/dt&gt;&lt;dd&gt;&lt;/dd&gt;&lt;dd&gt;&lt;/dd&gt;&lt;/dl&gt;</v>
      </c>
    </row>
    <row r="52" spans="2:7" x14ac:dyDescent="0.2">
      <c r="G52" t="str">
        <f t="shared" si="0"/>
        <v>&lt;dl&gt;&lt;dt&gt;&lt;/dt&gt;&lt;dd&gt;&lt;/dd&gt;&lt;dd&gt;&lt;/dd&gt;&lt;/dl&gt;</v>
      </c>
    </row>
    <row r="53" spans="2:7" x14ac:dyDescent="0.2">
      <c r="B53" s="2" t="s">
        <v>18</v>
      </c>
      <c r="C53" s="2" t="s">
        <v>412</v>
      </c>
      <c r="D53" s="2" t="s">
        <v>413</v>
      </c>
      <c r="E53" s="2" t="s">
        <v>21</v>
      </c>
    </row>
    <row r="54" spans="2:7" x14ac:dyDescent="0.2">
      <c r="B54" s="3" t="s">
        <v>6</v>
      </c>
      <c r="C54" s="4" t="s">
        <v>1710</v>
      </c>
      <c r="D54" s="4" t="s">
        <v>1711</v>
      </c>
      <c r="E54" s="4"/>
    </row>
    <row r="55" spans="2:7" x14ac:dyDescent="0.2">
      <c r="B55" s="3" t="s">
        <v>125</v>
      </c>
      <c r="C55" s="4" t="s">
        <v>1712</v>
      </c>
      <c r="D55" s="4" t="s">
        <v>1713</v>
      </c>
      <c r="E55" s="4"/>
    </row>
    <row r="56" spans="2:7" x14ac:dyDescent="0.2">
      <c r="B56" s="3" t="s">
        <v>3</v>
      </c>
      <c r="C56" s="4" t="s">
        <v>1714</v>
      </c>
      <c r="D56" s="4" t="s">
        <v>1715</v>
      </c>
      <c r="E56" s="4"/>
    </row>
    <row r="57" spans="2:7" x14ac:dyDescent="0.2">
      <c r="B57" s="3" t="s">
        <v>15</v>
      </c>
      <c r="C57" s="4" t="s">
        <v>1716</v>
      </c>
      <c r="D57" s="4" t="s">
        <v>1717</v>
      </c>
      <c r="E57" s="4"/>
    </row>
    <row r="58" spans="2:7" x14ac:dyDescent="0.2">
      <c r="B58" s="3" t="s">
        <v>206</v>
      </c>
      <c r="C58" s="4" t="s">
        <v>1718</v>
      </c>
      <c r="D58" s="4" t="s">
        <v>1719</v>
      </c>
      <c r="E58" s="4"/>
    </row>
    <row r="61" spans="2:7" ht="17.25" x14ac:dyDescent="0.2">
      <c r="B61" s="5" t="s">
        <v>86</v>
      </c>
    </row>
    <row r="63" spans="2:7" x14ac:dyDescent="0.2">
      <c r="B63" s="2" t="s">
        <v>250</v>
      </c>
      <c r="C63" s="2" t="s">
        <v>453</v>
      </c>
      <c r="D63" s="2" t="s">
        <v>454</v>
      </c>
      <c r="E63" s="2" t="s">
        <v>21</v>
      </c>
    </row>
    <row r="64" spans="2:7" x14ac:dyDescent="0.2">
      <c r="B64" s="3" t="s">
        <v>1720</v>
      </c>
      <c r="C64" s="4" t="s">
        <v>1721</v>
      </c>
      <c r="D64" s="4" t="s">
        <v>1722</v>
      </c>
      <c r="E64" s="4"/>
    </row>
    <row r="65" spans="2:5" x14ac:dyDescent="0.2">
      <c r="B65" s="3" t="s">
        <v>1723</v>
      </c>
      <c r="C65" s="4" t="s">
        <v>1724</v>
      </c>
      <c r="D65" s="4" t="s">
        <v>1725</v>
      </c>
      <c r="E65" s="4"/>
    </row>
    <row r="66" spans="2:5" x14ac:dyDescent="0.2">
      <c r="B66" s="3" t="s">
        <v>1496</v>
      </c>
      <c r="C66" s="4" t="s">
        <v>1726</v>
      </c>
      <c r="D66" s="4" t="s">
        <v>1727</v>
      </c>
      <c r="E66" s="4"/>
    </row>
    <row r="69" spans="2:5" ht="17.25" x14ac:dyDescent="0.2">
      <c r="B69" s="5" t="s">
        <v>1587</v>
      </c>
    </row>
    <row r="70" spans="2:5" x14ac:dyDescent="0.2">
      <c r="B70" s="6"/>
    </row>
    <row r="71" spans="2:5" x14ac:dyDescent="0.2">
      <c r="B71" s="7" t="s">
        <v>1728</v>
      </c>
    </row>
    <row r="72" spans="2:5" x14ac:dyDescent="0.2">
      <c r="B72" s="6"/>
    </row>
    <row r="73" spans="2:5" x14ac:dyDescent="0.2">
      <c r="B73" s="9" t="s">
        <v>1729</v>
      </c>
    </row>
    <row r="74" spans="2:5" x14ac:dyDescent="0.2">
      <c r="B74" s="9" t="s">
        <v>1730</v>
      </c>
    </row>
    <row r="75" spans="2:5" x14ac:dyDescent="0.2">
      <c r="B75" s="9" t="s">
        <v>1731</v>
      </c>
    </row>
    <row r="76" spans="2:5" x14ac:dyDescent="0.2">
      <c r="B76" s="7" t="s">
        <v>1732</v>
      </c>
    </row>
    <row r="77" spans="2:5" x14ac:dyDescent="0.2">
      <c r="B77" s="6"/>
    </row>
    <row r="78" spans="2:5" x14ac:dyDescent="0.2">
      <c r="B78" s="9" t="s">
        <v>1733</v>
      </c>
    </row>
    <row r="79" spans="2:5" x14ac:dyDescent="0.2">
      <c r="B79" s="9" t="s">
        <v>1734</v>
      </c>
    </row>
    <row r="80" spans="2:5" x14ac:dyDescent="0.2">
      <c r="B80" s="9" t="s">
        <v>1735</v>
      </c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98485-D57F-49E1-A61D-761828F60DD0}">
  <dimension ref="B1:G82"/>
  <sheetViews>
    <sheetView zoomScaleNormal="100" workbookViewId="0">
      <selection activeCell="C17" sqref="C17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1737</v>
      </c>
      <c r="G1" t="str">
        <f>"&lt;dl&gt;&lt;dt&gt;" &amp; B1 &amp; "&lt;/dt&gt;&lt;dd&gt;" &amp; C1 &amp; "&lt;/dd&gt;&lt;dd&gt;" &amp; D1 &amp; "&lt;/dd&gt;&lt;/dl&gt;"</f>
        <v>&lt;dl&gt;&lt;dt&gt;一、陀罗定义​&lt;/dt&gt;&lt;dd&gt;&lt;/dd&gt;&lt;dd&gt;&lt;/dd&gt;&lt;/dl&gt;</v>
      </c>
    </row>
    <row r="3" spans="2:7" x14ac:dyDescent="0.2">
      <c r="B3" s="2" t="s">
        <v>376</v>
      </c>
      <c r="C3" s="2" t="s">
        <v>377</v>
      </c>
      <c r="D3" s="2" t="s">
        <v>21</v>
      </c>
    </row>
    <row r="4" spans="2:7" x14ac:dyDescent="0.2">
      <c r="B4" s="3" t="s">
        <v>620</v>
      </c>
      <c r="C4" s="4" t="s">
        <v>982</v>
      </c>
      <c r="D4" s="4"/>
    </row>
    <row r="5" spans="2:7" x14ac:dyDescent="0.2">
      <c r="B5" s="3" t="s">
        <v>1513</v>
      </c>
      <c r="C5" s="4" t="s">
        <v>1738</v>
      </c>
      <c r="D5" s="4"/>
    </row>
    <row r="6" spans="2:7" x14ac:dyDescent="0.2">
      <c r="B6" s="3" t="s">
        <v>624</v>
      </c>
      <c r="C6" s="4" t="s">
        <v>1739</v>
      </c>
      <c r="D6" s="4"/>
    </row>
    <row r="7" spans="2:7" ht="28.5" x14ac:dyDescent="0.2">
      <c r="B7" s="3" t="s">
        <v>378</v>
      </c>
      <c r="C7" s="4" t="s">
        <v>1740</v>
      </c>
      <c r="D7" s="4"/>
    </row>
    <row r="10" spans="2:7" ht="17.25" x14ac:dyDescent="0.2">
      <c r="B10" s="5" t="s">
        <v>388</v>
      </c>
    </row>
    <row r="12" spans="2:7" ht="15.75" x14ac:dyDescent="0.2">
      <c r="B12" s="13" t="s">
        <v>627</v>
      </c>
    </row>
    <row r="14" spans="2:7" x14ac:dyDescent="0.2">
      <c r="B14" s="2" t="s">
        <v>584</v>
      </c>
      <c r="C14" s="2" t="s">
        <v>1065</v>
      </c>
      <c r="D14" s="2" t="s">
        <v>1066</v>
      </c>
      <c r="E14" s="2" t="s">
        <v>21</v>
      </c>
    </row>
    <row r="15" spans="2:7" x14ac:dyDescent="0.2">
      <c r="B15" s="3" t="s">
        <v>1741</v>
      </c>
      <c r="C15" s="4" t="s">
        <v>1742</v>
      </c>
      <c r="D15" s="4" t="s">
        <v>1743</v>
      </c>
      <c r="E15" s="4"/>
    </row>
    <row r="16" spans="2:7" x14ac:dyDescent="0.2">
      <c r="B16" s="3" t="s">
        <v>1744</v>
      </c>
      <c r="C16" s="4" t="s">
        <v>1794</v>
      </c>
      <c r="D16" s="4" t="s">
        <v>1745</v>
      </c>
      <c r="E16" s="4"/>
    </row>
    <row r="17" spans="2:7" x14ac:dyDescent="0.2">
      <c r="B17" s="3" t="s">
        <v>1746</v>
      </c>
      <c r="C17" s="4" t="s">
        <v>1747</v>
      </c>
      <c r="D17" s="4" t="s">
        <v>1748</v>
      </c>
      <c r="E17" s="4"/>
    </row>
    <row r="19" spans="2:7" ht="15.75" x14ac:dyDescent="0.2">
      <c r="B19" s="13" t="s">
        <v>1749</v>
      </c>
    </row>
    <row r="20" spans="2:7" x14ac:dyDescent="0.2">
      <c r="B20" s="6"/>
    </row>
    <row r="21" spans="2:7" x14ac:dyDescent="0.2">
      <c r="B21" s="7" t="s">
        <v>1750</v>
      </c>
    </row>
    <row r="22" spans="2:7" x14ac:dyDescent="0.2">
      <c r="B22" s="7" t="s">
        <v>1751</v>
      </c>
    </row>
    <row r="23" spans="2:7" x14ac:dyDescent="0.2">
      <c r="B23" s="7" t="s">
        <v>1752</v>
      </c>
    </row>
    <row r="24" spans="2:7" x14ac:dyDescent="0.2">
      <c r="G24" t="str">
        <f t="shared" ref="G24:G52" si="0">"&lt;dl&gt;&lt;dt&gt;" &amp; B24 &amp; "&lt;/dt&gt;&lt;dd&gt;" &amp; C24 &amp; "&lt;/dd&gt;&lt;dd&gt;" &amp; D24 &amp; "&lt;/dd&gt;&lt;/dl&gt;"</f>
        <v>&lt;dl&gt;&lt;dt&gt;&lt;/dt&gt;&lt;dd&gt;&lt;/dd&gt;&lt;dd&gt;&lt;/dd&gt;&lt;/dl&gt;</v>
      </c>
    </row>
    <row r="25" spans="2:7" x14ac:dyDescent="0.2">
      <c r="G25" t="str">
        <f t="shared" si="0"/>
        <v>&lt;dl&gt;&lt;dt&gt;&lt;/dt&gt;&lt;dd&gt;&lt;/dd&gt;&lt;dd&gt;&lt;/dd&gt;&lt;/dl&gt;</v>
      </c>
    </row>
    <row r="26" spans="2:7" x14ac:dyDescent="0.2">
      <c r="G26" t="str">
        <f t="shared" si="0"/>
        <v>&lt;dl&gt;&lt;dt&gt;&lt;/dt&gt;&lt;dd&gt;&lt;/dd&gt;&lt;dd&gt;&lt;/dd&gt;&lt;/dl&gt;</v>
      </c>
    </row>
    <row r="27" spans="2:7" ht="17.25" x14ac:dyDescent="0.2">
      <c r="B27" s="5" t="s">
        <v>410</v>
      </c>
      <c r="G27" t="str">
        <f t="shared" si="0"/>
        <v>&lt;dl&gt;&lt;dt&gt;三、组合象义​&lt;/dt&gt;&lt;dd&gt;&lt;/dd&gt;&lt;dd&gt;&lt;/dd&gt;&lt;/dl&gt;</v>
      </c>
    </row>
    <row r="28" spans="2:7" x14ac:dyDescent="0.2">
      <c r="G28" t="str">
        <f t="shared" si="0"/>
        <v>&lt;dl&gt;&lt;dt&gt;&lt;/dt&gt;&lt;dd&gt;&lt;/dd&gt;&lt;dd&gt;&lt;/dd&gt;&lt;/dl&gt;</v>
      </c>
    </row>
    <row r="29" spans="2:7" ht="15.75" x14ac:dyDescent="0.2">
      <c r="B29" s="13" t="s">
        <v>411</v>
      </c>
      <c r="G29" t="str">
        <f t="shared" si="0"/>
        <v>&lt;dl&gt;&lt;dt&gt;1. 主星组合​&lt;/dt&gt;&lt;dd&gt;&lt;/dd&gt;&lt;dd&gt;&lt;/dd&gt;&lt;/dl&gt;</v>
      </c>
    </row>
    <row r="31" spans="2:7" x14ac:dyDescent="0.2">
      <c r="B31" s="2" t="s">
        <v>71</v>
      </c>
      <c r="C31" s="2" t="s">
        <v>453</v>
      </c>
      <c r="D31" s="2" t="s">
        <v>454</v>
      </c>
      <c r="E31" s="2" t="s">
        <v>21</v>
      </c>
    </row>
    <row r="32" spans="2:7" x14ac:dyDescent="0.2">
      <c r="B32" s="3" t="s">
        <v>1753</v>
      </c>
      <c r="C32" s="4" t="s">
        <v>1754</v>
      </c>
      <c r="D32" s="4" t="s">
        <v>1755</v>
      </c>
      <c r="E32" s="4"/>
    </row>
    <row r="33" spans="2:7" x14ac:dyDescent="0.2">
      <c r="B33" s="3" t="s">
        <v>1756</v>
      </c>
      <c r="C33" s="4" t="s">
        <v>1757</v>
      </c>
      <c r="D33" s="4" t="s">
        <v>1758</v>
      </c>
      <c r="E33" s="4"/>
    </row>
    <row r="34" spans="2:7" x14ac:dyDescent="0.2">
      <c r="B34" s="3" t="s">
        <v>1759</v>
      </c>
      <c r="C34" s="4" t="s">
        <v>1760</v>
      </c>
      <c r="D34" s="4" t="s">
        <v>1761</v>
      </c>
      <c r="E34" s="4"/>
    </row>
    <row r="35" spans="2:7" x14ac:dyDescent="0.2">
      <c r="B35" s="3" t="s">
        <v>1762</v>
      </c>
      <c r="C35" s="4" t="s">
        <v>1763</v>
      </c>
      <c r="D35" s="4" t="s">
        <v>1764</v>
      </c>
      <c r="E35" s="4"/>
      <c r="G35" t="str">
        <f t="shared" si="0"/>
        <v>&lt;dl&gt;&lt;dt&gt;陀罗+天同​&lt;/dt&gt;&lt;dd&gt;情感依赖（旧情难忘）&lt;/dd&gt;&lt;dd&gt;抑郁倾向（强迫性回忆）&lt;/dd&gt;&lt;/dl&gt;</v>
      </c>
    </row>
    <row r="36" spans="2:7" x14ac:dyDescent="0.2">
      <c r="G36" t="str">
        <f t="shared" si="0"/>
        <v>&lt;dl&gt;&lt;dt&gt;&lt;/dt&gt;&lt;dd&gt;&lt;/dd&gt;&lt;dd&gt;&lt;/dd&gt;&lt;/dl&gt;</v>
      </c>
    </row>
    <row r="37" spans="2:7" ht="15.75" x14ac:dyDescent="0.2">
      <c r="B37" s="13" t="s">
        <v>426</v>
      </c>
      <c r="G37" t="str">
        <f t="shared" si="0"/>
        <v>&lt;dl&gt;&lt;dt&gt;2. 辅星组合​&lt;/dt&gt;&lt;dd&gt;&lt;/dd&gt;&lt;dd&gt;&lt;/dd&gt;&lt;/dl&gt;</v>
      </c>
    </row>
    <row r="38" spans="2:7" x14ac:dyDescent="0.2">
      <c r="G38" t="str">
        <f t="shared" si="0"/>
        <v>&lt;dl&gt;&lt;dt&gt;&lt;/dt&gt;&lt;dd&gt;&lt;/dd&gt;&lt;dd&gt;&lt;/dd&gt;&lt;/dl&gt;</v>
      </c>
    </row>
    <row r="39" spans="2:7" x14ac:dyDescent="0.2">
      <c r="B39" s="2" t="s">
        <v>40</v>
      </c>
      <c r="C39" s="2" t="s">
        <v>427</v>
      </c>
      <c r="D39" s="2" t="s">
        <v>428</v>
      </c>
      <c r="E39" s="2" t="s">
        <v>21</v>
      </c>
      <c r="G39" t="str">
        <f t="shared" si="0"/>
        <v>&lt;dl&gt;&lt;dt&gt;辅星​&lt;/dt&gt;&lt;dd&gt;吉象（庙旺）​&lt;/dd&gt;&lt;dd&gt;凶象（落陷）​&lt;/dd&gt;&lt;/dl&gt;</v>
      </c>
    </row>
    <row r="40" spans="2:7" x14ac:dyDescent="0.2">
      <c r="B40" s="3" t="s">
        <v>1765</v>
      </c>
      <c r="C40" s="4" t="s">
        <v>1766</v>
      </c>
      <c r="D40" s="4" t="s">
        <v>1767</v>
      </c>
      <c r="E40" s="4"/>
      <c r="G40" t="str">
        <f t="shared" si="0"/>
        <v>&lt;dl&gt;&lt;dt&gt;陀罗+文昌​&lt;/dt&gt;&lt;dd&gt;信息循环（定期报告/学术复检）&lt;/dd&gt;&lt;dd&gt;传销洗脑（车轱辘话术）&lt;/dd&gt;&lt;/dl&gt;</v>
      </c>
    </row>
    <row r="41" spans="2:7" x14ac:dyDescent="0.2">
      <c r="B41" s="3" t="s">
        <v>1768</v>
      </c>
      <c r="C41" s="4" t="s">
        <v>1769</v>
      </c>
      <c r="D41" s="4" t="s">
        <v>1770</v>
      </c>
      <c r="E41" s="4"/>
      <c r="G41" t="str">
        <f t="shared" si="0"/>
        <v>&lt;dl&gt;&lt;dt&gt;陀罗+铃星​&lt;/dt&gt;&lt;dd&gt;关节预警（膝盖劳损）&lt;/dd&gt;&lt;dd&gt;持续疼痛（慢性关节炎）&lt;/dd&gt;&lt;/dl&gt;</v>
      </c>
    </row>
    <row r="42" spans="2:7" x14ac:dyDescent="0.2">
      <c r="B42" s="3" t="s">
        <v>1771</v>
      </c>
      <c r="C42" s="4" t="s">
        <v>1772</v>
      </c>
      <c r="D42" s="4" t="s">
        <v>1773</v>
      </c>
      <c r="E42" s="4"/>
      <c r="G42" t="str">
        <f t="shared" si="0"/>
        <v>&lt;dl&gt;&lt;dt&gt;陀罗+火星​&lt;/dt&gt;&lt;dd&gt;急躁循环（赶工返工）&lt;/dd&gt;&lt;dd&gt;意外烫伤（机械过热故障）&lt;/dd&gt;&lt;/dl&gt;</v>
      </c>
    </row>
    <row r="43" spans="2:7" x14ac:dyDescent="0.2">
      <c r="B43" s="3" t="s">
        <v>1774</v>
      </c>
      <c r="C43" s="4" t="s">
        <v>1775</v>
      </c>
      <c r="D43" s="4" t="s">
        <v>1776</v>
      </c>
      <c r="E43" s="4"/>
      <c r="G43" t="str">
        <f t="shared" si="0"/>
        <v>&lt;dl&gt;&lt;dt&gt;陀罗+地空​&lt;/dt&gt;&lt;dd&gt;虚耗循环（无效投资）&lt;/dd&gt;&lt;dd&gt;积蓄流失（养老金被骗）&lt;/dd&gt;&lt;/dl&gt;</v>
      </c>
    </row>
    <row r="46" spans="2:7" ht="17.25" x14ac:dyDescent="0.2">
      <c r="B46" s="5" t="s">
        <v>1483</v>
      </c>
    </row>
    <row r="48" spans="2:7" x14ac:dyDescent="0.2">
      <c r="B48" s="2" t="s">
        <v>18</v>
      </c>
      <c r="C48" s="2" t="s">
        <v>412</v>
      </c>
      <c r="D48" s="2" t="s">
        <v>413</v>
      </c>
      <c r="E48" s="2" t="s">
        <v>21</v>
      </c>
    </row>
    <row r="49" spans="2:7" x14ac:dyDescent="0.2">
      <c r="B49" s="3" t="s">
        <v>201</v>
      </c>
      <c r="C49" s="4" t="s">
        <v>1777</v>
      </c>
      <c r="D49" s="4" t="s">
        <v>1778</v>
      </c>
      <c r="E49" s="4"/>
      <c r="G49" t="str">
        <f t="shared" si="0"/>
        <v>&lt;dl&gt;&lt;dt&gt;命宫​&lt;/dt&gt;&lt;dd&gt;性格坚韧（长期坚持目标）&lt;/dd&gt;&lt;dd&gt;优柔寡断（决策拖延）&lt;/dd&gt;&lt;/dl&gt;</v>
      </c>
    </row>
    <row r="50" spans="2:7" x14ac:dyDescent="0.2">
      <c r="B50" s="3" t="s">
        <v>6</v>
      </c>
      <c r="C50" s="4" t="s">
        <v>1779</v>
      </c>
      <c r="D50" s="4" t="s">
        <v>1780</v>
      </c>
      <c r="E50" s="4"/>
      <c r="G50" t="str">
        <f t="shared" si="0"/>
        <v>&lt;dl&gt;&lt;dt&gt;疾厄宫​&lt;/dt&gt;&lt;dd&gt;关节保养（运动员周期性训练）&lt;/dd&gt;&lt;dd&gt;慢性骨病（类风湿性关节炎）&lt;/dd&gt;&lt;/dl&gt;</v>
      </c>
    </row>
    <row r="51" spans="2:7" x14ac:dyDescent="0.2">
      <c r="B51" s="3" t="s">
        <v>3</v>
      </c>
      <c r="C51" s="4" t="s">
        <v>1781</v>
      </c>
      <c r="D51" s="4" t="s">
        <v>1782</v>
      </c>
      <c r="E51" s="4"/>
      <c r="G51" t="str">
        <f t="shared" si="0"/>
        <v>&lt;dl&gt;&lt;dt&gt;财帛宫​&lt;/dt&gt;&lt;dd&gt;分期理财（定期存款滚动）&lt;/dd&gt;&lt;dd&gt;债务循环（信用卡最低还款）&lt;/dd&gt;&lt;/dl&gt;</v>
      </c>
    </row>
    <row r="52" spans="2:7" x14ac:dyDescent="0.2">
      <c r="B52" s="3" t="s">
        <v>206</v>
      </c>
      <c r="C52" s="4" t="s">
        <v>1783</v>
      </c>
      <c r="D52" s="4" t="s">
        <v>1784</v>
      </c>
      <c r="E52" s="4"/>
      <c r="G52" t="str">
        <f t="shared" si="0"/>
        <v>&lt;dl&gt;&lt;dt&gt;官禄宫​&lt;/dt&gt;&lt;dd&gt;流程优化（标准化生产）&lt;/dd&gt;&lt;dd&gt;职场拖延（效率低下）&lt;/dd&gt;&lt;/dl&gt;</v>
      </c>
    </row>
    <row r="53" spans="2:7" x14ac:dyDescent="0.2">
      <c r="B53" s="3" t="s">
        <v>125</v>
      </c>
      <c r="C53" s="4" t="s">
        <v>1785</v>
      </c>
      <c r="D53" s="4" t="s">
        <v>1786</v>
      </c>
      <c r="E53" s="4"/>
    </row>
    <row r="56" spans="2:7" ht="17.25" x14ac:dyDescent="0.2">
      <c r="B56" s="5" t="s">
        <v>86</v>
      </c>
    </row>
    <row r="58" spans="2:7" x14ac:dyDescent="0.2">
      <c r="B58" s="2" t="s">
        <v>250</v>
      </c>
      <c r="C58" s="2" t="s">
        <v>452</v>
      </c>
      <c r="D58" s="2" t="s">
        <v>453</v>
      </c>
      <c r="E58" s="2" t="s">
        <v>454</v>
      </c>
      <c r="F58" s="2" t="s">
        <v>21</v>
      </c>
    </row>
    <row r="59" spans="2:7" ht="57" x14ac:dyDescent="0.2">
      <c r="B59" s="3" t="s">
        <v>1496</v>
      </c>
      <c r="C59" s="4" t="s">
        <v>1497</v>
      </c>
      <c r="D59" s="4" t="s">
        <v>1787</v>
      </c>
      <c r="E59" s="4" t="s">
        <v>1788</v>
      </c>
      <c r="F59" s="4"/>
    </row>
    <row r="60" spans="2:7" ht="42.75" x14ac:dyDescent="0.2">
      <c r="B60" s="3" t="s">
        <v>1500</v>
      </c>
      <c r="C60" s="4" t="s">
        <v>1501</v>
      </c>
      <c r="D60" s="4" t="s">
        <v>1789</v>
      </c>
      <c r="E60" s="4" t="s">
        <v>1790</v>
      </c>
      <c r="F60" s="4"/>
    </row>
    <row r="63" spans="2:7" ht="17.25" x14ac:dyDescent="0.2">
      <c r="B63" s="5" t="s">
        <v>90</v>
      </c>
    </row>
    <row r="64" spans="2:7" x14ac:dyDescent="0.2">
      <c r="B64" s="6"/>
    </row>
    <row r="65" spans="2:2" x14ac:dyDescent="0.2">
      <c r="B65" s="7" t="s">
        <v>1657</v>
      </c>
    </row>
    <row r="66" spans="2:2" x14ac:dyDescent="0.2">
      <c r="B66" s="6"/>
    </row>
    <row r="67" spans="2:2" x14ac:dyDescent="0.2">
      <c r="B67" s="9" t="s">
        <v>1791</v>
      </c>
    </row>
    <row r="68" spans="2:2" x14ac:dyDescent="0.2">
      <c r="B68" s="7" t="s">
        <v>1792</v>
      </c>
    </row>
    <row r="69" spans="2:2" x14ac:dyDescent="0.2">
      <c r="B69" s="6"/>
    </row>
    <row r="70" spans="2:2" x14ac:dyDescent="0.2">
      <c r="B70" s="9" t="s">
        <v>1793</v>
      </c>
    </row>
    <row r="71" spans="2:2" x14ac:dyDescent="0.2">
      <c r="B71" s="6"/>
    </row>
    <row r="72" spans="2:2" x14ac:dyDescent="0.2">
      <c r="B72" s="9"/>
    </row>
    <row r="73" spans="2:2" x14ac:dyDescent="0.2">
      <c r="B73" s="9"/>
    </row>
    <row r="77" spans="2:2" ht="17.25" x14ac:dyDescent="0.2">
      <c r="B77" s="5"/>
    </row>
    <row r="80" spans="2:2" x14ac:dyDescent="0.2">
      <c r="B80" s="16"/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6C818-7196-4ECE-9C97-EFCAD2F30BA0}">
  <dimension ref="B1:G83"/>
  <sheetViews>
    <sheetView topLeftCell="A6" zoomScaleNormal="100" workbookViewId="0">
      <selection activeCell="E1" sqref="E1:E1048576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1795</v>
      </c>
      <c r="G1" t="str">
        <f>"&lt;dl&gt;&lt;dt&gt;" &amp; B1 &amp; "&lt;/dt&gt;&lt;dd&gt;" &amp; C1 &amp; "&lt;/dd&gt;&lt;dd&gt;" &amp; D1 &amp; "&lt;/dd&gt;&lt;/dl&gt;"</f>
        <v>&lt;dl&gt;&lt;dt&gt;一、地空定义​&lt;/dt&gt;&lt;dd&gt;&lt;/dd&gt;&lt;dd&gt;&lt;/dd&gt;&lt;/dl&gt;</v>
      </c>
    </row>
    <row r="3" spans="2:7" x14ac:dyDescent="0.2">
      <c r="B3" s="2" t="s">
        <v>376</v>
      </c>
      <c r="C3" s="2" t="s">
        <v>377</v>
      </c>
      <c r="D3" s="2" t="s">
        <v>21</v>
      </c>
    </row>
    <row r="4" spans="2:7" x14ac:dyDescent="0.2">
      <c r="B4" s="3" t="s">
        <v>620</v>
      </c>
      <c r="C4" s="4" t="s">
        <v>1796</v>
      </c>
      <c r="D4" s="4"/>
    </row>
    <row r="5" spans="2:7" x14ac:dyDescent="0.2">
      <c r="B5" s="3" t="s">
        <v>624</v>
      </c>
      <c r="C5" s="4" t="s">
        <v>1797</v>
      </c>
      <c r="D5" s="4"/>
    </row>
    <row r="6" spans="2:7" ht="28.5" x14ac:dyDescent="0.2">
      <c r="B6" s="3" t="s">
        <v>1798</v>
      </c>
      <c r="C6" s="4" t="s">
        <v>1799</v>
      </c>
      <c r="D6" s="4"/>
    </row>
    <row r="7" spans="2:7" ht="28.5" x14ac:dyDescent="0.2">
      <c r="B7" s="3" t="s">
        <v>1666</v>
      </c>
      <c r="C7" s="4" t="s">
        <v>1800</v>
      </c>
      <c r="D7" s="4"/>
    </row>
    <row r="10" spans="2:7" ht="17.25" x14ac:dyDescent="0.2">
      <c r="B10" s="5" t="s">
        <v>388</v>
      </c>
    </row>
    <row r="12" spans="2:7" ht="15.75" x14ac:dyDescent="0.2">
      <c r="B12" s="13" t="s">
        <v>627</v>
      </c>
    </row>
    <row r="14" spans="2:7" x14ac:dyDescent="0.2">
      <c r="B14" s="2" t="s">
        <v>584</v>
      </c>
      <c r="C14" s="2" t="s">
        <v>1801</v>
      </c>
      <c r="D14" s="2" t="s">
        <v>1802</v>
      </c>
      <c r="E14" s="2"/>
    </row>
    <row r="15" spans="2:7" x14ac:dyDescent="0.2">
      <c r="B15" s="3" t="s">
        <v>1803</v>
      </c>
      <c r="C15" s="4" t="s">
        <v>1804</v>
      </c>
      <c r="D15" s="4" t="s">
        <v>1805</v>
      </c>
      <c r="E15" s="4"/>
    </row>
    <row r="16" spans="2:7" x14ac:dyDescent="0.2">
      <c r="B16" s="3" t="s">
        <v>1806</v>
      </c>
      <c r="C16" s="4" t="s">
        <v>1807</v>
      </c>
      <c r="D16" s="4" t="s">
        <v>1808</v>
      </c>
      <c r="E16" s="4"/>
    </row>
    <row r="17" spans="2:7" x14ac:dyDescent="0.2">
      <c r="B17" s="3" t="s">
        <v>1809</v>
      </c>
      <c r="C17" s="4" t="s">
        <v>1810</v>
      </c>
      <c r="D17" s="4" t="s">
        <v>1811</v>
      </c>
      <c r="E17" s="4"/>
    </row>
    <row r="19" spans="2:7" ht="15.75" x14ac:dyDescent="0.2">
      <c r="B19" s="13" t="s">
        <v>1812</v>
      </c>
    </row>
    <row r="20" spans="2:7" x14ac:dyDescent="0.2">
      <c r="B20" s="6"/>
    </row>
    <row r="21" spans="2:7" x14ac:dyDescent="0.2">
      <c r="B21" s="7" t="s">
        <v>1813</v>
      </c>
    </row>
    <row r="22" spans="2:7" x14ac:dyDescent="0.2">
      <c r="B22" s="6"/>
    </row>
    <row r="23" spans="2:7" x14ac:dyDescent="0.2">
      <c r="B23" s="9" t="s">
        <v>1814</v>
      </c>
    </row>
    <row r="24" spans="2:7" x14ac:dyDescent="0.2">
      <c r="B24" s="9" t="s">
        <v>1815</v>
      </c>
      <c r="G24" t="str">
        <f t="shared" ref="G24:G52" si="0">"&lt;dl&gt;&lt;dt&gt;" &amp; B24 &amp; "&lt;/dt&gt;&lt;dd&gt;" &amp; C24 &amp; "&lt;/dd&gt;&lt;dd&gt;" &amp; D24 &amp; "&lt;/dd&gt;&lt;/dl&gt;"</f>
        <v>&lt;dl&gt;&lt;dt&gt;文档145庙旺表标注亥子宫为陷（1级）&lt;/dt&gt;&lt;dd&gt;&lt;/dd&gt;&lt;dd&gt;&lt;/dd&gt;&lt;/dl&gt;</v>
      </c>
    </row>
    <row r="25" spans="2:7" x14ac:dyDescent="0.2">
      <c r="B25" s="9" t="s">
        <v>1816</v>
      </c>
      <c r="G25" t="str">
        <f t="shared" si="0"/>
        <v>&lt;dl&gt;&lt;dt&gt;→ 并存矛盾：理论定义与庙陷表不一致，需分场景应用&lt;/dt&gt;&lt;dd&gt;&lt;/dd&gt;&lt;dd&gt;&lt;/dd&gt;&lt;/dl&gt;</v>
      </c>
    </row>
    <row r="26" spans="2:7" x14ac:dyDescent="0.2">
      <c r="G26" t="str">
        <f t="shared" si="0"/>
        <v>&lt;dl&gt;&lt;dt&gt;&lt;/dt&gt;&lt;dd&gt;&lt;/dd&gt;&lt;dd&gt;&lt;/dd&gt;&lt;/dl&gt;</v>
      </c>
    </row>
    <row r="27" spans="2:7" x14ac:dyDescent="0.2">
      <c r="G27" t="str">
        <f t="shared" si="0"/>
        <v>&lt;dl&gt;&lt;dt&gt;&lt;/dt&gt;&lt;dd&gt;&lt;/dd&gt;&lt;dd&gt;&lt;/dd&gt;&lt;/dl&gt;</v>
      </c>
    </row>
    <row r="28" spans="2:7" x14ac:dyDescent="0.2">
      <c r="G28" t="str">
        <f t="shared" si="0"/>
        <v>&lt;dl&gt;&lt;dt&gt;&lt;/dt&gt;&lt;dd&gt;&lt;/dd&gt;&lt;dd&gt;&lt;/dd&gt;&lt;/dl&gt;</v>
      </c>
    </row>
    <row r="29" spans="2:7" ht="17.25" x14ac:dyDescent="0.2">
      <c r="B29" s="5" t="s">
        <v>496</v>
      </c>
      <c r="G29" t="str">
        <f t="shared" si="0"/>
        <v>&lt;dl&gt;&lt;dt&gt;三、宫位组合象义​&lt;/dt&gt;&lt;dd&gt;&lt;/dd&gt;&lt;dd&gt;&lt;/dd&gt;&lt;/dl&gt;</v>
      </c>
    </row>
    <row r="31" spans="2:7" x14ac:dyDescent="0.2">
      <c r="B31" s="2" t="s">
        <v>18</v>
      </c>
      <c r="C31" s="2" t="s">
        <v>1817</v>
      </c>
      <c r="D31" s="2" t="s">
        <v>1818</v>
      </c>
      <c r="E31" s="2"/>
    </row>
    <row r="32" spans="2:7" x14ac:dyDescent="0.2">
      <c r="B32" s="3" t="s">
        <v>3</v>
      </c>
      <c r="C32" s="4" t="s">
        <v>1819</v>
      </c>
      <c r="D32" s="4" t="s">
        <v>1820</v>
      </c>
      <c r="E32" s="4"/>
    </row>
    <row r="33" spans="2:7" x14ac:dyDescent="0.2">
      <c r="B33" s="3" t="s">
        <v>6</v>
      </c>
      <c r="C33" s="4" t="s">
        <v>1821</v>
      </c>
      <c r="D33" s="4" t="s">
        <v>1822</v>
      </c>
      <c r="E33" s="4"/>
    </row>
    <row r="34" spans="2:7" x14ac:dyDescent="0.2">
      <c r="B34" s="3" t="s">
        <v>0</v>
      </c>
      <c r="C34" s="4" t="s">
        <v>1823</v>
      </c>
      <c r="D34" s="4" t="s">
        <v>1824</v>
      </c>
      <c r="E34" s="4"/>
    </row>
    <row r="35" spans="2:7" x14ac:dyDescent="0.2">
      <c r="B35" s="3" t="s">
        <v>128</v>
      </c>
      <c r="C35" s="4" t="s">
        <v>1825</v>
      </c>
      <c r="D35" s="4" t="s">
        <v>1826</v>
      </c>
      <c r="E35" s="4"/>
      <c r="G35" t="str">
        <f t="shared" si="0"/>
        <v>&lt;dl&gt;&lt;dt&gt;子女宫​&lt;/dt&gt;&lt;dd&gt;过度溺爱（物质宠溺）&lt;/dd&gt;&lt;dd&gt;偶尔纵容（零食超标）&lt;/dd&gt;&lt;/dl&gt;</v>
      </c>
    </row>
    <row r="36" spans="2:7" x14ac:dyDescent="0.2">
      <c r="B36" s="3" t="s">
        <v>125</v>
      </c>
      <c r="C36" s="4" t="s">
        <v>1827</v>
      </c>
      <c r="D36" s="4" t="s">
        <v>1828</v>
      </c>
      <c r="E36" s="4"/>
      <c r="G36" t="str">
        <f t="shared" si="0"/>
        <v>&lt;dl&gt;&lt;dt&gt;夫妻宫​&lt;/dt&gt;&lt;dd&gt;感情泛滥（多角关系）&lt;/dd&gt;&lt;dd&gt;短暂暧昧&lt;/dd&gt;&lt;/dl&gt;</v>
      </c>
    </row>
    <row r="37" spans="2:7" x14ac:dyDescent="0.2">
      <c r="G37" t="str">
        <f t="shared" si="0"/>
        <v>&lt;dl&gt;&lt;dt&gt;&lt;/dt&gt;&lt;dd&gt;&lt;/dd&gt;&lt;dd&gt;&lt;/dd&gt;&lt;/dl&gt;</v>
      </c>
    </row>
    <row r="38" spans="2:7" x14ac:dyDescent="0.2">
      <c r="G38" t="str">
        <f t="shared" si="0"/>
        <v>&lt;dl&gt;&lt;dt&gt;&lt;/dt&gt;&lt;dd&gt;&lt;/dd&gt;&lt;dd&gt;&lt;/dd&gt;&lt;/dl&gt;</v>
      </c>
    </row>
    <row r="39" spans="2:7" ht="17.25" x14ac:dyDescent="0.2">
      <c r="B39" s="5" t="s">
        <v>70</v>
      </c>
      <c r="G39" t="str">
        <f t="shared" si="0"/>
        <v>&lt;dl&gt;&lt;dt&gt;四、主星组合象义​&lt;/dt&gt;&lt;dd&gt;&lt;/dd&gt;&lt;dd&gt;&lt;/dd&gt;&lt;/dl&gt;</v>
      </c>
    </row>
    <row r="40" spans="2:7" x14ac:dyDescent="0.2">
      <c r="G40" t="str">
        <f t="shared" si="0"/>
        <v>&lt;dl&gt;&lt;dt&gt;&lt;/dt&gt;&lt;dd&gt;&lt;/dd&gt;&lt;dd&gt;&lt;/dd&gt;&lt;/dl&gt;</v>
      </c>
    </row>
    <row r="41" spans="2:7" ht="15.75" x14ac:dyDescent="0.2">
      <c r="B41" s="13" t="s">
        <v>1829</v>
      </c>
      <c r="G41" t="str">
        <f t="shared" si="0"/>
        <v>&lt;dl&gt;&lt;dt&gt;1. 吉象组合（庙旺）​&lt;/dt&gt;&lt;dd&gt;&lt;/dd&gt;&lt;dd&gt;&lt;/dd&gt;&lt;/dl&gt;</v>
      </c>
    </row>
    <row r="42" spans="2:7" x14ac:dyDescent="0.2">
      <c r="G42" t="str">
        <f t="shared" si="0"/>
        <v>&lt;dl&gt;&lt;dt&gt;&lt;/dt&gt;&lt;dd&gt;&lt;/dd&gt;&lt;dd&gt;&lt;/dd&gt;&lt;/dl&gt;</v>
      </c>
    </row>
    <row r="43" spans="2:7" x14ac:dyDescent="0.2">
      <c r="B43" s="2" t="s">
        <v>71</v>
      </c>
      <c r="C43" s="2" t="s">
        <v>1047</v>
      </c>
      <c r="D43" s="2" t="s">
        <v>73</v>
      </c>
      <c r="E43" s="2"/>
      <c r="G43" t="str">
        <f t="shared" si="0"/>
        <v>&lt;dl&gt;&lt;dt&gt;组合​&lt;/dt&gt;&lt;dd&gt;效应​&lt;/dd&gt;&lt;dd&gt;典型案例​&lt;/dd&gt;&lt;/dl&gt;</v>
      </c>
    </row>
    <row r="44" spans="2:7" x14ac:dyDescent="0.2">
      <c r="B44" s="3" t="s">
        <v>1830</v>
      </c>
      <c r="C44" s="4" t="s">
        <v>1831</v>
      </c>
      <c r="D44" s="4" t="s">
        <v>1832</v>
      </c>
      <c r="E44" s="4"/>
    </row>
    <row r="45" spans="2:7" x14ac:dyDescent="0.2">
      <c r="B45" s="3" t="s">
        <v>1833</v>
      </c>
      <c r="C45" s="4" t="s">
        <v>1834</v>
      </c>
      <c r="D45" s="4" t="s">
        <v>1835</v>
      </c>
      <c r="E45" s="4"/>
    </row>
    <row r="46" spans="2:7" x14ac:dyDescent="0.2">
      <c r="B46" s="3" t="s">
        <v>1836</v>
      </c>
      <c r="C46" s="4" t="s">
        <v>1837</v>
      </c>
      <c r="D46" s="4" t="s">
        <v>1838</v>
      </c>
      <c r="E46" s="4"/>
    </row>
    <row r="47" spans="2:7" x14ac:dyDescent="0.2">
      <c r="B47" s="3" t="s">
        <v>1839</v>
      </c>
      <c r="C47" s="4" t="s">
        <v>1840</v>
      </c>
      <c r="D47" s="4" t="s">
        <v>1841</v>
      </c>
      <c r="E47" s="4"/>
    </row>
    <row r="49" spans="2:7" ht="15.75" x14ac:dyDescent="0.2">
      <c r="B49" s="13" t="s">
        <v>1842</v>
      </c>
      <c r="G49" t="str">
        <f t="shared" si="0"/>
        <v>&lt;dl&gt;&lt;dt&gt;2. 凶象组合（落陷）​&lt;/dt&gt;&lt;dd&gt;&lt;/dd&gt;&lt;dd&gt;&lt;/dd&gt;&lt;/dl&gt;</v>
      </c>
    </row>
    <row r="50" spans="2:7" x14ac:dyDescent="0.2">
      <c r="G50" t="str">
        <f t="shared" si="0"/>
        <v>&lt;dl&gt;&lt;dt&gt;&lt;/dt&gt;&lt;dd&gt;&lt;/dd&gt;&lt;dd&gt;&lt;/dd&gt;&lt;/dl&gt;</v>
      </c>
    </row>
    <row r="51" spans="2:7" x14ac:dyDescent="0.2">
      <c r="B51" s="2" t="s">
        <v>71</v>
      </c>
      <c r="C51" s="2" t="s">
        <v>1047</v>
      </c>
      <c r="D51" s="2" t="s">
        <v>73</v>
      </c>
      <c r="E51" s="2"/>
      <c r="G51" t="str">
        <f t="shared" si="0"/>
        <v>&lt;dl&gt;&lt;dt&gt;组合​&lt;/dt&gt;&lt;dd&gt;效应​&lt;/dd&gt;&lt;dd&gt;典型案例​&lt;/dd&gt;&lt;/dl&gt;</v>
      </c>
    </row>
    <row r="52" spans="2:7" x14ac:dyDescent="0.2">
      <c r="B52" s="3" t="s">
        <v>1843</v>
      </c>
      <c r="C52" s="4" t="s">
        <v>1844</v>
      </c>
      <c r="D52" s="4" t="s">
        <v>1845</v>
      </c>
      <c r="E52" s="4"/>
      <c r="G52" t="str">
        <f t="shared" si="0"/>
        <v>&lt;dl&gt;&lt;dt&gt;破军+地空​&lt;/dt&gt;&lt;dd&gt;突破失控（盲目创业失败）&lt;/dd&gt;&lt;dd&gt;借贷投资血本无归&lt;/dd&gt;&lt;/dl&gt;</v>
      </c>
    </row>
    <row r="53" spans="2:7" x14ac:dyDescent="0.2">
      <c r="B53" s="3" t="s">
        <v>1846</v>
      </c>
      <c r="C53" s="4" t="s">
        <v>1847</v>
      </c>
      <c r="D53" s="4" t="s">
        <v>1848</v>
      </c>
      <c r="E53" s="4"/>
    </row>
    <row r="54" spans="2:7" x14ac:dyDescent="0.2">
      <c r="B54" s="3" t="s">
        <v>1014</v>
      </c>
      <c r="C54" s="4" t="s">
        <v>1849</v>
      </c>
      <c r="D54" s="4" t="s">
        <v>1850</v>
      </c>
      <c r="E54" s="4"/>
    </row>
    <row r="57" spans="2:7" ht="17.25" x14ac:dyDescent="0.2">
      <c r="B57" s="5" t="s">
        <v>1157</v>
      </c>
    </row>
    <row r="59" spans="2:7" x14ac:dyDescent="0.2">
      <c r="B59" s="2" t="s">
        <v>40</v>
      </c>
      <c r="C59" s="2" t="s">
        <v>1097</v>
      </c>
      <c r="D59" s="2" t="s">
        <v>1851</v>
      </c>
      <c r="E59" s="2"/>
    </row>
    <row r="60" spans="2:7" x14ac:dyDescent="0.2">
      <c r="B60" s="3" t="s">
        <v>1852</v>
      </c>
      <c r="C60" s="4" t="s">
        <v>1853</v>
      </c>
      <c r="D60" s="4" t="s">
        <v>1854</v>
      </c>
      <c r="E60" s="4"/>
    </row>
    <row r="61" spans="2:7" x14ac:dyDescent="0.2">
      <c r="B61" s="3" t="s">
        <v>1855</v>
      </c>
      <c r="C61" s="4" t="s">
        <v>1856</v>
      </c>
      <c r="D61" s="4" t="s">
        <v>1857</v>
      </c>
      <c r="E61" s="4"/>
    </row>
    <row r="62" spans="2:7" x14ac:dyDescent="0.2">
      <c r="B62" s="3" t="s">
        <v>1858</v>
      </c>
      <c r="C62" s="4" t="s">
        <v>1859</v>
      </c>
      <c r="D62" s="4" t="s">
        <v>1860</v>
      </c>
      <c r="E62" s="4"/>
    </row>
    <row r="63" spans="2:7" x14ac:dyDescent="0.2">
      <c r="B63" s="3" t="s">
        <v>1861</v>
      </c>
      <c r="C63" s="4" t="s">
        <v>1862</v>
      </c>
      <c r="D63" s="4" t="s">
        <v>1863</v>
      </c>
      <c r="E63" s="4"/>
    </row>
    <row r="66" spans="2:2" ht="17.25" x14ac:dyDescent="0.2">
      <c r="B66" s="5" t="s">
        <v>1864</v>
      </c>
    </row>
    <row r="67" spans="2:2" x14ac:dyDescent="0.2">
      <c r="B67" s="6"/>
    </row>
    <row r="68" spans="2:2" x14ac:dyDescent="0.2">
      <c r="B68" s="7" t="s">
        <v>1865</v>
      </c>
    </row>
    <row r="69" spans="2:2" x14ac:dyDescent="0.2">
      <c r="B69" s="6"/>
    </row>
    <row r="70" spans="2:2" x14ac:dyDescent="0.2">
      <c r="B70" s="8" t="s">
        <v>1866</v>
      </c>
    </row>
    <row r="71" spans="2:2" x14ac:dyDescent="0.2">
      <c r="B71" s="8" t="s">
        <v>1867</v>
      </c>
    </row>
    <row r="75" spans="2:2" ht="17.25" x14ac:dyDescent="0.2">
      <c r="B75" s="5" t="s">
        <v>1436</v>
      </c>
    </row>
    <row r="76" spans="2:2" x14ac:dyDescent="0.2">
      <c r="B76" s="6"/>
    </row>
    <row r="77" spans="2:2" x14ac:dyDescent="0.2">
      <c r="B77" s="7" t="s">
        <v>1868</v>
      </c>
    </row>
    <row r="78" spans="2:2" x14ac:dyDescent="0.2">
      <c r="B78" s="6"/>
    </row>
    <row r="79" spans="2:2" x14ac:dyDescent="0.2">
      <c r="B79" s="9" t="s">
        <v>1869</v>
      </c>
    </row>
    <row r="80" spans="2:2" x14ac:dyDescent="0.2">
      <c r="B80" s="9" t="s">
        <v>1870</v>
      </c>
    </row>
    <row r="81" spans="2:2" x14ac:dyDescent="0.2">
      <c r="B81" s="7" t="s">
        <v>1871</v>
      </c>
    </row>
    <row r="82" spans="2:2" x14ac:dyDescent="0.2">
      <c r="B82" s="6"/>
    </row>
    <row r="83" spans="2:2" x14ac:dyDescent="0.2">
      <c r="B83" s="19" t="s">
        <v>1872</v>
      </c>
    </row>
  </sheetData>
  <phoneticPr fontId="2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17A7-9284-4A4A-B145-4135C78FBE5F}">
  <dimension ref="B1:G79"/>
  <sheetViews>
    <sheetView topLeftCell="A20" zoomScaleNormal="100" workbookViewId="0">
      <selection activeCell="C29" sqref="C29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1873</v>
      </c>
      <c r="G1" t="str">
        <f>"&lt;dl&gt;&lt;dt&gt;" &amp; B1 &amp; "&lt;/dt&gt;&lt;dd&gt;" &amp; C1 &amp; "&lt;/dd&gt;&lt;dd&gt;" &amp; D1 &amp; "&lt;/dd&gt;&lt;/dl&gt;"</f>
        <v>&lt;dl&gt;&lt;dt&gt;（二）地劫​&lt;/dt&gt;&lt;dd&gt;&lt;/dd&gt;&lt;dd&gt;&lt;/dd&gt;&lt;/dl&gt;</v>
      </c>
    </row>
    <row r="3" spans="2:7" ht="15.75" x14ac:dyDescent="0.2">
      <c r="B3" s="13" t="s">
        <v>1874</v>
      </c>
    </row>
    <row r="4" spans="2:7" x14ac:dyDescent="0.2">
      <c r="B4" s="6"/>
    </row>
    <row r="5" spans="2:7" x14ac:dyDescent="0.2">
      <c r="B5" s="7" t="s">
        <v>1875</v>
      </c>
    </row>
    <row r="6" spans="2:7" x14ac:dyDescent="0.2">
      <c r="B6" s="7" t="s">
        <v>1876</v>
      </c>
    </row>
    <row r="7" spans="2:7" x14ac:dyDescent="0.2">
      <c r="B7" s="7" t="s">
        <v>1877</v>
      </c>
    </row>
    <row r="8" spans="2:7" x14ac:dyDescent="0.2">
      <c r="B8" s="7" t="s">
        <v>1878</v>
      </c>
    </row>
    <row r="9" spans="2:7" x14ac:dyDescent="0.2">
      <c r="B9" s="6"/>
    </row>
    <row r="10" spans="2:7" x14ac:dyDescent="0.2">
      <c r="B10" s="9" t="s">
        <v>1879</v>
      </c>
    </row>
    <row r="11" spans="2:7" x14ac:dyDescent="0.2">
      <c r="B11" s="9" t="s">
        <v>1880</v>
      </c>
    </row>
    <row r="12" spans="2:7" x14ac:dyDescent="0.2">
      <c r="B12" s="9" t="s">
        <v>1881</v>
      </c>
    </row>
    <row r="14" spans="2:7" ht="15.75" x14ac:dyDescent="0.2">
      <c r="B14" s="13" t="s">
        <v>1882</v>
      </c>
    </row>
    <row r="16" spans="2:7" ht="15.75" x14ac:dyDescent="0.2">
      <c r="B16" s="13" t="s">
        <v>1883</v>
      </c>
    </row>
    <row r="18" spans="2:7" x14ac:dyDescent="0.2">
      <c r="B18" s="2" t="s">
        <v>18</v>
      </c>
      <c r="C18" s="2" t="s">
        <v>497</v>
      </c>
    </row>
    <row r="19" spans="2:7" x14ac:dyDescent="0.2">
      <c r="B19" s="3" t="s">
        <v>201</v>
      </c>
      <c r="C19" s="4" t="s">
        <v>1884</v>
      </c>
    </row>
    <row r="20" spans="2:7" x14ac:dyDescent="0.2">
      <c r="B20" s="3" t="s">
        <v>3</v>
      </c>
      <c r="C20" s="4" t="s">
        <v>1885</v>
      </c>
    </row>
    <row r="21" spans="2:7" x14ac:dyDescent="0.2">
      <c r="B21" s="3" t="s">
        <v>6</v>
      </c>
      <c r="C21" s="4" t="s">
        <v>1886</v>
      </c>
      <c r="G21" t="str">
        <f t="shared" ref="G21:G49" si="0">"&lt;dl&gt;&lt;dt&gt;" &amp; B21 &amp; "&lt;/dt&gt;&lt;dd&gt;" &amp; C21 &amp; "&lt;/dd&gt;&lt;dd&gt;" &amp; D21 &amp; "&lt;/dd&gt;&lt;/dl&gt;"</f>
        <v>&lt;dl&gt;&lt;dt&gt;疾厄宫​&lt;/dt&gt;&lt;dd&gt;身体有先天缺陷或手术留洞（如蛀牙、胃穿孔）&lt;/dd&gt;&lt;dd&gt;&lt;/dd&gt;&lt;/dl&gt;</v>
      </c>
    </row>
    <row r="22" spans="2:7" x14ac:dyDescent="0.2">
      <c r="B22" s="3" t="s">
        <v>15</v>
      </c>
      <c r="C22" s="4" t="s">
        <v>1887</v>
      </c>
      <c r="G22" t="str">
        <f t="shared" si="0"/>
        <v>&lt;dl&gt;&lt;dt&gt;迁移宫​&lt;/dt&gt;&lt;dd&gt;外出遇陷阱（车祸、诈骗）&lt;/dd&gt;&lt;dd&gt;&lt;/dd&gt;&lt;/dl&gt;</v>
      </c>
    </row>
    <row r="23" spans="2:7" x14ac:dyDescent="0.2">
      <c r="B23" s="3" t="s">
        <v>0</v>
      </c>
      <c r="C23" s="4" t="s">
        <v>1888</v>
      </c>
      <c r="G23" t="str">
        <f t="shared" si="0"/>
        <v>&lt;dl&gt;&lt;dt&gt;田宅宫​&lt;/dt&gt;&lt;dd&gt;房屋漏水、地下室；家族传承中断&lt;/dd&gt;&lt;dd&gt;&lt;/dd&gt;&lt;/dl&gt;</v>
      </c>
    </row>
    <row r="24" spans="2:7" x14ac:dyDescent="0.2">
      <c r="G24" t="str">
        <f t="shared" si="0"/>
        <v>&lt;dl&gt;&lt;dt&gt;&lt;/dt&gt;&lt;dd&gt;&lt;/dd&gt;&lt;dd&gt;&lt;/dd&gt;&lt;/dl&gt;</v>
      </c>
    </row>
    <row r="25" spans="2:7" ht="15.75" x14ac:dyDescent="0.2">
      <c r="B25" s="13" t="s">
        <v>1889</v>
      </c>
      <c r="G25" t="str">
        <f t="shared" si="0"/>
        <v>&lt;dl&gt;&lt;dt&gt;4. 主星组合象义​&lt;/dt&gt;&lt;dd&gt;&lt;/dd&gt;&lt;dd&gt;&lt;/dd&gt;&lt;/dl&gt;</v>
      </c>
    </row>
    <row r="26" spans="2:7" x14ac:dyDescent="0.2">
      <c r="G26" t="str">
        <f t="shared" si="0"/>
        <v>&lt;dl&gt;&lt;dt&gt;&lt;/dt&gt;&lt;dd&gt;&lt;/dd&gt;&lt;dd&gt;&lt;/dd&gt;&lt;/dl&gt;</v>
      </c>
    </row>
    <row r="27" spans="2:7" x14ac:dyDescent="0.2">
      <c r="B27" s="2" t="s">
        <v>1215</v>
      </c>
      <c r="C27" s="2" t="s">
        <v>339</v>
      </c>
    </row>
    <row r="28" spans="2:7" x14ac:dyDescent="0.2">
      <c r="B28" s="3" t="s">
        <v>1890</v>
      </c>
      <c r="C28" s="4" t="s">
        <v>1891</v>
      </c>
    </row>
    <row r="29" spans="2:7" x14ac:dyDescent="0.2">
      <c r="B29" s="3" t="s">
        <v>350</v>
      </c>
      <c r="C29" s="4" t="s">
        <v>1892</v>
      </c>
    </row>
    <row r="30" spans="2:7" x14ac:dyDescent="0.2">
      <c r="B30" s="3" t="s">
        <v>1893</v>
      </c>
      <c r="C30" s="4" t="s">
        <v>1894</v>
      </c>
    </row>
    <row r="31" spans="2:7" x14ac:dyDescent="0.2">
      <c r="B31" s="3" t="s">
        <v>1895</v>
      </c>
      <c r="C31" s="3" t="s">
        <v>1896</v>
      </c>
    </row>
    <row r="32" spans="2:7" x14ac:dyDescent="0.2">
      <c r="B32" s="3" t="s">
        <v>1897</v>
      </c>
      <c r="C32" s="4" t="s">
        <v>1898</v>
      </c>
      <c r="G32" t="str">
        <f t="shared" si="0"/>
        <v>&lt;dl&gt;&lt;dt&gt;天同+地劫​&lt;/dt&gt;&lt;dd&gt;情感空洞（失恋麻木）、信仰崩塌&lt;/dd&gt;&lt;dd&gt;&lt;/dd&gt;&lt;/dl&gt;</v>
      </c>
    </row>
    <row r="33" spans="2:7" x14ac:dyDescent="0.2">
      <c r="B33" s="3" t="s">
        <v>1899</v>
      </c>
      <c r="C33" s="4" t="s">
        <v>1900</v>
      </c>
      <c r="G33" t="str">
        <f t="shared" si="0"/>
        <v>&lt;dl&gt;&lt;dt&gt;廉贞+地劫​&lt;/dt&gt;&lt;dd&gt;抓空（机会错失）、电子失灵（手机黑屏）&lt;/dd&gt;&lt;dd&gt;&lt;/dd&gt;&lt;/dl&gt;</v>
      </c>
    </row>
    <row r="34" spans="2:7" x14ac:dyDescent="0.2">
      <c r="B34" s="3" t="s">
        <v>1901</v>
      </c>
      <c r="C34" s="4" t="s">
        <v>1902</v>
      </c>
      <c r="G34" t="str">
        <f t="shared" si="0"/>
        <v>&lt;dl&gt;&lt;dt&gt;天府+地劫​&lt;/dt&gt;&lt;dd&gt;仓库空虚（存款见底）、空间废弃（烂尾楼）&lt;/dd&gt;&lt;dd&gt;&lt;/dd&gt;&lt;/dl&gt;</v>
      </c>
    </row>
    <row r="35" spans="2:7" x14ac:dyDescent="0.2">
      <c r="B35" s="3" t="s">
        <v>1903</v>
      </c>
      <c r="C35" s="4" t="s">
        <v>1904</v>
      </c>
      <c r="G35" t="str">
        <f t="shared" si="0"/>
        <v>&lt;dl&gt;&lt;dt&gt;太阴+地劫​&lt;/dt&gt;&lt;dd&gt;存储泄露（忘事）、女性缘薄（母缘浅）&lt;/dd&gt;&lt;dd&gt;&lt;/dd&gt;&lt;/dl&gt;</v>
      </c>
    </row>
    <row r="36" spans="2:7" x14ac:dyDescent="0.2">
      <c r="B36" s="3" t="s">
        <v>1905</v>
      </c>
      <c r="C36" s="4" t="s">
        <v>1906</v>
      </c>
      <c r="G36" t="str">
        <f t="shared" si="0"/>
        <v>&lt;dl&gt;&lt;dt&gt;贪狼+地劫​&lt;/dt&gt;&lt;dd&gt;欲望成空（减肥失败）、体积缺失（器官切除）&lt;/dd&gt;&lt;dd&gt;&lt;/dd&gt;&lt;/dl&gt;</v>
      </c>
    </row>
    <row r="37" spans="2:7" x14ac:dyDescent="0.2">
      <c r="B37" s="3" t="s">
        <v>1907</v>
      </c>
      <c r="C37" s="4" t="s">
        <v>1908</v>
      </c>
      <c r="G37" t="str">
        <f t="shared" si="0"/>
        <v>&lt;dl&gt;&lt;dt&gt;巨门+地劫​&lt;/dt&gt;&lt;dd&gt;口误泄密、门洞破损（如房门破洞）&lt;/dd&gt;&lt;dd&gt;&lt;/dd&gt;&lt;/dl&gt;</v>
      </c>
    </row>
    <row r="38" spans="2:7" ht="28.5" x14ac:dyDescent="0.2">
      <c r="B38" s="3" t="s">
        <v>1909</v>
      </c>
      <c r="C38" s="4" t="s">
        <v>1910</v>
      </c>
      <c r="G38" t="str">
        <f t="shared" si="0"/>
        <v>&lt;dl&gt;&lt;dt&gt;天相+地劫​&lt;/dt&gt;&lt;dd&gt;维生系统漏洞（社保断缴）、呵护缺失（亲子疏离）&lt;/dd&gt;&lt;dd&gt;&lt;/dd&gt;&lt;/dl&gt;</v>
      </c>
    </row>
    <row r="39" spans="2:7" x14ac:dyDescent="0.2">
      <c r="B39" s="3" t="s">
        <v>435</v>
      </c>
      <c r="C39" s="4" t="s">
        <v>1911</v>
      </c>
      <c r="G39" t="str">
        <f t="shared" si="0"/>
        <v>&lt;dl&gt;&lt;dt&gt;天梁+地劫​&lt;/dt&gt;&lt;dd&gt;支柱倒塌（企业倒闭）、规则失效（合同作废）&lt;/dd&gt;&lt;dd&gt;&lt;/dd&gt;&lt;/dl&gt;</v>
      </c>
    </row>
    <row r="40" spans="2:7" x14ac:dyDescent="0.2">
      <c r="B40" s="3" t="s">
        <v>1017</v>
      </c>
      <c r="C40" s="4" t="s">
        <v>1912</v>
      </c>
      <c r="G40" t="str">
        <f t="shared" si="0"/>
        <v>&lt;dl&gt;&lt;dt&gt;七杀+地劫​&lt;/dt&gt;&lt;dd&gt;线路中断（失业）、平面破损（屏幕碎裂）&lt;/dd&gt;&lt;dd&gt;&lt;/dd&gt;&lt;/dl&gt;</v>
      </c>
    </row>
    <row r="41" spans="2:7" x14ac:dyDescent="0.2">
      <c r="B41" s="3" t="s">
        <v>1090</v>
      </c>
      <c r="C41" s="4" t="s">
        <v>1913</v>
      </c>
    </row>
    <row r="43" spans="2:7" ht="15.75" x14ac:dyDescent="0.2">
      <c r="B43" s="13" t="s">
        <v>1914</v>
      </c>
    </row>
    <row r="45" spans="2:7" x14ac:dyDescent="0.2">
      <c r="B45" s="2" t="s">
        <v>40</v>
      </c>
      <c r="C45" s="2" t="s">
        <v>339</v>
      </c>
    </row>
    <row r="46" spans="2:7" x14ac:dyDescent="0.2">
      <c r="B46" s="3" t="s">
        <v>1915</v>
      </c>
      <c r="C46" s="4" t="s">
        <v>1916</v>
      </c>
      <c r="G46" t="str">
        <f t="shared" si="0"/>
        <v>&lt;dl&gt;&lt;dt&gt;地劫+火星​&lt;/dt&gt;&lt;dd&gt;突发性劫难（火灾烧毁财物）&lt;/dd&gt;&lt;dd&gt;&lt;/dd&gt;&lt;/dl&gt;</v>
      </c>
    </row>
    <row r="47" spans="2:7" x14ac:dyDescent="0.2">
      <c r="B47" s="3" t="s">
        <v>1917</v>
      </c>
      <c r="C47" s="4" t="s">
        <v>1918</v>
      </c>
      <c r="G47" t="str">
        <f t="shared" si="0"/>
        <v>&lt;dl&gt;&lt;dt&gt;地劫+铃星​&lt;/dt&gt;&lt;dd&gt;慢性损耗（长期疾病耗钱）&lt;/dd&gt;&lt;dd&gt;&lt;/dd&gt;&lt;/dl&gt;</v>
      </c>
    </row>
    <row r="48" spans="2:7" x14ac:dyDescent="0.2">
      <c r="B48" s="3" t="s">
        <v>1707</v>
      </c>
      <c r="C48" s="4" t="s">
        <v>1919</v>
      </c>
      <c r="G48" t="str">
        <f t="shared" si="0"/>
        <v>&lt;dl&gt;&lt;dt&gt;地劫+擎羊​&lt;/dt&gt;&lt;dd&gt;切割型缺失（截肢、裁员）&lt;/dd&gt;&lt;dd&gt;&lt;/dd&gt;&lt;/dl&gt;</v>
      </c>
    </row>
    <row r="49" spans="2:7" x14ac:dyDescent="0.2">
      <c r="B49" s="3" t="s">
        <v>1920</v>
      </c>
      <c r="C49" s="4" t="s">
        <v>1921</v>
      </c>
      <c r="G49" t="str">
        <f t="shared" si="0"/>
        <v>&lt;dl&gt;&lt;dt&gt;地劫+陀罗​&lt;/dt&gt;&lt;dd&gt;缓慢侵蚀（蛀牙、资产缩水）&lt;/dd&gt;&lt;dd&gt;&lt;/dd&gt;&lt;/dl&gt;</v>
      </c>
    </row>
    <row r="50" spans="2:7" x14ac:dyDescent="0.2">
      <c r="B50" s="3" t="s">
        <v>1922</v>
      </c>
      <c r="C50" s="4" t="s">
        <v>1923</v>
      </c>
    </row>
    <row r="51" spans="2:7" x14ac:dyDescent="0.2">
      <c r="B51" s="3" t="s">
        <v>1924</v>
      </c>
      <c r="C51" s="4" t="s">
        <v>1925</v>
      </c>
    </row>
    <row r="52" spans="2:7" x14ac:dyDescent="0.2">
      <c r="B52" s="3" t="s">
        <v>1926</v>
      </c>
      <c r="C52" s="4" t="s">
        <v>1927</v>
      </c>
    </row>
    <row r="54" spans="2:7" ht="15.75" x14ac:dyDescent="0.2">
      <c r="B54" s="13" t="s">
        <v>1928</v>
      </c>
    </row>
    <row r="55" spans="2:7" x14ac:dyDescent="0.2">
      <c r="B55" s="6"/>
    </row>
    <row r="56" spans="2:7" x14ac:dyDescent="0.2">
      <c r="B56" s="7" t="s">
        <v>1929</v>
      </c>
    </row>
    <row r="57" spans="2:7" x14ac:dyDescent="0.2">
      <c r="B57" s="7" t="s">
        <v>1930</v>
      </c>
    </row>
    <row r="58" spans="2:7" x14ac:dyDescent="0.2">
      <c r="B58" s="7" t="s">
        <v>1931</v>
      </c>
    </row>
    <row r="59" spans="2:7" x14ac:dyDescent="0.2">
      <c r="B59" s="7" t="s">
        <v>1932</v>
      </c>
    </row>
    <row r="63" spans="2:7" ht="17.25" x14ac:dyDescent="0.2">
      <c r="B63" s="5" t="s">
        <v>1933</v>
      </c>
    </row>
    <row r="65" spans="2:4" x14ac:dyDescent="0.2">
      <c r="B65" s="2" t="s">
        <v>1934</v>
      </c>
      <c r="C65" s="2" t="s">
        <v>1935</v>
      </c>
      <c r="D65" s="2" t="s">
        <v>1936</v>
      </c>
    </row>
    <row r="66" spans="2:4" x14ac:dyDescent="0.2">
      <c r="B66" s="3" t="s">
        <v>1937</v>
      </c>
      <c r="C66" s="3" t="s">
        <v>1938</v>
      </c>
      <c r="D66" s="3" t="s">
        <v>1939</v>
      </c>
    </row>
    <row r="67" spans="2:4" x14ac:dyDescent="0.2">
      <c r="B67" s="3" t="s">
        <v>1940</v>
      </c>
      <c r="C67" s="4" t="s">
        <v>1941</v>
      </c>
      <c r="D67" s="4" t="s">
        <v>1942</v>
      </c>
    </row>
    <row r="68" spans="2:4" x14ac:dyDescent="0.2">
      <c r="B68" s="3" t="s">
        <v>1943</v>
      </c>
      <c r="C68" s="4" t="s">
        <v>1944</v>
      </c>
      <c r="D68" s="4" t="s">
        <v>1945</v>
      </c>
    </row>
    <row r="69" spans="2:4" x14ac:dyDescent="0.2">
      <c r="B69" s="3" t="s">
        <v>1946</v>
      </c>
      <c r="C69" s="4" t="s">
        <v>1947</v>
      </c>
      <c r="D69" s="4" t="s">
        <v>1948</v>
      </c>
    </row>
    <row r="70" spans="2:4" x14ac:dyDescent="0.2">
      <c r="B70" s="9"/>
    </row>
    <row r="74" spans="2:4" ht="17.25" x14ac:dyDescent="0.2">
      <c r="B74" s="5"/>
    </row>
    <row r="77" spans="2:4" x14ac:dyDescent="0.2">
      <c r="B77" s="16"/>
    </row>
    <row r="78" spans="2:4" x14ac:dyDescent="0.2">
      <c r="B78" s="6"/>
    </row>
    <row r="79" spans="2:4" x14ac:dyDescent="0.2">
      <c r="B79" s="6"/>
    </row>
  </sheetData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835EA-8023-4EC2-BC52-EEE184C36896}">
  <dimension ref="B1:G82"/>
  <sheetViews>
    <sheetView topLeftCell="A18" zoomScaleNormal="100" workbookViewId="0">
      <selection activeCell="D24" sqref="D24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1949</v>
      </c>
      <c r="G1" t="str">
        <f>"&lt;dl&gt;&lt;dt&gt;" &amp; B1 &amp; "&lt;/dt&gt;&lt;dd&gt;" &amp; C1 &amp; "&lt;/dd&gt;&lt;dd&gt;" &amp; D1 &amp; "&lt;/dd&gt;&lt;/dl&gt;"</f>
        <v>&lt;dl&gt;&lt;dt&gt;一、火星定义​&lt;/dt&gt;&lt;dd&gt;&lt;/dd&gt;&lt;dd&gt;&lt;/dd&gt;&lt;/dl&gt;</v>
      </c>
    </row>
    <row r="3" spans="2:7" x14ac:dyDescent="0.2">
      <c r="B3" s="1" t="s">
        <v>1950</v>
      </c>
    </row>
    <row r="4" spans="2:7" x14ac:dyDescent="0.2">
      <c r="B4" s="6"/>
    </row>
    <row r="5" spans="2:7" x14ac:dyDescent="0.2">
      <c r="B5" s="7" t="s">
        <v>1951</v>
      </c>
    </row>
    <row r="6" spans="2:7" x14ac:dyDescent="0.2">
      <c r="B6" s="7" t="s">
        <v>1952</v>
      </c>
    </row>
    <row r="7" spans="2:7" x14ac:dyDescent="0.2">
      <c r="B7" s="7" t="s">
        <v>1953</v>
      </c>
    </row>
    <row r="11" spans="2:7" ht="17.25" x14ac:dyDescent="0.2">
      <c r="B11" s="5" t="s">
        <v>1954</v>
      </c>
    </row>
    <row r="13" spans="2:7" x14ac:dyDescent="0.2">
      <c r="B13" s="2" t="s">
        <v>390</v>
      </c>
      <c r="C13" s="2" t="s">
        <v>1955</v>
      </c>
      <c r="D13" s="2" t="s">
        <v>1956</v>
      </c>
    </row>
    <row r="14" spans="2:7" ht="28.5" x14ac:dyDescent="0.2">
      <c r="B14" s="3" t="s">
        <v>1957</v>
      </c>
      <c r="C14" s="4" t="s">
        <v>1958</v>
      </c>
      <c r="D14" s="4" t="s">
        <v>1959</v>
      </c>
    </row>
    <row r="15" spans="2:7" ht="28.5" x14ac:dyDescent="0.2">
      <c r="B15" s="3" t="s">
        <v>1960</v>
      </c>
      <c r="C15" s="4" t="s">
        <v>1961</v>
      </c>
      <c r="D15" s="4" t="s">
        <v>1962</v>
      </c>
    </row>
    <row r="16" spans="2:7" x14ac:dyDescent="0.2">
      <c r="B16" s="3" t="s">
        <v>1963</v>
      </c>
      <c r="C16" s="4" t="s">
        <v>1964</v>
      </c>
      <c r="D16" s="4" t="s">
        <v>1965</v>
      </c>
    </row>
    <row r="17" spans="2:7" x14ac:dyDescent="0.2">
      <c r="B17" s="3" t="s">
        <v>1966</v>
      </c>
      <c r="C17" s="4" t="s">
        <v>1967</v>
      </c>
      <c r="D17" s="4" t="s">
        <v>1968</v>
      </c>
    </row>
    <row r="18" spans="2:7" ht="28.5" x14ac:dyDescent="0.2">
      <c r="B18" s="3" t="s">
        <v>1969</v>
      </c>
      <c r="C18" s="4" t="s">
        <v>1970</v>
      </c>
      <c r="D18" s="4" t="s">
        <v>1971</v>
      </c>
    </row>
    <row r="21" spans="2:7" ht="17.25" x14ac:dyDescent="0.2">
      <c r="B21" s="5" t="s">
        <v>496</v>
      </c>
    </row>
    <row r="22" spans="2:7" ht="15" thickBot="1" x14ac:dyDescent="0.25"/>
    <row r="23" spans="2:7" ht="16.5" thickBot="1" x14ac:dyDescent="0.25">
      <c r="B23" s="2" t="s">
        <v>18</v>
      </c>
      <c r="C23" s="2" t="s">
        <v>1972</v>
      </c>
      <c r="D23" s="2" t="s">
        <v>1973</v>
      </c>
      <c r="E23" s="12"/>
    </row>
    <row r="24" spans="2:7" ht="16.5" thickBot="1" x14ac:dyDescent="0.25">
      <c r="B24" s="3" t="s">
        <v>201</v>
      </c>
      <c r="C24" s="4" t="s">
        <v>1974</v>
      </c>
      <c r="D24" s="4" t="s">
        <v>1975</v>
      </c>
      <c r="E24" s="15"/>
      <c r="G24" t="str">
        <f t="shared" ref="G24:G52" si="0">"&lt;dl&gt;&lt;dt&gt;" &amp; B24 &amp; "&lt;/dt&gt;&lt;dd&gt;" &amp; C24 &amp; "&lt;/dd&gt;&lt;dd&gt;" &amp; D24 &amp; "&lt;/dd&gt;&lt;/dl&gt;"</f>
        <v>&lt;dl&gt;&lt;dt&gt;命宫​&lt;/dt&gt;&lt;dd&gt;性格急躁，行动力强&lt;/dd&gt;&lt;dd&gt;火星庙旺：创业先锋；落陷：冲动误事&lt;/dd&gt;&lt;/dl&gt;</v>
      </c>
    </row>
    <row r="25" spans="2:7" ht="16.5" thickBot="1" x14ac:dyDescent="0.25">
      <c r="B25" s="3" t="s">
        <v>3</v>
      </c>
      <c r="C25" s="4" t="s">
        <v>1976</v>
      </c>
      <c r="D25" s="4" t="s">
        <v>1977</v>
      </c>
      <c r="E25" s="15"/>
      <c r="G25" t="str">
        <f t="shared" si="0"/>
        <v>&lt;dl&gt;&lt;dt&gt;财帛宫​&lt;/dt&gt;&lt;dd&gt;快财快失，投资高风险&lt;/dd&gt;&lt;dd&gt;+武曲：炒股暴富；+地劫：瞬间破产&lt;/dd&gt;&lt;/dl&gt;</v>
      </c>
    </row>
    <row r="26" spans="2:7" ht="16.5" thickBot="1" x14ac:dyDescent="0.25">
      <c r="B26" s="3" t="s">
        <v>6</v>
      </c>
      <c r="C26" s="4" t="s">
        <v>1978</v>
      </c>
      <c r="D26" s="4" t="s">
        <v>1979</v>
      </c>
      <c r="E26" s="15"/>
      <c r="G26" t="str">
        <f t="shared" si="0"/>
        <v>&lt;dl&gt;&lt;dt&gt;疾厄宫​&lt;/dt&gt;&lt;dd&gt;急性病、炎症、外伤&lt;/dd&gt;&lt;dd&gt;火星陷+天刑：慢性炎症突发恶化&lt;/dd&gt;&lt;/dl&gt;</v>
      </c>
    </row>
    <row r="27" spans="2:7" ht="16.5" thickBot="1" x14ac:dyDescent="0.25">
      <c r="B27" s="3" t="s">
        <v>15</v>
      </c>
      <c r="C27" s="4" t="s">
        <v>1980</v>
      </c>
      <c r="D27" s="4" t="s">
        <v>1981</v>
      </c>
      <c r="E27" s="15"/>
      <c r="G27" t="str">
        <f t="shared" si="0"/>
        <v>&lt;dl&gt;&lt;dt&gt;迁移宫​&lt;/dt&gt;&lt;dd&gt;外出遇突发状况&lt;/dd&gt;&lt;dd&gt;火星庙：紧急出差；+天虚：航班取消&lt;/dd&gt;&lt;/dl&gt;</v>
      </c>
    </row>
    <row r="28" spans="2:7" ht="16.5" thickBot="1" x14ac:dyDescent="0.25">
      <c r="B28" s="3" t="s">
        <v>206</v>
      </c>
      <c r="C28" s="4" t="s">
        <v>1982</v>
      </c>
      <c r="D28" s="4" t="s">
        <v>1983</v>
      </c>
      <c r="E28" s="15"/>
      <c r="G28" t="str">
        <f t="shared" si="0"/>
        <v>&lt;dl&gt;&lt;dt&gt;官禄宫​&lt;/dt&gt;&lt;dd&gt;高压工作、紧急项目&lt;/dd&gt;&lt;dd&gt;+七杀：突击抢险；+陀罗：反复加班&lt;/dd&gt;&lt;/dl&gt;</v>
      </c>
    </row>
    <row r="29" spans="2:7" ht="16.5" thickBot="1" x14ac:dyDescent="0.25">
      <c r="B29" s="3" t="s">
        <v>0</v>
      </c>
      <c r="C29" s="4" t="s">
        <v>1984</v>
      </c>
      <c r="D29" s="4" t="s">
        <v>1985</v>
      </c>
      <c r="E29" s="15"/>
      <c r="G29" t="str">
        <f t="shared" si="0"/>
        <v>&lt;dl&gt;&lt;dt&gt;田宅宫​&lt;/dt&gt;&lt;dd&gt;家中火灾隐患、电器故障&lt;/dd&gt;&lt;dd&gt;+廉贞：电路短路；+阴煞：煤气泄漏&lt;/dd&gt;&lt;/dl&gt;</v>
      </c>
    </row>
    <row r="32" spans="2:7" ht="17.25" x14ac:dyDescent="0.2">
      <c r="B32" s="5" t="s">
        <v>70</v>
      </c>
    </row>
    <row r="33" spans="2:7" ht="15" thickBot="1" x14ac:dyDescent="0.25"/>
    <row r="34" spans="2:7" ht="16.5" thickBot="1" x14ac:dyDescent="0.25">
      <c r="B34" s="2" t="s">
        <v>1215</v>
      </c>
      <c r="C34" s="2" t="s">
        <v>1986</v>
      </c>
      <c r="D34" s="2" t="s">
        <v>73</v>
      </c>
      <c r="E34" s="12"/>
    </row>
    <row r="35" spans="2:7" ht="16.5" thickBot="1" x14ac:dyDescent="0.25">
      <c r="B35" s="3" t="s">
        <v>1987</v>
      </c>
      <c r="C35" s="4" t="s">
        <v>1988</v>
      </c>
      <c r="D35" s="4" t="s">
        <v>1989</v>
      </c>
      <c r="E35" s="15"/>
      <c r="G35" t="str">
        <f t="shared" si="0"/>
        <v>&lt;dl&gt;&lt;dt&gt;太阳火星&lt;/dt&gt;&lt;dd&gt;光热叠加，公开爆发事件&lt;/dd&gt;&lt;dd&gt;丑宫：网络舆情爆炸；午宫：明星绯闻&lt;/dd&gt;&lt;/dl&gt;</v>
      </c>
    </row>
    <row r="36" spans="2:7" ht="29.25" thickBot="1" x14ac:dyDescent="0.25">
      <c r="B36" s="3" t="s">
        <v>1990</v>
      </c>
      <c r="C36" s="4" t="s">
        <v>1991</v>
      </c>
      <c r="D36" s="4" t="s">
        <v>1992</v>
      </c>
      <c r="E36" s="15"/>
      <c r="G36" t="str">
        <f t="shared" si="0"/>
        <v>&lt;dl&gt;&lt;dt&gt;武曲火星&lt;/dt&gt;&lt;dd&gt;硬碰硬冲突&lt;/dd&gt;&lt;dd&gt;武曲忌+火星：金融风暴；+擎羊：械斗&lt;/dd&gt;&lt;/dl&gt;</v>
      </c>
    </row>
    <row r="37" spans="2:7" ht="16.5" thickBot="1" x14ac:dyDescent="0.25">
      <c r="B37" s="3" t="s">
        <v>1993</v>
      </c>
      <c r="C37" s="4" t="s">
        <v>1994</v>
      </c>
      <c r="D37" s="4" t="s">
        <v>1995</v>
      </c>
      <c r="E37" s="15"/>
      <c r="G37" t="str">
        <f t="shared" si="0"/>
        <v>&lt;dl&gt;&lt;dt&gt;天机火星&lt;/dt&gt;&lt;dd&gt;信息急速传播&lt;/dd&gt;&lt;dd&gt;+文昌：热搜头条；+阴煞：谣言扩散&lt;/dd&gt;&lt;/dl&gt;</v>
      </c>
    </row>
    <row r="38" spans="2:7" ht="16.5" thickBot="1" x14ac:dyDescent="0.25">
      <c r="B38" s="3" t="s">
        <v>1996</v>
      </c>
      <c r="C38" s="4" t="s">
        <v>1997</v>
      </c>
      <c r="D38" s="4" t="s">
        <v>1998</v>
      </c>
      <c r="E38" s="15"/>
      <c r="G38" t="str">
        <f t="shared" si="0"/>
        <v>&lt;dl&gt;&lt;dt&gt;廉贞火星&lt;/dt&gt;&lt;dd&gt;电子系统故障/血光&lt;/dd&gt;&lt;dd&gt;廉贞陷：手机爆炸；庙旺：急性出血&lt;/dd&gt;&lt;/dl&gt;</v>
      </c>
    </row>
    <row r="39" spans="2:7" ht="16.5" thickBot="1" x14ac:dyDescent="0.25">
      <c r="B39" s="3" t="s">
        <v>1999</v>
      </c>
      <c r="C39" s="4" t="s">
        <v>2000</v>
      </c>
      <c r="D39" s="4" t="s">
        <v>2001</v>
      </c>
      <c r="E39" s="15"/>
      <c r="G39" t="str">
        <f t="shared" si="0"/>
        <v>&lt;dl&gt;&lt;dt&gt;天同火星&lt;/dt&gt;&lt;dd&gt;快乐转愤怒&lt;/dd&gt;&lt;dd&gt;天同禄+火星：喜极而泣转暴怒&lt;/dd&gt;&lt;/dl&gt;</v>
      </c>
    </row>
    <row r="40" spans="2:7" ht="16.5" thickBot="1" x14ac:dyDescent="0.25">
      <c r="B40" s="3" t="s">
        <v>2002</v>
      </c>
      <c r="C40" s="4" t="s">
        <v>2003</v>
      </c>
      <c r="D40" s="4" t="s">
        <v>2004</v>
      </c>
      <c r="E40" s="15"/>
      <c r="G40" t="str">
        <f t="shared" si="0"/>
        <v>&lt;dl&gt;&lt;dt&gt;巨门火星&lt;/dt&gt;&lt;dd&gt;激烈争吵&lt;/dd&gt;&lt;dd&gt;+擎羊：法庭辩论；+铃星：电话骂战&lt;/dd&gt;&lt;/dl&gt;</v>
      </c>
    </row>
    <row r="41" spans="2:7" ht="16.5" thickBot="1" x14ac:dyDescent="0.25">
      <c r="E41" s="15"/>
      <c r="G41" t="str">
        <f t="shared" si="0"/>
        <v>&lt;dl&gt;&lt;dt&gt;&lt;/dt&gt;&lt;dd&gt;&lt;/dd&gt;&lt;dd&gt;&lt;/dd&gt;&lt;/dl&gt;</v>
      </c>
    </row>
    <row r="42" spans="2:7" ht="16.5" thickBot="1" x14ac:dyDescent="0.25">
      <c r="E42" s="15"/>
      <c r="G42" t="str">
        <f t="shared" si="0"/>
        <v>&lt;dl&gt;&lt;dt&gt;&lt;/dt&gt;&lt;dd&gt;&lt;/dd&gt;&lt;dd&gt;&lt;/dd&gt;&lt;/dl&gt;</v>
      </c>
    </row>
    <row r="43" spans="2:7" ht="18" thickBot="1" x14ac:dyDescent="0.25">
      <c r="B43" s="5" t="s">
        <v>1157</v>
      </c>
      <c r="E43" s="15"/>
      <c r="G43" t="str">
        <f t="shared" si="0"/>
        <v>&lt;dl&gt;&lt;dt&gt;五、辅星组合象义​&lt;/dt&gt;&lt;dd&gt;&lt;/dd&gt;&lt;dd&gt;&lt;/dd&gt;&lt;/dl&gt;</v>
      </c>
    </row>
    <row r="45" spans="2:7" x14ac:dyDescent="0.2">
      <c r="B45" s="2" t="s">
        <v>40</v>
      </c>
      <c r="C45" s="2" t="s">
        <v>1986</v>
      </c>
      <c r="D45" s="2" t="s">
        <v>452</v>
      </c>
    </row>
    <row r="46" spans="2:7" x14ac:dyDescent="0.2">
      <c r="B46" s="3" t="s">
        <v>2005</v>
      </c>
      <c r="C46" s="4" t="s">
        <v>2006</v>
      </c>
      <c r="D46" s="4" t="s">
        <v>2007</v>
      </c>
    </row>
    <row r="47" spans="2:7" ht="15" thickBot="1" x14ac:dyDescent="0.25">
      <c r="B47" s="3" t="s">
        <v>2008</v>
      </c>
      <c r="C47" s="4" t="s">
        <v>2009</v>
      </c>
      <c r="D47" s="4" t="s">
        <v>2010</v>
      </c>
    </row>
    <row r="48" spans="2:7" ht="16.5" thickBot="1" x14ac:dyDescent="0.25">
      <c r="B48" s="3" t="s">
        <v>2011</v>
      </c>
      <c r="C48" s="4" t="s">
        <v>2012</v>
      </c>
      <c r="D48" s="4" t="s">
        <v>2013</v>
      </c>
      <c r="E48" s="12"/>
    </row>
    <row r="49" spans="2:7" ht="16.5" thickBot="1" x14ac:dyDescent="0.25">
      <c r="B49" s="3" t="s">
        <v>1704</v>
      </c>
      <c r="C49" s="4" t="s">
        <v>2014</v>
      </c>
      <c r="D49" s="4" t="s">
        <v>2015</v>
      </c>
      <c r="E49" s="15"/>
      <c r="G49" t="str">
        <f t="shared" si="0"/>
        <v>&lt;dl&gt;&lt;dt&gt;火星+擎羊​&lt;/dt&gt;&lt;dd&gt;物理伤害&lt;/dd&gt;&lt;dd&gt;巳午宫：火灾；寅申宫：车祸切割伤&lt;/dd&gt;&lt;/dl&gt;</v>
      </c>
    </row>
    <row r="50" spans="2:7" ht="16.5" thickBot="1" x14ac:dyDescent="0.25">
      <c r="B50" s="3" t="s">
        <v>2016</v>
      </c>
      <c r="C50" s="4" t="s">
        <v>2017</v>
      </c>
      <c r="D50" s="4" t="s">
        <v>2018</v>
      </c>
      <c r="E50" s="15"/>
      <c r="G50" t="str">
        <f t="shared" si="0"/>
        <v>&lt;dl&gt;&lt;dt&gt;火星+阴煞​&lt;/dt&gt;&lt;dd&gt;不明热源/灵异火象&lt;/dd&gt;&lt;dd&gt;田宅宫：电器自燃；福德宫：鬼火幻觉&lt;/dd&gt;&lt;/dl&gt;</v>
      </c>
    </row>
    <row r="51" spans="2:7" ht="16.5" thickBot="1" x14ac:dyDescent="0.25">
      <c r="E51" s="15"/>
      <c r="G51" t="str">
        <f t="shared" si="0"/>
        <v>&lt;dl&gt;&lt;dt&gt;&lt;/dt&gt;&lt;dd&gt;&lt;/dd&gt;&lt;dd&gt;&lt;/dd&gt;&lt;/dl&gt;</v>
      </c>
    </row>
    <row r="52" spans="2:7" ht="16.5" thickBot="1" x14ac:dyDescent="0.25">
      <c r="E52" s="15"/>
      <c r="G52" t="str">
        <f t="shared" si="0"/>
        <v>&lt;dl&gt;&lt;dt&gt;&lt;/dt&gt;&lt;dd&gt;&lt;/dd&gt;&lt;dd&gt;&lt;/dd&gt;&lt;/dl&gt;</v>
      </c>
    </row>
    <row r="53" spans="2:7" ht="17.25" x14ac:dyDescent="0.2">
      <c r="B53" s="5" t="s">
        <v>363</v>
      </c>
    </row>
    <row r="54" spans="2:7" x14ac:dyDescent="0.2">
      <c r="B54" s="6"/>
    </row>
    <row r="55" spans="2:7" x14ac:dyDescent="0.2">
      <c r="B55" s="7" t="s">
        <v>2023</v>
      </c>
    </row>
    <row r="56" spans="2:7" x14ac:dyDescent="0.2">
      <c r="B56" s="7" t="s">
        <v>2019</v>
      </c>
    </row>
    <row r="57" spans="2:7" x14ac:dyDescent="0.2">
      <c r="B57" s="6"/>
    </row>
    <row r="58" spans="2:7" x14ac:dyDescent="0.2">
      <c r="B58" s="8" t="s">
        <v>2020</v>
      </c>
    </row>
    <row r="59" spans="2:7" x14ac:dyDescent="0.2">
      <c r="B59" s="8" t="s">
        <v>2021</v>
      </c>
    </row>
    <row r="60" spans="2:7" x14ac:dyDescent="0.2">
      <c r="B60" s="7" t="s">
        <v>2022</v>
      </c>
    </row>
    <row r="61" spans="2:7" x14ac:dyDescent="0.2">
      <c r="B61" s="6"/>
    </row>
    <row r="62" spans="2:7" x14ac:dyDescent="0.2">
      <c r="B62" s="19" t="s">
        <v>2024</v>
      </c>
    </row>
    <row r="63" spans="2:7" x14ac:dyDescent="0.2">
      <c r="B63" s="19" t="s">
        <v>2025</v>
      </c>
    </row>
    <row r="64" spans="2:7" ht="17.25" x14ac:dyDescent="0.2">
      <c r="B64" s="5"/>
    </row>
    <row r="65" spans="2:2" x14ac:dyDescent="0.2">
      <c r="B65" s="6"/>
    </row>
    <row r="66" spans="2:2" x14ac:dyDescent="0.2">
      <c r="B66" s="7"/>
    </row>
    <row r="67" spans="2:2" x14ac:dyDescent="0.2">
      <c r="B67" s="6"/>
    </row>
    <row r="68" spans="2:2" x14ac:dyDescent="0.2">
      <c r="B68" s="9"/>
    </row>
    <row r="69" spans="2:2" x14ac:dyDescent="0.2">
      <c r="B69" s="9"/>
    </row>
    <row r="70" spans="2:2" x14ac:dyDescent="0.2">
      <c r="B70" s="7"/>
    </row>
    <row r="71" spans="2:2" x14ac:dyDescent="0.2">
      <c r="B71" s="6"/>
    </row>
    <row r="72" spans="2:2" x14ac:dyDescent="0.2">
      <c r="B72" s="9"/>
    </row>
    <row r="73" spans="2:2" x14ac:dyDescent="0.2">
      <c r="B73" s="9"/>
    </row>
    <row r="77" spans="2:2" ht="17.25" x14ac:dyDescent="0.2">
      <c r="B77" s="5"/>
    </row>
    <row r="80" spans="2:2" x14ac:dyDescent="0.2">
      <c r="B80" s="16"/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E65A2-D811-4FEA-86E6-EC34B13FCFFF}">
  <dimension ref="B1:G99"/>
  <sheetViews>
    <sheetView zoomScaleNormal="100" workbookViewId="0">
      <selection activeCell="C7" sqref="C7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2026</v>
      </c>
      <c r="G1" t="str">
        <f>"&lt;dl&gt;&lt;dt&gt;" &amp; B1 &amp; "&lt;/dt&gt;&lt;dd&gt;" &amp; C1 &amp; "&lt;/dd&gt;&lt;dd&gt;" &amp; D1 &amp; "&lt;/dd&gt;&lt;/dl&gt;"</f>
        <v>&lt;dl&gt;&lt;dt&gt;一、铃星定义​&lt;/dt&gt;&lt;dd&gt;&lt;/dd&gt;&lt;dd&gt;&lt;/dd&gt;&lt;/dl&gt;</v>
      </c>
    </row>
    <row r="3" spans="2:7" x14ac:dyDescent="0.2">
      <c r="B3" s="2" t="s">
        <v>376</v>
      </c>
      <c r="C3" s="2" t="s">
        <v>377</v>
      </c>
      <c r="D3" s="2" t="s">
        <v>21</v>
      </c>
    </row>
    <row r="4" spans="2:7" x14ac:dyDescent="0.2">
      <c r="B4" s="3" t="s">
        <v>620</v>
      </c>
      <c r="C4" s="4" t="s">
        <v>2027</v>
      </c>
      <c r="D4" s="4"/>
    </row>
    <row r="5" spans="2:7" x14ac:dyDescent="0.2">
      <c r="B5" s="3" t="s">
        <v>624</v>
      </c>
      <c r="C5" s="4" t="s">
        <v>2028</v>
      </c>
      <c r="D5" s="4"/>
    </row>
    <row r="6" spans="2:7" x14ac:dyDescent="0.2">
      <c r="B6" s="3" t="s">
        <v>378</v>
      </c>
      <c r="C6" t="s">
        <v>2029</v>
      </c>
      <c r="D6" s="4"/>
    </row>
    <row r="7" spans="2:7" x14ac:dyDescent="0.2">
      <c r="B7" s="3" t="s">
        <v>2030</v>
      </c>
      <c r="C7" t="s">
        <v>2031</v>
      </c>
      <c r="D7" s="4"/>
    </row>
    <row r="8" spans="2:7" x14ac:dyDescent="0.2">
      <c r="B8" s="3" t="s">
        <v>2032</v>
      </c>
      <c r="C8" s="4" t="s">
        <v>2033</v>
      </c>
      <c r="D8" s="4"/>
    </row>
    <row r="11" spans="2:7" ht="17.25" x14ac:dyDescent="0.2">
      <c r="B11" s="5" t="s">
        <v>388</v>
      </c>
    </row>
    <row r="13" spans="2:7" ht="15.75" x14ac:dyDescent="0.2">
      <c r="B13" s="13" t="s">
        <v>627</v>
      </c>
    </row>
    <row r="15" spans="2:7" x14ac:dyDescent="0.2">
      <c r="B15" s="2" t="s">
        <v>390</v>
      </c>
      <c r="C15" s="2" t="s">
        <v>497</v>
      </c>
      <c r="D15" s="2" t="s">
        <v>21</v>
      </c>
    </row>
    <row r="16" spans="2:7" x14ac:dyDescent="0.2">
      <c r="B16" s="3" t="s">
        <v>2034</v>
      </c>
      <c r="C16" s="4" t="s">
        <v>2035</v>
      </c>
      <c r="D16" s="4"/>
    </row>
    <row r="17" spans="2:7" x14ac:dyDescent="0.2">
      <c r="B17" s="3" t="s">
        <v>2036</v>
      </c>
      <c r="C17" s="4" t="s">
        <v>2037</v>
      </c>
      <c r="D17" s="4"/>
    </row>
    <row r="18" spans="2:7" x14ac:dyDescent="0.2">
      <c r="B18" s="3" t="s">
        <v>2038</v>
      </c>
      <c r="C18" s="4" t="s">
        <v>2039</v>
      </c>
      <c r="D18" s="4"/>
    </row>
    <row r="19" spans="2:7" x14ac:dyDescent="0.2">
      <c r="B19" s="3" t="s">
        <v>2040</v>
      </c>
      <c r="C19" s="4" t="s">
        <v>2041</v>
      </c>
      <c r="D19" s="4"/>
    </row>
    <row r="21" spans="2:7" ht="15.75" x14ac:dyDescent="0.2">
      <c r="B21" s="13" t="s">
        <v>996</v>
      </c>
    </row>
    <row r="23" spans="2:7" x14ac:dyDescent="0.2">
      <c r="B23" s="2" t="s">
        <v>18</v>
      </c>
      <c r="C23" s="2" t="s">
        <v>497</v>
      </c>
      <c r="D23" s="2" t="s">
        <v>21</v>
      </c>
    </row>
    <row r="24" spans="2:7" x14ac:dyDescent="0.2">
      <c r="B24" s="3" t="s">
        <v>201</v>
      </c>
      <c r="C24" s="4" t="s">
        <v>2042</v>
      </c>
      <c r="D24" s="4"/>
      <c r="G24" t="str">
        <f t="shared" ref="G24:G52" si="0">"&lt;dl&gt;&lt;dt&gt;" &amp; B24 &amp; "&lt;/dt&gt;&lt;dd&gt;" &amp; C24 &amp; "&lt;/dd&gt;&lt;dd&gt;" &amp; D24 &amp; "&lt;/dd&gt;&lt;/dl&gt;"</f>
        <v>&lt;dl&gt;&lt;dt&gt;命宫​&lt;/dt&gt;&lt;dd&gt;性格焦虑易烦，庙旺+吉星可转化烦恼为职业优势&lt;/dd&gt;&lt;dd&gt;&lt;/dd&gt;&lt;/dl&gt;</v>
      </c>
    </row>
    <row r="25" spans="2:7" x14ac:dyDescent="0.2">
      <c r="B25" s="3" t="s">
        <v>6</v>
      </c>
      <c r="C25" s="4" t="s">
        <v>2043</v>
      </c>
      <c r="D25" s="4"/>
      <c r="G25" t="str">
        <f t="shared" si="0"/>
        <v>&lt;dl&gt;&lt;dt&gt;疾厄宫​&lt;/dt&gt;&lt;dd&gt;慢性疼痛（关节炎、牙周炎）&lt;/dd&gt;&lt;dd&gt;&lt;/dd&gt;&lt;/dl&gt;</v>
      </c>
    </row>
    <row r="26" spans="2:7" x14ac:dyDescent="0.2">
      <c r="B26" s="3" t="s">
        <v>3</v>
      </c>
      <c r="C26" s="4" t="s">
        <v>2044</v>
      </c>
      <c r="D26" s="4"/>
      <c r="G26" t="str">
        <f t="shared" si="0"/>
        <v>&lt;dl&gt;&lt;dt&gt;财帛宫​&lt;/dt&gt;&lt;dd&gt;财务纠纷（债务催收、投资焦虑）&lt;/dd&gt;&lt;dd&gt;&lt;/dd&gt;&lt;/dl&gt;</v>
      </c>
    </row>
    <row r="27" spans="2:7" x14ac:dyDescent="0.2">
      <c r="B27" s="3" t="s">
        <v>15</v>
      </c>
      <c r="C27" s="4" t="s">
        <v>2045</v>
      </c>
      <c r="D27" s="4"/>
      <c r="G27" t="str">
        <f t="shared" si="0"/>
        <v>&lt;dl&gt;&lt;dt&gt;迁移宫​&lt;/dt&gt;&lt;dd&gt;外出遇阻滞（航班延误、签证麻烦）&lt;/dd&gt;&lt;dd&gt;&lt;/dd&gt;&lt;/dl&gt;</v>
      </c>
    </row>
    <row r="28" spans="2:7" x14ac:dyDescent="0.2">
      <c r="B28" s="3" t="s">
        <v>125</v>
      </c>
      <c r="C28" s="4" t="s">
        <v>2046</v>
      </c>
      <c r="D28" s="4"/>
      <c r="G28" t="str">
        <f t="shared" si="0"/>
        <v>&lt;dl&gt;&lt;dt&gt;夫妻宫​&lt;/dt&gt;&lt;dd&gt;感情摩擦（冷战、争吵）&lt;/dd&gt;&lt;dd&gt;&lt;/dd&gt;&lt;/dl&gt;</v>
      </c>
    </row>
    <row r="29" spans="2:7" x14ac:dyDescent="0.2">
      <c r="G29" t="str">
        <f t="shared" si="0"/>
        <v>&lt;dl&gt;&lt;dt&gt;&lt;/dt&gt;&lt;dd&gt;&lt;/dd&gt;&lt;dd&gt;&lt;/dd&gt;&lt;/dl&gt;</v>
      </c>
    </row>
    <row r="31" spans="2:7" ht="17.25" x14ac:dyDescent="0.2">
      <c r="B31" s="5" t="s">
        <v>2047</v>
      </c>
    </row>
    <row r="33" spans="2:7" ht="15.75" x14ac:dyDescent="0.2">
      <c r="B33" s="13" t="s">
        <v>2048</v>
      </c>
    </row>
    <row r="35" spans="2:7" x14ac:dyDescent="0.2">
      <c r="B35" s="2" t="s">
        <v>1215</v>
      </c>
      <c r="C35" s="2" t="s">
        <v>1414</v>
      </c>
      <c r="D35" s="2" t="s">
        <v>73</v>
      </c>
      <c r="E35" s="2" t="s">
        <v>21</v>
      </c>
      <c r="G35" t="str">
        <f t="shared" si="0"/>
        <v>&lt;dl&gt;&lt;dt&gt;主星​&lt;/dt&gt;&lt;dd&gt;组合效应​&lt;/dd&gt;&lt;dd&gt;典型案例​&lt;/dd&gt;&lt;/dl&gt;</v>
      </c>
    </row>
    <row r="36" spans="2:7" x14ac:dyDescent="0.2">
      <c r="B36" s="3" t="s">
        <v>2049</v>
      </c>
      <c r="C36" s="4" t="s">
        <v>2050</v>
      </c>
      <c r="D36" s="4" t="s">
        <v>2051</v>
      </c>
      <c r="E36" s="4"/>
      <c r="G36" t="str">
        <f t="shared" si="0"/>
        <v>&lt;dl&gt;&lt;dt&gt;紫微+铃星​&lt;/dt&gt;&lt;dd&gt;权威性烦恼（政策争议、高层决策压力）&lt;/dd&gt;&lt;dd&gt;企业CEO面临股东问责&lt;/dd&gt;&lt;/dl&gt;</v>
      </c>
    </row>
    <row r="37" spans="2:7" x14ac:dyDescent="0.2">
      <c r="B37" s="3" t="s">
        <v>2052</v>
      </c>
      <c r="C37" s="4" t="s">
        <v>2053</v>
      </c>
      <c r="D37" s="4" t="s">
        <v>2054</v>
      </c>
      <c r="E37" s="4"/>
      <c r="G37" t="str">
        <f t="shared" si="0"/>
        <v>&lt;dl&gt;&lt;dt&gt;天机+铃星​&lt;/dt&gt;&lt;dd&gt;动态烦恼（交通噪音、机械故障异响）&lt;/dd&gt;&lt;dd&gt;车辆行驶中异响；工作计划反复延期&lt;/dd&gt;&lt;/dl&gt;</v>
      </c>
    </row>
    <row r="38" spans="2:7" x14ac:dyDescent="0.2">
      <c r="B38" s="3" t="s">
        <v>663</v>
      </c>
      <c r="C38" s="4" t="s">
        <v>2055</v>
      </c>
      <c r="D38" s="4" t="s">
        <v>2056</v>
      </c>
      <c r="E38" s="4"/>
      <c r="G38" t="str">
        <f t="shared" si="0"/>
        <v>&lt;dl&gt;&lt;dt&gt;太阳+铃星​&lt;/dt&gt;&lt;dd&gt;公开性烦恼（舆论压力、曝光丑闻）&lt;/dd&gt;&lt;dd&gt;明星遭遇网络暴力；政策引发群体抗议&lt;/dd&gt;&lt;/dl&gt;</v>
      </c>
    </row>
    <row r="39" spans="2:7" x14ac:dyDescent="0.2">
      <c r="B39" s="3" t="s">
        <v>2057</v>
      </c>
      <c r="C39" s="4" t="s">
        <v>2058</v>
      </c>
      <c r="D39" s="4" t="s">
        <v>2059</v>
      </c>
      <c r="E39" s="4"/>
      <c r="G39" t="str">
        <f t="shared" si="0"/>
        <v>&lt;dl&gt;&lt;dt&gt;武曲+铃星​&lt;/dt&gt;&lt;dd&gt;财务/骨骼烦恼（债务纠纷、骨痛）&lt;/dd&gt;&lt;dd&gt;高利贷催债；骨质疏松症疼痛&lt;/dd&gt;&lt;/dl&gt;</v>
      </c>
    </row>
    <row r="40" spans="2:7" x14ac:dyDescent="0.2">
      <c r="B40" s="3" t="s">
        <v>2060</v>
      </c>
      <c r="C40" s="4" t="s">
        <v>2061</v>
      </c>
      <c r="D40" s="4" t="s">
        <v>2062</v>
      </c>
      <c r="E40" s="4"/>
      <c r="G40" t="str">
        <f t="shared" si="0"/>
        <v>&lt;dl&gt;&lt;dt&gt;天同+铃星​&lt;/dt&gt;&lt;dd&gt;情感烦恼（多愁善感、恋爱纠结）&lt;/dd&gt;&lt;dd&gt;失恋抑郁；养育子女的琐碎压力&lt;/dd&gt;&lt;/dl&gt;</v>
      </c>
    </row>
    <row r="41" spans="2:7" x14ac:dyDescent="0.2">
      <c r="B41" s="3" t="s">
        <v>2063</v>
      </c>
      <c r="C41" s="4" t="s">
        <v>2064</v>
      </c>
      <c r="D41" s="4" t="s">
        <v>2065</v>
      </c>
      <c r="E41" s="4"/>
      <c r="G41" t="str">
        <f t="shared" si="0"/>
        <v>&lt;dl&gt;&lt;dt&gt;廉贞+铃星​&lt;/dt&gt;&lt;dd&gt;电子烦恼（设备干扰、精密仪器故障）&lt;/dd&gt;&lt;dd&gt;手机信号干扰；服务器宕机&lt;/dd&gt;&lt;/dl&gt;</v>
      </c>
    </row>
    <row r="42" spans="2:7" x14ac:dyDescent="0.2">
      <c r="B42" s="3" t="s">
        <v>2066</v>
      </c>
      <c r="C42" s="4" t="s">
        <v>2067</v>
      </c>
      <c r="D42" s="4" t="s">
        <v>2068</v>
      </c>
      <c r="E42" s="4"/>
      <c r="G42" t="str">
        <f t="shared" si="0"/>
        <v>&lt;dl&gt;&lt;dt&gt;天府+铃星​&lt;/dt&gt;&lt;dd&gt;空间噪音（房屋隔音差、仓库机械声）&lt;/dd&gt;&lt;dd&gt;住宅临近工地；仓库通风机轰鸣&lt;/dd&gt;&lt;/dl&gt;</v>
      </c>
    </row>
    <row r="43" spans="2:7" x14ac:dyDescent="0.2">
      <c r="B43" s="3" t="s">
        <v>2069</v>
      </c>
      <c r="C43" s="4" t="s">
        <v>2070</v>
      </c>
      <c r="D43" s="4" t="s">
        <v>2071</v>
      </c>
      <c r="E43" s="4"/>
      <c r="G43" t="str">
        <f t="shared" si="0"/>
        <v>&lt;dl&gt;&lt;dt&gt;太阴+铃星​&lt;/dt&gt;&lt;dd&gt;存储烦恼（储蓄流失、女性关系困扰）&lt;/dd&gt;&lt;dd&gt;存款被盗刷；婆媳矛盾&lt;/dd&gt;&lt;/dl&gt;</v>
      </c>
    </row>
    <row r="44" spans="2:7" x14ac:dyDescent="0.2">
      <c r="B44" s="3" t="s">
        <v>2072</v>
      </c>
      <c r="C44" s="4" t="s">
        <v>2073</v>
      </c>
      <c r="D44" s="4" t="s">
        <v>2074</v>
      </c>
      <c r="E44" s="4"/>
    </row>
    <row r="45" spans="2:7" x14ac:dyDescent="0.2">
      <c r="B45" s="3" t="s">
        <v>2075</v>
      </c>
      <c r="C45" s="4" t="s">
        <v>2076</v>
      </c>
      <c r="D45" s="4" t="s">
        <v>2077</v>
      </c>
      <c r="E45" s="4"/>
    </row>
    <row r="46" spans="2:7" x14ac:dyDescent="0.2">
      <c r="B46" s="3" t="s">
        <v>2078</v>
      </c>
      <c r="C46" s="4" t="s">
        <v>2079</v>
      </c>
      <c r="D46" s="4" t="s">
        <v>2080</v>
      </c>
      <c r="E46" s="4"/>
    </row>
    <row r="47" spans="2:7" x14ac:dyDescent="0.2">
      <c r="B47" s="3" t="s">
        <v>432</v>
      </c>
      <c r="C47" s="4" t="s">
        <v>2081</v>
      </c>
      <c r="D47" s="4" t="s">
        <v>2082</v>
      </c>
      <c r="E47" s="4"/>
    </row>
    <row r="48" spans="2:7" x14ac:dyDescent="0.2">
      <c r="B48" s="3" t="s">
        <v>1023</v>
      </c>
      <c r="C48" s="4" t="s">
        <v>2083</v>
      </c>
      <c r="D48" s="4" t="s">
        <v>2084</v>
      </c>
      <c r="E48" s="4"/>
    </row>
    <row r="49" spans="2:7" x14ac:dyDescent="0.2">
      <c r="B49" s="3" t="s">
        <v>2085</v>
      </c>
      <c r="C49" s="4" t="s">
        <v>2086</v>
      </c>
      <c r="D49" s="4" t="s">
        <v>2087</v>
      </c>
      <c r="E49" s="4"/>
      <c r="G49" t="str">
        <f t="shared" si="0"/>
        <v>&lt;dl&gt;&lt;dt&gt;破军+铃星​&lt;/dt&gt;&lt;dd&gt;破坏性噪音（施工噪音、暴力冲突）&lt;/dd&gt;&lt;dd&gt;邻居装修扰民；拆迁纠纷&lt;/dd&gt;&lt;/dl&gt;</v>
      </c>
    </row>
    <row r="50" spans="2:7" x14ac:dyDescent="0.2">
      <c r="G50" t="str">
        <f t="shared" si="0"/>
        <v>&lt;dl&gt;&lt;dt&gt;&lt;/dt&gt;&lt;dd&gt;&lt;/dd&gt;&lt;dd&gt;&lt;/dd&gt;&lt;/dl&gt;</v>
      </c>
    </row>
    <row r="51" spans="2:7" x14ac:dyDescent="0.2">
      <c r="G51" t="str">
        <f t="shared" si="0"/>
        <v>&lt;dl&gt;&lt;dt&gt;&lt;/dt&gt;&lt;dd&gt;&lt;/dd&gt;&lt;dd&gt;&lt;/dd&gt;&lt;/dl&gt;</v>
      </c>
    </row>
    <row r="52" spans="2:7" ht="17.25" x14ac:dyDescent="0.2">
      <c r="B52" s="5" t="s">
        <v>265</v>
      </c>
      <c r="G52" t="str">
        <f t="shared" si="0"/>
        <v>&lt;dl&gt;&lt;dt&gt;四、辅星组合象义​&lt;/dt&gt;&lt;dd&gt;&lt;/dd&gt;&lt;dd&gt;&lt;/dd&gt;&lt;/dl&gt;</v>
      </c>
    </row>
    <row r="54" spans="2:7" ht="15.75" x14ac:dyDescent="0.2">
      <c r="B54" s="13" t="s">
        <v>1086</v>
      </c>
    </row>
    <row r="56" spans="2:7" x14ac:dyDescent="0.2">
      <c r="B56" s="2" t="s">
        <v>40</v>
      </c>
      <c r="C56" s="2" t="s">
        <v>1097</v>
      </c>
      <c r="D56" s="2" t="s">
        <v>73</v>
      </c>
      <c r="E56" s="2" t="s">
        <v>21</v>
      </c>
    </row>
    <row r="57" spans="2:7" x14ac:dyDescent="0.2">
      <c r="B57" s="3" t="s">
        <v>2088</v>
      </c>
      <c r="C57" s="4" t="s">
        <v>2089</v>
      </c>
      <c r="D57" s="4" t="s">
        <v>2090</v>
      </c>
      <c r="E57" s="4"/>
    </row>
    <row r="58" spans="2:7" x14ac:dyDescent="0.2">
      <c r="B58" s="3" t="s">
        <v>2091</v>
      </c>
      <c r="C58" s="4" t="s">
        <v>2092</v>
      </c>
      <c r="D58" s="4" t="s">
        <v>2093</v>
      </c>
      <c r="E58" s="4"/>
    </row>
    <row r="59" spans="2:7" x14ac:dyDescent="0.2">
      <c r="B59" s="3" t="s">
        <v>2094</v>
      </c>
      <c r="C59" s="4" t="s">
        <v>2095</v>
      </c>
      <c r="D59" s="4" t="s">
        <v>2096</v>
      </c>
      <c r="E59" s="4"/>
    </row>
    <row r="60" spans="2:7" x14ac:dyDescent="0.2">
      <c r="B60" s="3" t="s">
        <v>2097</v>
      </c>
      <c r="C60" s="4" t="s">
        <v>2098</v>
      </c>
      <c r="D60" s="4" t="s">
        <v>2099</v>
      </c>
      <c r="E60" s="4"/>
    </row>
    <row r="62" spans="2:7" ht="15.75" x14ac:dyDescent="0.2">
      <c r="B62" s="13" t="s">
        <v>1096</v>
      </c>
    </row>
    <row r="64" spans="2:7" x14ac:dyDescent="0.2">
      <c r="B64" s="2" t="s">
        <v>40</v>
      </c>
      <c r="C64" s="2" t="s">
        <v>1097</v>
      </c>
      <c r="D64" s="2" t="s">
        <v>73</v>
      </c>
      <c r="E64" s="2" t="s">
        <v>21</v>
      </c>
    </row>
    <row r="65" spans="2:5" x14ac:dyDescent="0.2">
      <c r="B65" s="3" t="s">
        <v>2100</v>
      </c>
      <c r="C65" s="4" t="s">
        <v>2101</v>
      </c>
      <c r="D65" s="4" t="s">
        <v>2102</v>
      </c>
      <c r="E65" s="4"/>
    </row>
    <row r="66" spans="2:5" x14ac:dyDescent="0.2">
      <c r="B66" s="3" t="s">
        <v>2103</v>
      </c>
      <c r="C66" s="4" t="s">
        <v>2104</v>
      </c>
      <c r="D66" s="4" t="s">
        <v>2105</v>
      </c>
      <c r="E66" s="4"/>
    </row>
    <row r="67" spans="2:5" x14ac:dyDescent="0.2">
      <c r="B67" s="3" t="s">
        <v>2106</v>
      </c>
      <c r="C67" s="4" t="s">
        <v>2107</v>
      </c>
      <c r="D67" s="4" t="s">
        <v>2108</v>
      </c>
      <c r="E67" s="4"/>
    </row>
    <row r="70" spans="2:5" ht="17.25" x14ac:dyDescent="0.2">
      <c r="B70" s="5" t="s">
        <v>86</v>
      </c>
    </row>
    <row r="72" spans="2:5" x14ac:dyDescent="0.2">
      <c r="B72" s="2" t="s">
        <v>250</v>
      </c>
      <c r="C72" s="2" t="s">
        <v>452</v>
      </c>
      <c r="D72" s="2" t="s">
        <v>1047</v>
      </c>
      <c r="E72" s="2" t="s">
        <v>21</v>
      </c>
    </row>
    <row r="73" spans="2:5" x14ac:dyDescent="0.2">
      <c r="B73" s="3" t="s">
        <v>1642</v>
      </c>
      <c r="C73" s="4" t="s">
        <v>2109</v>
      </c>
      <c r="D73" s="4" t="s">
        <v>2110</v>
      </c>
      <c r="E73" s="4"/>
    </row>
    <row r="74" spans="2:5" x14ac:dyDescent="0.2">
      <c r="B74" s="3" t="s">
        <v>1645</v>
      </c>
      <c r="C74" s="4" t="s">
        <v>2111</v>
      </c>
      <c r="D74" s="4" t="s">
        <v>2112</v>
      </c>
      <c r="E74" s="4"/>
    </row>
    <row r="75" spans="2:5" x14ac:dyDescent="0.2">
      <c r="B75" s="3" t="s">
        <v>1496</v>
      </c>
      <c r="C75" s="4" t="s">
        <v>1497</v>
      </c>
      <c r="D75" s="4" t="s">
        <v>2113</v>
      </c>
      <c r="E75" s="4"/>
    </row>
    <row r="78" spans="2:5" ht="17.25" x14ac:dyDescent="0.2">
      <c r="B78" s="5" t="s">
        <v>90</v>
      </c>
    </row>
    <row r="79" spans="2:5" x14ac:dyDescent="0.2">
      <c r="B79" s="6"/>
    </row>
    <row r="80" spans="2:5" x14ac:dyDescent="0.2">
      <c r="B80" s="7" t="s">
        <v>2114</v>
      </c>
    </row>
    <row r="81" spans="2:2" x14ac:dyDescent="0.2">
      <c r="B81" s="6"/>
    </row>
    <row r="82" spans="2:2" x14ac:dyDescent="0.2">
      <c r="B82" s="9" t="s">
        <v>2115</v>
      </c>
    </row>
    <row r="83" spans="2:2" x14ac:dyDescent="0.2">
      <c r="B83" s="9" t="s">
        <v>2116</v>
      </c>
    </row>
    <row r="84" spans="2:2" x14ac:dyDescent="0.2">
      <c r="B84" s="7" t="s">
        <v>2117</v>
      </c>
    </row>
    <row r="85" spans="2:2" x14ac:dyDescent="0.2">
      <c r="B85" s="6"/>
    </row>
    <row r="86" spans="2:2" x14ac:dyDescent="0.2">
      <c r="B86" s="9" t="s">
        <v>2118</v>
      </c>
    </row>
    <row r="87" spans="2:2" x14ac:dyDescent="0.2">
      <c r="B87" s="9" t="s">
        <v>2119</v>
      </c>
    </row>
    <row r="91" spans="2:2" ht="17.25" x14ac:dyDescent="0.2">
      <c r="B91" s="5" t="s">
        <v>2120</v>
      </c>
    </row>
    <row r="92" spans="2:2" x14ac:dyDescent="0.2">
      <c r="B92" s="6"/>
    </row>
    <row r="93" spans="2:2" x14ac:dyDescent="0.2">
      <c r="B93" s="7" t="s">
        <v>2121</v>
      </c>
    </row>
    <row r="94" spans="2:2" x14ac:dyDescent="0.2">
      <c r="B94" s="6"/>
    </row>
    <row r="95" spans="2:2" x14ac:dyDescent="0.2">
      <c r="B95" s="9" t="s">
        <v>2124</v>
      </c>
    </row>
    <row r="96" spans="2:2" x14ac:dyDescent="0.2">
      <c r="B96" s="9" t="s">
        <v>2125</v>
      </c>
    </row>
    <row r="97" spans="2:2" x14ac:dyDescent="0.2">
      <c r="B97" s="7" t="s">
        <v>2122</v>
      </c>
    </row>
    <row r="98" spans="2:2" x14ac:dyDescent="0.2">
      <c r="B98" s="6"/>
    </row>
    <row r="99" spans="2:2" x14ac:dyDescent="0.2">
      <c r="B99" s="9" t="s">
        <v>2123</v>
      </c>
    </row>
  </sheetData>
  <phoneticPr fontId="2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FB52B-DFA5-4BA4-8A1C-983B24C1ECC1}">
  <dimension ref="B1:G82"/>
  <sheetViews>
    <sheetView topLeftCell="A37" zoomScaleNormal="100" workbookViewId="0">
      <selection activeCell="E37" sqref="E1:E1048576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375</v>
      </c>
      <c r="G1" t="str">
        <f>"&lt;dl&gt;&lt;dt&gt;" &amp; B1 &amp; "&lt;/dt&gt;&lt;dd&gt;" &amp; C1 &amp; "&lt;/dd&gt;&lt;dd&gt;" &amp; D1 &amp; "&lt;/dd&gt;&lt;/dl&gt;"</f>
        <v>&lt;dl&gt;&lt;dt&gt;一、基础属性​&lt;/dt&gt;&lt;dd&gt;&lt;/dd&gt;&lt;dd&gt;&lt;/dd&gt;&lt;/dl&gt;</v>
      </c>
    </row>
    <row r="3" spans="2:7" x14ac:dyDescent="0.2">
      <c r="B3" s="2" t="s">
        <v>376</v>
      </c>
      <c r="C3" s="2" t="s">
        <v>377</v>
      </c>
      <c r="D3" s="2" t="s">
        <v>21</v>
      </c>
    </row>
    <row r="4" spans="2:7" ht="28.5" x14ac:dyDescent="0.2">
      <c r="B4" s="3" t="s">
        <v>624</v>
      </c>
      <c r="C4" s="4" t="s">
        <v>2126</v>
      </c>
      <c r="D4" s="4"/>
    </row>
    <row r="5" spans="2:7" x14ac:dyDescent="0.2">
      <c r="B5" s="3" t="s">
        <v>1798</v>
      </c>
      <c r="C5" s="4" t="s">
        <v>2127</v>
      </c>
      <c r="D5" s="4"/>
    </row>
    <row r="6" spans="2:7" ht="28.5" x14ac:dyDescent="0.2">
      <c r="B6" s="3" t="s">
        <v>2128</v>
      </c>
      <c r="C6" s="4" t="s">
        <v>2129</v>
      </c>
      <c r="D6" s="4"/>
    </row>
    <row r="9" spans="2:7" ht="17.25" x14ac:dyDescent="0.2">
      <c r="B9" s="5" t="s">
        <v>388</v>
      </c>
    </row>
    <row r="11" spans="2:7" ht="15.75" x14ac:dyDescent="0.2">
      <c r="B11" s="13" t="s">
        <v>627</v>
      </c>
    </row>
    <row r="13" spans="2:7" x14ac:dyDescent="0.2">
      <c r="B13" s="2" t="s">
        <v>390</v>
      </c>
      <c r="C13" s="2" t="s">
        <v>497</v>
      </c>
      <c r="D13" s="2" t="s">
        <v>21</v>
      </c>
    </row>
    <row r="14" spans="2:7" x14ac:dyDescent="0.2">
      <c r="B14" s="3" t="s">
        <v>2130</v>
      </c>
      <c r="C14" s="4" t="s">
        <v>2131</v>
      </c>
      <c r="D14" s="4"/>
    </row>
    <row r="15" spans="2:7" x14ac:dyDescent="0.2">
      <c r="B15" s="3" t="s">
        <v>2132</v>
      </c>
      <c r="C15" s="4" t="s">
        <v>2133</v>
      </c>
      <c r="D15" s="4"/>
    </row>
    <row r="16" spans="2:7" x14ac:dyDescent="0.2">
      <c r="B16" s="3" t="s">
        <v>1672</v>
      </c>
      <c r="C16" s="4" t="s">
        <v>2134</v>
      </c>
      <c r="D16" s="4"/>
    </row>
    <row r="17" spans="2:7" x14ac:dyDescent="0.2">
      <c r="B17" s="3" t="s">
        <v>1519</v>
      </c>
      <c r="C17" s="4" t="s">
        <v>2135</v>
      </c>
      <c r="D17" s="4"/>
    </row>
    <row r="20" spans="2:7" ht="17.25" x14ac:dyDescent="0.2">
      <c r="B20" s="5" t="s">
        <v>496</v>
      </c>
    </row>
    <row r="22" spans="2:7" x14ac:dyDescent="0.2">
      <c r="B22" s="2" t="s">
        <v>18</v>
      </c>
      <c r="C22" s="2" t="s">
        <v>497</v>
      </c>
      <c r="D22" s="2" t="s">
        <v>21</v>
      </c>
    </row>
    <row r="23" spans="2:7" x14ac:dyDescent="0.2">
      <c r="B23" s="3" t="s">
        <v>201</v>
      </c>
      <c r="C23" s="4" t="s">
        <v>2136</v>
      </c>
      <c r="D23" s="4"/>
    </row>
    <row r="24" spans="2:7" x14ac:dyDescent="0.2">
      <c r="B24" s="3" t="s">
        <v>206</v>
      </c>
      <c r="C24" s="4" t="s">
        <v>2137</v>
      </c>
      <c r="D24" s="4"/>
      <c r="G24" t="str">
        <f t="shared" ref="G24:G52" si="0">"&lt;dl&gt;&lt;dt&gt;" &amp; B24 &amp; "&lt;/dt&gt;&lt;dd&gt;" &amp; C24 &amp; "&lt;/dd&gt;&lt;dd&gt;" &amp; D24 &amp; "&lt;/dd&gt;&lt;/dl&gt;"</f>
        <v>&lt;dl&gt;&lt;dt&gt;官禄宫​&lt;/dt&gt;&lt;dd&gt;职权管理（HR考核、司法工作）&lt;/dd&gt;&lt;dd&gt;&lt;/dd&gt;&lt;/dl&gt;</v>
      </c>
    </row>
    <row r="25" spans="2:7" x14ac:dyDescent="0.2">
      <c r="B25" s="3" t="s">
        <v>6</v>
      </c>
      <c r="C25" s="4" t="s">
        <v>2138</v>
      </c>
      <c r="D25" s="4"/>
      <c r="G25" t="str">
        <f t="shared" si="0"/>
        <v>&lt;dl&gt;&lt;dt&gt;疾厄宫​&lt;/dt&gt;&lt;dd&gt;医疗干预（手术、康复训练）&lt;/dd&gt;&lt;dd&gt;&lt;/dd&gt;&lt;/dl&gt;</v>
      </c>
    </row>
    <row r="26" spans="2:7" x14ac:dyDescent="0.2">
      <c r="B26" s="3" t="s">
        <v>125</v>
      </c>
      <c r="C26" s="4" t="s">
        <v>2139</v>
      </c>
      <c r="D26" s="4"/>
      <c r="G26" t="str">
        <f t="shared" si="0"/>
        <v>&lt;dl&gt;&lt;dt&gt;夫妻宫​&lt;/dt&gt;&lt;dd&gt;关系约束（婚姻协议、情感管制）&lt;/dd&gt;&lt;dd&gt;&lt;/dd&gt;&lt;/dl&gt;</v>
      </c>
    </row>
    <row r="27" spans="2:7" x14ac:dyDescent="0.2">
      <c r="B27" s="3" t="s">
        <v>9</v>
      </c>
      <c r="C27" s="4" t="s">
        <v>2140</v>
      </c>
      <c r="D27" s="4"/>
      <c r="G27" t="str">
        <f t="shared" si="0"/>
        <v>&lt;dl&gt;&lt;dt&gt;父母宫​&lt;/dt&gt;&lt;dd&gt;长辈管教（家规、师长期望）&lt;/dd&gt;&lt;dd&gt;&lt;/dd&gt;&lt;/dl&gt;</v>
      </c>
    </row>
    <row r="28" spans="2:7" x14ac:dyDescent="0.2">
      <c r="G28" t="str">
        <f t="shared" si="0"/>
        <v>&lt;dl&gt;&lt;dt&gt;&lt;/dt&gt;&lt;dd&gt;&lt;/dd&gt;&lt;dd&gt;&lt;/dd&gt;&lt;/dl&gt;</v>
      </c>
    </row>
    <row r="29" spans="2:7" x14ac:dyDescent="0.2">
      <c r="G29" t="str">
        <f t="shared" si="0"/>
        <v>&lt;dl&gt;&lt;dt&gt;&lt;/dt&gt;&lt;dd&gt;&lt;/dd&gt;&lt;dd&gt;&lt;/dd&gt;&lt;/dl&gt;</v>
      </c>
    </row>
    <row r="30" spans="2:7" ht="17.25" x14ac:dyDescent="0.2">
      <c r="B30" s="5" t="s">
        <v>70</v>
      </c>
    </row>
    <row r="32" spans="2:7" x14ac:dyDescent="0.2">
      <c r="B32" s="2" t="s">
        <v>71</v>
      </c>
      <c r="C32" s="2" t="s">
        <v>1047</v>
      </c>
      <c r="D32" s="2" t="s">
        <v>73</v>
      </c>
      <c r="E32" s="2"/>
    </row>
    <row r="33" spans="2:7" x14ac:dyDescent="0.2">
      <c r="B33" s="3" t="s">
        <v>2141</v>
      </c>
      <c r="C33" s="4" t="s">
        <v>2142</v>
      </c>
      <c r="D33" s="4" t="s">
        <v>2143</v>
      </c>
      <c r="E33" s="4"/>
    </row>
    <row r="34" spans="2:7" x14ac:dyDescent="0.2">
      <c r="B34" s="3" t="s">
        <v>2144</v>
      </c>
      <c r="C34" s="4" t="s">
        <v>2145</v>
      </c>
      <c r="D34" s="4" t="s">
        <v>2146</v>
      </c>
      <c r="E34" s="4"/>
    </row>
    <row r="35" spans="2:7" x14ac:dyDescent="0.2">
      <c r="B35" s="3" t="s">
        <v>2147</v>
      </c>
      <c r="C35" s="4" t="s">
        <v>2148</v>
      </c>
      <c r="D35" s="4" t="s">
        <v>2149</v>
      </c>
      <c r="E35" s="4"/>
      <c r="G35" t="str">
        <f t="shared" si="0"/>
        <v>&lt;dl&gt;&lt;dt&gt;天刑+太阳​&lt;/dt&gt;&lt;dd&gt;公开制裁（舆论审判、行政处罚）&lt;/dd&gt;&lt;dd&gt;明星偷税漏税曝光&lt;/dd&gt;&lt;/dl&gt;</v>
      </c>
    </row>
    <row r="36" spans="2:7" x14ac:dyDescent="0.2">
      <c r="B36" s="3" t="s">
        <v>2150</v>
      </c>
      <c r="C36" s="4" t="s">
        <v>2151</v>
      </c>
      <c r="D36" s="4" t="s">
        <v>2152</v>
      </c>
      <c r="E36" s="4"/>
      <c r="G36" t="str">
        <f t="shared" si="0"/>
        <v>&lt;dl&gt;&lt;dt&gt;天刑+天同​&lt;/dt&gt;&lt;dd&gt;情感约束（戒瘾治疗、心理干预）&lt;/dd&gt;&lt;dd&gt;强制戒毒 / 心理咨询协议&lt;/dd&gt;&lt;/dl&gt;</v>
      </c>
    </row>
    <row r="37" spans="2:7" x14ac:dyDescent="0.2">
      <c r="G37" t="str">
        <f t="shared" si="0"/>
        <v>&lt;dl&gt;&lt;dt&gt;&lt;/dt&gt;&lt;dd&gt;&lt;/dd&gt;&lt;dd&gt;&lt;/dd&gt;&lt;/dl&gt;</v>
      </c>
    </row>
    <row r="38" spans="2:7" x14ac:dyDescent="0.2">
      <c r="G38" t="str">
        <f t="shared" si="0"/>
        <v>&lt;dl&gt;&lt;dt&gt;&lt;/dt&gt;&lt;dd&gt;&lt;/dd&gt;&lt;dd&gt;&lt;/dd&gt;&lt;/dl&gt;</v>
      </c>
    </row>
    <row r="39" spans="2:7" ht="17.25" x14ac:dyDescent="0.2">
      <c r="B39" s="5" t="s">
        <v>1157</v>
      </c>
      <c r="G39" t="str">
        <f t="shared" si="0"/>
        <v>&lt;dl&gt;&lt;dt&gt;五、辅星组合象义​&lt;/dt&gt;&lt;dd&gt;&lt;/dd&gt;&lt;dd&gt;&lt;/dd&gt;&lt;/dl&gt;</v>
      </c>
    </row>
    <row r="40" spans="2:7" x14ac:dyDescent="0.2">
      <c r="G40" t="str">
        <f t="shared" si="0"/>
        <v>&lt;dl&gt;&lt;dt&gt;&lt;/dt&gt;&lt;dd&gt;&lt;/dd&gt;&lt;dd&gt;&lt;/dd&gt;&lt;/dl&gt;</v>
      </c>
    </row>
    <row r="41" spans="2:7" x14ac:dyDescent="0.2">
      <c r="B41" s="2" t="s">
        <v>40</v>
      </c>
      <c r="C41" s="2" t="s">
        <v>1097</v>
      </c>
      <c r="D41" s="2" t="s">
        <v>1851</v>
      </c>
      <c r="E41" s="2"/>
      <c r="G41" t="str">
        <f t="shared" si="0"/>
        <v>&lt;dl&gt;&lt;dt&gt;辅星​&lt;/dt&gt;&lt;dd&gt;叠加效应​&lt;/dd&gt;&lt;dd&gt;触发场景​&lt;/dd&gt;&lt;/dl&gt;</v>
      </c>
    </row>
    <row r="42" spans="2:7" x14ac:dyDescent="0.2">
      <c r="B42" s="3" t="s">
        <v>2153</v>
      </c>
      <c r="C42" s="4" t="s">
        <v>2154</v>
      </c>
      <c r="D42" s="4" t="s">
        <v>2155</v>
      </c>
      <c r="E42" s="4"/>
      <c r="G42" t="str">
        <f t="shared" si="0"/>
        <v>&lt;dl&gt;&lt;dt&gt;天刑+铃星​&lt;/dt&gt;&lt;dd&gt;管理烦恼（职场纠纷、医患矛盾）&lt;/dd&gt;&lt;dd&gt;员工投诉主管 / 术后康复纠纷&lt;/dd&gt;&lt;/dl&gt;</v>
      </c>
    </row>
    <row r="43" spans="2:7" x14ac:dyDescent="0.2">
      <c r="B43" s="3" t="s">
        <v>2156</v>
      </c>
      <c r="C43" s="4" t="s">
        <v>2157</v>
      </c>
      <c r="D43" s="4" t="s">
        <v>2158</v>
      </c>
      <c r="E43" s="4"/>
      <c r="G43" t="str">
        <f t="shared" si="0"/>
        <v>&lt;dl&gt;&lt;dt&gt;天刑+地劫​&lt;/dt&gt;&lt;dd&gt;约束失效（法律漏洞、监管盲区）&lt;/dd&gt;&lt;dd&gt;合同欺诈逃责 / 医疗事故责任不清&lt;/dd&gt;&lt;/dl&gt;</v>
      </c>
    </row>
    <row r="44" spans="2:7" x14ac:dyDescent="0.2">
      <c r="B44" s="3" t="s">
        <v>2159</v>
      </c>
      <c r="C44" s="4" t="s">
        <v>2160</v>
      </c>
      <c r="D44" s="4" t="s">
        <v>2161</v>
      </c>
      <c r="E44" s="4"/>
    </row>
    <row r="45" spans="2:7" x14ac:dyDescent="0.2">
      <c r="B45" s="3" t="s">
        <v>2162</v>
      </c>
      <c r="C45" s="4" t="s">
        <v>2163</v>
      </c>
      <c r="D45" s="4" t="s">
        <v>2164</v>
      </c>
      <c r="E45" s="4"/>
    </row>
    <row r="48" spans="2:7" ht="17.25" x14ac:dyDescent="0.2">
      <c r="B48" s="5" t="s">
        <v>1172</v>
      </c>
    </row>
    <row r="49" spans="2:7" x14ac:dyDescent="0.2">
      <c r="B49" s="6"/>
      <c r="G49" t="str">
        <f t="shared" si="0"/>
        <v>&lt;dl&gt;&lt;dt&gt;&lt;/dt&gt;&lt;dd&gt;&lt;/dd&gt;&lt;dd&gt;&lt;/dd&gt;&lt;/dl&gt;</v>
      </c>
    </row>
    <row r="50" spans="2:7" x14ac:dyDescent="0.2">
      <c r="B50" s="7" t="s">
        <v>2165</v>
      </c>
      <c r="G50" t="str">
        <f t="shared" si="0"/>
        <v>&lt;dl&gt;&lt;dt&gt;无直接四化：需借他星触发&lt;/dt&gt;&lt;dd&gt;&lt;/dd&gt;&lt;dd&gt;&lt;/dd&gt;&lt;/dl&gt;</v>
      </c>
    </row>
    <row r="51" spans="2:7" x14ac:dyDescent="0.2">
      <c r="B51" s="6"/>
      <c r="G51" t="str">
        <f t="shared" si="0"/>
        <v>&lt;dl&gt;&lt;dt&gt;&lt;/dt&gt;&lt;dd&gt;&lt;/dd&gt;&lt;dd&gt;&lt;/dd&gt;&lt;/dl&gt;</v>
      </c>
    </row>
    <row r="52" spans="2:7" x14ac:dyDescent="0.2">
      <c r="B52" s="8" t="s">
        <v>2166</v>
      </c>
      <c r="G52" t="str">
        <f t="shared" si="0"/>
        <v>&lt;dl&gt;&lt;dt&gt;化权（借紫微）：强化管控（如政策收紧）&lt;/dt&gt;&lt;dd&gt;&lt;/dd&gt;&lt;dd&gt;&lt;/dd&gt;&lt;/dl&gt;</v>
      </c>
    </row>
    <row r="53" spans="2:7" x14ac:dyDescent="0.2">
      <c r="B53" s="8" t="s">
        <v>2167</v>
      </c>
    </row>
    <row r="57" spans="2:7" ht="17.25" x14ac:dyDescent="0.2">
      <c r="B57" s="5" t="s">
        <v>1436</v>
      </c>
    </row>
    <row r="58" spans="2:7" x14ac:dyDescent="0.2">
      <c r="B58" s="6"/>
    </row>
    <row r="59" spans="2:7" x14ac:dyDescent="0.2">
      <c r="B59" s="7" t="s">
        <v>2168</v>
      </c>
    </row>
    <row r="60" spans="2:7" x14ac:dyDescent="0.2">
      <c r="B60" s="6"/>
    </row>
    <row r="61" spans="2:7" x14ac:dyDescent="0.2">
      <c r="B61" s="9" t="s">
        <v>2169</v>
      </c>
    </row>
    <row r="62" spans="2:7" x14ac:dyDescent="0.2">
      <c r="B62" s="7" t="s">
        <v>2170</v>
      </c>
    </row>
    <row r="63" spans="2:7" x14ac:dyDescent="0.2">
      <c r="B63" s="6"/>
    </row>
    <row r="64" spans="2:7" x14ac:dyDescent="0.2">
      <c r="B64" s="9" t="s">
        <v>2171</v>
      </c>
    </row>
    <row r="65" spans="2:2" x14ac:dyDescent="0.2">
      <c r="B65" s="6"/>
    </row>
    <row r="66" spans="2:2" x14ac:dyDescent="0.2">
      <c r="B66" s="7"/>
    </row>
    <row r="67" spans="2:2" x14ac:dyDescent="0.2">
      <c r="B67" s="6"/>
    </row>
    <row r="68" spans="2:2" x14ac:dyDescent="0.2">
      <c r="B68" s="9"/>
    </row>
    <row r="69" spans="2:2" x14ac:dyDescent="0.2">
      <c r="B69" s="9"/>
    </row>
    <row r="70" spans="2:2" x14ac:dyDescent="0.2">
      <c r="B70" s="7"/>
    </row>
    <row r="71" spans="2:2" x14ac:dyDescent="0.2">
      <c r="B71" s="6"/>
    </row>
    <row r="72" spans="2:2" x14ac:dyDescent="0.2">
      <c r="B72" s="9"/>
    </row>
    <row r="73" spans="2:2" x14ac:dyDescent="0.2">
      <c r="B73" s="9"/>
    </row>
    <row r="77" spans="2:2" ht="17.25" x14ac:dyDescent="0.2">
      <c r="B77" s="5"/>
    </row>
    <row r="80" spans="2:2" x14ac:dyDescent="0.2">
      <c r="B80" s="16"/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58D4E-B542-4A80-81E1-3823C46B3B53}">
  <dimension ref="B1:G82"/>
  <sheetViews>
    <sheetView topLeftCell="A3" zoomScaleNormal="100" workbookViewId="0">
      <selection activeCell="C45" sqref="C45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2172</v>
      </c>
      <c r="G1" t="str">
        <f>"&lt;dl&gt;&lt;dt&gt;" &amp; B1 &amp; "&lt;/dt&gt;&lt;dd&gt;" &amp; C1 &amp; "&lt;/dd&gt;&lt;dd&gt;" &amp; D1 &amp; "&lt;/dd&gt;&lt;/dl&gt;"</f>
        <v>&lt;dl&gt;&lt;dt&gt;一、天寿定义​&lt;/dt&gt;&lt;dd&gt;&lt;/dd&gt;&lt;dd&gt;&lt;/dd&gt;&lt;/dl&gt;</v>
      </c>
    </row>
    <row r="3" spans="2:7" x14ac:dyDescent="0.2">
      <c r="B3" s="2" t="s">
        <v>376</v>
      </c>
      <c r="C3" s="2" t="s">
        <v>377</v>
      </c>
      <c r="D3" s="2" t="s">
        <v>21</v>
      </c>
    </row>
    <row r="4" spans="2:7" x14ac:dyDescent="0.2">
      <c r="B4" s="3" t="s">
        <v>620</v>
      </c>
      <c r="C4" s="4" t="s">
        <v>2027</v>
      </c>
      <c r="D4" s="4"/>
    </row>
    <row r="5" spans="2:7" x14ac:dyDescent="0.2">
      <c r="B5" s="3" t="s">
        <v>624</v>
      </c>
      <c r="C5" s="4" t="s">
        <v>2173</v>
      </c>
      <c r="D5" s="4"/>
    </row>
    <row r="6" spans="2:7" x14ac:dyDescent="0.2">
      <c r="B6" s="3" t="s">
        <v>378</v>
      </c>
      <c r="C6" s="4" t="s">
        <v>2174</v>
      </c>
      <c r="D6" s="4"/>
    </row>
    <row r="7" spans="2:7" x14ac:dyDescent="0.2">
      <c r="B7" s="3" t="s">
        <v>2030</v>
      </c>
      <c r="C7" s="4" t="s">
        <v>2175</v>
      </c>
      <c r="D7" s="4"/>
    </row>
    <row r="10" spans="2:7" ht="17.25" x14ac:dyDescent="0.2">
      <c r="B10" s="5" t="s">
        <v>388</v>
      </c>
    </row>
    <row r="12" spans="2:7" ht="15.75" x14ac:dyDescent="0.2">
      <c r="B12" s="13" t="s">
        <v>627</v>
      </c>
    </row>
    <row r="14" spans="2:7" x14ac:dyDescent="0.2">
      <c r="B14" s="2" t="s">
        <v>390</v>
      </c>
      <c r="C14" s="2" t="s">
        <v>497</v>
      </c>
      <c r="D14" s="2" t="s">
        <v>21</v>
      </c>
    </row>
    <row r="15" spans="2:7" x14ac:dyDescent="0.2">
      <c r="B15" s="3" t="s">
        <v>2176</v>
      </c>
      <c r="C15" s="4" t="s">
        <v>2177</v>
      </c>
      <c r="D15" s="4"/>
    </row>
    <row r="16" spans="2:7" x14ac:dyDescent="0.2">
      <c r="B16" s="3" t="s">
        <v>2178</v>
      </c>
      <c r="C16" s="4" t="s">
        <v>2179</v>
      </c>
      <c r="D16" s="4"/>
    </row>
    <row r="17" spans="2:7" x14ac:dyDescent="0.2">
      <c r="B17" s="3" t="s">
        <v>2180</v>
      </c>
      <c r="C17" s="4" t="s">
        <v>2181</v>
      </c>
      <c r="D17" s="4"/>
    </row>
    <row r="18" spans="2:7" x14ac:dyDescent="0.2">
      <c r="B18" s="3" t="s">
        <v>2182</v>
      </c>
      <c r="C18" s="4" t="s">
        <v>2183</v>
      </c>
      <c r="D18" s="4"/>
    </row>
    <row r="21" spans="2:7" ht="17.25" x14ac:dyDescent="0.2">
      <c r="B21" s="5" t="s">
        <v>410</v>
      </c>
    </row>
    <row r="23" spans="2:7" ht="15.75" x14ac:dyDescent="0.2">
      <c r="B23" s="13" t="s">
        <v>411</v>
      </c>
    </row>
    <row r="24" spans="2:7" x14ac:dyDescent="0.2">
      <c r="G24" t="str">
        <f t="shared" ref="G24:G52" si="0">"&lt;dl&gt;&lt;dt&gt;" &amp; B24 &amp; "&lt;/dt&gt;&lt;dd&gt;" &amp; C24 &amp; "&lt;/dd&gt;&lt;dd&gt;" &amp; D24 &amp; "&lt;/dd&gt;&lt;/dl&gt;"</f>
        <v>&lt;dl&gt;&lt;dt&gt;&lt;/dt&gt;&lt;dd&gt;&lt;/dd&gt;&lt;dd&gt;&lt;/dd&gt;&lt;/dl&gt;</v>
      </c>
    </row>
    <row r="25" spans="2:7" x14ac:dyDescent="0.2">
      <c r="B25" s="2" t="s">
        <v>71</v>
      </c>
      <c r="C25" s="2" t="s">
        <v>1047</v>
      </c>
      <c r="D25" s="2" t="s">
        <v>73</v>
      </c>
      <c r="E25" s="2" t="s">
        <v>21</v>
      </c>
      <c r="G25" t="str">
        <f t="shared" si="0"/>
        <v>&lt;dl&gt;&lt;dt&gt;组合​&lt;/dt&gt;&lt;dd&gt;效应​&lt;/dd&gt;&lt;dd&gt;典型案例​&lt;/dd&gt;&lt;/dl&gt;</v>
      </c>
    </row>
    <row r="26" spans="2:7" x14ac:dyDescent="0.2">
      <c r="B26" s="3" t="s">
        <v>2184</v>
      </c>
      <c r="C26" s="4" t="s">
        <v>2185</v>
      </c>
      <c r="D26" s="4" t="s">
        <v>2186</v>
      </c>
      <c r="E26" s="4"/>
      <c r="G26" t="str">
        <f t="shared" si="0"/>
        <v>&lt;dl&gt;&lt;dt&gt;天寿+七杀​&lt;/dt&gt;&lt;dd&gt;线性寿命（稳定生命周期）&lt;/dd&gt;&lt;dd&gt;慢性病长期生存（如糖尿病带病延年）&lt;/dd&gt;&lt;/dl&gt;</v>
      </c>
    </row>
    <row r="27" spans="2:7" x14ac:dyDescent="0.2">
      <c r="B27" s="3" t="s">
        <v>2187</v>
      </c>
      <c r="C27" s="4" t="s">
        <v>2188</v>
      </c>
      <c r="D27" s="4" t="s">
        <v>2189</v>
      </c>
      <c r="E27" s="4"/>
      <c r="G27" t="str">
        <f t="shared" si="0"/>
        <v>&lt;dl&gt;&lt;dt&gt;天寿+破军​&lt;/dt&gt;&lt;dd&gt;突破性寿命（医疗技术延寿）&lt;/dd&gt;&lt;dd&gt;心脏搭桥术后存活超20年&lt;/dd&gt;&lt;/dl&gt;</v>
      </c>
    </row>
    <row r="28" spans="2:7" x14ac:dyDescent="0.2">
      <c r="B28" s="3" t="s">
        <v>2190</v>
      </c>
      <c r="C28" s="4" t="s">
        <v>2191</v>
      </c>
      <c r="D28" s="4" t="s">
        <v>2192</v>
      </c>
      <c r="E28" s="4"/>
      <c r="G28" t="str">
        <f t="shared" si="0"/>
        <v>&lt;dl&gt;&lt;dt&gt;天寿+天梁​&lt;/dt&gt;&lt;dd&gt;支柱性寿命（依赖外部支持）&lt;/dd&gt;&lt;dd&gt;靠呼吸机维持生命&lt;/dd&gt;&lt;/dl&gt;</v>
      </c>
    </row>
    <row r="29" spans="2:7" x14ac:dyDescent="0.2">
      <c r="G29" t="str">
        <f t="shared" si="0"/>
        <v>&lt;dl&gt;&lt;dt&gt;&lt;/dt&gt;&lt;dd&gt;&lt;/dd&gt;&lt;dd&gt;&lt;/dd&gt;&lt;/dl&gt;</v>
      </c>
    </row>
    <row r="30" spans="2:7" ht="15.75" x14ac:dyDescent="0.2">
      <c r="B30" s="13" t="s">
        <v>426</v>
      </c>
    </row>
    <row r="32" spans="2:7" x14ac:dyDescent="0.2">
      <c r="B32" s="2" t="s">
        <v>40</v>
      </c>
      <c r="C32" s="2" t="s">
        <v>1097</v>
      </c>
      <c r="D32" s="2" t="s">
        <v>1851</v>
      </c>
      <c r="E32" s="2" t="s">
        <v>21</v>
      </c>
    </row>
    <row r="33" spans="2:7" x14ac:dyDescent="0.2">
      <c r="B33" s="3" t="s">
        <v>2193</v>
      </c>
      <c r="C33" s="4" t="s">
        <v>2194</v>
      </c>
      <c r="D33" s="4" t="s">
        <v>2195</v>
      </c>
      <c r="E33" s="4"/>
    </row>
    <row r="34" spans="2:7" x14ac:dyDescent="0.2">
      <c r="B34" s="3" t="s">
        <v>2196</v>
      </c>
      <c r="C34" s="4" t="s">
        <v>2197</v>
      </c>
      <c r="D34" s="4" t="s">
        <v>2198</v>
      </c>
      <c r="E34" s="4"/>
    </row>
    <row r="35" spans="2:7" x14ac:dyDescent="0.2">
      <c r="B35" s="3" t="s">
        <v>2199</v>
      </c>
      <c r="C35" s="4" t="s">
        <v>2200</v>
      </c>
      <c r="D35" s="4" t="s">
        <v>2201</v>
      </c>
      <c r="E35" s="4"/>
      <c r="G35" t="str">
        <f t="shared" si="0"/>
        <v>&lt;dl&gt;&lt;dt&gt;天寿+火星​&lt;/dt&gt;&lt;dd&gt;突发性终结（猝死）&lt;/dd&gt;&lt;dd&gt;心梗突发离世&lt;/dd&gt;&lt;/dl&gt;</v>
      </c>
    </row>
    <row r="36" spans="2:7" x14ac:dyDescent="0.2">
      <c r="B36" s="3" t="s">
        <v>2202</v>
      </c>
      <c r="C36" s="4" t="s">
        <v>2203</v>
      </c>
      <c r="D36" s="4" t="s">
        <v>2204</v>
      </c>
      <c r="E36" s="4"/>
      <c r="G36" t="str">
        <f t="shared" si="0"/>
        <v>&lt;dl&gt;&lt;dt&gt;天寿+铃星​&lt;/dt&gt;&lt;dd&gt;慢性消耗寿命（进行性疾病）&lt;/dd&gt;&lt;dd&gt;阿尔茨海默症晚期&lt;/dd&gt;&lt;/dl&gt;</v>
      </c>
    </row>
    <row r="37" spans="2:7" x14ac:dyDescent="0.2">
      <c r="G37" t="str">
        <f t="shared" si="0"/>
        <v>&lt;dl&gt;&lt;dt&gt;&lt;/dt&gt;&lt;dd&gt;&lt;/dd&gt;&lt;dd&gt;&lt;/dd&gt;&lt;/dl&gt;</v>
      </c>
    </row>
    <row r="38" spans="2:7" x14ac:dyDescent="0.2">
      <c r="G38" t="str">
        <f t="shared" si="0"/>
        <v>&lt;dl&gt;&lt;dt&gt;&lt;/dt&gt;&lt;dd&gt;&lt;/dd&gt;&lt;dd&gt;&lt;/dd&gt;&lt;/dl&gt;</v>
      </c>
    </row>
    <row r="39" spans="2:7" ht="17.25" x14ac:dyDescent="0.2">
      <c r="B39" s="5" t="s">
        <v>1483</v>
      </c>
      <c r="G39" t="str">
        <f t="shared" si="0"/>
        <v>&lt;dl&gt;&lt;dt&gt;四、宫位叠加象义​&lt;/dt&gt;&lt;dd&gt;&lt;/dd&gt;&lt;dd&gt;&lt;/dd&gt;&lt;/dl&gt;</v>
      </c>
    </row>
    <row r="40" spans="2:7" x14ac:dyDescent="0.2">
      <c r="G40" t="str">
        <f t="shared" si="0"/>
        <v>&lt;dl&gt;&lt;dt&gt;&lt;/dt&gt;&lt;dd&gt;&lt;/dd&gt;&lt;dd&gt;&lt;/dd&gt;&lt;/dl&gt;</v>
      </c>
    </row>
    <row r="41" spans="2:7" x14ac:dyDescent="0.2">
      <c r="B41" s="2" t="s">
        <v>18</v>
      </c>
      <c r="C41" s="2" t="s">
        <v>497</v>
      </c>
      <c r="D41" s="2" t="s">
        <v>21</v>
      </c>
      <c r="G41" t="str">
        <f t="shared" si="0"/>
        <v>&lt;dl&gt;&lt;dt&gt;宫位​&lt;/dt&gt;&lt;dd&gt;象义​&lt;/dd&gt;&lt;dd&gt;文献依据​&lt;/dd&gt;&lt;/dl&gt;</v>
      </c>
    </row>
    <row r="42" spans="2:7" x14ac:dyDescent="0.2">
      <c r="B42" s="3" t="s">
        <v>201</v>
      </c>
      <c r="C42" s="4" t="s">
        <v>2205</v>
      </c>
      <c r="D42" s="4"/>
      <c r="G42" t="str">
        <f t="shared" si="0"/>
        <v>&lt;dl&gt;&lt;dt&gt;命宫​&lt;/dt&gt;&lt;dd&gt;先天寿命格局（长寿基因/夭折风险）&lt;/dd&gt;&lt;dd&gt;&lt;/dd&gt;&lt;/dl&gt;</v>
      </c>
    </row>
    <row r="43" spans="2:7" x14ac:dyDescent="0.2">
      <c r="B43" s="3" t="s">
        <v>6</v>
      </c>
      <c r="C43" s="4" t="s">
        <v>2206</v>
      </c>
      <c r="D43" s="4"/>
      <c r="G43" t="str">
        <f t="shared" si="0"/>
        <v>&lt;dl&gt;&lt;dt&gt;疾厄宫​&lt;/dt&gt;&lt;dd&gt;疾病预后（生存期评估）&lt;/dd&gt;&lt;dd&gt;&lt;/dd&gt;&lt;/dl&gt;</v>
      </c>
    </row>
    <row r="44" spans="2:7" x14ac:dyDescent="0.2">
      <c r="B44" s="3" t="s">
        <v>9</v>
      </c>
      <c r="C44" s="4" t="s">
        <v>2207</v>
      </c>
      <c r="D44" s="4"/>
    </row>
    <row r="45" spans="2:7" x14ac:dyDescent="0.2">
      <c r="B45" s="3" t="s">
        <v>128</v>
      </c>
      <c r="C45" s="4" t="s">
        <v>2208</v>
      </c>
      <c r="D45" s="4"/>
    </row>
    <row r="46" spans="2:7" x14ac:dyDescent="0.2">
      <c r="B46" s="3" t="s">
        <v>116</v>
      </c>
      <c r="C46" s="4" t="s">
        <v>2209</v>
      </c>
      <c r="D46" s="4"/>
    </row>
    <row r="49" spans="2:7" ht="17.25" x14ac:dyDescent="0.2">
      <c r="B49" s="5" t="s">
        <v>86</v>
      </c>
      <c r="G49" t="str">
        <f t="shared" si="0"/>
        <v>&lt;dl&gt;&lt;dt&gt;五、四化联动​&lt;/dt&gt;&lt;dd&gt;&lt;/dd&gt;&lt;dd&gt;&lt;/dd&gt;&lt;/dl&gt;</v>
      </c>
    </row>
    <row r="50" spans="2:7" x14ac:dyDescent="0.2">
      <c r="B50" s="6"/>
      <c r="G50" t="str">
        <f t="shared" si="0"/>
        <v>&lt;dl&gt;&lt;dt&gt;&lt;/dt&gt;&lt;dd&gt;&lt;/dd&gt;&lt;dd&gt;&lt;/dd&gt;&lt;/dl&gt;</v>
      </c>
    </row>
    <row r="51" spans="2:7" x14ac:dyDescent="0.2">
      <c r="B51" s="7" t="s">
        <v>2165</v>
      </c>
      <c r="G51" t="str">
        <f t="shared" si="0"/>
        <v>&lt;dl&gt;&lt;dt&gt;无直接四化：需借他星触发&lt;/dt&gt;&lt;dd&gt;&lt;/dd&gt;&lt;dd&gt;&lt;/dd&gt;&lt;/dl&gt;</v>
      </c>
    </row>
    <row r="52" spans="2:7" x14ac:dyDescent="0.2">
      <c r="B52" s="6"/>
      <c r="G52" t="str">
        <f t="shared" si="0"/>
        <v>&lt;dl&gt;&lt;dt&gt;&lt;/dt&gt;&lt;dd&gt;&lt;/dd&gt;&lt;dd&gt;&lt;/dd&gt;&lt;/dl&gt;</v>
      </c>
    </row>
    <row r="53" spans="2:7" x14ac:dyDescent="0.2">
      <c r="B53" s="8" t="s">
        <v>2210</v>
      </c>
    </row>
    <row r="54" spans="2:7" x14ac:dyDescent="0.2">
      <c r="B54" s="8" t="s">
        <v>2211</v>
      </c>
    </row>
    <row r="58" spans="2:7" ht="17.25" x14ac:dyDescent="0.2">
      <c r="B58" s="5" t="s">
        <v>1587</v>
      </c>
    </row>
    <row r="59" spans="2:7" x14ac:dyDescent="0.2">
      <c r="B59" s="6"/>
    </row>
    <row r="60" spans="2:7" x14ac:dyDescent="0.2">
      <c r="B60" s="7" t="s">
        <v>2212</v>
      </c>
    </row>
    <row r="61" spans="2:7" x14ac:dyDescent="0.2">
      <c r="B61" s="6"/>
    </row>
    <row r="62" spans="2:7" x14ac:dyDescent="0.2">
      <c r="B62" s="9" t="s">
        <v>2213</v>
      </c>
    </row>
    <row r="63" spans="2:7" x14ac:dyDescent="0.2">
      <c r="B63" s="7" t="s">
        <v>2214</v>
      </c>
    </row>
    <row r="64" spans="2:7" x14ac:dyDescent="0.2">
      <c r="B64" s="6"/>
    </row>
    <row r="65" spans="2:2" x14ac:dyDescent="0.2">
      <c r="B65" s="9" t="s">
        <v>2215</v>
      </c>
    </row>
    <row r="66" spans="2:2" x14ac:dyDescent="0.2">
      <c r="B66" s="7"/>
    </row>
    <row r="67" spans="2:2" x14ac:dyDescent="0.2">
      <c r="B67" s="6"/>
    </row>
    <row r="68" spans="2:2" x14ac:dyDescent="0.2">
      <c r="B68" s="9"/>
    </row>
    <row r="69" spans="2:2" x14ac:dyDescent="0.2">
      <c r="B69" s="9"/>
    </row>
    <row r="70" spans="2:2" x14ac:dyDescent="0.2">
      <c r="B70" s="7"/>
    </row>
    <row r="71" spans="2:2" x14ac:dyDescent="0.2">
      <c r="B71" s="6"/>
    </row>
    <row r="72" spans="2:2" x14ac:dyDescent="0.2">
      <c r="B72" s="9"/>
    </row>
    <row r="73" spans="2:2" x14ac:dyDescent="0.2">
      <c r="B73" s="9"/>
    </row>
    <row r="77" spans="2:2" ht="17.25" x14ac:dyDescent="0.2">
      <c r="B77" s="5"/>
    </row>
    <row r="80" spans="2:2" x14ac:dyDescent="0.2">
      <c r="B80" s="16"/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541B2-8055-43AC-B9B9-685CEE52D395}">
  <dimension ref="B1:G82"/>
  <sheetViews>
    <sheetView topLeftCell="A32" zoomScaleNormal="100" workbookViewId="0">
      <selection activeCell="C32" sqref="C32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ht="17.25" x14ac:dyDescent="0.2">
      <c r="B1" s="5" t="s">
        <v>2216</v>
      </c>
      <c r="G1" t="str">
        <f>"&lt;dl&gt;&lt;dt&gt;" &amp; B1 &amp; "&lt;/dt&gt;&lt;dd&gt;" &amp; C1 &amp; "&lt;/dd&gt;&lt;dd&gt;" &amp; D1 &amp; "&lt;/dd&gt;&lt;/dl&gt;"</f>
        <v>&lt;dl&gt;&lt;dt&gt;一、天才定义​&lt;/dt&gt;&lt;dd&gt;&lt;/dd&gt;&lt;dd&gt;&lt;/dd&gt;&lt;/dl&gt;</v>
      </c>
    </row>
    <row r="3" spans="2:7" x14ac:dyDescent="0.2">
      <c r="B3" s="2" t="s">
        <v>376</v>
      </c>
      <c r="C3" s="2" t="s">
        <v>377</v>
      </c>
      <c r="D3" s="2" t="s">
        <v>21</v>
      </c>
    </row>
    <row r="4" spans="2:7" x14ac:dyDescent="0.2">
      <c r="B4" s="3" t="s">
        <v>624</v>
      </c>
      <c r="C4" s="4" t="s">
        <v>2217</v>
      </c>
      <c r="D4" s="4"/>
    </row>
    <row r="5" spans="2:7" ht="28.5" x14ac:dyDescent="0.2">
      <c r="B5" s="3" t="s">
        <v>378</v>
      </c>
      <c r="C5" s="4" t="s">
        <v>2218</v>
      </c>
      <c r="D5" s="4"/>
    </row>
    <row r="6" spans="2:7" ht="28.5" x14ac:dyDescent="0.2">
      <c r="B6" s="3" t="s">
        <v>2030</v>
      </c>
      <c r="C6" s="4" t="s">
        <v>2219</v>
      </c>
      <c r="D6" s="4"/>
    </row>
    <row r="9" spans="2:7" ht="17.25" x14ac:dyDescent="0.2">
      <c r="B9" s="5" t="s">
        <v>388</v>
      </c>
    </row>
    <row r="11" spans="2:7" ht="15.75" x14ac:dyDescent="0.2">
      <c r="B11" s="13" t="s">
        <v>627</v>
      </c>
    </row>
    <row r="13" spans="2:7" x14ac:dyDescent="0.2">
      <c r="B13" s="2" t="s">
        <v>390</v>
      </c>
      <c r="C13" s="2" t="s">
        <v>1065</v>
      </c>
      <c r="D13" s="2" t="s">
        <v>1066</v>
      </c>
      <c r="E13" s="2" t="s">
        <v>21</v>
      </c>
    </row>
    <row r="14" spans="2:7" x14ac:dyDescent="0.2">
      <c r="B14" s="3" t="s">
        <v>2220</v>
      </c>
      <c r="C14" s="4" t="s">
        <v>2221</v>
      </c>
      <c r="D14" s="4" t="s">
        <v>2222</v>
      </c>
      <c r="E14" s="4"/>
    </row>
    <row r="15" spans="2:7" x14ac:dyDescent="0.2">
      <c r="B15" s="3" t="s">
        <v>2223</v>
      </c>
      <c r="C15" s="4" t="s">
        <v>2224</v>
      </c>
      <c r="D15" s="4" t="s">
        <v>2225</v>
      </c>
      <c r="E15" s="4"/>
    </row>
    <row r="16" spans="2:7" x14ac:dyDescent="0.2">
      <c r="B16" s="3" t="s">
        <v>2226</v>
      </c>
      <c r="C16" s="4" t="s">
        <v>2227</v>
      </c>
      <c r="D16" s="4" t="s">
        <v>2228</v>
      </c>
      <c r="E16" s="4"/>
    </row>
    <row r="18" spans="2:7" ht="15.75" x14ac:dyDescent="0.2">
      <c r="B18" s="13" t="s">
        <v>2229</v>
      </c>
    </row>
    <row r="19" spans="2:7" x14ac:dyDescent="0.2">
      <c r="B19" s="6"/>
    </row>
    <row r="20" spans="2:7" x14ac:dyDescent="0.2">
      <c r="B20" s="7" t="s">
        <v>2230</v>
      </c>
    </row>
    <row r="21" spans="2:7" x14ac:dyDescent="0.2">
      <c r="B21" s="6"/>
    </row>
    <row r="22" spans="2:7" x14ac:dyDescent="0.2">
      <c r="B22" s="9" t="s">
        <v>2231</v>
      </c>
    </row>
    <row r="23" spans="2:7" x14ac:dyDescent="0.2">
      <c r="B23" s="7" t="s">
        <v>2232</v>
      </c>
    </row>
    <row r="24" spans="2:7" x14ac:dyDescent="0.2">
      <c r="G24" t="str">
        <f t="shared" ref="G24:G52" si="0">"&lt;dl&gt;&lt;dt&gt;" &amp; B24 &amp; "&lt;/dt&gt;&lt;dd&gt;" &amp; C24 &amp; "&lt;/dd&gt;&lt;dd&gt;" &amp; D24 &amp; "&lt;/dd&gt;&lt;/dl&gt;"</f>
        <v>&lt;dl&gt;&lt;dt&gt;&lt;/dt&gt;&lt;dd&gt;&lt;/dd&gt;&lt;dd&gt;&lt;/dd&gt;&lt;/dl&gt;</v>
      </c>
    </row>
    <row r="25" spans="2:7" x14ac:dyDescent="0.2">
      <c r="G25" t="str">
        <f t="shared" si="0"/>
        <v>&lt;dl&gt;&lt;dt&gt;&lt;/dt&gt;&lt;dd&gt;&lt;/dd&gt;&lt;dd&gt;&lt;/dd&gt;&lt;/dl&gt;</v>
      </c>
    </row>
    <row r="26" spans="2:7" x14ac:dyDescent="0.2">
      <c r="G26" t="str">
        <f t="shared" si="0"/>
        <v>&lt;dl&gt;&lt;dt&gt;&lt;/dt&gt;&lt;dd&gt;&lt;/dd&gt;&lt;dd&gt;&lt;/dd&gt;&lt;/dl&gt;</v>
      </c>
    </row>
    <row r="27" spans="2:7" ht="17.25" x14ac:dyDescent="0.2">
      <c r="B27" s="5" t="s">
        <v>496</v>
      </c>
      <c r="G27" t="str">
        <f t="shared" si="0"/>
        <v>&lt;dl&gt;&lt;dt&gt;三、宫位组合象义​&lt;/dt&gt;&lt;dd&gt;&lt;/dd&gt;&lt;dd&gt;&lt;/dd&gt;&lt;/dl&gt;</v>
      </c>
    </row>
    <row r="28" spans="2:7" x14ac:dyDescent="0.2">
      <c r="G28" t="str">
        <f t="shared" si="0"/>
        <v>&lt;dl&gt;&lt;dt&gt;&lt;/dt&gt;&lt;dd&gt;&lt;/dd&gt;&lt;dd&gt;&lt;/dd&gt;&lt;/dl&gt;</v>
      </c>
    </row>
    <row r="29" spans="2:7" x14ac:dyDescent="0.2">
      <c r="B29" s="2" t="s">
        <v>18</v>
      </c>
      <c r="C29" s="2" t="s">
        <v>497</v>
      </c>
      <c r="D29" s="2" t="s">
        <v>21</v>
      </c>
      <c r="G29" t="str">
        <f t="shared" si="0"/>
        <v>&lt;dl&gt;&lt;dt&gt;宫位​&lt;/dt&gt;&lt;dd&gt;象义​&lt;/dd&gt;&lt;dd&gt;文献依据​&lt;/dd&gt;&lt;/dl&gt;</v>
      </c>
    </row>
    <row r="30" spans="2:7" x14ac:dyDescent="0.2">
      <c r="B30" s="3" t="s">
        <v>201</v>
      </c>
      <c r="C30" s="4" t="s">
        <v>2233</v>
      </c>
      <c r="D30" s="4"/>
    </row>
    <row r="31" spans="2:7" x14ac:dyDescent="0.2">
      <c r="B31" s="3" t="s">
        <v>116</v>
      </c>
      <c r="C31" s="4" t="s">
        <v>2234</v>
      </c>
      <c r="D31" s="4"/>
    </row>
    <row r="32" spans="2:7" ht="28.5" x14ac:dyDescent="0.2">
      <c r="B32" s="3" t="s">
        <v>206</v>
      </c>
      <c r="C32" s="4" t="s">
        <v>2235</v>
      </c>
      <c r="D32" s="4"/>
    </row>
    <row r="33" spans="2:7" x14ac:dyDescent="0.2">
      <c r="B33" s="3" t="s">
        <v>6</v>
      </c>
      <c r="C33" s="4" t="s">
        <v>2236</v>
      </c>
      <c r="D33" s="4"/>
    </row>
    <row r="35" spans="2:7" x14ac:dyDescent="0.2">
      <c r="G35" t="str">
        <f t="shared" si="0"/>
        <v>&lt;dl&gt;&lt;dt&gt;&lt;/dt&gt;&lt;dd&gt;&lt;/dd&gt;&lt;dd&gt;&lt;/dd&gt;&lt;/dl&gt;</v>
      </c>
    </row>
    <row r="36" spans="2:7" ht="17.25" x14ac:dyDescent="0.2">
      <c r="B36" s="5" t="s">
        <v>70</v>
      </c>
      <c r="G36" t="str">
        <f t="shared" si="0"/>
        <v>&lt;dl&gt;&lt;dt&gt;四、主星组合象义​&lt;/dt&gt;&lt;dd&gt;&lt;/dd&gt;&lt;dd&gt;&lt;/dd&gt;&lt;/dl&gt;</v>
      </c>
    </row>
    <row r="37" spans="2:7" x14ac:dyDescent="0.2">
      <c r="G37" t="str">
        <f t="shared" si="0"/>
        <v>&lt;dl&gt;&lt;dt&gt;&lt;/dt&gt;&lt;dd&gt;&lt;/dd&gt;&lt;dd&gt;&lt;/dd&gt;&lt;/dl&gt;</v>
      </c>
    </row>
    <row r="38" spans="2:7" ht="15.75" x14ac:dyDescent="0.2">
      <c r="B38" s="13" t="s">
        <v>2237</v>
      </c>
      <c r="G38" t="str">
        <f t="shared" si="0"/>
        <v>&lt;dl&gt;&lt;dt&gt;1. 庙旺组合​&lt;/dt&gt;&lt;dd&gt;&lt;/dd&gt;&lt;dd&gt;&lt;/dd&gt;&lt;/dl&gt;</v>
      </c>
    </row>
    <row r="39" spans="2:7" x14ac:dyDescent="0.2">
      <c r="G39" t="str">
        <f t="shared" si="0"/>
        <v>&lt;dl&gt;&lt;dt&gt;&lt;/dt&gt;&lt;dd&gt;&lt;/dd&gt;&lt;dd&gt;&lt;/dd&gt;&lt;/dl&gt;</v>
      </c>
    </row>
    <row r="40" spans="2:7" x14ac:dyDescent="0.2">
      <c r="B40" s="2" t="s">
        <v>71</v>
      </c>
      <c r="C40" s="2" t="s">
        <v>1047</v>
      </c>
      <c r="D40" s="2" t="s">
        <v>73</v>
      </c>
      <c r="E40" s="2" t="s">
        <v>21</v>
      </c>
      <c r="G40" t="str">
        <f t="shared" si="0"/>
        <v>&lt;dl&gt;&lt;dt&gt;组合​&lt;/dt&gt;&lt;dd&gt;效应​&lt;/dd&gt;&lt;dd&gt;典型案例​&lt;/dd&gt;&lt;/dl&gt;</v>
      </c>
    </row>
    <row r="41" spans="2:7" x14ac:dyDescent="0.2">
      <c r="B41" s="3" t="s">
        <v>2238</v>
      </c>
      <c r="C41" s="4" t="s">
        <v>2239</v>
      </c>
      <c r="D41" s="4" t="s">
        <v>2240</v>
      </c>
      <c r="E41" s="4"/>
      <c r="G41" t="str">
        <f t="shared" si="0"/>
        <v>&lt;dl&gt;&lt;dt&gt;紫微+天才​&lt;/dt&gt;&lt;dd&gt;顶级思维（学术权威/战略家）&lt;/dd&gt;&lt;dd&gt;诺贝尔奖得主的研究灵感&lt;/dd&gt;&lt;/dl&gt;</v>
      </c>
    </row>
    <row r="42" spans="2:7" x14ac:dyDescent="0.2">
      <c r="B42" s="3" t="s">
        <v>2241</v>
      </c>
      <c r="C42" s="4" t="s">
        <v>2242</v>
      </c>
      <c r="D42" s="4" t="s">
        <v>2243</v>
      </c>
      <c r="E42" s="4"/>
      <c r="G42" t="str">
        <f t="shared" si="0"/>
        <v>&lt;dl&gt;&lt;dt&gt;太阳+天才​&lt;/dt&gt;&lt;dd&gt;慧眼识珠（公开的智慧洞察）&lt;/dd&gt;&lt;dd&gt;知名投资人精准预判行业趋势&lt;/dd&gt;&lt;/dl&gt;</v>
      </c>
    </row>
    <row r="43" spans="2:7" x14ac:dyDescent="0.2">
      <c r="B43" s="3" t="s">
        <v>2244</v>
      </c>
      <c r="C43" s="4" t="s">
        <v>2245</v>
      </c>
      <c r="D43" s="4" t="s">
        <v>2246</v>
      </c>
      <c r="E43" s="4"/>
      <c r="G43" t="str">
        <f t="shared" si="0"/>
        <v>&lt;dl&gt;&lt;dt&gt;天同+天才​&lt;/dt&gt;&lt;dd&gt;悟道境界（宗教哲学领悟）&lt;/dd&gt;&lt;dd&gt;高僧参透佛法真谛&lt;/dd&gt;&lt;/dl&gt;</v>
      </c>
    </row>
    <row r="44" spans="2:7" x14ac:dyDescent="0.2">
      <c r="B44" s="3" t="s">
        <v>2247</v>
      </c>
      <c r="C44" s="4" t="s">
        <v>2248</v>
      </c>
      <c r="D44" s="4" t="s">
        <v>2249</v>
      </c>
      <c r="E44" s="4"/>
    </row>
    <row r="46" spans="2:7" ht="15.75" x14ac:dyDescent="0.2">
      <c r="B46" s="13" t="s">
        <v>2250</v>
      </c>
    </row>
    <row r="48" spans="2:7" x14ac:dyDescent="0.2">
      <c r="B48" s="2" t="s">
        <v>71</v>
      </c>
      <c r="C48" s="2" t="s">
        <v>1047</v>
      </c>
      <c r="D48" s="2" t="s">
        <v>73</v>
      </c>
      <c r="E48" s="2" t="s">
        <v>21</v>
      </c>
    </row>
    <row r="49" spans="2:7" x14ac:dyDescent="0.2">
      <c r="B49" s="3" t="s">
        <v>2251</v>
      </c>
      <c r="C49" s="4" t="s">
        <v>2252</v>
      </c>
      <c r="D49" s="4" t="s">
        <v>2253</v>
      </c>
      <c r="E49" s="4"/>
      <c r="G49" t="str">
        <f t="shared" si="0"/>
        <v>&lt;dl&gt;&lt;dt&gt;贪狼+天才​&lt;/dt&gt;&lt;dd&gt;欲望幻想（减肥妄想症）&lt;/dd&gt;&lt;dd&gt;盲目购买减肥药无效&lt;/dd&gt;&lt;/dl&gt;</v>
      </c>
    </row>
    <row r="50" spans="2:7" x14ac:dyDescent="0.2">
      <c r="B50" s="3" t="s">
        <v>2254</v>
      </c>
      <c r="C50" s="4" t="s">
        <v>2255</v>
      </c>
      <c r="D50" s="4" t="s">
        <v>2256</v>
      </c>
      <c r="E50" s="4"/>
      <c r="G50" t="str">
        <f t="shared" si="0"/>
        <v>&lt;dl&gt;&lt;dt&gt;巨门+天才​&lt;/dt&gt;&lt;dd&gt;阴谋论（虚假信息编造）&lt;/dd&gt;&lt;dd&gt;网络谣言制造者&lt;/dd&gt;&lt;/dl&gt;</v>
      </c>
    </row>
    <row r="51" spans="2:7" x14ac:dyDescent="0.2">
      <c r="B51" s="3" t="s">
        <v>2257</v>
      </c>
      <c r="C51" s="4" t="s">
        <v>2258</v>
      </c>
      <c r="D51" s="4" t="s">
        <v>2259</v>
      </c>
      <c r="E51" s="4"/>
      <c r="G51" t="str">
        <f t="shared" si="0"/>
        <v>&lt;dl&gt;&lt;dt&gt;地空+天才​&lt;/dt&gt;&lt;dd&gt;虚妄计划（投资泡沫）&lt;/dd&gt;&lt;dd&gt;炒作虚拟货币血本无归&lt;/dd&gt;&lt;/dl&gt;</v>
      </c>
    </row>
    <row r="52" spans="2:7" x14ac:dyDescent="0.2">
      <c r="G52" t="str">
        <f t="shared" si="0"/>
        <v>&lt;dl&gt;&lt;dt&gt;&lt;/dt&gt;&lt;dd&gt;&lt;/dd&gt;&lt;dd&gt;&lt;/dd&gt;&lt;/dl&gt;</v>
      </c>
    </row>
    <row r="54" spans="2:7" ht="17.25" x14ac:dyDescent="0.2">
      <c r="B54" s="5" t="s">
        <v>1157</v>
      </c>
    </row>
    <row r="56" spans="2:7" x14ac:dyDescent="0.2">
      <c r="B56" s="2" t="s">
        <v>40</v>
      </c>
      <c r="C56" s="2" t="s">
        <v>427</v>
      </c>
      <c r="D56" s="2" t="s">
        <v>428</v>
      </c>
      <c r="E56" s="2" t="s">
        <v>21</v>
      </c>
    </row>
    <row r="57" spans="2:7" x14ac:dyDescent="0.2">
      <c r="B57" s="3" t="s">
        <v>2260</v>
      </c>
      <c r="C57" s="4" t="s">
        <v>2261</v>
      </c>
      <c r="D57" s="4" t="s">
        <v>2262</v>
      </c>
      <c r="E57" s="4"/>
    </row>
    <row r="58" spans="2:7" x14ac:dyDescent="0.2">
      <c r="B58" s="3" t="s">
        <v>2263</v>
      </c>
      <c r="C58" s="4" t="s">
        <v>2264</v>
      </c>
      <c r="D58" s="4" t="s">
        <v>2265</v>
      </c>
      <c r="E58" s="4"/>
    </row>
    <row r="59" spans="2:7" x14ac:dyDescent="0.2">
      <c r="B59" s="3" t="s">
        <v>2266</v>
      </c>
      <c r="C59" s="4" t="s">
        <v>2267</v>
      </c>
      <c r="D59" s="4" t="s">
        <v>2268</v>
      </c>
      <c r="E59" s="4"/>
    </row>
    <row r="60" spans="2:7" x14ac:dyDescent="0.2">
      <c r="B60" s="3" t="s">
        <v>2269</v>
      </c>
      <c r="C60" s="4" t="s">
        <v>2270</v>
      </c>
      <c r="D60" s="4" t="s">
        <v>2271</v>
      </c>
      <c r="E60" s="4"/>
    </row>
    <row r="61" spans="2:7" x14ac:dyDescent="0.2">
      <c r="B61" s="3" t="s">
        <v>2272</v>
      </c>
      <c r="C61" s="4" t="s">
        <v>2273</v>
      </c>
      <c r="D61" s="4" t="s">
        <v>2274</v>
      </c>
      <c r="E61" s="4"/>
    </row>
    <row r="64" spans="2:7" ht="17.25" x14ac:dyDescent="0.2">
      <c r="B64" s="5" t="s">
        <v>2275</v>
      </c>
    </row>
    <row r="65" spans="2:2" x14ac:dyDescent="0.2">
      <c r="B65" s="6"/>
    </row>
    <row r="66" spans="2:2" x14ac:dyDescent="0.2">
      <c r="B66" s="7" t="s">
        <v>2276</v>
      </c>
    </row>
    <row r="67" spans="2:2" x14ac:dyDescent="0.2">
      <c r="B67" s="6"/>
    </row>
    <row r="68" spans="2:2" x14ac:dyDescent="0.2">
      <c r="B68" s="9" t="s">
        <v>2277</v>
      </c>
    </row>
    <row r="69" spans="2:2" x14ac:dyDescent="0.2">
      <c r="B69" s="9" t="s">
        <v>2278</v>
      </c>
    </row>
    <row r="70" spans="2:2" x14ac:dyDescent="0.2">
      <c r="B70" s="9" t="s">
        <v>2279</v>
      </c>
    </row>
    <row r="71" spans="2:2" x14ac:dyDescent="0.2">
      <c r="B71" s="7" t="s">
        <v>2280</v>
      </c>
    </row>
    <row r="72" spans="2:2" x14ac:dyDescent="0.2">
      <c r="B72" s="6"/>
    </row>
    <row r="73" spans="2:2" x14ac:dyDescent="0.2">
      <c r="B73" s="9" t="s">
        <v>2281</v>
      </c>
    </row>
    <row r="74" spans="2:2" x14ac:dyDescent="0.2">
      <c r="B74" s="9" t="s">
        <v>2282</v>
      </c>
    </row>
    <row r="75" spans="2:2" x14ac:dyDescent="0.2">
      <c r="B75" s="9" t="s">
        <v>2283</v>
      </c>
    </row>
    <row r="77" spans="2:2" ht="17.25" x14ac:dyDescent="0.2">
      <c r="B77" s="5"/>
    </row>
    <row r="80" spans="2:2" x14ac:dyDescent="0.2">
      <c r="B80" s="16"/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FC231-7A77-4F48-8364-B7E84E1D85F8}">
  <dimension ref="B1:G82"/>
  <sheetViews>
    <sheetView zoomScaleNormal="100" workbookViewId="0">
      <selection activeCell="B1" sqref="B1:E1048576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x14ac:dyDescent="0.2">
      <c r="G1" t="str">
        <f>"&lt;dl&gt;&lt;dt&gt;" &amp; B1 &amp; "&lt;/dt&gt;&lt;dd&gt;" &amp; C1 &amp; "&lt;/dd&gt;&lt;dd&gt;" &amp; D1 &amp; "&lt;/dd&gt;&lt;/dl&gt;"</f>
        <v>&lt;dl&gt;&lt;dt&gt;&lt;/dt&gt;&lt;dd&gt;&lt;/dd&gt;&lt;dd&gt;&lt;/dd&gt;&lt;/dl&gt;</v>
      </c>
    </row>
    <row r="5" spans="2:7" ht="17.25" x14ac:dyDescent="0.2">
      <c r="B5" s="5"/>
    </row>
    <row r="7" spans="2:7" x14ac:dyDescent="0.2">
      <c r="B7" s="1"/>
    </row>
    <row r="8" spans="2:7" x14ac:dyDescent="0.2">
      <c r="B8" s="6"/>
    </row>
    <row r="9" spans="2:7" x14ac:dyDescent="0.2">
      <c r="B9" s="7"/>
    </row>
    <row r="10" spans="2:7" x14ac:dyDescent="0.2">
      <c r="B10" s="6"/>
    </row>
    <row r="11" spans="2:7" x14ac:dyDescent="0.2">
      <c r="B11" s="8"/>
    </row>
    <row r="12" spans="2:7" x14ac:dyDescent="0.2">
      <c r="B12" s="8"/>
    </row>
    <row r="13" spans="2:7" x14ac:dyDescent="0.2">
      <c r="B13" s="8"/>
    </row>
    <row r="14" spans="2:7" x14ac:dyDescent="0.2">
      <c r="B14" s="8"/>
    </row>
    <row r="15" spans="2:7" x14ac:dyDescent="0.2">
      <c r="B15" s="9"/>
    </row>
    <row r="16" spans="2:7" x14ac:dyDescent="0.2">
      <c r="B16" s="10"/>
    </row>
    <row r="17" spans="2:7" x14ac:dyDescent="0.2">
      <c r="B17" s="10"/>
    </row>
    <row r="21" spans="2:7" ht="17.25" x14ac:dyDescent="0.2">
      <c r="B21" s="5"/>
    </row>
    <row r="22" spans="2:7" ht="16.5" thickBot="1" x14ac:dyDescent="0.25">
      <c r="B22" s="11"/>
    </row>
    <row r="23" spans="2:7" ht="16.5" thickBot="1" x14ac:dyDescent="0.25">
      <c r="B23" s="12"/>
      <c r="C23" s="12"/>
      <c r="D23" s="12"/>
      <c r="E23" s="12"/>
    </row>
    <row r="24" spans="2:7" ht="16.5" thickBot="1" x14ac:dyDescent="0.25">
      <c r="B24" s="14"/>
      <c r="C24" s="15"/>
      <c r="D24" s="15"/>
      <c r="E24" s="15"/>
      <c r="G24" t="str">
        <f t="shared" ref="G24:G52" si="0">"&lt;dl&gt;&lt;dt&gt;" &amp; B24 &amp; "&lt;/dt&gt;&lt;dd&gt;" &amp; C24 &amp; "&lt;/dd&gt;&lt;dd&gt;" &amp; D24 &amp; "&lt;/dd&gt;&lt;/dl&gt;"</f>
        <v>&lt;dl&gt;&lt;dt&gt;&lt;/dt&gt;&lt;dd&gt;&lt;/dd&gt;&lt;dd&gt;&lt;/dd&gt;&lt;/dl&gt;</v>
      </c>
    </row>
    <row r="25" spans="2:7" ht="16.5" thickBot="1" x14ac:dyDescent="0.25">
      <c r="B25" s="14"/>
      <c r="C25" s="15"/>
      <c r="D25" s="15"/>
      <c r="E25" s="15"/>
      <c r="G25" t="str">
        <f t="shared" si="0"/>
        <v>&lt;dl&gt;&lt;dt&gt;&lt;/dt&gt;&lt;dd&gt;&lt;/dd&gt;&lt;dd&gt;&lt;/dd&gt;&lt;/dl&gt;</v>
      </c>
    </row>
    <row r="26" spans="2:7" ht="16.5" thickBot="1" x14ac:dyDescent="0.25">
      <c r="B26" s="14"/>
      <c r="C26" s="15"/>
      <c r="D26" s="15"/>
      <c r="E26" s="15"/>
      <c r="G26" t="str">
        <f t="shared" si="0"/>
        <v>&lt;dl&gt;&lt;dt&gt;&lt;/dt&gt;&lt;dd&gt;&lt;/dd&gt;&lt;dd&gt;&lt;/dd&gt;&lt;/dl&gt;</v>
      </c>
    </row>
    <row r="27" spans="2:7" ht="16.5" thickBot="1" x14ac:dyDescent="0.25">
      <c r="B27" s="14"/>
      <c r="C27" s="15"/>
      <c r="D27" s="15"/>
      <c r="E27" s="15"/>
      <c r="G27" t="str">
        <f t="shared" si="0"/>
        <v>&lt;dl&gt;&lt;dt&gt;&lt;/dt&gt;&lt;dd&gt;&lt;/dd&gt;&lt;dd&gt;&lt;/dd&gt;&lt;/dl&gt;</v>
      </c>
    </row>
    <row r="28" spans="2:7" ht="16.5" thickBot="1" x14ac:dyDescent="0.25">
      <c r="B28" s="14"/>
      <c r="C28" s="15"/>
      <c r="D28" s="15"/>
      <c r="E28" s="15"/>
      <c r="G28" t="str">
        <f t="shared" si="0"/>
        <v>&lt;dl&gt;&lt;dt&gt;&lt;/dt&gt;&lt;dd&gt;&lt;/dd&gt;&lt;dd&gt;&lt;/dd&gt;&lt;/dl&gt;</v>
      </c>
    </row>
    <row r="29" spans="2:7" ht="16.5" thickBot="1" x14ac:dyDescent="0.25">
      <c r="B29" s="14"/>
      <c r="C29" s="15"/>
      <c r="D29" s="15"/>
      <c r="E29" s="15"/>
      <c r="G29" t="str">
        <f t="shared" si="0"/>
        <v>&lt;dl&gt;&lt;dt&gt;&lt;/dt&gt;&lt;dd&gt;&lt;/dd&gt;&lt;dd&gt;&lt;/dd&gt;&lt;/dl&gt;</v>
      </c>
    </row>
    <row r="32" spans="2:7" ht="17.25" x14ac:dyDescent="0.2">
      <c r="B32" s="5"/>
    </row>
    <row r="33" spans="2:7" ht="16.5" thickBot="1" x14ac:dyDescent="0.25">
      <c r="B33" s="11"/>
    </row>
    <row r="34" spans="2:7" ht="16.5" thickBot="1" x14ac:dyDescent="0.25">
      <c r="B34" s="12"/>
      <c r="C34" s="12"/>
      <c r="D34" s="12"/>
      <c r="E34" s="12"/>
    </row>
    <row r="35" spans="2:7" ht="16.5" thickBot="1" x14ac:dyDescent="0.25">
      <c r="B35" s="14"/>
      <c r="C35" s="15"/>
      <c r="D35" s="15"/>
      <c r="E35" s="15"/>
      <c r="G35" t="str">
        <f t="shared" si="0"/>
        <v>&lt;dl&gt;&lt;dt&gt;&lt;/dt&gt;&lt;dd&gt;&lt;/dd&gt;&lt;dd&gt;&lt;/dd&gt;&lt;/dl&gt;</v>
      </c>
    </row>
    <row r="36" spans="2:7" ht="16.5" thickBot="1" x14ac:dyDescent="0.25">
      <c r="B36" s="14"/>
      <c r="C36" s="15"/>
      <c r="D36" s="15"/>
      <c r="E36" s="15"/>
      <c r="G36" t="str">
        <f t="shared" si="0"/>
        <v>&lt;dl&gt;&lt;dt&gt;&lt;/dt&gt;&lt;dd&gt;&lt;/dd&gt;&lt;dd&gt;&lt;/dd&gt;&lt;/dl&gt;</v>
      </c>
    </row>
    <row r="37" spans="2:7" ht="16.5" thickBot="1" x14ac:dyDescent="0.25">
      <c r="B37" s="14"/>
      <c r="C37" s="15"/>
      <c r="D37" s="15"/>
      <c r="E37" s="15"/>
      <c r="G37" t="str">
        <f t="shared" si="0"/>
        <v>&lt;dl&gt;&lt;dt&gt;&lt;/dt&gt;&lt;dd&gt;&lt;/dd&gt;&lt;dd&gt;&lt;/dd&gt;&lt;/dl&gt;</v>
      </c>
    </row>
    <row r="38" spans="2:7" ht="16.5" thickBot="1" x14ac:dyDescent="0.25">
      <c r="B38" s="14"/>
      <c r="C38" s="15"/>
      <c r="D38" s="15"/>
      <c r="E38" s="15"/>
      <c r="G38" t="str">
        <f t="shared" si="0"/>
        <v>&lt;dl&gt;&lt;dt&gt;&lt;/dt&gt;&lt;dd&gt;&lt;/dd&gt;&lt;dd&gt;&lt;/dd&gt;&lt;/dl&gt;</v>
      </c>
    </row>
    <row r="39" spans="2:7" ht="16.5" thickBot="1" x14ac:dyDescent="0.25">
      <c r="B39" s="14"/>
      <c r="C39" s="15"/>
      <c r="D39" s="15"/>
      <c r="E39" s="15"/>
      <c r="G39" t="str">
        <f t="shared" si="0"/>
        <v>&lt;dl&gt;&lt;dt&gt;&lt;/dt&gt;&lt;dd&gt;&lt;/dd&gt;&lt;dd&gt;&lt;/dd&gt;&lt;/dl&gt;</v>
      </c>
    </row>
    <row r="40" spans="2:7" ht="16.5" thickBot="1" x14ac:dyDescent="0.25">
      <c r="B40" s="14"/>
      <c r="C40" s="15"/>
      <c r="D40" s="15"/>
      <c r="E40" s="15"/>
      <c r="G40" t="str">
        <f t="shared" si="0"/>
        <v>&lt;dl&gt;&lt;dt&gt;&lt;/dt&gt;&lt;dd&gt;&lt;/dd&gt;&lt;dd&gt;&lt;/dd&gt;&lt;/dl&gt;</v>
      </c>
    </row>
    <row r="41" spans="2:7" ht="16.5" thickBot="1" x14ac:dyDescent="0.25">
      <c r="B41" s="14"/>
      <c r="C41" s="15"/>
      <c r="D41" s="15"/>
      <c r="E41" s="15"/>
      <c r="G41" t="str">
        <f t="shared" si="0"/>
        <v>&lt;dl&gt;&lt;dt&gt;&lt;/dt&gt;&lt;dd&gt;&lt;/dd&gt;&lt;dd&gt;&lt;/dd&gt;&lt;/dl&gt;</v>
      </c>
    </row>
    <row r="42" spans="2:7" ht="16.5" thickBot="1" x14ac:dyDescent="0.25">
      <c r="B42" s="14"/>
      <c r="C42" s="15"/>
      <c r="D42" s="15"/>
      <c r="E42" s="15"/>
      <c r="G42" t="str">
        <f t="shared" si="0"/>
        <v>&lt;dl&gt;&lt;dt&gt;&lt;/dt&gt;&lt;dd&gt;&lt;/dd&gt;&lt;dd&gt;&lt;/dd&gt;&lt;/dl&gt;</v>
      </c>
    </row>
    <row r="43" spans="2:7" ht="16.5" thickBot="1" x14ac:dyDescent="0.25">
      <c r="B43" s="14"/>
      <c r="C43" s="15"/>
      <c r="D43" s="15"/>
      <c r="E43" s="15"/>
      <c r="G43" t="str">
        <f t="shared" si="0"/>
        <v>&lt;dl&gt;&lt;dt&gt;&lt;/dt&gt;&lt;dd&gt;&lt;/dd&gt;&lt;dd&gt;&lt;/dd&gt;&lt;/dl&gt;</v>
      </c>
    </row>
    <row r="46" spans="2:7" ht="17.25" x14ac:dyDescent="0.2">
      <c r="B46" s="5"/>
    </row>
    <row r="47" spans="2:7" ht="16.5" thickBot="1" x14ac:dyDescent="0.25">
      <c r="B47" s="11"/>
    </row>
    <row r="48" spans="2:7" ht="16.5" thickBot="1" x14ac:dyDescent="0.25">
      <c r="B48" s="12"/>
      <c r="C48" s="12"/>
      <c r="D48" s="12"/>
      <c r="E48" s="12"/>
    </row>
    <row r="49" spans="2:7" ht="16.5" thickBot="1" x14ac:dyDescent="0.25">
      <c r="B49" s="14"/>
      <c r="C49" s="15"/>
      <c r="D49" s="15"/>
      <c r="E49" s="15"/>
      <c r="G49" t="str">
        <f t="shared" si="0"/>
        <v>&lt;dl&gt;&lt;dt&gt;&lt;/dt&gt;&lt;dd&gt;&lt;/dd&gt;&lt;dd&gt;&lt;/dd&gt;&lt;/dl&gt;</v>
      </c>
    </row>
    <row r="50" spans="2:7" ht="16.5" thickBot="1" x14ac:dyDescent="0.25">
      <c r="B50" s="14"/>
      <c r="C50" s="15"/>
      <c r="D50" s="15"/>
      <c r="E50" s="15"/>
      <c r="G50" t="str">
        <f t="shared" si="0"/>
        <v>&lt;dl&gt;&lt;dt&gt;&lt;/dt&gt;&lt;dd&gt;&lt;/dd&gt;&lt;dd&gt;&lt;/dd&gt;&lt;/dl&gt;</v>
      </c>
    </row>
    <row r="51" spans="2:7" ht="16.5" thickBot="1" x14ac:dyDescent="0.25">
      <c r="B51" s="14"/>
      <c r="C51" s="15"/>
      <c r="D51" s="15"/>
      <c r="E51" s="15"/>
      <c r="G51" t="str">
        <f t="shared" si="0"/>
        <v>&lt;dl&gt;&lt;dt&gt;&lt;/dt&gt;&lt;dd&gt;&lt;/dd&gt;&lt;dd&gt;&lt;/dd&gt;&lt;/dl&gt;</v>
      </c>
    </row>
    <row r="52" spans="2:7" ht="16.5" thickBot="1" x14ac:dyDescent="0.25">
      <c r="B52" s="14"/>
      <c r="C52" s="15"/>
      <c r="D52" s="15"/>
      <c r="E52" s="15"/>
      <c r="G52" t="str">
        <f t="shared" si="0"/>
        <v>&lt;dl&gt;&lt;dt&gt;&lt;/dt&gt;&lt;dd&gt;&lt;/dd&gt;&lt;dd&gt;&lt;/dd&gt;&lt;/dl&gt;</v>
      </c>
    </row>
    <row r="55" spans="2:7" ht="17.25" x14ac:dyDescent="0.2">
      <c r="B55" s="5"/>
    </row>
    <row r="56" spans="2:7" x14ac:dyDescent="0.2">
      <c r="B56" s="6"/>
    </row>
    <row r="57" spans="2:7" x14ac:dyDescent="0.2">
      <c r="B57" s="7"/>
    </row>
    <row r="58" spans="2:7" x14ac:dyDescent="0.2">
      <c r="B58" s="6"/>
    </row>
    <row r="59" spans="2:7" x14ac:dyDescent="0.2">
      <c r="B59" s="8"/>
    </row>
    <row r="60" spans="2:7" x14ac:dyDescent="0.2">
      <c r="B60" s="8"/>
    </row>
    <row r="64" spans="2:7" ht="17.25" x14ac:dyDescent="0.2">
      <c r="B64" s="5"/>
    </row>
    <row r="65" spans="2:2" x14ac:dyDescent="0.2">
      <c r="B65" s="6"/>
    </row>
    <row r="66" spans="2:2" x14ac:dyDescent="0.2">
      <c r="B66" s="7"/>
    </row>
    <row r="67" spans="2:2" x14ac:dyDescent="0.2">
      <c r="B67" s="6"/>
    </row>
    <row r="68" spans="2:2" x14ac:dyDescent="0.2">
      <c r="B68" s="9"/>
    </row>
    <row r="69" spans="2:2" x14ac:dyDescent="0.2">
      <c r="B69" s="9"/>
    </row>
    <row r="70" spans="2:2" x14ac:dyDescent="0.2">
      <c r="B70" s="7"/>
    </row>
    <row r="71" spans="2:2" x14ac:dyDescent="0.2">
      <c r="B71" s="6"/>
    </row>
    <row r="72" spans="2:2" x14ac:dyDescent="0.2">
      <c r="B72" s="9"/>
    </row>
    <row r="73" spans="2:2" x14ac:dyDescent="0.2">
      <c r="B73" s="9"/>
    </row>
    <row r="77" spans="2:2" ht="17.25" x14ac:dyDescent="0.2">
      <c r="B77" s="5"/>
    </row>
    <row r="80" spans="2:2" x14ac:dyDescent="0.2">
      <c r="B80" s="16"/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E262F-80B3-4B99-AE37-294E6110187F}">
  <dimension ref="B1:G82"/>
  <sheetViews>
    <sheetView zoomScaleNormal="100" workbookViewId="0">
      <selection activeCell="B1" sqref="B1:E1048576"/>
    </sheetView>
  </sheetViews>
  <sheetFormatPr defaultRowHeight="14.25" x14ac:dyDescent="0.2"/>
  <cols>
    <col min="1" max="1" width="2.75" customWidth="1"/>
    <col min="2" max="2" width="15.625" customWidth="1"/>
    <col min="3" max="3" width="43.125" customWidth="1"/>
    <col min="4" max="4" width="32.75" customWidth="1"/>
  </cols>
  <sheetData>
    <row r="1" spans="2:7" x14ac:dyDescent="0.2">
      <c r="G1" t="str">
        <f>"&lt;dl&gt;&lt;dt&gt;" &amp; B1 &amp; "&lt;/dt&gt;&lt;dd&gt;" &amp; C1 &amp; "&lt;/dd&gt;&lt;dd&gt;" &amp; D1 &amp; "&lt;/dd&gt;&lt;/dl&gt;"</f>
        <v>&lt;dl&gt;&lt;dt&gt;&lt;/dt&gt;&lt;dd&gt;&lt;/dd&gt;&lt;dd&gt;&lt;/dd&gt;&lt;/dl&gt;</v>
      </c>
    </row>
    <row r="5" spans="2:7" ht="17.25" x14ac:dyDescent="0.2">
      <c r="B5" s="5"/>
    </row>
    <row r="7" spans="2:7" x14ac:dyDescent="0.2">
      <c r="B7" s="1"/>
    </row>
    <row r="8" spans="2:7" x14ac:dyDescent="0.2">
      <c r="B8" s="6"/>
    </row>
    <row r="9" spans="2:7" x14ac:dyDescent="0.2">
      <c r="B9" s="7"/>
    </row>
    <row r="10" spans="2:7" x14ac:dyDescent="0.2">
      <c r="B10" s="6"/>
    </row>
    <row r="11" spans="2:7" x14ac:dyDescent="0.2">
      <c r="B11" s="8"/>
    </row>
    <row r="12" spans="2:7" x14ac:dyDescent="0.2">
      <c r="B12" s="8"/>
    </row>
    <row r="13" spans="2:7" x14ac:dyDescent="0.2">
      <c r="B13" s="8"/>
    </row>
    <row r="14" spans="2:7" x14ac:dyDescent="0.2">
      <c r="B14" s="8"/>
    </row>
    <row r="15" spans="2:7" x14ac:dyDescent="0.2">
      <c r="B15" s="9"/>
    </row>
    <row r="16" spans="2:7" x14ac:dyDescent="0.2">
      <c r="B16" s="10"/>
    </row>
    <row r="17" spans="2:7" x14ac:dyDescent="0.2">
      <c r="B17" s="10"/>
    </row>
    <row r="21" spans="2:7" ht="17.25" x14ac:dyDescent="0.2">
      <c r="B21" s="5"/>
    </row>
    <row r="22" spans="2:7" ht="16.5" thickBot="1" x14ac:dyDescent="0.25">
      <c r="B22" s="11"/>
    </row>
    <row r="23" spans="2:7" ht="16.5" thickBot="1" x14ac:dyDescent="0.25">
      <c r="B23" s="12"/>
      <c r="C23" s="12"/>
      <c r="D23" s="12"/>
      <c r="E23" s="12"/>
    </row>
    <row r="24" spans="2:7" ht="16.5" thickBot="1" x14ac:dyDescent="0.25">
      <c r="B24" s="14"/>
      <c r="C24" s="15"/>
      <c r="D24" s="15"/>
      <c r="E24" s="15"/>
      <c r="G24" t="str">
        <f t="shared" ref="G24:G52" si="0">"&lt;dl&gt;&lt;dt&gt;" &amp; B24 &amp; "&lt;/dt&gt;&lt;dd&gt;" &amp; C24 &amp; "&lt;/dd&gt;&lt;dd&gt;" &amp; D24 &amp; "&lt;/dd&gt;&lt;/dl&gt;"</f>
        <v>&lt;dl&gt;&lt;dt&gt;&lt;/dt&gt;&lt;dd&gt;&lt;/dd&gt;&lt;dd&gt;&lt;/dd&gt;&lt;/dl&gt;</v>
      </c>
    </row>
    <row r="25" spans="2:7" ht="16.5" thickBot="1" x14ac:dyDescent="0.25">
      <c r="B25" s="14"/>
      <c r="C25" s="15"/>
      <c r="D25" s="15"/>
      <c r="E25" s="15"/>
      <c r="G25" t="str">
        <f t="shared" si="0"/>
        <v>&lt;dl&gt;&lt;dt&gt;&lt;/dt&gt;&lt;dd&gt;&lt;/dd&gt;&lt;dd&gt;&lt;/dd&gt;&lt;/dl&gt;</v>
      </c>
    </row>
    <row r="26" spans="2:7" ht="16.5" thickBot="1" x14ac:dyDescent="0.25">
      <c r="B26" s="14"/>
      <c r="C26" s="15"/>
      <c r="D26" s="15"/>
      <c r="E26" s="15"/>
      <c r="G26" t="str">
        <f t="shared" si="0"/>
        <v>&lt;dl&gt;&lt;dt&gt;&lt;/dt&gt;&lt;dd&gt;&lt;/dd&gt;&lt;dd&gt;&lt;/dd&gt;&lt;/dl&gt;</v>
      </c>
    </row>
    <row r="27" spans="2:7" ht="16.5" thickBot="1" x14ac:dyDescent="0.25">
      <c r="B27" s="14"/>
      <c r="C27" s="15"/>
      <c r="D27" s="15"/>
      <c r="E27" s="15"/>
      <c r="G27" t="str">
        <f t="shared" si="0"/>
        <v>&lt;dl&gt;&lt;dt&gt;&lt;/dt&gt;&lt;dd&gt;&lt;/dd&gt;&lt;dd&gt;&lt;/dd&gt;&lt;/dl&gt;</v>
      </c>
    </row>
    <row r="28" spans="2:7" ht="16.5" thickBot="1" x14ac:dyDescent="0.25">
      <c r="B28" s="14"/>
      <c r="C28" s="15"/>
      <c r="D28" s="15"/>
      <c r="E28" s="15"/>
      <c r="G28" t="str">
        <f t="shared" si="0"/>
        <v>&lt;dl&gt;&lt;dt&gt;&lt;/dt&gt;&lt;dd&gt;&lt;/dd&gt;&lt;dd&gt;&lt;/dd&gt;&lt;/dl&gt;</v>
      </c>
    </row>
    <row r="29" spans="2:7" ht="16.5" thickBot="1" x14ac:dyDescent="0.25">
      <c r="B29" s="14"/>
      <c r="C29" s="15"/>
      <c r="D29" s="15"/>
      <c r="E29" s="15"/>
      <c r="G29" t="str">
        <f t="shared" si="0"/>
        <v>&lt;dl&gt;&lt;dt&gt;&lt;/dt&gt;&lt;dd&gt;&lt;/dd&gt;&lt;dd&gt;&lt;/dd&gt;&lt;/dl&gt;</v>
      </c>
    </row>
    <row r="32" spans="2:7" ht="17.25" x14ac:dyDescent="0.2">
      <c r="B32" s="5"/>
    </row>
    <row r="33" spans="2:7" ht="16.5" thickBot="1" x14ac:dyDescent="0.25">
      <c r="B33" s="11"/>
    </row>
    <row r="34" spans="2:7" ht="16.5" thickBot="1" x14ac:dyDescent="0.25">
      <c r="B34" s="12"/>
      <c r="C34" s="12"/>
      <c r="D34" s="12"/>
      <c r="E34" s="12"/>
    </row>
    <row r="35" spans="2:7" ht="16.5" thickBot="1" x14ac:dyDescent="0.25">
      <c r="B35" s="14"/>
      <c r="C35" s="15"/>
      <c r="D35" s="15"/>
      <c r="E35" s="15"/>
      <c r="G35" t="str">
        <f t="shared" si="0"/>
        <v>&lt;dl&gt;&lt;dt&gt;&lt;/dt&gt;&lt;dd&gt;&lt;/dd&gt;&lt;dd&gt;&lt;/dd&gt;&lt;/dl&gt;</v>
      </c>
    </row>
    <row r="36" spans="2:7" ht="16.5" thickBot="1" x14ac:dyDescent="0.25">
      <c r="B36" s="14"/>
      <c r="C36" s="15"/>
      <c r="D36" s="15"/>
      <c r="E36" s="15"/>
      <c r="G36" t="str">
        <f t="shared" si="0"/>
        <v>&lt;dl&gt;&lt;dt&gt;&lt;/dt&gt;&lt;dd&gt;&lt;/dd&gt;&lt;dd&gt;&lt;/dd&gt;&lt;/dl&gt;</v>
      </c>
    </row>
    <row r="37" spans="2:7" ht="16.5" thickBot="1" x14ac:dyDescent="0.25">
      <c r="B37" s="14"/>
      <c r="C37" s="15"/>
      <c r="D37" s="15"/>
      <c r="E37" s="15"/>
      <c r="G37" t="str">
        <f t="shared" si="0"/>
        <v>&lt;dl&gt;&lt;dt&gt;&lt;/dt&gt;&lt;dd&gt;&lt;/dd&gt;&lt;dd&gt;&lt;/dd&gt;&lt;/dl&gt;</v>
      </c>
    </row>
    <row r="38" spans="2:7" ht="16.5" thickBot="1" x14ac:dyDescent="0.25">
      <c r="B38" s="14"/>
      <c r="C38" s="15"/>
      <c r="D38" s="15"/>
      <c r="E38" s="15"/>
      <c r="G38" t="str">
        <f t="shared" si="0"/>
        <v>&lt;dl&gt;&lt;dt&gt;&lt;/dt&gt;&lt;dd&gt;&lt;/dd&gt;&lt;dd&gt;&lt;/dd&gt;&lt;/dl&gt;</v>
      </c>
    </row>
    <row r="39" spans="2:7" ht="16.5" thickBot="1" x14ac:dyDescent="0.25">
      <c r="B39" s="14"/>
      <c r="C39" s="15"/>
      <c r="D39" s="15"/>
      <c r="E39" s="15"/>
      <c r="G39" t="str">
        <f t="shared" si="0"/>
        <v>&lt;dl&gt;&lt;dt&gt;&lt;/dt&gt;&lt;dd&gt;&lt;/dd&gt;&lt;dd&gt;&lt;/dd&gt;&lt;/dl&gt;</v>
      </c>
    </row>
    <row r="40" spans="2:7" ht="16.5" thickBot="1" x14ac:dyDescent="0.25">
      <c r="B40" s="14"/>
      <c r="C40" s="15"/>
      <c r="D40" s="15"/>
      <c r="E40" s="15"/>
      <c r="G40" t="str">
        <f t="shared" si="0"/>
        <v>&lt;dl&gt;&lt;dt&gt;&lt;/dt&gt;&lt;dd&gt;&lt;/dd&gt;&lt;dd&gt;&lt;/dd&gt;&lt;/dl&gt;</v>
      </c>
    </row>
    <row r="41" spans="2:7" ht="16.5" thickBot="1" x14ac:dyDescent="0.25">
      <c r="B41" s="14"/>
      <c r="C41" s="15"/>
      <c r="D41" s="15"/>
      <c r="E41" s="15"/>
      <c r="G41" t="str">
        <f t="shared" si="0"/>
        <v>&lt;dl&gt;&lt;dt&gt;&lt;/dt&gt;&lt;dd&gt;&lt;/dd&gt;&lt;dd&gt;&lt;/dd&gt;&lt;/dl&gt;</v>
      </c>
    </row>
    <row r="42" spans="2:7" ht="16.5" thickBot="1" x14ac:dyDescent="0.25">
      <c r="B42" s="14"/>
      <c r="C42" s="15"/>
      <c r="D42" s="15"/>
      <c r="E42" s="15"/>
      <c r="G42" t="str">
        <f t="shared" si="0"/>
        <v>&lt;dl&gt;&lt;dt&gt;&lt;/dt&gt;&lt;dd&gt;&lt;/dd&gt;&lt;dd&gt;&lt;/dd&gt;&lt;/dl&gt;</v>
      </c>
    </row>
    <row r="43" spans="2:7" ht="16.5" thickBot="1" x14ac:dyDescent="0.25">
      <c r="B43" s="14"/>
      <c r="C43" s="15"/>
      <c r="D43" s="15"/>
      <c r="E43" s="15"/>
      <c r="G43" t="str">
        <f t="shared" si="0"/>
        <v>&lt;dl&gt;&lt;dt&gt;&lt;/dt&gt;&lt;dd&gt;&lt;/dd&gt;&lt;dd&gt;&lt;/dd&gt;&lt;/dl&gt;</v>
      </c>
    </row>
    <row r="46" spans="2:7" ht="17.25" x14ac:dyDescent="0.2">
      <c r="B46" s="5"/>
    </row>
    <row r="47" spans="2:7" ht="16.5" thickBot="1" x14ac:dyDescent="0.25">
      <c r="B47" s="11"/>
    </row>
    <row r="48" spans="2:7" ht="16.5" thickBot="1" x14ac:dyDescent="0.25">
      <c r="B48" s="12"/>
      <c r="C48" s="12"/>
      <c r="D48" s="12"/>
      <c r="E48" s="12"/>
    </row>
    <row r="49" spans="2:7" ht="16.5" thickBot="1" x14ac:dyDescent="0.25">
      <c r="B49" s="14"/>
      <c r="C49" s="15"/>
      <c r="D49" s="15"/>
      <c r="E49" s="15"/>
      <c r="G49" t="str">
        <f t="shared" si="0"/>
        <v>&lt;dl&gt;&lt;dt&gt;&lt;/dt&gt;&lt;dd&gt;&lt;/dd&gt;&lt;dd&gt;&lt;/dd&gt;&lt;/dl&gt;</v>
      </c>
    </row>
    <row r="50" spans="2:7" ht="16.5" thickBot="1" x14ac:dyDescent="0.25">
      <c r="B50" s="14"/>
      <c r="C50" s="15"/>
      <c r="D50" s="15"/>
      <c r="E50" s="15"/>
      <c r="G50" t="str">
        <f t="shared" si="0"/>
        <v>&lt;dl&gt;&lt;dt&gt;&lt;/dt&gt;&lt;dd&gt;&lt;/dd&gt;&lt;dd&gt;&lt;/dd&gt;&lt;/dl&gt;</v>
      </c>
    </row>
    <row r="51" spans="2:7" ht="16.5" thickBot="1" x14ac:dyDescent="0.25">
      <c r="B51" s="14"/>
      <c r="C51" s="15"/>
      <c r="D51" s="15"/>
      <c r="E51" s="15"/>
      <c r="G51" t="str">
        <f t="shared" si="0"/>
        <v>&lt;dl&gt;&lt;dt&gt;&lt;/dt&gt;&lt;dd&gt;&lt;/dd&gt;&lt;dd&gt;&lt;/dd&gt;&lt;/dl&gt;</v>
      </c>
    </row>
    <row r="52" spans="2:7" ht="16.5" thickBot="1" x14ac:dyDescent="0.25">
      <c r="B52" s="14"/>
      <c r="C52" s="15"/>
      <c r="D52" s="15"/>
      <c r="E52" s="15"/>
      <c r="G52" t="str">
        <f t="shared" si="0"/>
        <v>&lt;dl&gt;&lt;dt&gt;&lt;/dt&gt;&lt;dd&gt;&lt;/dd&gt;&lt;dd&gt;&lt;/dd&gt;&lt;/dl&gt;</v>
      </c>
    </row>
    <row r="55" spans="2:7" ht="17.25" x14ac:dyDescent="0.2">
      <c r="B55" s="5"/>
    </row>
    <row r="56" spans="2:7" x14ac:dyDescent="0.2">
      <c r="B56" s="6"/>
    </row>
    <row r="57" spans="2:7" x14ac:dyDescent="0.2">
      <c r="B57" s="7"/>
    </row>
    <row r="58" spans="2:7" x14ac:dyDescent="0.2">
      <c r="B58" s="6"/>
    </row>
    <row r="59" spans="2:7" x14ac:dyDescent="0.2">
      <c r="B59" s="8"/>
    </row>
    <row r="60" spans="2:7" x14ac:dyDescent="0.2">
      <c r="B60" s="8"/>
    </row>
    <row r="64" spans="2:7" ht="17.25" x14ac:dyDescent="0.2">
      <c r="B64" s="5"/>
    </row>
    <row r="65" spans="2:2" x14ac:dyDescent="0.2">
      <c r="B65" s="6"/>
    </row>
    <row r="66" spans="2:2" x14ac:dyDescent="0.2">
      <c r="B66" s="7"/>
    </row>
    <row r="67" spans="2:2" x14ac:dyDescent="0.2">
      <c r="B67" s="6"/>
    </row>
    <row r="68" spans="2:2" x14ac:dyDescent="0.2">
      <c r="B68" s="9"/>
    </row>
    <row r="69" spans="2:2" x14ac:dyDescent="0.2">
      <c r="B69" s="9"/>
    </row>
    <row r="70" spans="2:2" x14ac:dyDescent="0.2">
      <c r="B70" s="7"/>
    </row>
    <row r="71" spans="2:2" x14ac:dyDescent="0.2">
      <c r="B71" s="6"/>
    </row>
    <row r="72" spans="2:2" x14ac:dyDescent="0.2">
      <c r="B72" s="9"/>
    </row>
    <row r="73" spans="2:2" x14ac:dyDescent="0.2">
      <c r="B73" s="9"/>
    </row>
    <row r="77" spans="2:2" ht="17.25" x14ac:dyDescent="0.2">
      <c r="B77" s="5"/>
    </row>
    <row r="80" spans="2:2" x14ac:dyDescent="0.2">
      <c r="B80" s="16"/>
    </row>
    <row r="81" spans="2:2" x14ac:dyDescent="0.2">
      <c r="B81" s="6"/>
    </row>
    <row r="82" spans="2:2" x14ac:dyDescent="0.2">
      <c r="B82" s="6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33</vt:i4>
      </vt:variant>
    </vt:vector>
  </HeadingPairs>
  <TitlesOfParts>
    <vt:vector size="33" baseType="lpstr">
      <vt:lpstr>天府</vt:lpstr>
      <vt:lpstr>文曲</vt:lpstr>
      <vt:lpstr>紫微</vt:lpstr>
      <vt:lpstr>巨门</vt:lpstr>
      <vt:lpstr>天机</vt:lpstr>
      <vt:lpstr>天梁</vt:lpstr>
      <vt:lpstr>廉贞</vt:lpstr>
      <vt:lpstr>太阴</vt:lpstr>
      <vt:lpstr>太阳</vt:lpstr>
      <vt:lpstr>天相</vt:lpstr>
      <vt:lpstr>武曲</vt:lpstr>
      <vt:lpstr>贪狼</vt:lpstr>
      <vt:lpstr>天同</vt:lpstr>
      <vt:lpstr>七杀</vt:lpstr>
      <vt:lpstr>破军</vt:lpstr>
      <vt:lpstr>文昌</vt:lpstr>
      <vt:lpstr>左辅</vt:lpstr>
      <vt:lpstr>右弼</vt:lpstr>
      <vt:lpstr>天魁</vt:lpstr>
      <vt:lpstr>天钺</vt:lpstr>
      <vt:lpstr>禄存</vt:lpstr>
      <vt:lpstr>天马</vt:lpstr>
      <vt:lpstr>擎羊</vt:lpstr>
      <vt:lpstr>陀罗</vt:lpstr>
      <vt:lpstr>地空</vt:lpstr>
      <vt:lpstr>地劫</vt:lpstr>
      <vt:lpstr>火星</vt:lpstr>
      <vt:lpstr>铃星</vt:lpstr>
      <vt:lpstr>天刑</vt:lpstr>
      <vt:lpstr>天寿</vt:lpstr>
      <vt:lpstr>天才</vt:lpstr>
      <vt:lpstr>XX (31)</vt:lpstr>
      <vt:lpstr>XX (32)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金汉 JH</dc:creator>
  <cp:lastModifiedBy>金汉 JH</cp:lastModifiedBy>
  <dcterms:created xsi:type="dcterms:W3CDTF">2026-01-11T12:11:07Z</dcterms:created>
  <dcterms:modified xsi:type="dcterms:W3CDTF">2026-04-28T02:36:02Z</dcterms:modified>
</cp:coreProperties>
</file>